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Value" sheetId="1" state="visible" r:id="rId1"/>
    <sheet name="Annual" sheetId="2" state="visible" r:id="rId2"/>
    <sheet name="HY &amp; Segment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0.0"/>
    <numFmt numFmtId="165" formatCode="#,##0.0"/>
    <numFmt numFmtId="166" formatCode="0.0%"/>
    <numFmt numFmtId="167" formatCode="0.000"/>
    <numFmt numFmtId="168" formatCode="0.0\x"/>
    <numFmt numFmtId="169" formatCode="d/mm/yy"/>
    <numFmt numFmtId="170" formatCode="dd\-mmm\-yy"/>
  </numFmts>
  <fonts count="17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Calibri"/>
      <family val="2"/>
      <b val="1"/>
      <color rgb="FFFFFFFF"/>
      <sz val="11"/>
    </font>
    <font>
      <name val="Calibri"/>
      <family val="2"/>
      <b val="1"/>
      <sz val="11"/>
    </font>
    <font>
      <name val="Calibri"/>
      <family val="2"/>
      <b val="1"/>
      <sz val="11"/>
      <u val="single"/>
    </font>
    <font>
      <name val="Calibri"/>
      <family val="2"/>
      <color rgb="FFC00000"/>
      <sz val="11"/>
    </font>
    <font>
      <name val="Calibri"/>
      <family val="2"/>
      <b val="1"/>
      <sz val="12"/>
    </font>
    <font>
      <name val="Calibri"/>
      <family val="2"/>
      <color rgb="FF0000CC"/>
      <sz val="11"/>
    </font>
    <font>
      <name val="Calibri"/>
      <family val="2"/>
      <b val="1"/>
      <color rgb="FF0000CC"/>
      <sz val="11"/>
    </font>
    <font>
      <name val="Calibri"/>
      <family val="2"/>
      <b val="1"/>
      <color theme="1"/>
      <sz val="11"/>
      <scheme val="minor"/>
    </font>
    <font>
      <name val="Calibri"/>
      <family val="2"/>
      <color rgb="FFC00000"/>
      <sz val="11"/>
      <scheme val="minor"/>
    </font>
    <font>
      <name val="Calibri"/>
      <color rgb="FF0000CC"/>
      <sz val="11"/>
    </font>
    <font>
      <name val="Calibri"/>
      <color rgb="FFC00000"/>
      <sz val="11"/>
    </font>
    <font>
      <name val="Calibri"/>
      <color rgb="FF0000CC"/>
      <sz val="11"/>
    </font>
    <font>
      <name val="Calibri"/>
      <color rgb="FF0000CC"/>
      <sz val="11"/>
    </font>
    <font>
      <name val="Calibri"/>
      <family val="2"/>
      <color rgb="FFFF0000"/>
      <sz val="11"/>
      <scheme val="minor"/>
    </font>
    <font>
      <name val="Calibri"/>
      <family val="2"/>
      <sz val="11"/>
    </font>
  </fonts>
  <fills count="8">
    <fill>
      <patternFill/>
    </fill>
    <fill>
      <patternFill patternType="gray125"/>
    </fill>
    <fill>
      <patternFill patternType="solid">
        <fgColor rgb="FF002060"/>
      </patternFill>
    </fill>
    <fill>
      <patternFill patternType="solid">
        <fgColor rgb="FF0070C0"/>
      </patternFill>
    </fill>
    <fill>
      <patternFill patternType="solid">
        <fgColor rgb="FFC5D9F1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4" borderId="0" pivotButton="0" quotePrefix="0" xfId="0"/>
    <xf numFmtId="0" fontId="0" fillId="4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4" fillId="0" borderId="0" pivotButton="0" quotePrefix="0" xfId="0"/>
    <xf numFmtId="166" fontId="0" fillId="0" borderId="0" pivotButton="0" quotePrefix="0" xfId="0"/>
    <xf numFmtId="0" fontId="3" fillId="0" borderId="0" applyAlignment="1" pivotButton="0" quotePrefix="0" xfId="0">
      <alignment horizontal="center"/>
    </xf>
    <xf numFmtId="0" fontId="3" fillId="0" borderId="0" pivotButton="0" quotePrefix="0" xfId="0"/>
    <xf numFmtId="167" fontId="0" fillId="0" borderId="0" pivotButton="0" quotePrefix="0" xfId="0"/>
    <xf numFmtId="165" fontId="3" fillId="0" borderId="0" pivotButton="0" quotePrefix="0" xfId="0"/>
    <xf numFmtId="2" fontId="6" fillId="0" borderId="0" pivotButton="0" quotePrefix="0" xfId="0"/>
    <xf numFmtId="168" fontId="5" fillId="6" borderId="0" pivotButton="0" quotePrefix="0" xfId="0"/>
    <xf numFmtId="168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169" fontId="0" fillId="0" borderId="0" pivotButton="0" quotePrefix="0" xfId="0"/>
    <xf numFmtId="0" fontId="3" fillId="4" borderId="0" pivotButton="0" quotePrefix="0" xfId="0"/>
    <xf numFmtId="165" fontId="7" fillId="0" borderId="0" pivotButton="0" quotePrefix="0" xfId="0"/>
    <xf numFmtId="0" fontId="3" fillId="0" borderId="1" pivotButton="0" quotePrefix="0" xfId="0"/>
    <xf numFmtId="165" fontId="3" fillId="0" borderId="1" pivotButton="0" quotePrefix="0" xfId="0"/>
    <xf numFmtId="164" fontId="7" fillId="0" borderId="0" pivotButton="0" quotePrefix="0" xfId="0"/>
    <xf numFmtId="167" fontId="3" fillId="0" borderId="1" pivotButton="0" quotePrefix="0" xfId="0"/>
    <xf numFmtId="167" fontId="7" fillId="0" borderId="0" pivotButton="0" quotePrefix="0" xfId="0"/>
    <xf numFmtId="0" fontId="5" fillId="0" borderId="0" pivotButton="0" quotePrefix="0" xfId="0"/>
    <xf numFmtId="166" fontId="5" fillId="0" borderId="0" pivotButton="0" quotePrefix="0" xfId="0"/>
    <xf numFmtId="0" fontId="0" fillId="5" borderId="0" pivotButton="0" quotePrefix="0" xfId="0"/>
    <xf numFmtId="0" fontId="3" fillId="5" borderId="0" pivotButton="0" quotePrefix="0" xfId="0"/>
    <xf numFmtId="3" fontId="0" fillId="0" borderId="0" pivotButton="0" quotePrefix="0" xfId="0"/>
    <xf numFmtId="3" fontId="7" fillId="0" borderId="0" pivotButton="0" quotePrefix="0" xfId="0"/>
    <xf numFmtId="166" fontId="7" fillId="0" borderId="0" pivotButton="0" quotePrefix="0" xfId="0"/>
    <xf numFmtId="165" fontId="8" fillId="0" borderId="1" pivotButton="0" quotePrefix="0" xfId="0"/>
    <xf numFmtId="0" fontId="9" fillId="0" borderId="1" pivotButton="0" quotePrefix="0" xfId="0"/>
    <xf numFmtId="165" fontId="9" fillId="0" borderId="1" pivotButton="0" quotePrefix="0" xfId="0"/>
    <xf numFmtId="165" fontId="0" fillId="0" borderId="2" pivotButton="0" quotePrefix="0" xfId="0"/>
    <xf numFmtId="0" fontId="0" fillId="0" borderId="3" pivotButton="0" quotePrefix="0" xfId="0"/>
    <xf numFmtId="165" fontId="0" fillId="0" borderId="3" pivotButton="0" quotePrefix="0" xfId="0"/>
    <xf numFmtId="0" fontId="0" fillId="0" borderId="2" pivotButton="0" quotePrefix="0" xfId="0"/>
    <xf numFmtId="165" fontId="3" fillId="0" borderId="2" pivotButton="0" quotePrefix="0" xfId="0"/>
    <xf numFmtId="165" fontId="10" fillId="0" borderId="0" pivotButton="0" quotePrefix="0" xfId="0"/>
    <xf numFmtId="165" fontId="11" fillId="0" borderId="0" pivotButton="0" quotePrefix="0" xfId="0"/>
    <xf numFmtId="165" fontId="12" fillId="0" borderId="0" pivotButton="0" quotePrefix="0" xfId="0"/>
    <xf numFmtId="165" fontId="5" fillId="0" borderId="0" pivotButton="0" quotePrefix="0" xfId="0"/>
    <xf numFmtId="2" fontId="5" fillId="0" borderId="0" pivotButton="0" quotePrefix="0" xfId="0"/>
    <xf numFmtId="166" fontId="5" fillId="0" borderId="3" pivotButton="0" quotePrefix="0" xfId="0"/>
    <xf numFmtId="165" fontId="13" fillId="0" borderId="0" pivotButton="0" quotePrefix="0" xfId="0"/>
    <xf numFmtId="165" fontId="14" fillId="0" borderId="0" pivotButton="0" quotePrefix="0" xfId="0"/>
    <xf numFmtId="164" fontId="5" fillId="0" borderId="0" pivotButton="0" quotePrefix="0" xfId="0"/>
    <xf numFmtId="0" fontId="10" fillId="0" borderId="0" pivotButton="0" quotePrefix="0" xfId="0"/>
    <xf numFmtId="164" fontId="10" fillId="0" borderId="0" pivotButton="0" quotePrefix="0" xfId="0"/>
    <xf numFmtId="166" fontId="10" fillId="0" borderId="0" pivotButton="0" quotePrefix="0" xfId="0"/>
    <xf numFmtId="170" fontId="15" fillId="7" borderId="0" pivotButton="0" quotePrefix="0" xfId="0"/>
    <xf numFmtId="2" fontId="0" fillId="0" borderId="0" pivotButton="0" quotePrefix="0" xfId="0"/>
    <xf numFmtId="165" fontId="16" fillId="0" borderId="0" pivotButton="0" quotePrefix="0" xfId="0"/>
    <xf numFmtId="0" fontId="0" fillId="7" borderId="0" applyAlignment="1" pivotButton="0" quotePrefix="0" xfId="0">
      <alignment horizontal="right"/>
    </xf>
  </cellXfs>
  <cellStyles count="1"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R68"/>
  <sheetViews>
    <sheetView tabSelected="1" workbookViewId="0">
      <selection activeCell="C7" sqref="C7"/>
    </sheetView>
  </sheetViews>
  <sheetFormatPr baseColWidth="8" defaultRowHeight="14.5"/>
  <cols>
    <col width="3" customWidth="1" min="1" max="1"/>
    <col width="30" customWidth="1" min="2" max="2"/>
    <col width="12" customWidth="1" min="3" max="18"/>
  </cols>
  <sheetData>
    <row r="2" ht="18.5" customHeight="1">
      <c r="B2" s="1" t="inlineStr">
        <is>
          <t>DCF Valuation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</row>
    <row r="4">
      <c r="B4" t="inlineStr">
        <is>
          <t>Current Share Price (AUD)</t>
        </is>
      </c>
      <c r="C4" s="44" t="n">
        <v>28</v>
      </c>
    </row>
    <row r="5">
      <c r="B5" t="inlineStr">
        <is>
          <t>Shares Outstanding (#m)</t>
        </is>
      </c>
      <c r="C5" s="3" t="n">
        <v>101</v>
      </c>
    </row>
    <row r="6">
      <c r="B6" t="inlineStr">
        <is>
          <t>Market Cap (AUDm)</t>
        </is>
      </c>
      <c r="C6" s="4">
        <f>C4*C5</f>
        <v/>
      </c>
    </row>
    <row r="7">
      <c r="B7" t="inlineStr">
        <is>
          <t>Net Cash (AUDm)</t>
        </is>
      </c>
      <c r="C7" s="4">
        <f>-INDEX(Annual!D:P,MATCH("BS-Cash",Annual!A:A,0),MATCH(2025,Annual!$1:$1,0))</f>
        <v/>
      </c>
    </row>
    <row r="8">
      <c r="B8" t="inlineStr">
        <is>
          <t>Market EV (AUDm)</t>
        </is>
      </c>
      <c r="C8" s="4">
        <f>C6-C7</f>
        <v/>
      </c>
    </row>
    <row r="9">
      <c r="B9" t="inlineStr">
        <is>
          <t>Valuation Date</t>
        </is>
      </c>
      <c r="C9" s="52" t="n">
        <v>46022</v>
      </c>
    </row>
    <row r="11">
      <c r="B11" s="5" t="inlineStr">
        <is>
          <t>WACC Inputs</t>
        </is>
      </c>
    </row>
    <row r="12">
      <c r="B12" t="inlineStr">
        <is>
          <t>Risk-free Rate</t>
        </is>
      </c>
      <c r="C12" s="26" t="n">
        <v>0.04</v>
      </c>
    </row>
    <row r="13">
      <c r="B13" t="inlineStr">
        <is>
          <t>Equity Risk Premium</t>
        </is>
      </c>
      <c r="C13" s="26" t="n">
        <v>0.06</v>
      </c>
    </row>
    <row r="14">
      <c r="B14" t="inlineStr">
        <is>
          <t>Beta</t>
        </is>
      </c>
      <c r="C14" s="44" t="n">
        <v>1.2</v>
      </c>
    </row>
    <row r="15">
      <c r="B15" t="inlineStr">
        <is>
          <t>Cost of Equity</t>
        </is>
      </c>
      <c r="C15" s="6">
        <f>C12+C13*C14</f>
        <v/>
      </c>
    </row>
    <row r="16">
      <c r="B16" t="inlineStr">
        <is>
          <t>Pre-tax Cost of Debt</t>
        </is>
      </c>
      <c r="C16" s="26" t="n">
        <v>0</v>
      </c>
    </row>
    <row r="17">
      <c r="B17" t="inlineStr">
        <is>
          <t>Tax Rate</t>
        </is>
      </c>
      <c r="C17" s="26" t="n">
        <v>0.3</v>
      </c>
    </row>
    <row r="18">
      <c r="B18" t="inlineStr">
        <is>
          <t>After-tax Cost of Debt</t>
        </is>
      </c>
      <c r="C18" s="6">
        <f>C16*(1-C17)</f>
        <v/>
      </c>
    </row>
    <row r="19">
      <c r="B19" s="36" t="inlineStr">
        <is>
          <t>Debt Weight (D/(D+E))</t>
        </is>
      </c>
      <c r="C19" s="45" t="n">
        <v>0</v>
      </c>
    </row>
    <row r="20">
      <c r="B20" t="inlineStr">
        <is>
          <t>WACC</t>
        </is>
      </c>
      <c r="C20" s="6">
        <f>C15*(1-C19)+C18*C19</f>
        <v/>
      </c>
    </row>
    <row r="21">
      <c r="B21" t="inlineStr">
        <is>
          <t>Terminal Growth Rate</t>
        </is>
      </c>
      <c r="C21" s="26" t="n">
        <v>0.025</v>
      </c>
    </row>
    <row r="22">
      <c r="B22" t="inlineStr">
        <is>
          <t>Stub Period</t>
        </is>
      </c>
      <c r="C22" s="53">
        <f>(DATE(2026,6,30)-C9)/365.25</f>
        <v/>
      </c>
    </row>
    <row r="23">
      <c r="C23" s="9" t="n"/>
    </row>
    <row r="24">
      <c r="B24" s="5" t="inlineStr">
        <is>
          <t>FCF Projection</t>
        </is>
      </c>
      <c r="D24" s="7" t="inlineStr">
        <is>
          <t>FY26E</t>
        </is>
      </c>
      <c r="E24" s="7" t="inlineStr">
        <is>
          <t>FY27E</t>
        </is>
      </c>
      <c r="F24" s="7" t="inlineStr">
        <is>
          <t>FY28E</t>
        </is>
      </c>
      <c r="G24" s="7" t="inlineStr">
        <is>
          <t>FY29E</t>
        </is>
      </c>
      <c r="H24" s="7" t="inlineStr">
        <is>
          <t>FY30E</t>
        </is>
      </c>
      <c r="I24" s="7" t="inlineStr">
        <is>
          <t>FY31E</t>
        </is>
      </c>
      <c r="J24" s="7" t="inlineStr">
        <is>
          <t>FY32E</t>
        </is>
      </c>
      <c r="K24" s="7" t="inlineStr">
        <is>
          <t>FY33E</t>
        </is>
      </c>
      <c r="L24" s="7" t="inlineStr">
        <is>
          <t>FY34E</t>
        </is>
      </c>
      <c r="M24" s="7" t="inlineStr">
        <is>
          <t>FY35E</t>
        </is>
      </c>
    </row>
    <row r="25">
      <c r="B25" t="inlineStr">
        <is>
          <t>EBITDA</t>
        </is>
      </c>
      <c r="C25" t="inlineStr">
        <is>
          <t>AUDm</t>
        </is>
      </c>
      <c r="D25" s="4">
        <f>INDEX(Annual!$D:$P,MATCH("Stat-Statutory EBITDA",Annual!$A:$A,0),MATCH(2026,Annual!$1:$1,0))</f>
        <v/>
      </c>
      <c r="E25" s="4">
        <f>INDEX(Annual!$D:$P,MATCH("Stat-Statutory EBITDA",Annual!$A:$A,0),MATCH(2027,Annual!$1:$1,0))</f>
        <v/>
      </c>
      <c r="F25" s="4">
        <f>INDEX(Annual!$D:$P,MATCH("Stat-Statutory EBITDA",Annual!$A:$A,0),MATCH(2028,Annual!$1:$1,0))</f>
        <v/>
      </c>
      <c r="G25" s="4">
        <f>INDEX(Annual!$D:$P,MATCH("Stat-Statutory EBITDA",Annual!$A:$A,0),MATCH(2029,Annual!$1:$1,0))</f>
        <v/>
      </c>
      <c r="H25" s="4">
        <f>INDEX(Annual!$D:$P,MATCH("Stat-Statutory EBITDA",Annual!$A:$A,0),MATCH(2030,Annual!$1:$1,0))</f>
        <v/>
      </c>
      <c r="I25" s="4">
        <f>INDEX(Annual!$D:$P,MATCH("Stat-Statutory EBITDA",Annual!$A:$A,0),MATCH(2031,Annual!$1:$1,0))</f>
        <v/>
      </c>
      <c r="J25" s="4">
        <f>INDEX(Annual!$D:$P,MATCH("Stat-Statutory EBITDA",Annual!$A:$A,0),MATCH(2032,Annual!$1:$1,0))</f>
        <v/>
      </c>
      <c r="K25" s="4">
        <f>INDEX(Annual!$D:$P,MATCH("Stat-Statutory EBITDA",Annual!$A:$A,0),MATCH(2033,Annual!$1:$1,0))</f>
        <v/>
      </c>
      <c r="L25" s="4">
        <f>INDEX(Annual!$D:$P,MATCH("Stat-Statutory EBITDA",Annual!$A:$A,0),MATCH(2034,Annual!$1:$1,0))</f>
        <v/>
      </c>
      <c r="M25" s="4">
        <f>INDEX(Annual!$D:$P,MATCH("Stat-Statutory EBITDA",Annual!$A:$A,0),MATCH(2035,Annual!$1:$1,0))</f>
        <v/>
      </c>
    </row>
    <row r="26">
      <c r="B26" t="inlineStr">
        <is>
          <t>less D&amp;A</t>
        </is>
      </c>
      <c r="C26" t="inlineStr">
        <is>
          <t>AUDm</t>
        </is>
      </c>
      <c r="D26" s="4">
        <f>INDEX(Annual!$D:$P,MATCH("DA-Total DA",Annual!$A:$A,0),MATCH(2026,Annual!$1:$1,0))</f>
        <v/>
      </c>
      <c r="E26" s="4">
        <f>INDEX(Annual!$D:$P,MATCH("DA-Total DA",Annual!$A:$A,0),MATCH(2027,Annual!$1:$1,0))</f>
        <v/>
      </c>
      <c r="F26" s="4">
        <f>INDEX(Annual!$D:$P,MATCH("DA-Total DA",Annual!$A:$A,0),MATCH(2028,Annual!$1:$1,0))</f>
        <v/>
      </c>
      <c r="G26" s="4">
        <f>INDEX(Annual!$D:$P,MATCH("DA-Total DA",Annual!$A:$A,0),MATCH(2029,Annual!$1:$1,0))</f>
        <v/>
      </c>
      <c r="H26" s="4">
        <f>INDEX(Annual!$D:$P,MATCH("DA-Total DA",Annual!$A:$A,0),MATCH(2030,Annual!$1:$1,0))</f>
        <v/>
      </c>
      <c r="I26" s="4">
        <f>INDEX(Annual!$D:$P,MATCH("DA-Total DA",Annual!$A:$A,0),MATCH(2031,Annual!$1:$1,0))</f>
        <v/>
      </c>
      <c r="J26" s="4">
        <f>INDEX(Annual!$D:$P,MATCH("DA-Total DA",Annual!$A:$A,0),MATCH(2032,Annual!$1:$1,0))</f>
        <v/>
      </c>
      <c r="K26" s="4">
        <f>INDEX(Annual!$D:$P,MATCH("DA-Total DA",Annual!$A:$A,0),MATCH(2033,Annual!$1:$1,0))</f>
        <v/>
      </c>
      <c r="L26" s="4">
        <f>INDEX(Annual!$D:$P,MATCH("DA-Total DA",Annual!$A:$A,0),MATCH(2034,Annual!$1:$1,0))</f>
        <v/>
      </c>
      <c r="M26" s="4">
        <f>INDEX(Annual!$D:$P,MATCH("DA-Total DA",Annual!$A:$A,0),MATCH(2035,Annual!$1:$1,0))</f>
        <v/>
      </c>
    </row>
    <row r="27">
      <c r="B27" t="inlineStr">
        <is>
          <t>EBIT</t>
        </is>
      </c>
      <c r="C27" t="inlineStr">
        <is>
          <t>AUDm</t>
        </is>
      </c>
      <c r="D27" s="4">
        <f>D25+D26</f>
        <v/>
      </c>
      <c r="E27" s="4">
        <f>E25+E26</f>
        <v/>
      </c>
      <c r="F27" s="4">
        <f>F25+F26</f>
        <v/>
      </c>
      <c r="G27" s="4">
        <f>G25+G26</f>
        <v/>
      </c>
      <c r="H27" s="4">
        <f>H25+H26</f>
        <v/>
      </c>
      <c r="I27" s="4">
        <f>I25+I26</f>
        <v/>
      </c>
      <c r="J27" s="4">
        <f>J25+J26</f>
        <v/>
      </c>
      <c r="K27" s="4">
        <f>K25+K26</f>
        <v/>
      </c>
      <c r="L27" s="4">
        <f>L25+L26</f>
        <v/>
      </c>
      <c r="M27" s="4">
        <f>M25+M26</f>
        <v/>
      </c>
    </row>
    <row r="28">
      <c r="B28" t="inlineStr">
        <is>
          <t>less Tax on EBIT</t>
        </is>
      </c>
      <c r="C28" t="inlineStr">
        <is>
          <t>AUDm</t>
        </is>
      </c>
      <c r="D28" s="4">
        <f>IF(D27&gt;0,-D27*$C$17,0)</f>
        <v/>
      </c>
      <c r="E28" s="4">
        <f>IF(E27&gt;0,-E27*$C$17,0)</f>
        <v/>
      </c>
      <c r="F28" s="4">
        <f>IF(F27&gt;0,-F27*$C$17,0)</f>
        <v/>
      </c>
      <c r="G28" s="4">
        <f>IF(G27&gt;0,-G27*$C$17,0)</f>
        <v/>
      </c>
      <c r="H28" s="4">
        <f>IF(H27&gt;0,-H27*$C$17,0)</f>
        <v/>
      </c>
      <c r="I28" s="4">
        <f>IF(I27&gt;0,-I27*$C$17,0)</f>
        <v/>
      </c>
      <c r="J28" s="4">
        <f>IF(J27&gt;0,-J27*$C$17,0)</f>
        <v/>
      </c>
      <c r="K28" s="4">
        <f>IF(K27&gt;0,-K27*$C$17,0)</f>
        <v/>
      </c>
      <c r="L28" s="4">
        <f>IF(L27&gt;0,-L27*$C$17,0)</f>
        <v/>
      </c>
      <c r="M28" s="4">
        <f>IF(M27&gt;0,-M27*$C$17,0)</f>
        <v/>
      </c>
    </row>
    <row r="29">
      <c r="B29" t="inlineStr">
        <is>
          <t>NOPAT</t>
        </is>
      </c>
      <c r="C29" t="inlineStr">
        <is>
          <t>AUDm</t>
        </is>
      </c>
      <c r="D29" s="4">
        <f>D27+D28</f>
        <v/>
      </c>
      <c r="E29" s="4">
        <f>E27+E28</f>
        <v/>
      </c>
      <c r="F29" s="4">
        <f>F27+F28</f>
        <v/>
      </c>
      <c r="G29" s="4">
        <f>G27+G28</f>
        <v/>
      </c>
      <c r="H29" s="4">
        <f>H27+H28</f>
        <v/>
      </c>
      <c r="I29" s="4">
        <f>I27+I28</f>
        <v/>
      </c>
      <c r="J29" s="4">
        <f>J27+J28</f>
        <v/>
      </c>
      <c r="K29" s="4">
        <f>K27+K28</f>
        <v/>
      </c>
      <c r="L29" s="4">
        <f>L27+L28</f>
        <v/>
      </c>
      <c r="M29" s="4">
        <f>M27+M28</f>
        <v/>
      </c>
    </row>
    <row r="30">
      <c r="B30" t="inlineStr">
        <is>
          <t>plus D&amp;A</t>
        </is>
      </c>
      <c r="C30" t="inlineStr">
        <is>
          <t>AUDm</t>
        </is>
      </c>
      <c r="D30" s="4">
        <f>-D26</f>
        <v/>
      </c>
      <c r="E30" s="4">
        <f>-E26</f>
        <v/>
      </c>
      <c r="F30" s="4">
        <f>-F26</f>
        <v/>
      </c>
      <c r="G30" s="4">
        <f>-G26</f>
        <v/>
      </c>
      <c r="H30" s="4">
        <f>-H26</f>
        <v/>
      </c>
      <c r="I30" s="4">
        <f>-I26</f>
        <v/>
      </c>
      <c r="J30" s="4">
        <f>-J26</f>
        <v/>
      </c>
      <c r="K30" s="4">
        <f>-K26</f>
        <v/>
      </c>
      <c r="L30" s="4">
        <f>-L26</f>
        <v/>
      </c>
      <c r="M30" s="4">
        <f>-M26</f>
        <v/>
      </c>
    </row>
    <row r="31">
      <c r="B31" t="inlineStr">
        <is>
          <t>less Capex</t>
        </is>
      </c>
      <c r="C31" t="inlineStr">
        <is>
          <t>AUDm</t>
        </is>
      </c>
      <c r="D31" s="4">
        <f>INDEX(Annual!$D:$P,MATCH("CF-Capex PPE",Annual!$A:$A,0),MATCH(2026,Annual!$1:$1,0))</f>
        <v/>
      </c>
      <c r="E31" s="4">
        <f>INDEX(Annual!$D:$P,MATCH("CF-Capex PPE",Annual!$A:$A,0),MATCH(2027,Annual!$1:$1,0))</f>
        <v/>
      </c>
      <c r="F31" s="4">
        <f>INDEX(Annual!$D:$P,MATCH("CF-Capex PPE",Annual!$A:$A,0),MATCH(2028,Annual!$1:$1,0))</f>
        <v/>
      </c>
      <c r="G31" s="4">
        <f>INDEX(Annual!$D:$P,MATCH("CF-Capex PPE",Annual!$A:$A,0),MATCH(2029,Annual!$1:$1,0))</f>
        <v/>
      </c>
      <c r="H31" s="4">
        <f>INDEX(Annual!$D:$P,MATCH("CF-Capex PPE",Annual!$A:$A,0),MATCH(2030,Annual!$1:$1,0))</f>
        <v/>
      </c>
      <c r="I31" s="4">
        <f>INDEX(Annual!$D:$P,MATCH("CF-Capex PPE",Annual!$A:$A,0),MATCH(2031,Annual!$1:$1,0))</f>
        <v/>
      </c>
      <c r="J31" s="4">
        <f>INDEX(Annual!$D:$P,MATCH("CF-Capex PPE",Annual!$A:$A,0),MATCH(2032,Annual!$1:$1,0))</f>
        <v/>
      </c>
      <c r="K31" s="4">
        <f>INDEX(Annual!$D:$P,MATCH("CF-Capex PPE",Annual!$A:$A,0),MATCH(2033,Annual!$1:$1,0))</f>
        <v/>
      </c>
      <c r="L31" s="4">
        <f>INDEX(Annual!$D:$P,MATCH("CF-Capex PPE",Annual!$A:$A,0),MATCH(2034,Annual!$1:$1,0))</f>
        <v/>
      </c>
      <c r="M31" s="4">
        <f>INDEX(Annual!$D:$P,MATCH("CF-Capex PPE",Annual!$A:$A,0),MATCH(2035,Annual!$1:$1,0))</f>
        <v/>
      </c>
    </row>
    <row r="32">
      <c r="B32" t="inlineStr">
        <is>
          <t>less WC Change</t>
        </is>
      </c>
      <c r="C32" t="inlineStr">
        <is>
          <t>AUDm</t>
        </is>
      </c>
      <c r="D32" s="4">
        <f>INDEX(Annual!$D:$P,MATCH("CF-WC Change",Annual!$A:$A,0),MATCH(2026,Annual!$1:$1,0))</f>
        <v/>
      </c>
      <c r="E32" s="4">
        <f>INDEX(Annual!$D:$P,MATCH("CF-WC Change",Annual!$A:$A,0),MATCH(2027,Annual!$1:$1,0))</f>
        <v/>
      </c>
      <c r="F32" s="4">
        <f>INDEX(Annual!$D:$P,MATCH("CF-WC Change",Annual!$A:$A,0),MATCH(2028,Annual!$1:$1,0))</f>
        <v/>
      </c>
      <c r="G32" s="4">
        <f>INDEX(Annual!$D:$P,MATCH("CF-WC Change",Annual!$A:$A,0),MATCH(2029,Annual!$1:$1,0))</f>
        <v/>
      </c>
      <c r="H32" s="4">
        <f>INDEX(Annual!$D:$P,MATCH("CF-WC Change",Annual!$A:$A,0),MATCH(2030,Annual!$1:$1,0))</f>
        <v/>
      </c>
      <c r="I32" s="4">
        <f>INDEX(Annual!$D:$P,MATCH("CF-WC Change",Annual!$A:$A,0),MATCH(2031,Annual!$1:$1,0))</f>
        <v/>
      </c>
      <c r="J32" s="4">
        <f>INDEX(Annual!$D:$P,MATCH("CF-WC Change",Annual!$A:$A,0),MATCH(2032,Annual!$1:$1,0))</f>
        <v/>
      </c>
      <c r="K32" s="4">
        <f>INDEX(Annual!$D:$P,MATCH("CF-WC Change",Annual!$A:$A,0),MATCH(2033,Annual!$1:$1,0))</f>
        <v/>
      </c>
      <c r="L32" s="4">
        <f>INDEX(Annual!$D:$P,MATCH("CF-WC Change",Annual!$A:$A,0),MATCH(2034,Annual!$1:$1,0))</f>
        <v/>
      </c>
      <c r="M32" s="4">
        <f>INDEX(Annual!$D:$P,MATCH("CF-WC Change",Annual!$A:$A,0),MATCH(2035,Annual!$1:$1,0))</f>
        <v/>
      </c>
    </row>
    <row r="33">
      <c r="B33" s="33" t="inlineStr">
        <is>
          <t>FCFF</t>
        </is>
      </c>
      <c r="C33" s="33" t="inlineStr">
        <is>
          <t>AUDm</t>
        </is>
      </c>
      <c r="D33" s="34">
        <f>D29+D30+D31+D32</f>
        <v/>
      </c>
      <c r="E33" s="34">
        <f>E29+E30+E31+E32</f>
        <v/>
      </c>
      <c r="F33" s="34">
        <f>F29+F30+F31+F32</f>
        <v/>
      </c>
      <c r="G33" s="34">
        <f>G29+G30+G31+G32</f>
        <v/>
      </c>
      <c r="H33" s="34">
        <f>H29+H30+H31+H32</f>
        <v/>
      </c>
      <c r="I33" s="34">
        <f>I29+I30+I31+I32</f>
        <v/>
      </c>
      <c r="J33" s="34">
        <f>J29+J30+J31+J32</f>
        <v/>
      </c>
      <c r="K33" s="34">
        <f>K29+K30+K31+K32</f>
        <v/>
      </c>
      <c r="L33" s="34">
        <f>L29+L30+L31+L32</f>
        <v/>
      </c>
      <c r="M33" s="34">
        <f>M29+M30+M31+M32</f>
        <v/>
      </c>
    </row>
    <row r="34" ht="15" customHeight="1" thickBot="1">
      <c r="B34" t="inlineStr">
        <is>
          <t>Normalised FCFF (capex=D&amp;A)</t>
        </is>
      </c>
      <c r="C34" t="inlineStr">
        <is>
          <t>AUDm</t>
        </is>
      </c>
      <c r="M34" s="35">
        <f>M29</f>
        <v/>
      </c>
    </row>
    <row r="35">
      <c r="B35" s="8" t="inlineStr">
        <is>
          <t>Terminal Value</t>
        </is>
      </c>
      <c r="M35" s="4">
        <f>M34*(1+$C$21)/($C$20-$C$21)</f>
        <v/>
      </c>
    </row>
    <row r="37">
      <c r="B37" t="inlineStr">
        <is>
          <t>Discount Factor</t>
        </is>
      </c>
      <c r="D37" s="53">
        <f>1/(1+$C$20)^($C$22+0)</f>
        <v/>
      </c>
      <c r="E37" s="53">
        <f>1/(1+$C$20)^($C$22+1)</f>
        <v/>
      </c>
      <c r="F37" s="53">
        <f>1/(1+$C$20)^($C$22+2)</f>
        <v/>
      </c>
      <c r="G37" s="53">
        <f>1/(1+$C$20)^($C$22+3)</f>
        <v/>
      </c>
      <c r="H37" s="53">
        <f>1/(1+$C$20)^($C$22+4)</f>
        <v/>
      </c>
      <c r="I37" s="53">
        <f>1/(1+$C$20)^($C$22+5)</f>
        <v/>
      </c>
      <c r="J37" s="53">
        <f>1/(1+$C$20)^($C$22+6)</f>
        <v/>
      </c>
      <c r="K37" s="53">
        <f>1/(1+$C$20)^($C$22+7)</f>
        <v/>
      </c>
      <c r="L37" s="53">
        <f>1/(1+$C$20)^($C$22+8)</f>
        <v/>
      </c>
      <c r="M37" s="53">
        <f>1/(1+$C$20)^($C$22+9)</f>
        <v/>
      </c>
    </row>
    <row r="38">
      <c r="B38" s="36" t="inlineStr">
        <is>
          <t>PV of FCFF</t>
        </is>
      </c>
      <c r="C38" s="36" t="n"/>
      <c r="D38" s="37">
        <f>D33*D37</f>
        <v/>
      </c>
      <c r="E38" s="37">
        <f>E33*E37</f>
        <v/>
      </c>
      <c r="F38" s="37">
        <f>F33*F37</f>
        <v/>
      </c>
      <c r="G38" s="37">
        <f>G33*G37</f>
        <v/>
      </c>
      <c r="H38" s="37">
        <f>H33*H37</f>
        <v/>
      </c>
      <c r="I38" s="37">
        <f>I33*I37</f>
        <v/>
      </c>
      <c r="J38" s="37">
        <f>J33*J37</f>
        <v/>
      </c>
      <c r="K38" s="37">
        <f>K33*K37</f>
        <v/>
      </c>
      <c r="L38" s="37">
        <f>L33*L37</f>
        <v/>
      </c>
      <c r="M38" s="37">
        <f>M33*M37</f>
        <v/>
      </c>
    </row>
    <row r="39">
      <c r="B39" t="inlineStr">
        <is>
          <t>PV of Terminal Value</t>
        </is>
      </c>
      <c r="M39" s="4">
        <f>M35*M37</f>
        <v/>
      </c>
    </row>
    <row r="41">
      <c r="B41" t="inlineStr">
        <is>
          <t>Sum of PV of FCFs</t>
        </is>
      </c>
      <c r="C41" s="4">
        <f>SUM(D38:M38)</f>
        <v/>
      </c>
    </row>
    <row r="42">
      <c r="B42" s="36" t="inlineStr">
        <is>
          <t>PV of Terminal Value</t>
        </is>
      </c>
      <c r="C42" s="37">
        <f>M39</f>
        <v/>
      </c>
    </row>
    <row r="43">
      <c r="B43" t="inlineStr">
        <is>
          <t>Enterprise Value</t>
        </is>
      </c>
      <c r="C43" s="10">
        <f>C41+C42</f>
        <v/>
      </c>
    </row>
    <row r="45">
      <c r="B45" t="inlineStr">
        <is>
          <t>less Net Debt</t>
        </is>
      </c>
      <c r="C45" s="4">
        <f>C7</f>
        <v/>
      </c>
    </row>
    <row r="46">
      <c r="B46" t="inlineStr">
        <is>
          <t>less Lease Liabilities</t>
        </is>
      </c>
      <c r="C46" s="4">
        <f>-INDEX(Annual!D:P,MATCH("BS-Lease Liabilities",Annual!A:A,0),MATCH(2025,Annual!$1:$1,0))</f>
        <v/>
      </c>
    </row>
    <row r="47" ht="15" customHeight="1" thickBot="1">
      <c r="B47" s="38" t="inlineStr">
        <is>
          <t>Equity Value</t>
        </is>
      </c>
      <c r="C47" s="39">
        <f>C43+C45+C46</f>
        <v/>
      </c>
    </row>
    <row r="48" ht="15.5" customHeight="1">
      <c r="B48" t="inlineStr">
        <is>
          <t>Per Share Value (AUD)</t>
        </is>
      </c>
      <c r="C48" s="11">
        <f>C47/C5</f>
        <v/>
      </c>
    </row>
    <row r="49">
      <c r="B49" t="inlineStr">
        <is>
          <t>Upside / Downside</t>
        </is>
      </c>
      <c r="C49" s="6">
        <f>C48/C4-1</f>
        <v/>
      </c>
    </row>
    <row r="52" ht="18.5" customHeight="1">
      <c r="B52" s="1" t="inlineStr">
        <is>
          <t>EV/EBITDA SOTP</t>
        </is>
      </c>
      <c r="C52" s="2" t="n"/>
      <c r="D52" s="2" t="n"/>
      <c r="E52" s="2" t="n"/>
      <c r="F52" s="2" t="n"/>
      <c r="G52" s="2" t="n"/>
      <c r="H52" s="2" t="n"/>
      <c r="I52" s="2" t="n"/>
    </row>
    <row r="54">
      <c r="B54" t="inlineStr">
        <is>
          <t>Select FY:</t>
        </is>
      </c>
      <c r="C54" s="55" t="inlineStr">
        <is>
          <t>FY27E</t>
        </is>
      </c>
    </row>
    <row r="56">
      <c r="B56" s="8" t="inlineStr">
        <is>
          <t>Segment</t>
        </is>
      </c>
      <c r="C56" s="8" t="inlineStr">
        <is>
          <t>FY27E EBITDA</t>
        </is>
      </c>
      <c r="D56" s="8" t="inlineStr">
        <is>
          <t>Multiple</t>
        </is>
      </c>
      <c r="E56" s="8" t="inlineStr">
        <is>
          <t>Implied EV</t>
        </is>
      </c>
    </row>
    <row r="57">
      <c r="B57" t="inlineStr">
        <is>
          <t>Australia</t>
        </is>
      </c>
      <c r="C57" s="4">
        <f>INDEX(Annual!$D:$P,MATCH("EBITDA-Australia EBITDA",Annual!$A:$A,0),MATCH(2027,Annual!$1:$1,0))</f>
        <v/>
      </c>
      <c r="D57" s="12" t="n">
        <v>25</v>
      </c>
      <c r="E57" s="4">
        <f>C57*D57</f>
        <v/>
      </c>
    </row>
    <row r="58">
      <c r="B58" t="inlineStr">
        <is>
          <t>US</t>
        </is>
      </c>
      <c r="C58" s="4">
        <f>INDEX(Annual!$D:$P,MATCH("EBITDA-US EBITDA",Annual!$A:$A,0),MATCH(2027,Annual!$1:$1,0))</f>
        <v/>
      </c>
      <c r="D58" s="12" t="n">
        <v>0</v>
      </c>
      <c r="E58" s="4">
        <f>C58*D58</f>
        <v/>
      </c>
    </row>
    <row r="59">
      <c r="B59" t="inlineStr">
        <is>
          <t>Corporate</t>
        </is>
      </c>
      <c r="C59" s="4" t="n">
        <v>0</v>
      </c>
      <c r="D59" s="12">
        <f>IF(C57+C58=0,0,(D57*C57+D58*C58)/(C57+C58))</f>
        <v/>
      </c>
      <c r="E59" s="4">
        <f>C59*D59</f>
        <v/>
      </c>
    </row>
    <row r="61">
      <c r="B61" s="8" t="inlineStr">
        <is>
          <t>Group EV</t>
        </is>
      </c>
      <c r="E61" s="10">
        <f>SUM(E57:E59)</f>
        <v/>
      </c>
    </row>
    <row r="62">
      <c r="B62" t="inlineStr">
        <is>
          <t>less Net Debt</t>
        </is>
      </c>
      <c r="E62" s="4">
        <f>C45</f>
        <v/>
      </c>
    </row>
    <row r="63">
      <c r="B63" t="inlineStr">
        <is>
          <t>less Lease Liabilities</t>
        </is>
      </c>
      <c r="E63" s="4">
        <f>C46</f>
        <v/>
      </c>
    </row>
    <row r="64">
      <c r="B64" t="inlineStr">
        <is>
          <t>Equity Value</t>
        </is>
      </c>
      <c r="E64" s="10">
        <f>E61+E62+E63</f>
        <v/>
      </c>
    </row>
    <row r="65" ht="15.5" customHeight="1">
      <c r="B65" t="inlineStr">
        <is>
          <t>Per Share Value (AUD)</t>
        </is>
      </c>
      <c r="E65" s="11">
        <f>E64/C5</f>
        <v/>
      </c>
    </row>
    <row r="66">
      <c r="B66" t="inlineStr">
        <is>
          <t>Upside / Downside</t>
        </is>
      </c>
      <c r="E66" s="6">
        <f>E65/C4-1</f>
        <v/>
      </c>
    </row>
    <row r="68">
      <c r="B68" t="inlineStr">
        <is>
          <t>Implied Group EV/EBITDA</t>
        </is>
      </c>
      <c r="E68" s="13">
        <f>IF(C57+C58=0,"",E61/(C57+C58))</f>
        <v/>
      </c>
    </row>
  </sheetData>
  <conditionalFormatting sqref="C49">
    <cfRule type="cellIs" priority="3" operator="lessThan" dxfId="1">
      <formula>0</formula>
    </cfRule>
    <cfRule type="cellIs" priority="4" operator="greaterThan" dxfId="0">
      <formula>0</formula>
    </cfRule>
  </conditionalFormatting>
  <conditionalFormatting sqref="E66">
    <cfRule type="cellIs" priority="1" operator="lessThan" dxfId="1">
      <formula>0</formula>
    </cfRule>
    <cfRule type="cellIs" priority="2" operator="greaterThan" dxfId="0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9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R12" sqref="R12"/>
    </sheetView>
  </sheetViews>
  <sheetFormatPr baseColWidth="8" defaultRowHeight="14.5"/>
  <cols>
    <col hidden="1" width="30" customWidth="1" min="1" max="1"/>
    <col width="32" customWidth="1" min="2" max="2"/>
    <col width="8" customWidth="1" min="3" max="3"/>
    <col width="12" customWidth="1" min="4" max="18"/>
  </cols>
  <sheetData>
    <row r="1">
      <c r="D1" t="n">
        <v>2023</v>
      </c>
      <c r="E1" t="n">
        <v>2024</v>
      </c>
      <c r="F1" t="n">
        <v>2025</v>
      </c>
      <c r="G1" t="n">
        <v>2026</v>
      </c>
      <c r="H1" t="n">
        <v>2027</v>
      </c>
      <c r="I1" t="n">
        <v>2028</v>
      </c>
      <c r="J1" t="n">
        <v>2029</v>
      </c>
      <c r="K1" t="n">
        <v>2030</v>
      </c>
      <c r="L1" t="n">
        <v>2031</v>
      </c>
      <c r="M1" t="n">
        <v>2032</v>
      </c>
      <c r="N1" t="n">
        <v>2033</v>
      </c>
      <c r="O1" t="n">
        <v>2034</v>
      </c>
      <c r="P1" t="n">
        <v>2035</v>
      </c>
    </row>
    <row r="2" ht="18.5" customHeight="1">
      <c r="B2" s="14" t="inlineStr">
        <is>
          <t>GYG Model Summary</t>
        </is>
      </c>
      <c r="D2" s="15" t="inlineStr">
        <is>
          <t>Actual ----------&gt;</t>
        </is>
      </c>
      <c r="E2" s="15" t="n"/>
      <c r="F2" s="15" t="n"/>
      <c r="G2" s="16" t="inlineStr">
        <is>
          <t>Forecast -----&gt;</t>
        </is>
      </c>
      <c r="H2" s="16" t="n"/>
      <c r="I2" s="16" t="n"/>
      <c r="J2" s="16" t="n"/>
      <c r="K2" s="16" t="n"/>
      <c r="L2" s="16" t="n"/>
      <c r="M2" s="16" t="n"/>
      <c r="N2" s="16" t="n"/>
      <c r="O2" s="16" t="n"/>
      <c r="P2" s="16" t="n"/>
    </row>
    <row r="3">
      <c r="B3" t="inlineStr">
        <is>
          <t>Guzman y Gomez (GYG.AX)</t>
        </is>
      </c>
      <c r="C3" t="inlineStr">
        <is>
          <t>Units</t>
        </is>
      </c>
      <c r="D3" s="7" t="inlineStr">
        <is>
          <t>FY23A</t>
        </is>
      </c>
      <c r="E3" s="7" t="inlineStr">
        <is>
          <t>FY24A</t>
        </is>
      </c>
      <c r="F3" s="7" t="inlineStr">
        <is>
          <t>FY25A</t>
        </is>
      </c>
      <c r="G3" s="7" t="inlineStr">
        <is>
          <t>FY26E</t>
        </is>
      </c>
      <c r="H3" s="7" t="inlineStr">
        <is>
          <t>FY27E</t>
        </is>
      </c>
      <c r="I3" s="7" t="inlineStr">
        <is>
          <t>FY28E</t>
        </is>
      </c>
      <c r="J3" s="7" t="inlineStr">
        <is>
          <t>FY29E</t>
        </is>
      </c>
      <c r="K3" s="7" t="inlineStr">
        <is>
          <t>FY30E</t>
        </is>
      </c>
      <c r="L3" s="7" t="inlineStr">
        <is>
          <t>FY31E</t>
        </is>
      </c>
      <c r="M3" s="7" t="inlineStr">
        <is>
          <t>FY32E</t>
        </is>
      </c>
      <c r="N3" s="7" t="inlineStr">
        <is>
          <t>FY33E</t>
        </is>
      </c>
      <c r="O3" s="7" t="inlineStr">
        <is>
          <t>FY34E</t>
        </is>
      </c>
      <c r="P3" s="7" t="inlineStr">
        <is>
          <t>FY35E</t>
        </is>
      </c>
    </row>
    <row r="4">
      <c r="D4" s="17" t="n">
        <v>45107</v>
      </c>
      <c r="E4" s="17" t="n">
        <v>45473</v>
      </c>
      <c r="F4" s="17" t="n">
        <v>45838</v>
      </c>
      <c r="G4" s="17" t="n">
        <v>46203</v>
      </c>
      <c r="H4" s="17" t="n">
        <v>46568</v>
      </c>
      <c r="I4" s="17" t="n">
        <v>46934</v>
      </c>
      <c r="J4" s="17" t="n">
        <v>47299</v>
      </c>
      <c r="K4" s="17" t="n">
        <v>47664</v>
      </c>
      <c r="L4" s="17" t="n">
        <v>48029</v>
      </c>
      <c r="M4" s="17" t="n">
        <v>48395</v>
      </c>
      <c r="N4" s="17" t="n">
        <v>48760</v>
      </c>
      <c r="O4" s="17" t="n">
        <v>49125</v>
      </c>
      <c r="P4" s="17" t="n">
        <v>49490</v>
      </c>
    </row>
    <row r="5">
      <c r="A5" s="2" t="n"/>
      <c r="B5" s="18" t="inlineStr">
        <is>
          <t>P&amp;L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B6" s="5" t="inlineStr">
        <is>
          <t>Revenue</t>
        </is>
      </c>
    </row>
    <row r="7">
      <c r="A7" t="inlineStr">
        <is>
          <t>Rev-Total Revenue</t>
        </is>
      </c>
      <c r="B7" t="inlineStr">
        <is>
          <t>Total Revenue</t>
        </is>
      </c>
      <c r="C7" t="inlineStr">
        <is>
          <t>AUDm</t>
        </is>
      </c>
      <c r="D7" s="19" t="n">
        <v>259.044</v>
      </c>
      <c r="E7" s="19" t="n">
        <v>342.214</v>
      </c>
      <c r="F7" s="19" t="n">
        <v>435.982</v>
      </c>
      <c r="G7" s="4">
        <f>INDEX('HY &amp; Segments'!$A:$AG,MATCH($A7,'HY &amp; Segments'!$A:$A,0),MATCH("1H"&amp;RIGHT(G$1,2),'HY &amp; Segments'!$3:$3,0))+INDEX('HY &amp; Segments'!$A:$AG,MATCH($A7,'HY &amp; Segments'!$A:$A,0),MATCH("2H"&amp;RIGHT(G$1,2),'HY &amp; Segments'!$3:$3,0))</f>
        <v/>
      </c>
      <c r="H7" s="4">
        <f>INDEX('HY &amp; Segments'!$A:$AG,MATCH($A7,'HY &amp; Segments'!$A:$A,0),MATCH("1H"&amp;RIGHT(H$1,2),'HY &amp; Segments'!$3:$3,0))+INDEX('HY &amp; Segments'!$A:$AG,MATCH($A7,'HY &amp; Segments'!$A:$A,0),MATCH("2H"&amp;RIGHT(H$1,2),'HY &amp; Segments'!$3:$3,0))</f>
        <v/>
      </c>
      <c r="I7" s="4">
        <f>INDEX('HY &amp; Segments'!$A:$AG,MATCH($A7,'HY &amp; Segments'!$A:$A,0),MATCH("1H"&amp;RIGHT(I$1,2),'HY &amp; Segments'!$3:$3,0))+INDEX('HY &amp; Segments'!$A:$AG,MATCH($A7,'HY &amp; Segments'!$A:$A,0),MATCH("2H"&amp;RIGHT(I$1,2),'HY &amp; Segments'!$3:$3,0))</f>
        <v/>
      </c>
      <c r="J7" s="4">
        <f>INDEX('HY &amp; Segments'!$A:$AG,MATCH($A7,'HY &amp; Segments'!$A:$A,0),MATCH("1H"&amp;RIGHT(J$1,2),'HY &amp; Segments'!$3:$3,0))+INDEX('HY &amp; Segments'!$A:$AG,MATCH($A7,'HY &amp; Segments'!$A:$A,0),MATCH("2H"&amp;RIGHT(J$1,2),'HY &amp; Segments'!$3:$3,0))</f>
        <v/>
      </c>
      <c r="K7" s="4">
        <f>INDEX('HY &amp; Segments'!$A:$AG,MATCH($A7,'HY &amp; Segments'!$A:$A,0),MATCH("1H"&amp;RIGHT(K$1,2),'HY &amp; Segments'!$3:$3,0))+INDEX('HY &amp; Segments'!$A:$AG,MATCH($A7,'HY &amp; Segments'!$A:$A,0),MATCH("2H"&amp;RIGHT(K$1,2),'HY &amp; Segments'!$3:$3,0))</f>
        <v/>
      </c>
      <c r="L7" s="4">
        <f>INDEX('HY &amp; Segments'!$A:$AG,MATCH($A7,'HY &amp; Segments'!$A:$A,0),MATCH("1H"&amp;RIGHT(L$1,2),'HY &amp; Segments'!$3:$3,0))+INDEX('HY &amp; Segments'!$A:$AG,MATCH($A7,'HY &amp; Segments'!$A:$A,0),MATCH("2H"&amp;RIGHT(L$1,2),'HY &amp; Segments'!$3:$3,0))</f>
        <v/>
      </c>
      <c r="M7" s="4">
        <f>INDEX('HY &amp; Segments'!$A:$AG,MATCH($A7,'HY &amp; Segments'!$A:$A,0),MATCH("1H"&amp;RIGHT(M$1,2),'HY &amp; Segments'!$3:$3,0))+INDEX('HY &amp; Segments'!$A:$AG,MATCH($A7,'HY &amp; Segments'!$A:$A,0),MATCH("2H"&amp;RIGHT(M$1,2),'HY &amp; Segments'!$3:$3,0))</f>
        <v/>
      </c>
      <c r="N7" s="4">
        <f>INDEX('HY &amp; Segments'!$A:$AG,MATCH($A7,'HY &amp; Segments'!$A:$A,0),MATCH("1H"&amp;RIGHT(N$1,2),'HY &amp; Segments'!$3:$3,0))+INDEX('HY &amp; Segments'!$A:$AG,MATCH($A7,'HY &amp; Segments'!$A:$A,0),MATCH("2H"&amp;RIGHT(N$1,2),'HY &amp; Segments'!$3:$3,0))</f>
        <v/>
      </c>
      <c r="O7" s="4">
        <f>INDEX('HY &amp; Segments'!$A:$AG,MATCH($A7,'HY &amp; Segments'!$A:$A,0),MATCH("1H"&amp;RIGHT(O$1,2),'HY &amp; Segments'!$3:$3,0))+INDEX('HY &amp; Segments'!$A:$AG,MATCH($A7,'HY &amp; Segments'!$A:$A,0),MATCH("2H"&amp;RIGHT(O$1,2),'HY &amp; Segments'!$3:$3,0))</f>
        <v/>
      </c>
      <c r="P7" s="4">
        <f>INDEX('HY &amp; Segments'!$A:$AG,MATCH($A7,'HY &amp; Segments'!$A:$A,0),MATCH("1H"&amp;RIGHT(P$1,2),'HY &amp; Segments'!$3:$3,0))+INDEX('HY &amp; Segments'!$A:$AG,MATCH($A7,'HY &amp; Segments'!$A:$A,0),MATCH("2H"&amp;RIGHT(P$1,2),'HY &amp; Segments'!$3:$3,0))</f>
        <v/>
      </c>
    </row>
    <row r="8">
      <c r="A8" t="inlineStr">
        <is>
          <t>Rev-Other Revenue</t>
        </is>
      </c>
      <c r="B8" t="inlineStr">
        <is>
          <t>Other Revenue &amp; Income</t>
        </is>
      </c>
      <c r="C8" t="inlineStr">
        <is>
          <t>AUDm</t>
        </is>
      </c>
      <c r="D8" s="19" t="n">
        <v>17.725</v>
      </c>
      <c r="E8" s="19" t="n">
        <v>22.774</v>
      </c>
      <c r="F8" s="19" t="n">
        <v>32.024</v>
      </c>
      <c r="G8" s="4">
        <f>F8*1.15</f>
        <v/>
      </c>
      <c r="H8" s="4">
        <f>G8*1.15</f>
        <v/>
      </c>
      <c r="I8" s="4">
        <f>H8*1.15</f>
        <v/>
      </c>
      <c r="J8" s="4">
        <f>I8*1.15</f>
        <v/>
      </c>
      <c r="K8" s="4">
        <f>J8*1.15</f>
        <v/>
      </c>
      <c r="L8" s="4">
        <f>K8*1.15</f>
        <v/>
      </c>
      <c r="M8" s="4">
        <f>L8*1.15</f>
        <v/>
      </c>
      <c r="N8" s="4">
        <f>M8*1.15</f>
        <v/>
      </c>
      <c r="O8" s="4">
        <f>N8*1.15</f>
        <v/>
      </c>
      <c r="P8" s="4">
        <f>O8*1.15</f>
        <v/>
      </c>
    </row>
    <row r="9">
      <c r="A9" t="inlineStr">
        <is>
          <t>Rev-Total Rev Incl Other</t>
        </is>
      </c>
      <c r="B9" s="20" t="inlineStr">
        <is>
          <t>Total Revenue (incl Other)</t>
        </is>
      </c>
      <c r="C9" s="20" t="inlineStr">
        <is>
          <t>AUDm</t>
        </is>
      </c>
      <c r="D9" s="21">
        <f>D7+D8</f>
        <v/>
      </c>
      <c r="E9" s="21">
        <f>E7+E8</f>
        <v/>
      </c>
      <c r="F9" s="21">
        <f>F7+F8</f>
        <v/>
      </c>
      <c r="G9" s="21">
        <f>G7+G8</f>
        <v/>
      </c>
      <c r="H9" s="21">
        <f>H7+H8</f>
        <v/>
      </c>
      <c r="I9" s="21">
        <f>I7+I8</f>
        <v/>
      </c>
      <c r="J9" s="21">
        <f>J7+J8</f>
        <v/>
      </c>
      <c r="K9" s="21">
        <f>K7+K8</f>
        <v/>
      </c>
      <c r="L9" s="21">
        <f>L7+L8</f>
        <v/>
      </c>
      <c r="M9" s="21">
        <f>M7+M8</f>
        <v/>
      </c>
      <c r="N9" s="21">
        <f>N7+N8</f>
        <v/>
      </c>
      <c r="O9" s="21">
        <f>O7+O8</f>
        <v/>
      </c>
      <c r="P9" s="21">
        <f>P7+P8</f>
        <v/>
      </c>
    </row>
    <row r="10">
      <c r="B10" t="inlineStr">
        <is>
          <t>Revenue Growth</t>
        </is>
      </c>
      <c r="C10" t="inlineStr">
        <is>
          <t>% YoY</t>
        </is>
      </c>
      <c r="D10" s="6" t="n"/>
      <c r="E10" s="6">
        <f>E7/D7-1</f>
        <v/>
      </c>
      <c r="F10" s="6">
        <f>F7/E7-1</f>
        <v/>
      </c>
      <c r="G10" s="6">
        <f>IF(F7=0,"",G7/F7-1)</f>
        <v/>
      </c>
      <c r="H10" s="6">
        <f>IF(G7=0,"",H7/G7-1)</f>
        <v/>
      </c>
      <c r="I10" s="6">
        <f>IF(H7=0,"",I7/H7-1)</f>
        <v/>
      </c>
      <c r="J10" s="6">
        <f>IF(I7=0,"",J7/I7-1)</f>
        <v/>
      </c>
      <c r="K10" s="6">
        <f>IF(J7=0,"",K7/J7-1)</f>
        <v/>
      </c>
      <c r="L10" s="6">
        <f>IF(K7=0,"",L7/K7-1)</f>
        <v/>
      </c>
      <c r="M10" s="6">
        <f>IF(L7=0,"",M7/L7-1)</f>
        <v/>
      </c>
      <c r="N10" s="6">
        <f>IF(M7=0,"",N7/M7-1)</f>
        <v/>
      </c>
      <c r="O10" s="6">
        <f>IF(N7=0,"",O7/N7-1)</f>
        <v/>
      </c>
      <c r="P10" s="6">
        <f>IF(O7=0,"",P7/O7-1)</f>
        <v/>
      </c>
    </row>
    <row r="12">
      <c r="B12" s="5" t="inlineStr">
        <is>
          <t>COGS</t>
        </is>
      </c>
    </row>
    <row r="13">
      <c r="A13" t="inlineStr">
        <is>
          <t>COGS-Food &amp; Packaging</t>
        </is>
      </c>
      <c r="B13" t="inlineStr">
        <is>
          <t>Cost of Food &amp; Packaging</t>
        </is>
      </c>
      <c r="C13" t="inlineStr">
        <is>
          <t>AUDm</t>
        </is>
      </c>
      <c r="D13" s="19" t="n">
        <v>-70.428</v>
      </c>
      <c r="E13" s="19" t="n">
        <v>-87.58</v>
      </c>
      <c r="F13" s="19" t="n">
        <v>-113.948</v>
      </c>
      <c r="G13" s="4">
        <f>G7*-0.261</f>
        <v/>
      </c>
      <c r="H13" s="4">
        <f>H7*-0.261</f>
        <v/>
      </c>
      <c r="I13" s="4">
        <f>I7*-0.261</f>
        <v/>
      </c>
      <c r="J13" s="4">
        <f>J7*-0.261</f>
        <v/>
      </c>
      <c r="K13" s="4">
        <f>K7*-0.261</f>
        <v/>
      </c>
      <c r="L13" s="4">
        <f>L7*-0.261</f>
        <v/>
      </c>
      <c r="M13" s="4">
        <f>M7*-0.261</f>
        <v/>
      </c>
      <c r="N13" s="4">
        <f>N7*-0.261</f>
        <v/>
      </c>
      <c r="O13" s="4">
        <f>O7*-0.261</f>
        <v/>
      </c>
      <c r="P13" s="4">
        <f>P7*-0.261</f>
        <v/>
      </c>
    </row>
    <row r="14">
      <c r="A14" t="inlineStr">
        <is>
          <t>COGS-Employee Benefits</t>
        </is>
      </c>
      <c r="B14" t="inlineStr">
        <is>
          <t>Employee Benefits</t>
        </is>
      </c>
      <c r="C14" t="inlineStr">
        <is>
          <t>AUDm</t>
        </is>
      </c>
      <c r="D14" s="19" t="n">
        <v>-113.725</v>
      </c>
      <c r="E14" s="19" t="n">
        <v>-153.733</v>
      </c>
      <c r="F14" s="19" t="n">
        <v>-184.656</v>
      </c>
      <c r="G14" s="4">
        <f>G7*-0.424</f>
        <v/>
      </c>
      <c r="H14" s="4">
        <f>H7*-0.424</f>
        <v/>
      </c>
      <c r="I14" s="4">
        <f>I7*-0.424</f>
        <v/>
      </c>
      <c r="J14" s="4">
        <f>J7*-0.424</f>
        <v/>
      </c>
      <c r="K14" s="4">
        <f>K7*-0.424</f>
        <v/>
      </c>
      <c r="L14" s="4">
        <f>L7*-0.424</f>
        <v/>
      </c>
      <c r="M14" s="4">
        <f>M7*-0.424</f>
        <v/>
      </c>
      <c r="N14" s="4">
        <f>N7*-0.424</f>
        <v/>
      </c>
      <c r="O14" s="4">
        <f>O7*-0.424</f>
        <v/>
      </c>
      <c r="P14" s="4">
        <f>P7*-0.424</f>
        <v/>
      </c>
    </row>
    <row r="15">
      <c r="A15" t="inlineStr">
        <is>
          <t>COGS-Other Costs</t>
        </is>
      </c>
      <c r="B15" t="inlineStr">
        <is>
          <t>Admin, Marketing &amp; Other Expenses</t>
        </is>
      </c>
      <c r="C15" t="inlineStr">
        <is>
          <t>AUDm</t>
        </is>
      </c>
      <c r="D15" s="19" t="n">
        <v>-62.995</v>
      </c>
      <c r="E15" s="19" t="n">
        <v>-96.401</v>
      </c>
      <c r="F15" s="19" t="n">
        <v>-104.283</v>
      </c>
      <c r="G15" s="4">
        <f>G7*-0.235</f>
        <v/>
      </c>
      <c r="H15" s="4">
        <f>H7*-0.230</f>
        <v/>
      </c>
      <c r="I15" s="4">
        <f>I7*-0.225</f>
        <v/>
      </c>
      <c r="J15" s="4">
        <f>J7*-0.225</f>
        <v/>
      </c>
      <c r="K15" s="4">
        <f>K7*-0.225</f>
        <v/>
      </c>
      <c r="L15" s="4">
        <f>L7*-0.225</f>
        <v/>
      </c>
      <c r="M15" s="4">
        <f>M7*-0.225</f>
        <v/>
      </c>
      <c r="N15" s="4">
        <f>N7*-0.225</f>
        <v/>
      </c>
      <c r="O15" s="4">
        <f>O7*-0.225</f>
        <v/>
      </c>
      <c r="P15" s="4">
        <f>P7*-0.225</f>
        <v/>
      </c>
    </row>
    <row r="16">
      <c r="A16" t="inlineStr">
        <is>
          <t>COGS-Total Costs</t>
        </is>
      </c>
      <c r="B16" s="20" t="inlineStr">
        <is>
          <t>Total Operating Costs (excl D&amp;A)</t>
        </is>
      </c>
      <c r="C16" s="20" t="inlineStr">
        <is>
          <t>AUDm</t>
        </is>
      </c>
      <c r="D16" s="21">
        <f>D13+D14+D15</f>
        <v/>
      </c>
      <c r="E16" s="21">
        <f>E13+E14+E15</f>
        <v/>
      </c>
      <c r="F16" s="21">
        <f>F13+F14+F15</f>
        <v/>
      </c>
      <c r="G16" s="21">
        <f>G13+G14+G15</f>
        <v/>
      </c>
      <c r="H16" s="21">
        <f>H13+H14+H15</f>
        <v/>
      </c>
      <c r="I16" s="21">
        <f>I13+I14+I15</f>
        <v/>
      </c>
      <c r="J16" s="21">
        <f>J13+J14+J15</f>
        <v/>
      </c>
      <c r="K16" s="21">
        <f>K13+K14+K15</f>
        <v/>
      </c>
      <c r="L16" s="21">
        <f>L13+L14+L15</f>
        <v/>
      </c>
      <c r="M16" s="21">
        <f>M13+M14+M15</f>
        <v/>
      </c>
      <c r="N16" s="21">
        <f>N13+N14+N15</f>
        <v/>
      </c>
      <c r="O16" s="21">
        <f>O13+O14+O15</f>
        <v/>
      </c>
      <c r="P16" s="21">
        <f>P13+P14+P15</f>
        <v/>
      </c>
    </row>
    <row r="18">
      <c r="B18" s="5" t="inlineStr">
        <is>
          <t>Statutory EBITDA</t>
        </is>
      </c>
    </row>
    <row r="19">
      <c r="A19" t="inlineStr">
        <is>
          <t>GP-Statutory EBITDA</t>
        </is>
      </c>
      <c r="B19" t="inlineStr">
        <is>
          <t>Statutory EBITDA</t>
        </is>
      </c>
      <c r="C19" t="inlineStr">
        <is>
          <t>AUDm</t>
        </is>
      </c>
      <c r="D19" s="4">
        <f>D9+D16</f>
        <v/>
      </c>
      <c r="E19" s="4">
        <f>E9+E16</f>
        <v/>
      </c>
      <c r="F19" s="4">
        <f>F9+F16</f>
        <v/>
      </c>
      <c r="G19" s="4">
        <f>G9+G16</f>
        <v/>
      </c>
      <c r="H19" s="4">
        <f>H9+H16</f>
        <v/>
      </c>
      <c r="I19" s="4">
        <f>I9+I16</f>
        <v/>
      </c>
      <c r="J19" s="4">
        <f>J9+J16</f>
        <v/>
      </c>
      <c r="K19" s="4">
        <f>K9+K16</f>
        <v/>
      </c>
      <c r="L19" s="4">
        <f>L9+L16</f>
        <v/>
      </c>
      <c r="M19" s="4">
        <f>M9+M16</f>
        <v/>
      </c>
      <c r="N19" s="4">
        <f>N9+N16</f>
        <v/>
      </c>
      <c r="O19" s="4">
        <f>O9+O16</f>
        <v/>
      </c>
      <c r="P19" s="4">
        <f>P9+P16</f>
        <v/>
      </c>
    </row>
    <row r="20">
      <c r="B20" t="inlineStr">
        <is>
          <t>Statutory EBITDA Margin</t>
        </is>
      </c>
      <c r="C20" t="inlineStr">
        <is>
          <t>%</t>
        </is>
      </c>
      <c r="D20" s="4">
        <f>IF(D7=0,"",D19/D7)</f>
        <v/>
      </c>
      <c r="E20" s="4">
        <f>IF(E7=0,"",E19/E7)</f>
        <v/>
      </c>
      <c r="F20" s="4">
        <f>IF(F7=0,"",F19/F7)</f>
        <v/>
      </c>
      <c r="G20" s="4">
        <f>IF(G7=0,"",G19/G7)</f>
        <v/>
      </c>
      <c r="H20" s="4">
        <f>IF(H7=0,"",H19/H7)</f>
        <v/>
      </c>
      <c r="I20" s="4">
        <f>IF(I7=0,"",I19/I7)</f>
        <v/>
      </c>
      <c r="J20" s="4">
        <f>IF(J7=0,"",J19/J7)</f>
        <v/>
      </c>
      <c r="K20" s="4">
        <f>IF(K7=0,"",K19/K7)</f>
        <v/>
      </c>
      <c r="L20" s="4">
        <f>IF(L7=0,"",L19/L7)</f>
        <v/>
      </c>
      <c r="M20" s="4">
        <f>IF(M7=0,"",M19/M7)</f>
        <v/>
      </c>
      <c r="N20" s="4">
        <f>IF(N7=0,"",N19/N7)</f>
        <v/>
      </c>
      <c r="O20" s="4">
        <f>IF(O7=0,"",O19/O7)</f>
        <v/>
      </c>
      <c r="P20" s="4">
        <f>IF(P7=0,"",P19/P7)</f>
        <v/>
      </c>
    </row>
    <row r="21"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</row>
    <row r="22">
      <c r="B22" s="20" t="n"/>
      <c r="C22" s="20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</row>
    <row r="23"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</row>
    <row r="24"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</row>
    <row r="25">
      <c r="F25" s="4" t="n"/>
    </row>
    <row r="26">
      <c r="B26" s="5" t="inlineStr">
        <is>
          <t>Segment EBITDA</t>
        </is>
      </c>
    </row>
    <row r="27">
      <c r="D27" s="19" t="n"/>
      <c r="E27" s="19" t="n"/>
      <c r="F27" s="19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</row>
    <row r="28">
      <c r="D28" s="19" t="n"/>
      <c r="E28" s="19" t="n"/>
      <c r="F28" s="19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</row>
    <row r="29">
      <c r="D29" s="19" t="n"/>
      <c r="E29" s="19" t="n"/>
      <c r="F29" s="19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</row>
    <row r="30">
      <c r="D30" s="19" t="n"/>
      <c r="E30" s="19" t="n"/>
      <c r="F30" s="19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</row>
    <row r="31">
      <c r="B31" s="20" t="n"/>
      <c r="C31" s="20" t="n"/>
      <c r="D31" s="21" t="n"/>
      <c r="E31" s="21" t="n"/>
      <c r="F31" s="21" t="n"/>
      <c r="G31" s="21" t="n"/>
      <c r="H31" s="21" t="n"/>
      <c r="I31" s="21" t="n"/>
      <c r="J31" s="21" t="n"/>
      <c r="K31" s="21" t="n"/>
      <c r="L31" s="21" t="n"/>
      <c r="M31" s="21" t="n"/>
      <c r="N31" s="21" t="n"/>
      <c r="O31" s="21" t="n"/>
      <c r="P31" s="21" t="n"/>
    </row>
    <row r="32"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</row>
    <row r="33">
      <c r="E33" s="4" t="n"/>
      <c r="F33" s="4" t="n"/>
    </row>
    <row r="34">
      <c r="B34" s="5" t="inlineStr">
        <is>
          <t>EBITDA</t>
        </is>
      </c>
    </row>
    <row r="35">
      <c r="A35" t="inlineStr">
        <is>
          <t>EBITDA-Australia EBITDA</t>
        </is>
      </c>
      <c r="B35" t="inlineStr">
        <is>
          <t>Australia Segment Underlying EBITDA</t>
        </is>
      </c>
      <c r="C35" t="inlineStr">
        <is>
          <t>AUDm</t>
        </is>
      </c>
      <c r="D35" s="19" t="n">
        <v>30.7</v>
      </c>
      <c r="E35" s="19" t="n">
        <v>45.6</v>
      </c>
      <c r="F35" s="19" t="n">
        <v>66</v>
      </c>
      <c r="G35" s="4">
        <f>INDEX('HY &amp; Segments'!$A:$AG,MATCH($A35,'HY &amp; Segments'!$A:$A,0),MATCH("1H"&amp;RIGHT(G$1,2),'HY &amp; Segments'!$3:$3,0))+INDEX('HY &amp; Segments'!$A:$AG,MATCH($A35,'HY &amp; Segments'!$A:$A,0),MATCH("2H"&amp;RIGHT(G$1,2),'HY &amp; Segments'!$3:$3,0))</f>
        <v/>
      </c>
      <c r="H35" s="4">
        <f>INDEX('HY &amp; Segments'!$A:$AG,MATCH($A35,'HY &amp; Segments'!$A:$A,0),MATCH("1H"&amp;RIGHT(H$1,2),'HY &amp; Segments'!$3:$3,0))+INDEX('HY &amp; Segments'!$A:$AG,MATCH($A35,'HY &amp; Segments'!$A:$A,0),MATCH("2H"&amp;RIGHT(H$1,2),'HY &amp; Segments'!$3:$3,0))</f>
        <v/>
      </c>
      <c r="I35" s="4">
        <f>INDEX('HY &amp; Segments'!$A:$AG,MATCH($A35,'HY &amp; Segments'!$A:$A,0),MATCH("1H"&amp;RIGHT(I$1,2),'HY &amp; Segments'!$3:$3,0))+INDEX('HY &amp; Segments'!$A:$AG,MATCH($A35,'HY &amp; Segments'!$A:$A,0),MATCH("2H"&amp;RIGHT(I$1,2),'HY &amp; Segments'!$3:$3,0))</f>
        <v/>
      </c>
      <c r="J35" s="4">
        <f>INDEX('HY &amp; Segments'!$A:$AG,MATCH($A35,'HY &amp; Segments'!$A:$A,0),MATCH("1H"&amp;RIGHT(J$1,2),'HY &amp; Segments'!$3:$3,0))+INDEX('HY &amp; Segments'!$A:$AG,MATCH($A35,'HY &amp; Segments'!$A:$A,0),MATCH("2H"&amp;RIGHT(J$1,2),'HY &amp; Segments'!$3:$3,0))</f>
        <v/>
      </c>
      <c r="K35" s="4">
        <f>INDEX('HY &amp; Segments'!$A:$AG,MATCH($A35,'HY &amp; Segments'!$A:$A,0),MATCH("1H"&amp;RIGHT(K$1,2),'HY &amp; Segments'!$3:$3,0))+INDEX('HY &amp; Segments'!$A:$AG,MATCH($A35,'HY &amp; Segments'!$A:$A,0),MATCH("2H"&amp;RIGHT(K$1,2),'HY &amp; Segments'!$3:$3,0))</f>
        <v/>
      </c>
      <c r="L35" s="4">
        <f>INDEX('HY &amp; Segments'!$A:$AG,MATCH($A35,'HY &amp; Segments'!$A:$A,0),MATCH("1H"&amp;RIGHT(L$1,2),'HY &amp; Segments'!$3:$3,0))+INDEX('HY &amp; Segments'!$A:$AG,MATCH($A35,'HY &amp; Segments'!$A:$A,0),MATCH("2H"&amp;RIGHT(L$1,2),'HY &amp; Segments'!$3:$3,0))</f>
        <v/>
      </c>
      <c r="M35" s="4">
        <f>INDEX('HY &amp; Segments'!$A:$AG,MATCH($A35,'HY &amp; Segments'!$A:$A,0),MATCH("1H"&amp;RIGHT(M$1,2),'HY &amp; Segments'!$3:$3,0))+INDEX('HY &amp; Segments'!$A:$AG,MATCH($A35,'HY &amp; Segments'!$A:$A,0),MATCH("2H"&amp;RIGHT(M$1,2),'HY &amp; Segments'!$3:$3,0))</f>
        <v/>
      </c>
      <c r="N35" s="4">
        <f>INDEX('HY &amp; Segments'!$A:$AG,MATCH($A35,'HY &amp; Segments'!$A:$A,0),MATCH("1H"&amp;RIGHT(N$1,2),'HY &amp; Segments'!$3:$3,0))+INDEX('HY &amp; Segments'!$A:$AG,MATCH($A35,'HY &amp; Segments'!$A:$A,0),MATCH("2H"&amp;RIGHT(N$1,2),'HY &amp; Segments'!$3:$3,0))</f>
        <v/>
      </c>
      <c r="O35" s="4">
        <f>INDEX('HY &amp; Segments'!$A:$AG,MATCH($A35,'HY &amp; Segments'!$A:$A,0),MATCH("1H"&amp;RIGHT(O$1,2),'HY &amp; Segments'!$3:$3,0))+INDEX('HY &amp; Segments'!$A:$AG,MATCH($A35,'HY &amp; Segments'!$A:$A,0),MATCH("2H"&amp;RIGHT(O$1,2),'HY &amp; Segments'!$3:$3,0))</f>
        <v/>
      </c>
      <c r="P35" s="4">
        <f>INDEX('HY &amp; Segments'!$A:$AG,MATCH($A35,'HY &amp; Segments'!$A:$A,0),MATCH("1H"&amp;RIGHT(P$1,2),'HY &amp; Segments'!$3:$3,0))+INDEX('HY &amp; Segments'!$A:$AG,MATCH($A35,'HY &amp; Segments'!$A:$A,0),MATCH("2H"&amp;RIGHT(P$1,2),'HY &amp; Segments'!$3:$3,0))</f>
        <v/>
      </c>
    </row>
    <row r="36">
      <c r="A36" t="inlineStr">
        <is>
          <t>EBITDA-US EBITDA</t>
        </is>
      </c>
      <c r="B36" t="inlineStr">
        <is>
          <t>US Segment Underlying EBITDA</t>
        </is>
      </c>
      <c r="C36" t="inlineStr">
        <is>
          <t>AUDm</t>
        </is>
      </c>
      <c r="D36" s="19" t="n">
        <v>-4.3</v>
      </c>
      <c r="E36" s="19" t="n">
        <v>-6.5</v>
      </c>
      <c r="F36" s="19" t="n">
        <v>-13.2</v>
      </c>
      <c r="G36" s="4">
        <f>INDEX('HY &amp; Segments'!$A:$AG,MATCH($A36,'HY &amp; Segments'!$A:$A,0),MATCH("1H"&amp;RIGHT(G$1,2),'HY &amp; Segments'!$3:$3,0))+INDEX('HY &amp; Segments'!$A:$AG,MATCH($A36,'HY &amp; Segments'!$A:$A,0),MATCH("2H"&amp;RIGHT(G$1,2),'HY &amp; Segments'!$3:$3,0))</f>
        <v/>
      </c>
      <c r="H36" s="4">
        <f>INDEX('HY &amp; Segments'!$A:$AG,MATCH($A36,'HY &amp; Segments'!$A:$A,0),MATCH("1H"&amp;RIGHT(H$1,2),'HY &amp; Segments'!$3:$3,0))+INDEX('HY &amp; Segments'!$A:$AG,MATCH($A36,'HY &amp; Segments'!$A:$A,0),MATCH("2H"&amp;RIGHT(H$1,2),'HY &amp; Segments'!$3:$3,0))</f>
        <v/>
      </c>
      <c r="I36" s="4">
        <f>INDEX('HY &amp; Segments'!$A:$AG,MATCH($A36,'HY &amp; Segments'!$A:$A,0),MATCH("1H"&amp;RIGHT(I$1,2),'HY &amp; Segments'!$3:$3,0))+INDEX('HY &amp; Segments'!$A:$AG,MATCH($A36,'HY &amp; Segments'!$A:$A,0),MATCH("2H"&amp;RIGHT(I$1,2),'HY &amp; Segments'!$3:$3,0))</f>
        <v/>
      </c>
      <c r="J36" s="4">
        <f>INDEX('HY &amp; Segments'!$A:$AG,MATCH($A36,'HY &amp; Segments'!$A:$A,0),MATCH("1H"&amp;RIGHT(J$1,2),'HY &amp; Segments'!$3:$3,0))+INDEX('HY &amp; Segments'!$A:$AG,MATCH($A36,'HY &amp; Segments'!$A:$A,0),MATCH("2H"&amp;RIGHT(J$1,2),'HY &amp; Segments'!$3:$3,0))</f>
        <v/>
      </c>
      <c r="K36" s="4">
        <f>INDEX('HY &amp; Segments'!$A:$AG,MATCH($A36,'HY &amp; Segments'!$A:$A,0),MATCH("1H"&amp;RIGHT(K$1,2),'HY &amp; Segments'!$3:$3,0))+INDEX('HY &amp; Segments'!$A:$AG,MATCH($A36,'HY &amp; Segments'!$A:$A,0),MATCH("2H"&amp;RIGHT(K$1,2),'HY &amp; Segments'!$3:$3,0))</f>
        <v/>
      </c>
      <c r="L36" s="4">
        <f>INDEX('HY &amp; Segments'!$A:$AG,MATCH($A36,'HY &amp; Segments'!$A:$A,0),MATCH("1H"&amp;RIGHT(L$1,2),'HY &amp; Segments'!$3:$3,0))+INDEX('HY &amp; Segments'!$A:$AG,MATCH($A36,'HY &amp; Segments'!$A:$A,0),MATCH("2H"&amp;RIGHT(L$1,2),'HY &amp; Segments'!$3:$3,0))</f>
        <v/>
      </c>
      <c r="M36" s="4">
        <f>INDEX('HY &amp; Segments'!$A:$AG,MATCH($A36,'HY &amp; Segments'!$A:$A,0),MATCH("1H"&amp;RIGHT(M$1,2),'HY &amp; Segments'!$3:$3,0))+INDEX('HY &amp; Segments'!$A:$AG,MATCH($A36,'HY &amp; Segments'!$A:$A,0),MATCH("2H"&amp;RIGHT(M$1,2),'HY &amp; Segments'!$3:$3,0))</f>
        <v/>
      </c>
      <c r="N36" s="4">
        <f>INDEX('HY &amp; Segments'!$A:$AG,MATCH($A36,'HY &amp; Segments'!$A:$A,0),MATCH("1H"&amp;RIGHT(N$1,2),'HY &amp; Segments'!$3:$3,0))+INDEX('HY &amp; Segments'!$A:$AG,MATCH($A36,'HY &amp; Segments'!$A:$A,0),MATCH("2H"&amp;RIGHT(N$1,2),'HY &amp; Segments'!$3:$3,0))</f>
        <v/>
      </c>
      <c r="O36" s="4">
        <f>INDEX('HY &amp; Segments'!$A:$AG,MATCH($A36,'HY &amp; Segments'!$A:$A,0),MATCH("1H"&amp;RIGHT(O$1,2),'HY &amp; Segments'!$3:$3,0))+INDEX('HY &amp; Segments'!$A:$AG,MATCH($A36,'HY &amp; Segments'!$A:$A,0),MATCH("2H"&amp;RIGHT(O$1,2),'HY &amp; Segments'!$3:$3,0))</f>
        <v/>
      </c>
      <c r="P36" s="4">
        <f>INDEX('HY &amp; Segments'!$A:$AG,MATCH($A36,'HY &amp; Segments'!$A:$A,0),MATCH("1H"&amp;RIGHT(P$1,2),'HY &amp; Segments'!$3:$3,0))+INDEX('HY &amp; Segments'!$A:$AG,MATCH($A36,'HY &amp; Segments'!$A:$A,0),MATCH("2H"&amp;RIGHT(P$1,2),'HY &amp; Segments'!$3:$3,0))</f>
        <v/>
      </c>
    </row>
    <row r="37">
      <c r="A37" t="inlineStr">
        <is>
          <t>EBITDA-Corporate EBITDA</t>
        </is>
      </c>
      <c r="B37" t="inlineStr">
        <is>
          <t>Corporate / Eliminations</t>
        </is>
      </c>
      <c r="C37" t="inlineStr">
        <is>
          <t>AUDm</t>
        </is>
      </c>
      <c r="D37" s="19" t="n">
        <v>0</v>
      </c>
      <c r="E37" s="19" t="n">
        <v>0</v>
      </c>
      <c r="F37" s="19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</row>
    <row r="38">
      <c r="A38" t="inlineStr">
        <is>
          <t>EBITDA-Underlying EBITDA</t>
        </is>
      </c>
      <c r="B38" s="20" t="inlineStr">
        <is>
          <t>Group Segment Underlying EBITDA</t>
        </is>
      </c>
      <c r="C38" s="20" t="inlineStr">
        <is>
          <t>AUDm</t>
        </is>
      </c>
      <c r="D38" s="21">
        <f>SUM(D35:D37)</f>
        <v/>
      </c>
      <c r="E38" s="21">
        <f>SUM(E35:E37)</f>
        <v/>
      </c>
      <c r="F38" s="21">
        <f>SUM(F35:F37)</f>
        <v/>
      </c>
      <c r="G38" s="21">
        <f>SUM(G35:G37)</f>
        <v/>
      </c>
      <c r="H38" s="21">
        <f>SUM(H35:H37)</f>
        <v/>
      </c>
      <c r="I38" s="21">
        <f>SUM(I35:I37)</f>
        <v/>
      </c>
      <c r="J38" s="21">
        <f>SUM(J35:J37)</f>
        <v/>
      </c>
      <c r="K38" s="21">
        <f>SUM(K35:K37)</f>
        <v/>
      </c>
      <c r="L38" s="21">
        <f>SUM(L35:L37)</f>
        <v/>
      </c>
      <c r="M38" s="21">
        <f>SUM(M35:M37)</f>
        <v/>
      </c>
      <c r="N38" s="21">
        <f>SUM(N35:N37)</f>
        <v/>
      </c>
      <c r="O38" s="21">
        <f>SUM(O35:O37)</f>
        <v/>
      </c>
      <c r="P38" s="21">
        <f>SUM(P35:P37)</f>
        <v/>
      </c>
    </row>
    <row r="39">
      <c r="B39" t="inlineStr">
        <is>
          <t>Seg EBITDA Growth</t>
        </is>
      </c>
      <c r="C39" t="inlineStr">
        <is>
          <t>% YoY</t>
        </is>
      </c>
      <c r="D39" s="6" t="n"/>
      <c r="E39" s="6">
        <f>E38/D38-1</f>
        <v/>
      </c>
      <c r="F39" s="6">
        <f>F38/E38-1</f>
        <v/>
      </c>
      <c r="G39" s="6">
        <f>IF(F38=0,"",G38/F38-1)</f>
        <v/>
      </c>
      <c r="H39" s="6">
        <f>IF(G38=0,"",H38/G38-1)</f>
        <v/>
      </c>
      <c r="I39" s="6">
        <f>IF(H38=0,"",I38/H38-1)</f>
        <v/>
      </c>
      <c r="J39" s="6">
        <f>IF(I38=0,"",J38/I38-1)</f>
        <v/>
      </c>
      <c r="K39" s="6">
        <f>IF(J38=0,"",K38/J38-1)</f>
        <v/>
      </c>
      <c r="L39" s="6">
        <f>IF(K38=0,"",L38/K38-1)</f>
        <v/>
      </c>
      <c r="M39" s="6">
        <f>IF(L38=0,"",M38/L38-1)</f>
        <v/>
      </c>
      <c r="N39" s="6">
        <f>IF(M38=0,"",N38/M38-1)</f>
        <v/>
      </c>
      <c r="O39" s="6">
        <f>IF(N38=0,"",O38/N38-1)</f>
        <v/>
      </c>
      <c r="P39" s="6">
        <f>IF(O38=0,"",P38/O38-1)</f>
        <v/>
      </c>
    </row>
    <row r="40">
      <c r="B40" t="inlineStr">
        <is>
          <t>Seg EBITDA Margin (% NS)</t>
        </is>
      </c>
      <c r="C40" t="inlineStr">
        <is>
          <t>%</t>
        </is>
      </c>
      <c r="D40" s="6">
        <f>IF(D7=0,"",D38/D7)</f>
        <v/>
      </c>
      <c r="E40" s="6">
        <f>IF(E7=0,"",E38/E7)</f>
        <v/>
      </c>
      <c r="F40" s="6">
        <f>IF(F7=0,"",F38/F7)</f>
        <v/>
      </c>
      <c r="G40" s="6">
        <f>IF(G7=0,"",G38/G7)</f>
        <v/>
      </c>
      <c r="H40" s="6">
        <f>IF(H7=0,"",H38/H7)</f>
        <v/>
      </c>
      <c r="I40" s="6">
        <f>IF(I7=0,"",I38/I7)</f>
        <v/>
      </c>
      <c r="J40" s="6">
        <f>IF(J7=0,"",J38/J7)</f>
        <v/>
      </c>
      <c r="K40" s="6">
        <f>IF(K7=0,"",K38/K7)</f>
        <v/>
      </c>
      <c r="L40" s="6">
        <f>IF(L7=0,"",L38/L7)</f>
        <v/>
      </c>
      <c r="M40" s="6">
        <f>IF(M7=0,"",M38/M7)</f>
        <v/>
      </c>
      <c r="N40" s="6">
        <f>IF(N7=0,"",N38/N7)</f>
        <v/>
      </c>
      <c r="O40" s="6">
        <f>IF(O7=0,"",O38/O7)</f>
        <v/>
      </c>
      <c r="P40" s="6">
        <f>IF(P7=0,"",P38/P7)</f>
        <v/>
      </c>
    </row>
    <row r="42">
      <c r="A42" t="inlineStr">
        <is>
          <t>Stat-AASB16</t>
        </is>
      </c>
      <c r="B42" s="5" t="inlineStr">
        <is>
          <t>AASB 16 Lease Impact</t>
        </is>
      </c>
      <c r="C42" t="inlineStr">
        <is>
          <t>AUDm</t>
        </is>
      </c>
      <c r="D42" t="n">
        <v>3.2</v>
      </c>
      <c r="E42" t="n">
        <v>12</v>
      </c>
      <c r="F42" t="n">
        <v>18.5</v>
      </c>
      <c r="G42">
        <f>F42*1.12</f>
        <v/>
      </c>
      <c r="H42">
        <f>G42*1.12</f>
        <v/>
      </c>
      <c r="I42">
        <f>H42*1.12</f>
        <v/>
      </c>
      <c r="J42">
        <f>I42*1.12</f>
        <v/>
      </c>
      <c r="K42">
        <f>J42*1.12</f>
        <v/>
      </c>
      <c r="L42">
        <f>K42*1.12</f>
        <v/>
      </c>
      <c r="M42">
        <f>L42*1.12</f>
        <v/>
      </c>
      <c r="N42">
        <f>M42*1.12</f>
        <v/>
      </c>
      <c r="O42">
        <f>N42*1.12</f>
        <v/>
      </c>
      <c r="P42">
        <f>O42*1.12</f>
        <v/>
      </c>
    </row>
    <row r="43">
      <c r="A43" t="inlineStr">
        <is>
          <t>Stat-SBP</t>
        </is>
      </c>
      <c r="B43" t="inlineStr">
        <is>
          <t>Share-Based Payments</t>
        </is>
      </c>
      <c r="C43" t="inlineStr">
        <is>
          <t>AUDm</t>
        </is>
      </c>
      <c r="D43" s="19" t="n">
        <v>0</v>
      </c>
      <c r="E43" s="19" t="n">
        <v>-5.5</v>
      </c>
      <c r="F43" s="19" t="n">
        <v>-9</v>
      </c>
      <c r="G43" s="40">
        <f>F43</f>
        <v/>
      </c>
      <c r="H43" s="40">
        <f>G43</f>
        <v/>
      </c>
      <c r="I43" s="40">
        <f>H43</f>
        <v/>
      </c>
      <c r="J43" s="40">
        <f>I43</f>
        <v/>
      </c>
      <c r="K43" s="40">
        <f>J43</f>
        <v/>
      </c>
      <c r="L43" s="40">
        <f>K43</f>
        <v/>
      </c>
      <c r="M43" s="40">
        <f>L43</f>
        <v/>
      </c>
      <c r="N43" s="40">
        <f>M43</f>
        <v/>
      </c>
      <c r="O43" s="40">
        <f>N43</f>
        <v/>
      </c>
      <c r="P43" s="40">
        <f>O43</f>
        <v/>
      </c>
    </row>
    <row r="44">
      <c r="A44" t="inlineStr">
        <is>
          <t>Stat-Other Adj</t>
        </is>
      </c>
      <c r="B44" t="inlineStr">
        <is>
          <t>Other Adjustments</t>
        </is>
      </c>
      <c r="C44" t="inlineStr">
        <is>
          <t>AUDm</t>
        </is>
      </c>
      <c r="D44" s="19" t="n">
        <v>0</v>
      </c>
      <c r="E44" s="19" t="n">
        <v>-18.3</v>
      </c>
      <c r="F44" s="19" t="n">
        <v>2.9</v>
      </c>
      <c r="G44" s="4">
        <f>F44</f>
        <v/>
      </c>
      <c r="H44" s="4">
        <f>G44</f>
        <v/>
      </c>
      <c r="I44" s="4">
        <f>H44</f>
        <v/>
      </c>
      <c r="J44" s="4">
        <f>I44</f>
        <v/>
      </c>
      <c r="K44" s="4">
        <f>J44</f>
        <v/>
      </c>
      <c r="L44" s="4">
        <f>K44</f>
        <v/>
      </c>
      <c r="M44" s="4">
        <f>L44</f>
        <v/>
      </c>
      <c r="N44" s="4">
        <f>M44</f>
        <v/>
      </c>
      <c r="O44" s="4">
        <f>N44</f>
        <v/>
      </c>
      <c r="P44" s="4">
        <f>O44</f>
        <v/>
      </c>
    </row>
    <row r="45">
      <c r="A45" t="inlineStr">
        <is>
          <t>Stat-Statutory EBITDA</t>
        </is>
      </c>
      <c r="B45" s="20" t="inlineStr">
        <is>
          <t>Statutory EBITDA</t>
        </is>
      </c>
      <c r="C45" s="20" t="inlineStr">
        <is>
          <t>AUDm</t>
        </is>
      </c>
      <c r="D45" s="21">
        <f>D38+D42+D43+D44</f>
        <v/>
      </c>
      <c r="E45" s="21">
        <f>E38+E42+E43+E44</f>
        <v/>
      </c>
      <c r="F45" s="21">
        <f>F38+F42+F43+F44</f>
        <v/>
      </c>
      <c r="G45" s="21">
        <f>G38+G42+G43+G44</f>
        <v/>
      </c>
      <c r="H45" s="21">
        <f>H38+H42+H43+H44</f>
        <v/>
      </c>
      <c r="I45" s="21">
        <f>I38+I42+I43+I44</f>
        <v/>
      </c>
      <c r="J45" s="21">
        <f>J38+J42+J43+J44</f>
        <v/>
      </c>
      <c r="K45" s="21">
        <f>K38+K42+K43+K44</f>
        <v/>
      </c>
      <c r="L45" s="21">
        <f>L38+L42+L43+L44</f>
        <v/>
      </c>
      <c r="M45" s="21">
        <f>M38+M42+M43+M44</f>
        <v/>
      </c>
      <c r="N45" s="21">
        <f>N38+N42+N43+N44</f>
        <v/>
      </c>
      <c r="O45" s="21">
        <f>O38+O42+O43+O44</f>
        <v/>
      </c>
      <c r="P45" s="21">
        <f>P38+P42+P43+P44</f>
        <v/>
      </c>
    </row>
    <row r="47">
      <c r="B47" s="5" t="inlineStr">
        <is>
          <t>D&amp;A</t>
        </is>
      </c>
    </row>
    <row r="48">
      <c r="A48" t="inlineStr">
        <is>
          <t>DA-Total DA</t>
        </is>
      </c>
      <c r="B48" t="inlineStr">
        <is>
          <t>Depreciation &amp; Amortisation</t>
        </is>
      </c>
      <c r="C48" t="inlineStr">
        <is>
          <t>AUDm</t>
        </is>
      </c>
      <c r="D48" s="19" t="n">
        <v>-25.555</v>
      </c>
      <c r="E48" s="19" t="n">
        <v>-31.123</v>
      </c>
      <c r="F48" s="19" t="n">
        <v>-39.681</v>
      </c>
      <c r="G48" s="4">
        <f>F48*1.14</f>
        <v/>
      </c>
      <c r="H48" s="4">
        <f>G48*1.14</f>
        <v/>
      </c>
      <c r="I48" s="4">
        <f>H48*1.14</f>
        <v/>
      </c>
      <c r="J48" s="4">
        <f>I48*1.08</f>
        <v/>
      </c>
      <c r="K48" s="4">
        <f>J48*1.08</f>
        <v/>
      </c>
      <c r="L48" s="4">
        <f>K48*1.08</f>
        <v/>
      </c>
      <c r="M48" s="4">
        <f>L48*1.08</f>
        <v/>
      </c>
      <c r="N48" s="4">
        <f>M48*1.08</f>
        <v/>
      </c>
      <c r="O48" s="4">
        <f>N48*1.08</f>
        <v/>
      </c>
      <c r="P48" s="4">
        <f>O48*1.08</f>
        <v/>
      </c>
    </row>
    <row r="49">
      <c r="D49" s="19" t="n"/>
      <c r="E49" s="19" t="n"/>
      <c r="F49" s="19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</row>
    <row r="50">
      <c r="B50" s="20" t="n"/>
      <c r="C50" s="20" t="n"/>
      <c r="D50" s="21" t="n"/>
      <c r="E50" s="21" t="n"/>
      <c r="F50" s="21" t="n"/>
      <c r="G50" s="21" t="n"/>
      <c r="H50" s="21" t="n"/>
      <c r="I50" s="21" t="n"/>
      <c r="J50" s="21" t="n"/>
      <c r="K50" s="21" t="n"/>
      <c r="L50" s="21" t="n"/>
      <c r="M50" s="21" t="n"/>
      <c r="N50" s="21" t="n"/>
      <c r="O50" s="21" t="n"/>
      <c r="P50" s="21" t="n"/>
    </row>
    <row r="51">
      <c r="B51" t="inlineStr">
        <is>
          <t>D&amp;A / Revenue</t>
        </is>
      </c>
      <c r="C51" t="inlineStr">
        <is>
          <t>%</t>
        </is>
      </c>
      <c r="D51" s="6">
        <f>IF(D7=0,"",D48/D7)</f>
        <v/>
      </c>
      <c r="E51" s="6">
        <f>IF(E7=0,"",E48/E7)</f>
        <v/>
      </c>
      <c r="F51" s="6">
        <f>IF(F7=0,"",F48/F7)</f>
        <v/>
      </c>
      <c r="G51" s="6">
        <f>IF(G7=0,"",G48/G7)</f>
        <v/>
      </c>
      <c r="H51" s="6">
        <f>IF(H7=0,"",H48/H7)</f>
        <v/>
      </c>
      <c r="I51" s="6">
        <f>IF(I7=0,"",I48/I7)</f>
        <v/>
      </c>
      <c r="J51" s="6">
        <f>IF(J7=0,"",J48/J7)</f>
        <v/>
      </c>
      <c r="K51" s="6">
        <f>IF(K7=0,"",K48/K7)</f>
        <v/>
      </c>
      <c r="L51" s="6">
        <f>IF(L7=0,"",L48/L7)</f>
        <v/>
      </c>
      <c r="M51" s="6">
        <f>IF(M7=0,"",M48/M7)</f>
        <v/>
      </c>
      <c r="N51" s="6">
        <f>IF(N7=0,"",N48/N7)</f>
        <v/>
      </c>
      <c r="O51" s="6">
        <f>IF(O7=0,"",O48/O7)</f>
        <v/>
      </c>
      <c r="P51" s="6">
        <f>IF(P7=0,"",P48/P7)</f>
        <v/>
      </c>
    </row>
    <row r="52">
      <c r="B52" s="49" t="n"/>
      <c r="C52" s="49" t="n"/>
      <c r="D52" s="49" t="n"/>
      <c r="E52" s="50" t="n"/>
      <c r="F52" s="50" t="n"/>
      <c r="G52" s="50" t="n"/>
      <c r="H52" s="50" t="n"/>
      <c r="I52" s="50" t="n"/>
      <c r="J52" s="50" t="n"/>
      <c r="K52" s="50" t="n"/>
      <c r="L52" s="50" t="n"/>
      <c r="M52" s="50" t="n"/>
      <c r="N52" s="50" t="n"/>
      <c r="O52" s="50" t="n"/>
      <c r="P52" s="50" t="n"/>
    </row>
    <row r="53">
      <c r="B53" s="5" t="inlineStr">
        <is>
          <t>EBIT</t>
        </is>
      </c>
    </row>
    <row r="54">
      <c r="A54" t="inlineStr">
        <is>
          <t>EBIT-EBIT</t>
        </is>
      </c>
      <c r="B54" s="20" t="inlineStr">
        <is>
          <t>EBIT (Operating Profit)</t>
        </is>
      </c>
      <c r="C54" s="20" t="inlineStr">
        <is>
          <t>AUDm</t>
        </is>
      </c>
      <c r="D54" s="21">
        <f>D45+D48</f>
        <v/>
      </c>
      <c r="E54" s="21">
        <f>E45+E48</f>
        <v/>
      </c>
      <c r="F54" s="21">
        <f>F45+F48</f>
        <v/>
      </c>
      <c r="G54" s="21">
        <f>G45+G48</f>
        <v/>
      </c>
      <c r="H54" s="21">
        <f>H45+H48</f>
        <v/>
      </c>
      <c r="I54" s="21">
        <f>I45+I48</f>
        <v/>
      </c>
      <c r="J54" s="21">
        <f>J45+J48</f>
        <v/>
      </c>
      <c r="K54" s="21">
        <f>K45+K48</f>
        <v/>
      </c>
      <c r="L54" s="21">
        <f>L45+L48</f>
        <v/>
      </c>
      <c r="M54" s="21">
        <f>M45+M48</f>
        <v/>
      </c>
      <c r="N54" s="21">
        <f>N45+N48</f>
        <v/>
      </c>
      <c r="O54" s="21">
        <f>O45+O48</f>
        <v/>
      </c>
      <c r="P54" s="21">
        <f>P45+P48</f>
        <v/>
      </c>
    </row>
    <row r="55">
      <c r="B55" t="inlineStr">
        <is>
          <t>EBIT Growth</t>
        </is>
      </c>
      <c r="C55" t="inlineStr">
        <is>
          <t>% YoY</t>
        </is>
      </c>
      <c r="D55" s="6" t="n"/>
      <c r="E55" s="6">
        <f>IF(D54=0,"",E54/D54-1)</f>
        <v/>
      </c>
      <c r="F55" s="6">
        <f>IF(E54=0,"",F54/E54-1)</f>
        <v/>
      </c>
      <c r="G55" s="6">
        <f>IF(F54=0,"",G54/F54-1)</f>
        <v/>
      </c>
      <c r="H55" s="6">
        <f>IF(G54=0,"",H54/G54-1)</f>
        <v/>
      </c>
      <c r="I55" s="6">
        <f>IF(H54=0,"",I54/H54-1)</f>
        <v/>
      </c>
      <c r="J55" s="6">
        <f>IF(I54=0,"",J54/I54-1)</f>
        <v/>
      </c>
      <c r="K55" s="6">
        <f>IF(J54=0,"",K54/J54-1)</f>
        <v/>
      </c>
      <c r="L55" s="6">
        <f>IF(K54=0,"",L54/K54-1)</f>
        <v/>
      </c>
      <c r="M55" s="6">
        <f>IF(L54=0,"",M54/L54-1)</f>
        <v/>
      </c>
      <c r="N55" s="6">
        <f>IF(M54=0,"",N54/M54-1)</f>
        <v/>
      </c>
      <c r="O55" s="6">
        <f>IF(N54=0,"",O54/N54-1)</f>
        <v/>
      </c>
      <c r="P55" s="6">
        <f>IF(O54=0,"",P54/O54-1)</f>
        <v/>
      </c>
    </row>
    <row r="56">
      <c r="B56" t="inlineStr">
        <is>
          <t>EBIT Margin</t>
        </is>
      </c>
      <c r="C56" t="inlineStr">
        <is>
          <t>%</t>
        </is>
      </c>
      <c r="D56" s="6">
        <f>IF(D7=0,"",D54/D7)</f>
        <v/>
      </c>
      <c r="E56" s="6">
        <f>IF(E7=0,"",E54/E7)</f>
        <v/>
      </c>
      <c r="F56" s="6">
        <f>IF(F7=0,"",F54/F7)</f>
        <v/>
      </c>
      <c r="G56" s="6">
        <f>IF(G7=0,"",G54/G7)</f>
        <v/>
      </c>
      <c r="H56" s="6">
        <f>IF(H7=0,"",H54/H7)</f>
        <v/>
      </c>
      <c r="I56" s="6">
        <f>IF(I7=0,"",I54/I7)</f>
        <v/>
      </c>
      <c r="J56" s="6">
        <f>IF(J7=0,"",J54/J7)</f>
        <v/>
      </c>
      <c r="K56" s="6">
        <f>IF(K7=0,"",K54/K7)</f>
        <v/>
      </c>
      <c r="L56" s="6">
        <f>IF(L7=0,"",L54/L7)</f>
        <v/>
      </c>
      <c r="M56" s="6">
        <f>IF(M7=0,"",M54/M7)</f>
        <v/>
      </c>
      <c r="N56" s="6">
        <f>IF(N7=0,"",N54/N7)</f>
        <v/>
      </c>
      <c r="O56" s="6">
        <f>IF(O7=0,"",O54/O7)</f>
        <v/>
      </c>
      <c r="P56" s="6">
        <f>IF(P7=0,"",P54/P7)</f>
        <v/>
      </c>
    </row>
    <row r="58">
      <c r="B58" s="5" t="inlineStr">
        <is>
          <t>Interest</t>
        </is>
      </c>
    </row>
    <row r="59">
      <c r="A59" t="inlineStr">
        <is>
          <t>Int-Finance Income</t>
        </is>
      </c>
      <c r="B59" t="inlineStr">
        <is>
          <t>Finance Income</t>
        </is>
      </c>
      <c r="C59" t="inlineStr">
        <is>
          <t>AUDm</t>
        </is>
      </c>
      <c r="D59" s="19" t="n">
        <v>4.593</v>
      </c>
      <c r="E59" s="19" t="n">
        <v>6.012</v>
      </c>
      <c r="F59" s="19" t="n">
        <v>22.674</v>
      </c>
      <c r="G59" s="4">
        <f>F59*1.0</f>
        <v/>
      </c>
      <c r="H59" s="4">
        <f>G59*1.0</f>
        <v/>
      </c>
      <c r="I59" s="4">
        <f>H59*1.0</f>
        <v/>
      </c>
      <c r="J59" s="4">
        <f>I59*1.0</f>
        <v/>
      </c>
      <c r="K59" s="4">
        <f>J59*1.0</f>
        <v/>
      </c>
      <c r="L59" s="4">
        <f>K59*1.0</f>
        <v/>
      </c>
      <c r="M59" s="4">
        <f>L59*1.0</f>
        <v/>
      </c>
      <c r="N59" s="4">
        <f>M59*1.0</f>
        <v/>
      </c>
      <c r="O59" s="4">
        <f>N59*1.0</f>
        <v/>
      </c>
      <c r="P59" s="4">
        <f>O59*1.0</f>
        <v/>
      </c>
    </row>
    <row r="60">
      <c r="A60" t="inlineStr">
        <is>
          <t>Int-Finance Costs</t>
        </is>
      </c>
      <c r="B60" t="inlineStr">
        <is>
          <t>Finance Costs</t>
        </is>
      </c>
      <c r="C60" t="inlineStr">
        <is>
          <t>AUDm</t>
        </is>
      </c>
      <c r="D60" s="19" t="n">
        <v>-8.503</v>
      </c>
      <c r="E60" s="19" t="n">
        <v>-13.724</v>
      </c>
      <c r="F60" s="19" t="n">
        <v>-18.902</v>
      </c>
      <c r="G60" s="4">
        <f>F60*1.10</f>
        <v/>
      </c>
      <c r="H60" s="4">
        <f>G60*1.10</f>
        <v/>
      </c>
      <c r="I60" s="4">
        <f>H60*1.10</f>
        <v/>
      </c>
      <c r="J60" s="4">
        <f>I60*1.10</f>
        <v/>
      </c>
      <c r="K60" s="4">
        <f>J60*1.10</f>
        <v/>
      </c>
      <c r="L60" s="4">
        <f>K60*1.10</f>
        <v/>
      </c>
      <c r="M60" s="4">
        <f>L60*1.10</f>
        <v/>
      </c>
      <c r="N60" s="4">
        <f>M60*1.10</f>
        <v/>
      </c>
      <c r="O60" s="4">
        <f>N60*1.10</f>
        <v/>
      </c>
      <c r="P60" s="4">
        <f>O60*1.10</f>
        <v/>
      </c>
    </row>
    <row r="61">
      <c r="A61" t="inlineStr">
        <is>
          <t>Int-Net Finance Costs</t>
        </is>
      </c>
      <c r="B61" t="inlineStr">
        <is>
          <t>Net Finance Costs</t>
        </is>
      </c>
      <c r="C61" t="inlineStr">
        <is>
          <t>AUDm</t>
        </is>
      </c>
      <c r="D61" s="19">
        <f>D59+D60</f>
        <v/>
      </c>
      <c r="E61" s="19">
        <f>E59+E60</f>
        <v/>
      </c>
      <c r="F61" s="19">
        <f>F59+F60</f>
        <v/>
      </c>
      <c r="G61" s="4">
        <f>G59+G60</f>
        <v/>
      </c>
      <c r="H61" s="4">
        <f>H59+H60</f>
        <v/>
      </c>
      <c r="I61" s="4">
        <f>I59+I60</f>
        <v/>
      </c>
      <c r="J61" s="4">
        <f>J59+J60</f>
        <v/>
      </c>
      <c r="K61" s="4">
        <f>K59+K60</f>
        <v/>
      </c>
      <c r="L61" s="4">
        <f>L59+L60</f>
        <v/>
      </c>
      <c r="M61" s="4">
        <f>M59+M60</f>
        <v/>
      </c>
      <c r="N61" s="4">
        <f>N59+N60</f>
        <v/>
      </c>
      <c r="O61" s="4">
        <f>O59+O60</f>
        <v/>
      </c>
      <c r="P61" s="4">
        <f>P59+P60</f>
        <v/>
      </c>
    </row>
    <row r="62">
      <c r="B62" s="20" t="n"/>
      <c r="C62" s="20" t="n"/>
      <c r="D62" s="21" t="n"/>
      <c r="E62" s="21" t="n"/>
      <c r="F62" s="21" t="n"/>
      <c r="G62" s="21" t="n"/>
      <c r="H62" s="21" t="n"/>
      <c r="I62" s="21" t="n"/>
      <c r="J62" s="21" t="n"/>
      <c r="K62" s="21" t="n"/>
      <c r="L62" s="21" t="n"/>
      <c r="M62" s="21" t="n"/>
      <c r="N62" s="21" t="n"/>
      <c r="O62" s="21" t="n"/>
      <c r="P62" s="21" t="n"/>
    </row>
    <row r="63"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</row>
    <row r="64">
      <c r="B64" s="49" t="n"/>
      <c r="C64" s="49" t="n"/>
      <c r="D64" s="51" t="n"/>
      <c r="E64" s="51" t="n"/>
      <c r="F64" s="51" t="n"/>
      <c r="G64" s="51" t="n"/>
      <c r="H64" s="51" t="n"/>
      <c r="I64" s="51" t="n"/>
      <c r="J64" s="51" t="n"/>
      <c r="K64" s="51" t="n"/>
      <c r="L64" s="51" t="n"/>
      <c r="M64" s="51" t="n"/>
      <c r="N64" s="51" t="n"/>
      <c r="O64" s="51" t="n"/>
      <c r="P64" s="51" t="n"/>
    </row>
    <row r="65"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</row>
    <row r="66"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</row>
    <row r="67">
      <c r="B67" s="5" t="inlineStr">
        <is>
          <t>PBT, Tax, NPAT</t>
        </is>
      </c>
    </row>
    <row r="68">
      <c r="A68" t="inlineStr">
        <is>
          <t>PBT-PBT</t>
        </is>
      </c>
      <c r="B68" s="20" t="inlineStr">
        <is>
          <t>PBT</t>
        </is>
      </c>
      <c r="C68" s="20" t="inlineStr">
        <is>
          <t>AUDm</t>
        </is>
      </c>
      <c r="D68" s="21">
        <f>D54+D61</f>
        <v/>
      </c>
      <c r="E68" s="21">
        <f>E54+E61</f>
        <v/>
      </c>
      <c r="F68" s="21">
        <f>F54+F61</f>
        <v/>
      </c>
      <c r="G68" s="21">
        <f>G54+G61</f>
        <v/>
      </c>
      <c r="H68" s="21">
        <f>H54+H61</f>
        <v/>
      </c>
      <c r="I68" s="21">
        <f>I54+I61</f>
        <v/>
      </c>
      <c r="J68" s="21">
        <f>J54+J61</f>
        <v/>
      </c>
      <c r="K68" s="21">
        <f>K54+K61</f>
        <v/>
      </c>
      <c r="L68" s="21">
        <f>L54+L61</f>
        <v/>
      </c>
      <c r="M68" s="21">
        <f>M54+M61</f>
        <v/>
      </c>
      <c r="N68" s="21">
        <f>N54+N61</f>
        <v/>
      </c>
      <c r="O68" s="21">
        <f>O54+O61</f>
        <v/>
      </c>
      <c r="P68" s="21">
        <f>P54+P61</f>
        <v/>
      </c>
    </row>
    <row r="69">
      <c r="A69" t="inlineStr">
        <is>
          <t>Tax-Tax Expense</t>
        </is>
      </c>
      <c r="B69" t="inlineStr">
        <is>
          <t>Tax Expense</t>
        </is>
      </c>
      <c r="C69" t="inlineStr">
        <is>
          <t>AUDm</t>
        </is>
      </c>
      <c r="D69" s="19" t="n">
        <v>-2.423</v>
      </c>
      <c r="E69" s="19" t="n">
        <v>-2.187</v>
      </c>
      <c r="F69" s="19" t="n">
        <v>-14.734</v>
      </c>
      <c r="G69" s="4">
        <f>IF(G68&gt;0,-G68*0.35,0)</f>
        <v/>
      </c>
      <c r="H69" s="4">
        <f>IF(H68&gt;0,-H68*0.35,0)</f>
        <v/>
      </c>
      <c r="I69" s="4">
        <f>IF(I68&gt;0,-I68*0.35,0)</f>
        <v/>
      </c>
      <c r="J69" s="4">
        <f>IF(J68&gt;0,-J68*0.35,0)</f>
        <v/>
      </c>
      <c r="K69" s="4">
        <f>IF(K68&gt;0,-K68*0.35,0)</f>
        <v/>
      </c>
      <c r="L69" s="4">
        <f>IF(L68&gt;0,-L68*0.35,0)</f>
        <v/>
      </c>
      <c r="M69" s="4">
        <f>IF(M68&gt;0,-M68*0.35,0)</f>
        <v/>
      </c>
      <c r="N69" s="4">
        <f>IF(N68&gt;0,-N68*0.35,0)</f>
        <v/>
      </c>
      <c r="O69" s="4">
        <f>IF(O68&gt;0,-O68*0.35,0)</f>
        <v/>
      </c>
      <c r="P69" s="4">
        <f>IF(P68&gt;0,-P68*0.35,0)</f>
        <v/>
      </c>
    </row>
    <row r="70">
      <c r="B70" t="inlineStr">
        <is>
          <t>Effective Tax Rate</t>
        </is>
      </c>
      <c r="C70" t="inlineStr">
        <is>
          <t>%</t>
        </is>
      </c>
      <c r="D70" s="6">
        <f>IF(D68=0,"",D69/D68)</f>
        <v/>
      </c>
      <c r="E70" s="6">
        <f>IF(E68=0,"",E69/E68)</f>
        <v/>
      </c>
      <c r="F70" s="6">
        <f>IF(F68=0,"",F69/F68)</f>
        <v/>
      </c>
      <c r="G70" s="6">
        <f>IF(G68=0,"",G69/G68)</f>
        <v/>
      </c>
      <c r="H70" s="6">
        <f>IF(H68=0,"",H69/H68)</f>
        <v/>
      </c>
      <c r="I70" s="6">
        <f>IF(I68=0,"",I69/I68)</f>
        <v/>
      </c>
      <c r="J70" s="6">
        <f>IF(J68=0,"",J69/J68)</f>
        <v/>
      </c>
      <c r="K70" s="6">
        <f>IF(K68=0,"",K69/K68)</f>
        <v/>
      </c>
      <c r="L70" s="6">
        <f>IF(L68=0,"",L69/L68)</f>
        <v/>
      </c>
      <c r="M70" s="6">
        <f>IF(M68=0,"",M69/M68)</f>
        <v/>
      </c>
      <c r="N70" s="6">
        <f>IF(N68=0,"",N69/N68)</f>
        <v/>
      </c>
      <c r="O70" s="6">
        <f>IF(O68=0,"",O69/O68)</f>
        <v/>
      </c>
      <c r="P70" s="6">
        <f>IF(P68=0,"",P69/P68)</f>
        <v/>
      </c>
    </row>
    <row r="71">
      <c r="D71" s="19" t="n"/>
      <c r="E71" s="19" t="n"/>
      <c r="F71" s="19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</row>
    <row r="72">
      <c r="A72" t="inlineStr">
        <is>
          <t>NPAT-Statutory NPAT</t>
        </is>
      </c>
      <c r="B72" s="20" t="inlineStr">
        <is>
          <t>NPAT</t>
        </is>
      </c>
      <c r="C72" s="20" t="inlineStr">
        <is>
          <t>AUDm</t>
        </is>
      </c>
      <c r="D72" s="21">
        <f>D68+D69</f>
        <v/>
      </c>
      <c r="E72" s="21">
        <f>E68+E69</f>
        <v/>
      </c>
      <c r="F72" s="21">
        <f>F68+F69</f>
        <v/>
      </c>
      <c r="G72" s="21">
        <f>G68+G69</f>
        <v/>
      </c>
      <c r="H72" s="21">
        <f>H68+H69</f>
        <v/>
      </c>
      <c r="I72" s="21">
        <f>I68+I69</f>
        <v/>
      </c>
      <c r="J72" s="21">
        <f>J68+J69</f>
        <v/>
      </c>
      <c r="K72" s="21">
        <f>K68+K69</f>
        <v/>
      </c>
      <c r="L72" s="21">
        <f>L68+L69</f>
        <v/>
      </c>
      <c r="M72" s="21">
        <f>M68+M69</f>
        <v/>
      </c>
      <c r="N72" s="21">
        <f>N68+N69</f>
        <v/>
      </c>
      <c r="O72" s="21">
        <f>O68+O69</f>
        <v/>
      </c>
      <c r="P72" s="21">
        <f>P68+P69</f>
        <v/>
      </c>
    </row>
    <row r="73">
      <c r="D73" s="19" t="n"/>
      <c r="E73" s="19" t="n"/>
      <c r="F73" s="19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</row>
    <row r="74">
      <c r="B74" s="20" t="n"/>
      <c r="C74" s="20" t="n"/>
      <c r="D74" s="21" t="n"/>
      <c r="E74" s="21" t="n"/>
      <c r="F74" s="21" t="n"/>
      <c r="G74" s="21" t="n"/>
      <c r="H74" s="21" t="n"/>
      <c r="I74" s="21" t="n"/>
      <c r="J74" s="21" t="n"/>
      <c r="K74" s="21" t="n"/>
      <c r="L74" s="21" t="n"/>
      <c r="M74" s="21" t="n"/>
      <c r="N74" s="21" t="n"/>
      <c r="O74" s="21" t="n"/>
      <c r="P74" s="21" t="n"/>
    </row>
    <row r="75">
      <c r="B75" t="inlineStr">
        <is>
          <t>NPAT Growth</t>
        </is>
      </c>
      <c r="C75" t="inlineStr">
        <is>
          <t>% YoY</t>
        </is>
      </c>
      <c r="D75" s="6" t="n"/>
      <c r="E75" s="6">
        <f>IF(D72=0,"",E72/D72-1)</f>
        <v/>
      </c>
      <c r="F75" s="6">
        <f>IF(E72=0,"",F72/E72-1)</f>
        <v/>
      </c>
      <c r="G75" s="6">
        <f>IF(F72&lt;=0,"",G72/F72-1)</f>
        <v/>
      </c>
      <c r="H75" s="6">
        <f>IF(G72&lt;=0,"",H72/G72-1)</f>
        <v/>
      </c>
      <c r="I75" s="6">
        <f>IF(H72&lt;=0,"",I72/H72-1)</f>
        <v/>
      </c>
      <c r="J75" s="6">
        <f>IF(I72&lt;=0,"",J72/I72-1)</f>
        <v/>
      </c>
      <c r="K75" s="6">
        <f>IF(J72&lt;=0,"",K72/J72-1)</f>
        <v/>
      </c>
      <c r="L75" s="6">
        <f>IF(K72&lt;=0,"",L72/K72-1)</f>
        <v/>
      </c>
      <c r="M75" s="6">
        <f>IF(L72&lt;=0,"",M72/L72-1)</f>
        <v/>
      </c>
      <c r="N75" s="6">
        <f>IF(M72&lt;=0,"",N72/M72-1)</f>
        <v/>
      </c>
      <c r="O75" s="6">
        <f>IF(N72&lt;=0,"",O72/N72-1)</f>
        <v/>
      </c>
      <c r="P75" s="6">
        <f>IF(O72&lt;=0,"",P72/O72-1)</f>
        <v/>
      </c>
    </row>
    <row r="76">
      <c r="B76" t="inlineStr">
        <is>
          <t>NPAT Margin</t>
        </is>
      </c>
      <c r="C76" t="inlineStr">
        <is>
          <t>%</t>
        </is>
      </c>
      <c r="D76" s="6">
        <f>IF(D7=0,"",D72/D7)</f>
        <v/>
      </c>
      <c r="E76" s="6">
        <f>IF(E7=0,"",E72/E7)</f>
        <v/>
      </c>
      <c r="F76" s="6">
        <f>IF(F7=0,"",F72/F7)</f>
        <v/>
      </c>
      <c r="G76" s="6">
        <f>IF(G7=0,"",G72/G7)</f>
        <v/>
      </c>
      <c r="H76" s="6">
        <f>IF(H7=0,"",H72/H7)</f>
        <v/>
      </c>
      <c r="I76" s="6">
        <f>IF(I7=0,"",I72/I7)</f>
        <v/>
      </c>
      <c r="J76" s="6">
        <f>IF(J7=0,"",J72/J7)</f>
        <v/>
      </c>
      <c r="K76" s="6">
        <f>IF(K7=0,"",K72/K7)</f>
        <v/>
      </c>
      <c r="L76" s="6">
        <f>IF(L7=0,"",L72/L7)</f>
        <v/>
      </c>
      <c r="M76" s="6">
        <f>IF(M7=0,"",M72/M7)</f>
        <v/>
      </c>
      <c r="N76" s="6">
        <f>IF(N7=0,"",N72/N7)</f>
        <v/>
      </c>
      <c r="O76" s="6">
        <f>IF(O7=0,"",O72/O7)</f>
        <v/>
      </c>
      <c r="P76" s="6">
        <f>IF(P7=0,"",P72/P7)</f>
        <v/>
      </c>
    </row>
    <row r="78">
      <c r="B78" s="5" t="inlineStr">
        <is>
          <t>EPS &amp; Dividends</t>
        </is>
      </c>
    </row>
    <row r="79">
      <c r="A79" t="inlineStr">
        <is>
          <t>EPS-YE Shares</t>
        </is>
      </c>
      <c r="B79" t="inlineStr">
        <is>
          <t>YE Shares Outstanding</t>
        </is>
      </c>
      <c r="C79" t="inlineStr">
        <is>
          <t>#m</t>
        </is>
      </c>
      <c r="D79" s="22" t="n">
        <v>84.8</v>
      </c>
      <c r="E79" s="22" t="n">
        <v>103</v>
      </c>
      <c r="F79" s="22" t="n">
        <v>102.9</v>
      </c>
      <c r="G79" s="3">
        <f>F79</f>
        <v/>
      </c>
      <c r="H79" s="3">
        <f>G79</f>
        <v/>
      </c>
      <c r="I79" s="3">
        <f>H79</f>
        <v/>
      </c>
      <c r="J79" s="3">
        <f>I79</f>
        <v/>
      </c>
      <c r="K79" s="3">
        <f>J79</f>
        <v/>
      </c>
      <c r="L79" s="3">
        <f>K79</f>
        <v/>
      </c>
      <c r="M79" s="3">
        <f>L79</f>
        <v/>
      </c>
      <c r="N79" s="3">
        <f>M79</f>
        <v/>
      </c>
      <c r="O79" s="3">
        <f>N79</f>
        <v/>
      </c>
      <c r="P79" s="3">
        <f>O79</f>
        <v/>
      </c>
    </row>
    <row r="80">
      <c r="A80" t="inlineStr">
        <is>
          <t>EPS-WASO Basic</t>
        </is>
      </c>
      <c r="B80" t="inlineStr">
        <is>
          <t>WASO Basic</t>
        </is>
      </c>
      <c r="C80" t="inlineStr">
        <is>
          <t>#m</t>
        </is>
      </c>
      <c r="D80" s="22" t="n">
        <v>84</v>
      </c>
      <c r="E80" s="22" t="n">
        <v>85.40000000000001</v>
      </c>
      <c r="F80" s="22" t="n">
        <v>101.2</v>
      </c>
      <c r="G80" s="3">
        <f>F80</f>
        <v/>
      </c>
      <c r="H80" s="3">
        <f>G80</f>
        <v/>
      </c>
      <c r="I80" s="3">
        <f>H80</f>
        <v/>
      </c>
      <c r="J80" s="3">
        <f>I80</f>
        <v/>
      </c>
      <c r="K80" s="3">
        <f>J80</f>
        <v/>
      </c>
      <c r="L80" s="3">
        <f>K80</f>
        <v/>
      </c>
      <c r="M80" s="3">
        <f>L80</f>
        <v/>
      </c>
      <c r="N80" s="3">
        <f>M80</f>
        <v/>
      </c>
      <c r="O80" s="3">
        <f>N80</f>
        <v/>
      </c>
      <c r="P80" s="3">
        <f>O80</f>
        <v/>
      </c>
    </row>
    <row r="81">
      <c r="A81" t="inlineStr">
        <is>
          <t>EPS-Dilution</t>
        </is>
      </c>
      <c r="B81" s="8" t="inlineStr">
        <is>
          <t>Dilution</t>
        </is>
      </c>
      <c r="C81" t="inlineStr">
        <is>
          <t>#m</t>
        </is>
      </c>
      <c r="D81" s="3" t="n">
        <v>0</v>
      </c>
      <c r="E81" s="3" t="n">
        <v>0</v>
      </c>
      <c r="F81" s="3" t="n">
        <v>4.5</v>
      </c>
      <c r="G81" s="3">
        <f>F81</f>
        <v/>
      </c>
      <c r="H81" s="3">
        <f>G81</f>
        <v/>
      </c>
      <c r="I81" s="3">
        <f>H81</f>
        <v/>
      </c>
      <c r="J81" s="3">
        <f>I81</f>
        <v/>
      </c>
      <c r="K81" s="3">
        <f>J81</f>
        <v/>
      </c>
      <c r="L81" s="3">
        <f>K81</f>
        <v/>
      </c>
      <c r="M81" s="3">
        <f>L81</f>
        <v/>
      </c>
      <c r="N81" s="3">
        <f>M81</f>
        <v/>
      </c>
      <c r="O81" s="3">
        <f>N81</f>
        <v/>
      </c>
      <c r="P81" s="3">
        <f>O81</f>
        <v/>
      </c>
    </row>
    <row r="82">
      <c r="A82" t="inlineStr">
        <is>
          <t>EPS-WASO Diluted</t>
        </is>
      </c>
      <c r="B82" t="inlineStr">
        <is>
          <t>WASO Diluted</t>
        </is>
      </c>
      <c r="C82" t="inlineStr">
        <is>
          <t>#m</t>
        </is>
      </c>
      <c r="D82" s="22">
        <f>D80+D81</f>
        <v/>
      </c>
      <c r="E82" s="22">
        <f>E80+E81</f>
        <v/>
      </c>
      <c r="F82" s="22">
        <f>F80+F81</f>
        <v/>
      </c>
      <c r="G82" s="3">
        <f>G80+G81</f>
        <v/>
      </c>
      <c r="H82" s="3">
        <f>H80+H81</f>
        <v/>
      </c>
      <c r="I82" s="3">
        <f>I80+I81</f>
        <v/>
      </c>
      <c r="J82" s="3">
        <f>J80+J81</f>
        <v/>
      </c>
      <c r="K82" s="3">
        <f>K80+K81</f>
        <v/>
      </c>
      <c r="L82" s="3">
        <f>L80+L81</f>
        <v/>
      </c>
      <c r="M82" s="3">
        <f>M80+M81</f>
        <v/>
      </c>
      <c r="N82" s="3">
        <f>N80+N81</f>
        <v/>
      </c>
      <c r="O82" s="3">
        <f>O80+O81</f>
        <v/>
      </c>
      <c r="P82" s="3">
        <f>P80+P81</f>
        <v/>
      </c>
    </row>
    <row r="84">
      <c r="A84" t="inlineStr">
        <is>
          <t>EPS-Basic EPS</t>
        </is>
      </c>
      <c r="B84" s="20" t="inlineStr">
        <is>
          <t>Basic EPS</t>
        </is>
      </c>
      <c r="C84" s="20" t="inlineStr">
        <is>
          <t>AUDps</t>
        </is>
      </c>
      <c r="D84" s="23">
        <f>IF(D80=0,"",D72/D80)</f>
        <v/>
      </c>
      <c r="E84" s="23">
        <f>IF(E80=0,"",E72/E80)</f>
        <v/>
      </c>
      <c r="F84" s="23">
        <f>IF(F80=0,"",F72/F80)</f>
        <v/>
      </c>
      <c r="G84" s="23">
        <f>IF(G80=0,"",G72/G80)</f>
        <v/>
      </c>
      <c r="H84" s="23">
        <f>IF(H80=0,"",H72/H80)</f>
        <v/>
      </c>
      <c r="I84" s="23">
        <f>IF(I80=0,"",I72/I80)</f>
        <v/>
      </c>
      <c r="J84" s="23">
        <f>IF(J80=0,"",J72/J80)</f>
        <v/>
      </c>
      <c r="K84" s="23">
        <f>IF(K80=0,"",K72/K80)</f>
        <v/>
      </c>
      <c r="L84" s="23">
        <f>IF(L80=0,"",L72/L80)</f>
        <v/>
      </c>
      <c r="M84" s="23">
        <f>IF(M80=0,"",M72/M80)</f>
        <v/>
      </c>
      <c r="N84" s="23">
        <f>IF(N80=0,"",N72/N80)</f>
        <v/>
      </c>
      <c r="O84" s="23">
        <f>IF(O80=0,"",O72/O80)</f>
        <v/>
      </c>
      <c r="P84" s="23">
        <f>IF(P80=0,"",P72/P80)</f>
        <v/>
      </c>
    </row>
    <row r="85">
      <c r="A85" t="inlineStr">
        <is>
          <t>EPS-Diluted EPS</t>
        </is>
      </c>
      <c r="B85" s="8" t="inlineStr">
        <is>
          <t>Diluted EPS</t>
        </is>
      </c>
      <c r="C85" t="inlineStr">
        <is>
          <t>AUDps</t>
        </is>
      </c>
      <c r="D85" s="9">
        <f>IF(D82=0,"",D72/D82)</f>
        <v/>
      </c>
      <c r="E85" s="9">
        <f>IF(E82=0,"",E72/E82)</f>
        <v/>
      </c>
      <c r="F85" s="9">
        <f>IF(F82=0,"",F72/F82)</f>
        <v/>
      </c>
      <c r="G85" s="9">
        <f>IF(G82=0,"",G72/G82)</f>
        <v/>
      </c>
      <c r="H85" s="9">
        <f>IF(H82=0,"",H72/H82)</f>
        <v/>
      </c>
      <c r="I85" s="9">
        <f>IF(I82=0,"",I72/I82)</f>
        <v/>
      </c>
      <c r="J85" s="9">
        <f>IF(J82=0,"",J72/J82)</f>
        <v/>
      </c>
      <c r="K85" s="9">
        <f>IF(K82=0,"",K72/K82)</f>
        <v/>
      </c>
      <c r="L85" s="9">
        <f>IF(L82=0,"",L72/L82)</f>
        <v/>
      </c>
      <c r="M85" s="9">
        <f>IF(M82=0,"",M72/M82)</f>
        <v/>
      </c>
      <c r="N85" s="9">
        <f>IF(N82=0,"",N72/N82)</f>
        <v/>
      </c>
      <c r="O85" s="9">
        <f>IF(O82=0,"",O72/O82)</f>
        <v/>
      </c>
      <c r="P85" s="9">
        <f>IF(P82=0,"",P72/P82)</f>
        <v/>
      </c>
    </row>
    <row r="86">
      <c r="B86" t="inlineStr">
        <is>
          <t>EPS Growth</t>
        </is>
      </c>
      <c r="C86" t="inlineStr">
        <is>
          <t>% YoY</t>
        </is>
      </c>
      <c r="D86" s="6" t="n"/>
      <c r="E86" s="6" t="n"/>
      <c r="F86" s="6" t="n"/>
      <c r="G86" s="6">
        <f>IF(F85&lt;=0,"",G85/F85-1)</f>
        <v/>
      </c>
      <c r="H86" s="6">
        <f>IF(G85&lt;=0,"",H85/G85-1)</f>
        <v/>
      </c>
      <c r="I86" s="6">
        <f>IF(H85&lt;=0,"",I85/H85-1)</f>
        <v/>
      </c>
      <c r="J86" s="6">
        <f>IF(I85&lt;=0,"",J85/I85-1)</f>
        <v/>
      </c>
      <c r="K86" s="6">
        <f>IF(J85&lt;=0,"",K85/J85-1)</f>
        <v/>
      </c>
      <c r="L86" s="6">
        <f>IF(K85&lt;=0,"",L85/K85-1)</f>
        <v/>
      </c>
      <c r="M86" s="6">
        <f>IF(L85&lt;=0,"",M85/L85-1)</f>
        <v/>
      </c>
      <c r="N86" s="6">
        <f>IF(M85&lt;=0,"",N85/M85-1)</f>
        <v/>
      </c>
      <c r="O86" s="6">
        <f>IF(N85&lt;=0,"",O85/N85-1)</f>
        <v/>
      </c>
      <c r="P86" s="6">
        <f>IF(O85&lt;=0,"",P85/O85-1)</f>
        <v/>
      </c>
    </row>
    <row r="88">
      <c r="A88" t="inlineStr">
        <is>
          <t>Div-DPS</t>
        </is>
      </c>
      <c r="B88" t="inlineStr">
        <is>
          <t>DPS</t>
        </is>
      </c>
      <c r="C88" t="inlineStr">
        <is>
          <t>AUDps</t>
        </is>
      </c>
      <c r="D88" s="24" t="n">
        <v>0</v>
      </c>
      <c r="E88" s="24" t="n">
        <v>0</v>
      </c>
      <c r="F88" s="24" t="n">
        <v>0.126</v>
      </c>
      <c r="G88" s="9">
        <f>IF(G72&gt;0,G84*0.8,0)</f>
        <v/>
      </c>
      <c r="H88" s="9">
        <f>IF(H72&gt;0,H84*0.8,0)</f>
        <v/>
      </c>
      <c r="I88" s="9">
        <f>IF(I72&gt;0,I84*0.8,0)</f>
        <v/>
      </c>
      <c r="J88" s="9">
        <f>IF(J72&gt;0,J84*0.8,0)</f>
        <v/>
      </c>
      <c r="K88" s="9">
        <f>IF(K72&gt;0,K84*0.8,0)</f>
        <v/>
      </c>
      <c r="L88" s="9">
        <f>IF(L72&gt;0,L84*0.8,0)</f>
        <v/>
      </c>
      <c r="M88" s="9">
        <f>IF(M72&gt;0,M84*0.8,0)</f>
        <v/>
      </c>
      <c r="N88" s="9">
        <f>IF(N72&gt;0,N84*0.8,0)</f>
        <v/>
      </c>
      <c r="O88" s="9">
        <f>IF(O72&gt;0,O84*0.8,0)</f>
        <v/>
      </c>
      <c r="P88" s="9">
        <f>IF(P72&gt;0,P84*0.8,0)</f>
        <v/>
      </c>
    </row>
    <row r="89">
      <c r="A89" t="inlineStr">
        <is>
          <t>Div-Total Dividends</t>
        </is>
      </c>
      <c r="B89" s="8" t="inlineStr">
        <is>
          <t>Total Dividends</t>
        </is>
      </c>
      <c r="C89" t="inlineStr">
        <is>
          <t>AUDm</t>
        </is>
      </c>
      <c r="D89" s="4" t="n">
        <v>0</v>
      </c>
      <c r="E89" s="4" t="n">
        <v>0</v>
      </c>
      <c r="F89" s="4" t="n">
        <v>13</v>
      </c>
      <c r="G89" s="4">
        <f>G88*G80</f>
        <v/>
      </c>
      <c r="H89" s="4">
        <f>H88*H80</f>
        <v/>
      </c>
      <c r="I89" s="4">
        <f>I88*I80</f>
        <v/>
      </c>
      <c r="J89" s="4">
        <f>J88*J80</f>
        <v/>
      </c>
      <c r="K89" s="4">
        <f>K88*K80</f>
        <v/>
      </c>
      <c r="L89" s="4">
        <f>L88*L80</f>
        <v/>
      </c>
      <c r="M89" s="4">
        <f>M88*M80</f>
        <v/>
      </c>
      <c r="N89" s="4">
        <f>N88*N80</f>
        <v/>
      </c>
      <c r="O89" s="4">
        <f>O88*O80</f>
        <v/>
      </c>
      <c r="P89" s="4">
        <f>P88*P80</f>
        <v/>
      </c>
    </row>
    <row r="90">
      <c r="B90" s="25" t="inlineStr">
        <is>
          <t>Payout Ratio</t>
        </is>
      </c>
      <c r="C90" t="inlineStr">
        <is>
          <t>%</t>
        </is>
      </c>
      <c r="D90" s="6">
        <f>IF(D72&lt;=0,"",D89/D72)</f>
        <v/>
      </c>
      <c r="E90" s="6">
        <f>IF(E72&lt;=0,"",E89/E72)</f>
        <v/>
      </c>
      <c r="F90" s="6">
        <f>IF(F72&lt;=0,"",F89/F72)</f>
        <v/>
      </c>
      <c r="G90" s="26">
        <f>IF(G72&lt;=0,"",G89/G72)</f>
        <v/>
      </c>
      <c r="H90" s="26">
        <f>IF(H72&lt;=0,"",H89/H72)</f>
        <v/>
      </c>
      <c r="I90" s="26">
        <f>IF(I72&lt;=0,"",I89/I72)</f>
        <v/>
      </c>
      <c r="J90" s="26">
        <f>IF(J72&lt;=0,"",J89/J72)</f>
        <v/>
      </c>
      <c r="K90" s="26">
        <f>IF(K72&lt;=0,"",K89/K72)</f>
        <v/>
      </c>
      <c r="L90" s="26">
        <f>IF(L72&lt;=0,"",L89/L72)</f>
        <v/>
      </c>
      <c r="M90" s="26">
        <f>IF(M72&lt;=0,"",M89/M72)</f>
        <v/>
      </c>
      <c r="N90" s="26">
        <f>IF(N72&lt;=0,"",N89/N72)</f>
        <v/>
      </c>
      <c r="O90" s="26">
        <f>IF(O72&lt;=0,"",O89/O72)</f>
        <v/>
      </c>
      <c r="P90" s="26">
        <f>IF(P72&lt;=0,"",P89/P72)</f>
        <v/>
      </c>
    </row>
    <row r="91">
      <c r="B91" t="inlineStr">
        <is>
          <t>Dividend Yield</t>
        </is>
      </c>
      <c r="C91" t="inlineStr">
        <is>
          <t>%</t>
        </is>
      </c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</row>
    <row r="92">
      <c r="B92" t="inlineStr">
        <is>
          <t>Dividend Growth</t>
        </is>
      </c>
      <c r="C92" t="inlineStr">
        <is>
          <t>% YoY</t>
        </is>
      </c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</row>
    <row r="94">
      <c r="A94" s="27" t="n"/>
      <c r="B94" s="28" t="inlineStr">
        <is>
          <t>Operating Metrics</t>
        </is>
      </c>
      <c r="C94" s="27" t="n"/>
      <c r="D94" s="27" t="n"/>
      <c r="E94" s="27" t="n"/>
      <c r="F94" s="27" t="n"/>
      <c r="G94" s="27" t="n"/>
      <c r="H94" s="27" t="n"/>
      <c r="I94" s="27" t="n"/>
      <c r="J94" s="27" t="n"/>
      <c r="K94" s="27" t="n"/>
      <c r="L94" s="27" t="n"/>
      <c r="M94" s="27" t="n"/>
      <c r="N94" s="27" t="n"/>
      <c r="O94" s="27" t="n"/>
      <c r="P94" s="27" t="n"/>
    </row>
    <row r="95">
      <c r="A95" t="inlineStr">
        <is>
          <t>KPI-Total Restaurants</t>
        </is>
      </c>
      <c r="B95" t="inlineStr">
        <is>
          <t>Total Restaurants</t>
        </is>
      </c>
      <c r="C95" t="inlineStr">
        <is>
          <t>#</t>
        </is>
      </c>
      <c r="D95" s="19" t="n">
        <v>194</v>
      </c>
      <c r="E95" s="19" t="n">
        <v>220</v>
      </c>
      <c r="F95" s="19" t="n">
        <v>256</v>
      </c>
      <c r="G95" s="4">
        <f>F95+35</f>
        <v/>
      </c>
      <c r="H95" s="4">
        <f>G95+35</f>
        <v/>
      </c>
      <c r="I95" s="4">
        <f>H95+35</f>
        <v/>
      </c>
      <c r="J95" s="4">
        <f>I95+35</f>
        <v/>
      </c>
      <c r="K95" s="4">
        <f>J95+35</f>
        <v/>
      </c>
      <c r="L95" s="4">
        <f>K95+35</f>
        <v/>
      </c>
      <c r="M95" s="4">
        <f>L95+35</f>
        <v/>
      </c>
      <c r="N95" s="4">
        <f>M95+35</f>
        <v/>
      </c>
      <c r="O95" s="4">
        <f>N95+35</f>
        <v/>
      </c>
      <c r="P95" s="4">
        <f>O95+35</f>
        <v/>
      </c>
    </row>
    <row r="96">
      <c r="A96" t="inlineStr">
        <is>
          <t>KPI-Aus Corp Restaurants</t>
        </is>
      </c>
      <c r="B96" t="inlineStr">
        <is>
          <t>Australia Corporate Restaurants</t>
        </is>
      </c>
      <c r="C96" t="inlineStr">
        <is>
          <t>#</t>
        </is>
      </c>
      <c r="D96" s="19" t="n">
        <v>55</v>
      </c>
      <c r="E96" s="19" t="n">
        <v>64</v>
      </c>
      <c r="F96" s="19" t="n">
        <v>81</v>
      </c>
      <c r="G96" s="4">
        <f>F96+10</f>
        <v/>
      </c>
      <c r="H96" s="4">
        <f>G96+10</f>
        <v/>
      </c>
      <c r="I96" s="4">
        <f>H96+10</f>
        <v/>
      </c>
      <c r="J96" s="4">
        <f>I96+10</f>
        <v/>
      </c>
      <c r="K96" s="4">
        <f>J96+10</f>
        <v/>
      </c>
      <c r="L96" s="4">
        <f>K96+10</f>
        <v/>
      </c>
      <c r="M96" s="4">
        <f>L96+10</f>
        <v/>
      </c>
      <c r="N96" s="4">
        <f>M96+10</f>
        <v/>
      </c>
      <c r="O96" s="4">
        <f>N96+10</f>
        <v/>
      </c>
      <c r="P96" s="4">
        <f>O96+10</f>
        <v/>
      </c>
    </row>
    <row r="97">
      <c r="A97" t="inlineStr">
        <is>
          <t>KPI-Aus Fran Restaurants</t>
        </is>
      </c>
      <c r="B97" s="8" t="inlineStr">
        <is>
          <t>Australia Franchise Restaurants</t>
        </is>
      </c>
      <c r="C97" t="inlineStr">
        <is>
          <t>#</t>
        </is>
      </c>
      <c r="D97" s="4" t="n">
        <v>136</v>
      </c>
      <c r="E97" s="4" t="n">
        <v>152</v>
      </c>
      <c r="F97" s="4" t="n">
        <v>169</v>
      </c>
      <c r="G97" s="4">
        <f>F97+22</f>
        <v/>
      </c>
      <c r="H97" s="4">
        <f>G97+22</f>
        <v/>
      </c>
      <c r="I97" s="4">
        <f>H97+22</f>
        <v/>
      </c>
      <c r="J97" s="4">
        <f>I97+22</f>
        <v/>
      </c>
      <c r="K97" s="4">
        <f>J97+22</f>
        <v/>
      </c>
      <c r="L97" s="4">
        <f>K97+22</f>
        <v/>
      </c>
      <c r="M97" s="4">
        <f>L97+22</f>
        <v/>
      </c>
      <c r="N97" s="4">
        <f>M97+22</f>
        <v/>
      </c>
      <c r="O97" s="4">
        <f>N97+22</f>
        <v/>
      </c>
      <c r="P97" s="4">
        <f>O97+22</f>
        <v/>
      </c>
    </row>
    <row r="98">
      <c r="A98" t="inlineStr">
        <is>
          <t>KPI-US Restaurants</t>
        </is>
      </c>
      <c r="B98" s="8" t="inlineStr">
        <is>
          <t>US Restaurants</t>
        </is>
      </c>
      <c r="C98" t="inlineStr">
        <is>
          <t>#</t>
        </is>
      </c>
      <c r="D98" s="29" t="n">
        <v>3</v>
      </c>
      <c r="E98" s="29" t="n">
        <v>4</v>
      </c>
      <c r="F98" s="29" t="n">
        <v>6</v>
      </c>
      <c r="G98" s="29">
        <f>F98+3</f>
        <v/>
      </c>
      <c r="H98" s="29">
        <f>G98+3</f>
        <v/>
      </c>
      <c r="I98" s="29">
        <f>H98+3</f>
        <v/>
      </c>
      <c r="J98" s="29">
        <f>I98+3</f>
        <v/>
      </c>
      <c r="K98" s="29">
        <f>J98+3</f>
        <v/>
      </c>
      <c r="L98" s="29">
        <f>K98+3</f>
        <v/>
      </c>
      <c r="M98" s="29">
        <f>L98+3</f>
        <v/>
      </c>
      <c r="N98" s="29">
        <f>M98+3</f>
        <v/>
      </c>
      <c r="O98" s="29">
        <f>N98+3</f>
        <v/>
      </c>
      <c r="P98" s="29">
        <f>O98+3</f>
        <v/>
      </c>
    </row>
    <row r="99">
      <c r="A99" t="inlineStr">
        <is>
          <t>KPI-Aus Network Sales</t>
        </is>
      </c>
      <c r="B99" s="8" t="inlineStr">
        <is>
          <t>Australia Network Sales</t>
        </is>
      </c>
      <c r="C99" t="inlineStr">
        <is>
          <t>AUDm</t>
        </is>
      </c>
      <c r="D99" s="29" t="n">
        <v>753</v>
      </c>
      <c r="E99" s="29" t="n">
        <v>948.9</v>
      </c>
      <c r="F99" s="29" t="n">
        <v>1168.5</v>
      </c>
      <c r="G99" s="29">
        <f>F99*1.1400000000000001</f>
        <v/>
      </c>
      <c r="H99" s="29">
        <f>G99*1.1400000000000001</f>
        <v/>
      </c>
      <c r="I99" s="29">
        <f>H99*1.1400000000000001</f>
        <v/>
      </c>
      <c r="J99" s="29">
        <f>I99*1.1</f>
        <v/>
      </c>
      <c r="K99" s="29">
        <f>J99*1.1</f>
        <v/>
      </c>
      <c r="L99" s="29">
        <f>K99*1.1</f>
        <v/>
      </c>
      <c r="M99" s="29">
        <f>L99*1.1</f>
        <v/>
      </c>
      <c r="N99" s="29">
        <f>M99*1.1</f>
        <v/>
      </c>
      <c r="O99" s="29">
        <f>N99*1.1</f>
        <v/>
      </c>
      <c r="P99" s="29">
        <f>O99*1.1</f>
        <v/>
      </c>
    </row>
    <row r="100">
      <c r="A100" t="inlineStr">
        <is>
          <t>KPI-Comp Sales Growth</t>
        </is>
      </c>
      <c r="B100" s="8" t="inlineStr">
        <is>
          <t>Comp Sales Growth</t>
        </is>
      </c>
      <c r="C100" t="inlineStr">
        <is>
          <t>%</t>
        </is>
      </c>
      <c r="D100" s="29" t="n"/>
      <c r="E100" s="29">
        <f>E99/D99-1</f>
        <v/>
      </c>
      <c r="F100" s="29">
        <f>F99/E99-1</f>
        <v/>
      </c>
      <c r="G100" s="29">
        <f>G99/F99-1</f>
        <v/>
      </c>
      <c r="H100" s="29">
        <f>H99/G99-1</f>
        <v/>
      </c>
      <c r="I100" s="29">
        <f>I99/H99-1</f>
        <v/>
      </c>
      <c r="J100" s="29">
        <f>J99/I99-1</f>
        <v/>
      </c>
      <c r="K100" s="29">
        <f>K99/J99-1</f>
        <v/>
      </c>
      <c r="L100" s="29">
        <f>L99/K99-1</f>
        <v/>
      </c>
      <c r="M100" s="29">
        <f>M99/L99-1</f>
        <v/>
      </c>
      <c r="N100" s="29">
        <f>N99/M99-1</f>
        <v/>
      </c>
      <c r="O100" s="29">
        <f>O99/N99-1</f>
        <v/>
      </c>
      <c r="P100" s="29">
        <f>P99/O99-1</f>
        <v/>
      </c>
    </row>
    <row r="101">
      <c r="A101" t="inlineStr">
        <is>
          <t>KPI-Corp Rest Margin %</t>
        </is>
      </c>
      <c r="B101" s="8" t="inlineStr">
        <is>
          <t>Corporate Restaurant Margin %</t>
        </is>
      </c>
      <c r="C101" t="inlineStr">
        <is>
          <t>%</t>
        </is>
      </c>
      <c r="D101" s="29" t="n">
        <v>0.144</v>
      </c>
      <c r="E101" s="29" t="n">
        <v>0.174</v>
      </c>
      <c r="F101" s="29" t="n">
        <v>0.179</v>
      </c>
      <c r="G101" s="29" t="n">
        <v>0.182</v>
      </c>
      <c r="H101" s="29" t="n">
        <v>0.185</v>
      </c>
      <c r="I101" s="29" t="n">
        <v>0.188</v>
      </c>
      <c r="J101" s="29" t="n">
        <v>0.19</v>
      </c>
      <c r="K101" s="29" t="n">
        <v>0.19</v>
      </c>
      <c r="L101" s="29" t="n">
        <v>0.19</v>
      </c>
      <c r="M101" s="29" t="n">
        <v>0.19</v>
      </c>
      <c r="N101" s="29" t="n">
        <v>0.19</v>
      </c>
      <c r="O101" s="29" t="n">
        <v>0.19</v>
      </c>
      <c r="P101" s="29" t="n">
        <v>0.19</v>
      </c>
    </row>
    <row r="102">
      <c r="A102" t="inlineStr">
        <is>
          <t>KPI-Implied Royalty Rate</t>
        </is>
      </c>
      <c r="B102" t="inlineStr">
        <is>
          <t>Implied Royalty Rate</t>
        </is>
      </c>
      <c r="C102" t="inlineStr">
        <is>
          <t>%</t>
        </is>
      </c>
      <c r="D102" s="30" t="n">
        <v>0.08699999999999999</v>
      </c>
      <c r="E102" s="29" t="n">
        <v>0.091</v>
      </c>
      <c r="F102" s="30" t="n">
        <v>0.097</v>
      </c>
      <c r="G102" s="29" t="n">
        <v>0.1</v>
      </c>
      <c r="H102" s="29" t="n">
        <v>0.1</v>
      </c>
      <c r="I102" s="29" t="n">
        <v>0.1</v>
      </c>
      <c r="J102" s="29" t="n">
        <v>0.1</v>
      </c>
      <c r="K102" s="29" t="n">
        <v>0.1</v>
      </c>
      <c r="L102" s="29" t="n">
        <v>0.1</v>
      </c>
      <c r="M102" s="29" t="n">
        <v>0.1</v>
      </c>
      <c r="N102" s="29" t="n">
        <v>0.1</v>
      </c>
      <c r="O102" s="29" t="n">
        <v>0.1</v>
      </c>
      <c r="P102" s="29" t="n">
        <v>0.1</v>
      </c>
    </row>
    <row r="103">
      <c r="A103" t="inlineStr">
        <is>
          <t>KPI-G&amp;A % NS</t>
        </is>
      </c>
      <c r="B103" t="inlineStr">
        <is>
          <t>G&amp;A as % of Network Sales</t>
        </is>
      </c>
      <c r="C103" t="inlineStr">
        <is>
          <t>%</t>
        </is>
      </c>
      <c r="D103" s="30" t="n">
        <v>0.062</v>
      </c>
      <c r="E103" s="30" t="n">
        <v>0.067</v>
      </c>
      <c r="F103" s="30" t="n">
        <v>0.066</v>
      </c>
      <c r="G103" s="29" t="n">
        <v>0.063</v>
      </c>
      <c r="H103" s="29" t="n">
        <v>0.06</v>
      </c>
      <c r="I103" s="29" t="n">
        <v>0.057</v>
      </c>
      <c r="J103" s="29" t="n">
        <v>0.05400000000000001</v>
      </c>
      <c r="K103" s="29" t="n">
        <v>0.051</v>
      </c>
      <c r="L103" s="29" t="n">
        <v>0.05</v>
      </c>
      <c r="M103" s="29" t="n">
        <v>0.05</v>
      </c>
      <c r="N103" s="29" t="n">
        <v>0.05</v>
      </c>
      <c r="O103" s="29" t="n">
        <v>0.05</v>
      </c>
      <c r="P103" s="29" t="n">
        <v>0.05</v>
      </c>
    </row>
    <row r="104">
      <c r="A104" t="inlineStr">
        <is>
          <t>KPI-Seg EBITDA % NS</t>
        </is>
      </c>
      <c r="B104" t="inlineStr">
        <is>
          <t>Seg EBITDA as % of Network Sales</t>
        </is>
      </c>
      <c r="C104" t="inlineStr">
        <is>
          <t>%</t>
        </is>
      </c>
      <c r="D104" s="6" t="n">
        <v>0.041</v>
      </c>
      <c r="E104" s="6" t="n">
        <v>0.048</v>
      </c>
      <c r="F104" s="31" t="n">
        <v>0.057</v>
      </c>
      <c r="G104" s="6">
        <f>IF(G99=0,"",G38/G99)</f>
        <v/>
      </c>
      <c r="H104" s="6">
        <f>IF(H99=0,"",H38/H99)</f>
        <v/>
      </c>
      <c r="I104" s="6">
        <f>IF(I99=0,"",I38/I99)</f>
        <v/>
      </c>
      <c r="J104" s="6">
        <f>IF(J99=0,"",J38/J99)</f>
        <v/>
      </c>
      <c r="K104" s="6">
        <f>IF(K99=0,"",K38/K99)</f>
        <v/>
      </c>
      <c r="L104" s="6">
        <f>IF(L99=0,"",L38/L99)</f>
        <v/>
      </c>
      <c r="M104" s="6">
        <f>IF(M99=0,"",M38/M99)</f>
        <v/>
      </c>
      <c r="N104" s="6">
        <f>IF(N99=0,"",N38/N99)</f>
        <v/>
      </c>
      <c r="O104" s="6">
        <f>IF(O99=0,"",O38/O99)</f>
        <v/>
      </c>
      <c r="P104" s="6">
        <f>IF(P99=0,"",P38/P99)</f>
        <v/>
      </c>
    </row>
    <row r="105">
      <c r="B105" s="8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</row>
    <row r="106">
      <c r="B106" s="8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</row>
    <row r="108">
      <c r="A108" s="2" t="n"/>
      <c r="B108" s="18" t="inlineStr">
        <is>
          <t>Balance Sheet</t>
        </is>
      </c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B109" s="5" t="inlineStr">
        <is>
          <t>Assets</t>
        </is>
      </c>
    </row>
    <row r="110">
      <c r="A110" t="inlineStr">
        <is>
          <t>BS-Cash</t>
        </is>
      </c>
      <c r="B110" t="inlineStr">
        <is>
          <t>Cash &amp; Term Deposits</t>
        </is>
      </c>
      <c r="C110" t="inlineStr">
        <is>
          <t>AUDm</t>
        </is>
      </c>
      <c r="D110" s="19" t="n">
        <v>36.504</v>
      </c>
      <c r="E110" s="19" t="n">
        <v>294.48</v>
      </c>
      <c r="F110" s="19" t="n">
        <v>281.743</v>
      </c>
      <c r="G110" s="4">
        <f>F110+G176</f>
        <v/>
      </c>
      <c r="H110" s="4">
        <f>G110+H176</f>
        <v/>
      </c>
      <c r="I110" s="4">
        <f>H110+I176</f>
        <v/>
      </c>
      <c r="J110" s="4">
        <f>I110+J176</f>
        <v/>
      </c>
      <c r="K110" s="4">
        <f>J110+K176</f>
        <v/>
      </c>
      <c r="L110" s="4">
        <f>K110+L176</f>
        <v/>
      </c>
      <c r="M110" s="4">
        <f>L110+M176</f>
        <v/>
      </c>
      <c r="N110" s="4">
        <f>M110+N176</f>
        <v/>
      </c>
      <c r="O110" s="4">
        <f>N110+O176</f>
        <v/>
      </c>
      <c r="P110" s="4">
        <f>O110+P176</f>
        <v/>
      </c>
    </row>
    <row r="111">
      <c r="A111" t="inlineStr">
        <is>
          <t>BS-Trade Receivables</t>
        </is>
      </c>
      <c r="B111" t="inlineStr">
        <is>
          <t>Trade Receivables</t>
        </is>
      </c>
      <c r="C111" t="inlineStr">
        <is>
          <t>AUDm</t>
        </is>
      </c>
      <c r="D111" s="19" t="n">
        <v>25.087</v>
      </c>
      <c r="E111" s="19" t="n">
        <v>26.499</v>
      </c>
      <c r="F111" s="19" t="n">
        <v>24.84</v>
      </c>
      <c r="G111" s="4">
        <f>G7*G118</f>
        <v/>
      </c>
      <c r="H111" s="4">
        <f>H7*H118</f>
        <v/>
      </c>
      <c r="I111" s="4">
        <f>I7*I118</f>
        <v/>
      </c>
      <c r="J111" s="4">
        <f>J7*J118</f>
        <v/>
      </c>
      <c r="K111" s="4">
        <f>K7*K118</f>
        <v/>
      </c>
      <c r="L111" s="4">
        <f>L7*L118</f>
        <v/>
      </c>
      <c r="M111" s="4">
        <f>M7*M118</f>
        <v/>
      </c>
      <c r="N111" s="4">
        <f>N7*N118</f>
        <v/>
      </c>
      <c r="O111" s="4">
        <f>O7*O118</f>
        <v/>
      </c>
      <c r="P111" s="4">
        <f>P7*P118</f>
        <v/>
      </c>
    </row>
    <row r="112">
      <c r="A112" t="inlineStr">
        <is>
          <t>BS-Inventories</t>
        </is>
      </c>
      <c r="B112" t="inlineStr">
        <is>
          <t>Inventories</t>
        </is>
      </c>
      <c r="C112" t="inlineStr">
        <is>
          <t>AUDm</t>
        </is>
      </c>
      <c r="D112" s="19" t="n">
        <v>2.153</v>
      </c>
      <c r="E112" s="19" t="n">
        <v>2.825</v>
      </c>
      <c r="F112" s="19" t="n">
        <v>3.761</v>
      </c>
      <c r="G112" s="4">
        <f>G7*G119</f>
        <v/>
      </c>
      <c r="H112" s="4">
        <f>H7*H119</f>
        <v/>
      </c>
      <c r="I112" s="4">
        <f>I7*I119</f>
        <v/>
      </c>
      <c r="J112" s="4">
        <f>J7*J119</f>
        <v/>
      </c>
      <c r="K112" s="4">
        <f>K7*K119</f>
        <v/>
      </c>
      <c r="L112" s="4">
        <f>L7*L119</f>
        <v/>
      </c>
      <c r="M112" s="4">
        <f>M7*M119</f>
        <v/>
      </c>
      <c r="N112" s="4">
        <f>N7*N119</f>
        <v/>
      </c>
      <c r="O112" s="4">
        <f>O7*O119</f>
        <v/>
      </c>
      <c r="P112" s="4">
        <f>P7*P119</f>
        <v/>
      </c>
    </row>
    <row r="113">
      <c r="A113" t="inlineStr">
        <is>
          <t>BS-PPE</t>
        </is>
      </c>
      <c r="B113" t="inlineStr">
        <is>
          <t>Property, Plant &amp; Equipment</t>
        </is>
      </c>
      <c r="C113" t="inlineStr">
        <is>
          <t>AUDm</t>
        </is>
      </c>
      <c r="D113" s="19" t="n">
        <v>69.486</v>
      </c>
      <c r="E113" s="19" t="n">
        <v>87.63</v>
      </c>
      <c r="F113" s="19" t="n">
        <v>130.056</v>
      </c>
      <c r="G113" s="4">
        <f>F113-G160-G48*0.4</f>
        <v/>
      </c>
      <c r="H113" s="4">
        <f>G113-H160-H48*0.4</f>
        <v/>
      </c>
      <c r="I113" s="4">
        <f>H113-I160-I48*0.4</f>
        <v/>
      </c>
      <c r="J113" s="4">
        <f>I113-J160-J48*0.4</f>
        <v/>
      </c>
      <c r="K113" s="4">
        <f>J113-K160-K48*0.4</f>
        <v/>
      </c>
      <c r="L113" s="4">
        <f>K113-L160-L48*0.4</f>
        <v/>
      </c>
      <c r="M113" s="4">
        <f>L113-M160-M48*0.4</f>
        <v/>
      </c>
      <c r="N113" s="4">
        <f>M113-N160-N48*0.4</f>
        <v/>
      </c>
      <c r="O113" s="4">
        <f>N113-O160-O48*0.4</f>
        <v/>
      </c>
      <c r="P113" s="4">
        <f>O113-P160-P48*0.4</f>
        <v/>
      </c>
    </row>
    <row r="114">
      <c r="A114" t="inlineStr">
        <is>
          <t>BS-Intangibles</t>
        </is>
      </c>
      <c r="B114" t="inlineStr">
        <is>
          <t>Intangibles</t>
        </is>
      </c>
      <c r="C114" t="inlineStr">
        <is>
          <t>AUDm</t>
        </is>
      </c>
      <c r="D114" s="19" t="n">
        <v>15.202</v>
      </c>
      <c r="E114" s="19" t="n">
        <v>10.586</v>
      </c>
      <c r="F114" s="19" t="n">
        <v>18.305</v>
      </c>
      <c r="G114" s="4">
        <f>F114</f>
        <v/>
      </c>
      <c r="H114" s="4">
        <f>G114</f>
        <v/>
      </c>
      <c r="I114" s="4">
        <f>H114</f>
        <v/>
      </c>
      <c r="J114" s="4">
        <f>I114</f>
        <v/>
      </c>
      <c r="K114" s="4">
        <f>J114</f>
        <v/>
      </c>
      <c r="L114" s="4">
        <f>K114</f>
        <v/>
      </c>
      <c r="M114" s="4">
        <f>L114</f>
        <v/>
      </c>
      <c r="N114" s="4">
        <f>M114</f>
        <v/>
      </c>
      <c r="O114" s="4">
        <f>N114</f>
        <v/>
      </c>
      <c r="P114" s="4">
        <f>O114</f>
        <v/>
      </c>
    </row>
    <row r="115">
      <c r="A115" t="inlineStr">
        <is>
          <t>BS-ROU Assets</t>
        </is>
      </c>
      <c r="B115" t="inlineStr">
        <is>
          <t>Right-of-Use Assets</t>
        </is>
      </c>
      <c r="C115" t="inlineStr">
        <is>
          <t>AUDm</t>
        </is>
      </c>
      <c r="D115" s="19" t="n">
        <v>98.93899999999999</v>
      </c>
      <c r="E115" s="19" t="n">
        <v>93.79600000000001</v>
      </c>
      <c r="F115" s="19" t="n">
        <v>125.43</v>
      </c>
      <c r="G115" s="4">
        <f>F115*1.12</f>
        <v/>
      </c>
      <c r="H115" s="4">
        <f>G115*1.12</f>
        <v/>
      </c>
      <c r="I115" s="4">
        <f>H115*1.12</f>
        <v/>
      </c>
      <c r="J115" s="4">
        <f>I115*1.12</f>
        <v/>
      </c>
      <c r="K115" s="4">
        <f>J115*1.12</f>
        <v/>
      </c>
      <c r="L115" s="4">
        <f>K115*1.12</f>
        <v/>
      </c>
      <c r="M115" s="4">
        <f>L115*1.12</f>
        <v/>
      </c>
      <c r="N115" s="4">
        <f>M115*1.12</f>
        <v/>
      </c>
      <c r="O115" s="4">
        <f>N115*1.12</f>
        <v/>
      </c>
      <c r="P115" s="4">
        <f>O115*1.12</f>
        <v/>
      </c>
    </row>
    <row r="116">
      <c r="A116" t="inlineStr">
        <is>
          <t>BS-Other Assets</t>
        </is>
      </c>
      <c r="B116" t="inlineStr">
        <is>
          <t>Finance Lease Rec &amp; Other Assets</t>
        </is>
      </c>
      <c r="C116" t="inlineStr">
        <is>
          <t>AUDm</t>
        </is>
      </c>
      <c r="D116" s="19" t="n">
        <v>77.14</v>
      </c>
      <c r="E116" s="19" t="n">
        <v>145.981</v>
      </c>
      <c r="F116" s="19" t="n">
        <v>199.063</v>
      </c>
      <c r="G116" s="4">
        <f>F116*1.08</f>
        <v/>
      </c>
      <c r="H116" s="4">
        <f>G116*1.08</f>
        <v/>
      </c>
      <c r="I116" s="4">
        <f>H116*1.08</f>
        <v/>
      </c>
      <c r="J116" s="4">
        <f>I116*1.08</f>
        <v/>
      </c>
      <c r="K116" s="4">
        <f>J116*1.08</f>
        <v/>
      </c>
      <c r="L116" s="4">
        <f>K116*1.08</f>
        <v/>
      </c>
      <c r="M116" s="4">
        <f>L116*1.08</f>
        <v/>
      </c>
      <c r="N116" s="4">
        <f>M116*1.08</f>
        <v/>
      </c>
      <c r="O116" s="4">
        <f>N116*1.08</f>
        <v/>
      </c>
      <c r="P116" s="4">
        <f>O116*1.08</f>
        <v/>
      </c>
    </row>
    <row r="117">
      <c r="B117" s="20" t="inlineStr">
        <is>
          <t>Total Assets</t>
        </is>
      </c>
      <c r="C117" s="20" t="inlineStr">
        <is>
          <t>AUDm</t>
        </is>
      </c>
      <c r="D117" s="21">
        <f>SUM(D110:D116)</f>
        <v/>
      </c>
      <c r="E117" s="21">
        <f>SUM(E110:E116)</f>
        <v/>
      </c>
      <c r="F117" s="21">
        <f>SUM(F110:F116)</f>
        <v/>
      </c>
      <c r="G117" s="21">
        <f>SUM(G110:G116)</f>
        <v/>
      </c>
      <c r="H117" s="21">
        <f>SUM(H110:H116)</f>
        <v/>
      </c>
      <c r="I117" s="21">
        <f>SUM(I110:I116)</f>
        <v/>
      </c>
      <c r="J117" s="21">
        <f>SUM(J110:J116)</f>
        <v/>
      </c>
      <c r="K117" s="21">
        <f>SUM(K110:K116)</f>
        <v/>
      </c>
      <c r="L117" s="21">
        <f>SUM(L110:L116)</f>
        <v/>
      </c>
      <c r="M117" s="21">
        <f>SUM(M110:M116)</f>
        <v/>
      </c>
      <c r="N117" s="21">
        <f>SUM(N110:N116)</f>
        <v/>
      </c>
      <c r="O117" s="21">
        <f>SUM(O110:O116)</f>
        <v/>
      </c>
      <c r="P117" s="21">
        <f>SUM(P110:P116)</f>
        <v/>
      </c>
    </row>
    <row r="118">
      <c r="B118" s="25" t="inlineStr">
        <is>
          <t>Receivables / Revenue</t>
        </is>
      </c>
      <c r="C118" t="inlineStr">
        <is>
          <t>%</t>
        </is>
      </c>
      <c r="D118" s="6">
        <f>IF(D7=0,"",D111/D7)</f>
        <v/>
      </c>
      <c r="E118" s="6">
        <f>IF(E7=0,"",E111/E7)</f>
        <v/>
      </c>
      <c r="F118" s="6">
        <f>IF(F7=0,"",F111/F7)</f>
        <v/>
      </c>
      <c r="G118" s="26">
        <f>F118</f>
        <v/>
      </c>
      <c r="H118" s="26">
        <f>G118</f>
        <v/>
      </c>
      <c r="I118" s="26">
        <f>H118</f>
        <v/>
      </c>
      <c r="J118" s="26">
        <f>I118</f>
        <v/>
      </c>
      <c r="K118" s="26">
        <f>J118</f>
        <v/>
      </c>
      <c r="L118" s="26">
        <f>K118</f>
        <v/>
      </c>
      <c r="M118" s="26">
        <f>L118</f>
        <v/>
      </c>
      <c r="N118" s="26">
        <f>M118</f>
        <v/>
      </c>
      <c r="O118" s="26">
        <f>N118</f>
        <v/>
      </c>
      <c r="P118" s="26">
        <f>O118</f>
        <v/>
      </c>
    </row>
    <row r="119">
      <c r="B119" s="25" t="inlineStr">
        <is>
          <t>Inventory / Revenue</t>
        </is>
      </c>
      <c r="C119" t="inlineStr">
        <is>
          <t>%</t>
        </is>
      </c>
      <c r="D119" s="6">
        <f>IF(D7=0,"",D112/D7)</f>
        <v/>
      </c>
      <c r="E119" s="6">
        <f>IF(E7=0,"",E112/E7)</f>
        <v/>
      </c>
      <c r="F119" s="6">
        <f>IF(F7=0,"",F112/F7)</f>
        <v/>
      </c>
      <c r="G119" s="26">
        <f>F119</f>
        <v/>
      </c>
      <c r="H119" s="26">
        <f>G119</f>
        <v/>
      </c>
      <c r="I119" s="26">
        <f>H119</f>
        <v/>
      </c>
      <c r="J119" s="26">
        <f>I119</f>
        <v/>
      </c>
      <c r="K119" s="26">
        <f>J119</f>
        <v/>
      </c>
      <c r="L119" s="26">
        <f>K119</f>
        <v/>
      </c>
      <c r="M119" s="26">
        <f>L119</f>
        <v/>
      </c>
      <c r="N119" s="26">
        <f>M119</f>
        <v/>
      </c>
      <c r="O119" s="26">
        <f>N119</f>
        <v/>
      </c>
      <c r="P119" s="26">
        <f>O119</f>
        <v/>
      </c>
    </row>
    <row r="120">
      <c r="B120" s="20" t="n"/>
      <c r="C120" s="20" t="n"/>
      <c r="D120" s="21" t="n"/>
      <c r="E120" s="21" t="n"/>
      <c r="F120" s="21" t="n"/>
      <c r="G120" s="21" t="n"/>
      <c r="H120" s="21" t="n"/>
      <c r="I120" s="21" t="n"/>
      <c r="J120" s="21" t="n"/>
      <c r="K120" s="21" t="n"/>
      <c r="L120" s="21" t="n"/>
      <c r="M120" s="21" t="n"/>
      <c r="N120" s="21" t="n"/>
      <c r="O120" s="21" t="n"/>
      <c r="P120" s="21" t="n"/>
    </row>
    <row r="121">
      <c r="B121" s="25" t="inlineStr">
        <is>
          <t>Payables / Revenue</t>
        </is>
      </c>
      <c r="C121" t="inlineStr">
        <is>
          <t>%</t>
        </is>
      </c>
      <c r="D121" s="6">
        <f>IF(D7=0,"",D125/D7)</f>
        <v/>
      </c>
      <c r="E121" s="6">
        <f>IF(E7=0,"",E125/E7)</f>
        <v/>
      </c>
      <c r="F121" s="6">
        <f>IF(F7=0,"",F125/F7)</f>
        <v/>
      </c>
      <c r="G121" s="26">
        <f>F121</f>
        <v/>
      </c>
      <c r="H121" s="26">
        <f>G121</f>
        <v/>
      </c>
      <c r="I121" s="26">
        <f>H121</f>
        <v/>
      </c>
      <c r="J121" s="26">
        <f>I121</f>
        <v/>
      </c>
      <c r="K121" s="26">
        <f>J121</f>
        <v/>
      </c>
      <c r="L121" s="26">
        <f>K121</f>
        <v/>
      </c>
      <c r="M121" s="26">
        <f>L121</f>
        <v/>
      </c>
      <c r="N121" s="26">
        <f>M121</f>
        <v/>
      </c>
      <c r="O121" s="26">
        <f>N121</f>
        <v/>
      </c>
      <c r="P121" s="26">
        <f>O121</f>
        <v/>
      </c>
    </row>
    <row r="122">
      <c r="B122" s="25" t="n"/>
      <c r="G122" s="48" t="n"/>
      <c r="H122" s="48" t="n"/>
      <c r="I122" s="48" t="n"/>
      <c r="J122" s="48" t="n"/>
      <c r="K122" s="48" t="n"/>
      <c r="L122" s="48" t="n"/>
      <c r="M122" s="48" t="n"/>
      <c r="N122" s="48" t="n"/>
      <c r="O122" s="48" t="n"/>
      <c r="P122" s="48" t="n"/>
    </row>
    <row r="123">
      <c r="B123" s="25" t="n"/>
      <c r="G123" s="48" t="n"/>
      <c r="H123" s="48" t="n"/>
      <c r="I123" s="48" t="n"/>
      <c r="J123" s="48" t="n"/>
      <c r="K123" s="48" t="n"/>
      <c r="L123" s="48" t="n"/>
      <c r="M123" s="48" t="n"/>
      <c r="N123" s="48" t="n"/>
      <c r="O123" s="48" t="n"/>
      <c r="P123" s="48" t="n"/>
    </row>
    <row r="124">
      <c r="B124" s="5" t="inlineStr">
        <is>
          <t>Liabilities</t>
        </is>
      </c>
    </row>
    <row r="125">
      <c r="A125" t="inlineStr">
        <is>
          <t>BS-Trade Payables</t>
        </is>
      </c>
      <c r="B125" t="inlineStr">
        <is>
          <t>Trade &amp; Other Payables</t>
        </is>
      </c>
      <c r="C125" t="inlineStr">
        <is>
          <t>AUDm</t>
        </is>
      </c>
      <c r="D125" s="19" t="n">
        <v>32.635</v>
      </c>
      <c r="E125" s="19" t="n">
        <v>39.387</v>
      </c>
      <c r="F125" s="19" t="n">
        <v>40.439</v>
      </c>
      <c r="G125" s="4">
        <f>G7*G121</f>
        <v/>
      </c>
      <c r="H125" s="4">
        <f>H7*H121</f>
        <v/>
      </c>
      <c r="I125" s="4">
        <f>I7*I121</f>
        <v/>
      </c>
      <c r="J125" s="4">
        <f>J7*J121</f>
        <v/>
      </c>
      <c r="K125" s="4">
        <f>K7*K121</f>
        <v/>
      </c>
      <c r="L125" s="4">
        <f>L7*L121</f>
        <v/>
      </c>
      <c r="M125" s="4">
        <f>M7*M121</f>
        <v/>
      </c>
      <c r="N125" s="4">
        <f>N7*N121</f>
        <v/>
      </c>
      <c r="O125" s="4">
        <f>O7*O121</f>
        <v/>
      </c>
      <c r="P125" s="4">
        <f>P7*P121</f>
        <v/>
      </c>
    </row>
    <row r="126">
      <c r="A126" t="inlineStr">
        <is>
          <t>BS-Other Liabilities</t>
        </is>
      </c>
      <c r="B126" t="inlineStr">
        <is>
          <t>Other Liabilities</t>
        </is>
      </c>
      <c r="C126" t="inlineStr">
        <is>
          <t>AUDm</t>
        </is>
      </c>
      <c r="D126" s="19" t="n">
        <v>22.19</v>
      </c>
      <c r="E126" s="19" t="n">
        <v>28.933</v>
      </c>
      <c r="F126" s="19" t="n">
        <v>31.324</v>
      </c>
      <c r="G126" s="4">
        <f>F126</f>
        <v/>
      </c>
      <c r="H126" s="4">
        <f>G126</f>
        <v/>
      </c>
      <c r="I126" s="4">
        <f>H126</f>
        <v/>
      </c>
      <c r="J126" s="4">
        <f>I126</f>
        <v/>
      </c>
      <c r="K126" s="4">
        <f>J126</f>
        <v/>
      </c>
      <c r="L126" s="4">
        <f>K126</f>
        <v/>
      </c>
      <c r="M126" s="4">
        <f>L126</f>
        <v/>
      </c>
      <c r="N126" s="4">
        <f>M126</f>
        <v/>
      </c>
      <c r="O126" s="4">
        <f>N126</f>
        <v/>
      </c>
      <c r="P126" s="4">
        <f>O126</f>
        <v/>
      </c>
    </row>
    <row r="127">
      <c r="A127" t="inlineStr">
        <is>
          <t>BS-Lease Liabilities</t>
        </is>
      </c>
      <c r="B127" t="inlineStr">
        <is>
          <t>Lease Liabilities</t>
        </is>
      </c>
      <c r="C127" t="inlineStr">
        <is>
          <t>AUDm</t>
        </is>
      </c>
      <c r="D127" s="19" t="n">
        <v>181.717</v>
      </c>
      <c r="E127" s="19" t="n">
        <v>239.498</v>
      </c>
      <c r="F127" s="19" t="n">
        <v>331.311</v>
      </c>
      <c r="G127" s="4">
        <f>F127*1.12</f>
        <v/>
      </c>
      <c r="H127" s="4">
        <f>G127*1.12</f>
        <v/>
      </c>
      <c r="I127" s="4">
        <f>H127*1.12</f>
        <v/>
      </c>
      <c r="J127" s="4">
        <f>I127*1.12</f>
        <v/>
      </c>
      <c r="K127" s="4">
        <f>J127*1.12</f>
        <v/>
      </c>
      <c r="L127" s="4">
        <f>K127*1.12</f>
        <v/>
      </c>
      <c r="M127" s="4">
        <f>L127*1.12</f>
        <v/>
      </c>
      <c r="N127" s="4">
        <f>M127*1.12</f>
        <v/>
      </c>
      <c r="O127" s="4">
        <f>N127*1.12</f>
        <v/>
      </c>
      <c r="P127" s="4">
        <f>O127*1.12</f>
        <v/>
      </c>
    </row>
    <row r="128">
      <c r="A128" t="inlineStr">
        <is>
          <t>BS-Total Banking Debt</t>
        </is>
      </c>
      <c r="B128" t="inlineStr">
        <is>
          <t>Total Banking Debt</t>
        </is>
      </c>
      <c r="C128" t="inlineStr">
        <is>
          <t>AUDm</t>
        </is>
      </c>
      <c r="D128" s="19" t="n">
        <v>0</v>
      </c>
      <c r="E128" s="19" t="n">
        <v>0</v>
      </c>
      <c r="F128" s="19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</row>
    <row r="129">
      <c r="B129" s="20" t="inlineStr">
        <is>
          <t>Total Liabilities</t>
        </is>
      </c>
      <c r="C129" s="20" t="inlineStr">
        <is>
          <t>AUDm</t>
        </is>
      </c>
      <c r="D129" s="21">
        <f>SUM(D125:D128)</f>
        <v/>
      </c>
      <c r="E129" s="21">
        <f>SUM(E125:E128)</f>
        <v/>
      </c>
      <c r="F129" s="21">
        <f>SUM(F125:F128)</f>
        <v/>
      </c>
      <c r="G129" s="21">
        <f>SUM(G125:G128)</f>
        <v/>
      </c>
      <c r="H129" s="21">
        <f>SUM(H125:H128)</f>
        <v/>
      </c>
      <c r="I129" s="21">
        <f>SUM(I125:I128)</f>
        <v/>
      </c>
      <c r="J129" s="21">
        <f>SUM(J125:J128)</f>
        <v/>
      </c>
      <c r="K129" s="21">
        <f>SUM(K125:K128)</f>
        <v/>
      </c>
      <c r="L129" s="21">
        <f>SUM(L125:L128)</f>
        <v/>
      </c>
      <c r="M129" s="21">
        <f>SUM(M125:M128)</f>
        <v/>
      </c>
      <c r="N129" s="21">
        <f>SUM(N125:N128)</f>
        <v/>
      </c>
      <c r="O129" s="21">
        <f>SUM(O125:O128)</f>
        <v/>
      </c>
      <c r="P129" s="21">
        <f>SUM(P125:P128)</f>
        <v/>
      </c>
    </row>
    <row r="131">
      <c r="B131" s="20" t="inlineStr">
        <is>
          <t>Net Cash (Debt)</t>
        </is>
      </c>
      <c r="C131" s="20" t="inlineStr">
        <is>
          <t>AUDm</t>
        </is>
      </c>
      <c r="D131" s="21">
        <f>D110-D128</f>
        <v/>
      </c>
      <c r="E131" s="21">
        <f>E110-E128</f>
        <v/>
      </c>
      <c r="F131" s="21">
        <f>F110-F128</f>
        <v/>
      </c>
      <c r="G131" s="21">
        <f>G110-G128</f>
        <v/>
      </c>
      <c r="H131" s="21">
        <f>H110-H128</f>
        <v/>
      </c>
      <c r="I131" s="21">
        <f>I110-I128</f>
        <v/>
      </c>
      <c r="J131" s="21">
        <f>J110-J128</f>
        <v/>
      </c>
      <c r="K131" s="21">
        <f>K110-K128</f>
        <v/>
      </c>
      <c r="L131" s="21">
        <f>L110-L128</f>
        <v/>
      </c>
      <c r="M131" s="21">
        <f>M110-M128</f>
        <v/>
      </c>
      <c r="N131" s="21">
        <f>N110-N128</f>
        <v/>
      </c>
      <c r="O131" s="21">
        <f>O110-O128</f>
        <v/>
      </c>
      <c r="P131" s="21">
        <f>P110-P128</f>
        <v/>
      </c>
    </row>
    <row r="132">
      <c r="B132" s="20" t="inlineStr">
        <is>
          <t>Adj Net Debt (incl leases)</t>
        </is>
      </c>
      <c r="C132" s="20" t="inlineStr">
        <is>
          <t>AUDm</t>
        </is>
      </c>
      <c r="D132" s="21">
        <f>D128-D110+D127</f>
        <v/>
      </c>
      <c r="E132" s="21">
        <f>E128-E110+E127</f>
        <v/>
      </c>
      <c r="F132" s="21">
        <f>F128-F110+F127</f>
        <v/>
      </c>
      <c r="G132" s="21">
        <f>G128-G110+G127</f>
        <v/>
      </c>
      <c r="H132" s="21">
        <f>H128-H110+H127</f>
        <v/>
      </c>
      <c r="I132" s="21">
        <f>I128-I110+I127</f>
        <v/>
      </c>
      <c r="J132" s="21">
        <f>J128-J110+J127</f>
        <v/>
      </c>
      <c r="K132" s="21">
        <f>K128-K110+K127</f>
        <v/>
      </c>
      <c r="L132" s="21">
        <f>L128-L110+L127</f>
        <v/>
      </c>
      <c r="M132" s="21">
        <f>M128-M110+M127</f>
        <v/>
      </c>
      <c r="N132" s="21">
        <f>N128-N110+N127</f>
        <v/>
      </c>
      <c r="O132" s="21">
        <f>O128-O110+O127</f>
        <v/>
      </c>
      <c r="P132" s="21">
        <f>P128-P110+P127</f>
        <v/>
      </c>
    </row>
    <row r="133">
      <c r="B133" s="8" t="inlineStr">
        <is>
          <t>Net Cash / Seg EBITDA</t>
        </is>
      </c>
      <c r="C133" t="inlineStr">
        <is>
          <t>x</t>
        </is>
      </c>
      <c r="D133" s="13">
        <f>IF(D38=0,"",D131/D38)</f>
        <v/>
      </c>
      <c r="E133" s="13">
        <f>IF(E38=0,"",E131/E38)</f>
        <v/>
      </c>
      <c r="F133" s="13">
        <f>IF(F38=0,"",F131/F38)</f>
        <v/>
      </c>
      <c r="G133" s="13">
        <f>IF(G38=0,"",G131/G38)</f>
        <v/>
      </c>
      <c r="H133" s="13">
        <f>IF(H38=0,"",H131/H38)</f>
        <v/>
      </c>
      <c r="I133" s="13">
        <f>IF(I38=0,"",I131/I38)</f>
        <v/>
      </c>
      <c r="J133" s="13">
        <f>IF(J38=0,"",J131/J38)</f>
        <v/>
      </c>
      <c r="K133" s="13">
        <f>IF(K38=0,"",K131/K38)</f>
        <v/>
      </c>
      <c r="L133" s="13">
        <f>IF(L38=0,"",L131/L38)</f>
        <v/>
      </c>
      <c r="M133" s="13">
        <f>IF(M38=0,"",M131/M38)</f>
        <v/>
      </c>
      <c r="N133" s="13">
        <f>IF(N38=0,"",N131/N38)</f>
        <v/>
      </c>
      <c r="O133" s="13">
        <f>IF(O38=0,"",O131/O38)</f>
        <v/>
      </c>
      <c r="P133" s="13">
        <f>IF(P38=0,"",P131/P38)</f>
        <v/>
      </c>
    </row>
    <row r="134">
      <c r="B134" s="8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</row>
    <row r="136">
      <c r="B136" s="5" t="inlineStr">
        <is>
          <t>Equity</t>
        </is>
      </c>
    </row>
    <row r="137">
      <c r="A137" t="inlineStr">
        <is>
          <t>BS-Issued Capital</t>
        </is>
      </c>
      <c r="B137" t="inlineStr">
        <is>
          <t>Issued Capital</t>
        </is>
      </c>
      <c r="C137" t="inlineStr">
        <is>
          <t>AUDm</t>
        </is>
      </c>
      <c r="D137" s="19" t="n">
        <v>104.046</v>
      </c>
      <c r="E137" s="19" t="n">
        <v>372.708</v>
      </c>
      <c r="F137" s="19" t="n">
        <v>374.988</v>
      </c>
      <c r="G137" s="4">
        <f>F137</f>
        <v/>
      </c>
      <c r="H137" s="4">
        <f>G137</f>
        <v/>
      </c>
      <c r="I137" s="4">
        <f>H137</f>
        <v/>
      </c>
      <c r="J137" s="4">
        <f>I137</f>
        <v/>
      </c>
      <c r="K137" s="4">
        <f>J137</f>
        <v/>
      </c>
      <c r="L137" s="4">
        <f>K137</f>
        <v/>
      </c>
      <c r="M137" s="4">
        <f>L137</f>
        <v/>
      </c>
      <c r="N137" s="4">
        <f>M137</f>
        <v/>
      </c>
      <c r="O137" s="4">
        <f>N137</f>
        <v/>
      </c>
      <c r="P137" s="4">
        <f>O137</f>
        <v/>
      </c>
    </row>
    <row r="138">
      <c r="A138" t="inlineStr">
        <is>
          <t>BS-Retained Profits</t>
        </is>
      </c>
      <c r="B138" t="inlineStr">
        <is>
          <t>Accumulated Losses</t>
        </is>
      </c>
      <c r="C138" t="inlineStr">
        <is>
          <t>AUDm</t>
        </is>
      </c>
      <c r="D138" s="19" t="n">
        <v>-26.857</v>
      </c>
      <c r="E138" s="19" t="n">
        <v>-36.147</v>
      </c>
      <c r="F138" s="19" t="n">
        <v>-21.671</v>
      </c>
      <c r="G138" s="4">
        <f>F138+G72-G89</f>
        <v/>
      </c>
      <c r="H138" s="4">
        <f>G138+H72-H89</f>
        <v/>
      </c>
      <c r="I138" s="4">
        <f>H138+I72-I89</f>
        <v/>
      </c>
      <c r="J138" s="4">
        <f>I138+J72-J89</f>
        <v/>
      </c>
      <c r="K138" s="4">
        <f>J138+K72-K89</f>
        <v/>
      </c>
      <c r="L138" s="4">
        <f>K138+L72-L89</f>
        <v/>
      </c>
      <c r="M138" s="4">
        <f>L138+M72-M89</f>
        <v/>
      </c>
      <c r="N138" s="4">
        <f>M138+N72-N89</f>
        <v/>
      </c>
      <c r="O138" s="4">
        <f>N138+O72-O89</f>
        <v/>
      </c>
      <c r="P138" s="4">
        <f>O138+P72-P89</f>
        <v/>
      </c>
    </row>
    <row r="139">
      <c r="A139" t="inlineStr">
        <is>
          <t>BS-Reserves</t>
        </is>
      </c>
      <c r="B139" t="inlineStr">
        <is>
          <t>Reserves</t>
        </is>
      </c>
      <c r="C139" t="inlineStr">
        <is>
          <t>AUDm</t>
        </is>
      </c>
      <c r="D139" s="19" t="n">
        <v>10.776</v>
      </c>
      <c r="E139" s="19" t="n">
        <v>17.418</v>
      </c>
      <c r="F139" s="19" t="n">
        <v>26.807</v>
      </c>
      <c r="G139" s="4">
        <f>F139</f>
        <v/>
      </c>
      <c r="H139" s="4">
        <f>G139</f>
        <v/>
      </c>
      <c r="I139" s="4">
        <f>H139</f>
        <v/>
      </c>
      <c r="J139" s="4">
        <f>I139</f>
        <v/>
      </c>
      <c r="K139" s="4">
        <f>J139</f>
        <v/>
      </c>
      <c r="L139" s="4">
        <f>K139</f>
        <v/>
      </c>
      <c r="M139" s="4">
        <f>L139</f>
        <v/>
      </c>
      <c r="N139" s="4">
        <f>M139</f>
        <v/>
      </c>
      <c r="O139" s="4">
        <f>N139</f>
        <v/>
      </c>
      <c r="P139" s="4">
        <f>O139</f>
        <v/>
      </c>
    </row>
    <row r="140">
      <c r="A140" t="inlineStr">
        <is>
          <t>BS-Minorities</t>
        </is>
      </c>
      <c r="B140" t="inlineStr">
        <is>
          <t>Minorities</t>
        </is>
      </c>
      <c r="C140" t="inlineStr">
        <is>
          <t>AUDm</t>
        </is>
      </c>
      <c r="D140" s="19" t="n">
        <v>0</v>
      </c>
      <c r="E140" s="19" t="n">
        <v>0</v>
      </c>
      <c r="F140" s="19" t="n">
        <v>0</v>
      </c>
      <c r="G140" s="4" t="n">
        <v>0</v>
      </c>
      <c r="H140" s="4" t="n">
        <v>0</v>
      </c>
      <c r="I140" s="4" t="n">
        <v>0</v>
      </c>
      <c r="J140" s="4" t="n">
        <v>0</v>
      </c>
      <c r="K140" s="4" t="n">
        <v>0</v>
      </c>
      <c r="L140" s="4" t="n">
        <v>0</v>
      </c>
      <c r="M140" s="4" t="n">
        <v>0</v>
      </c>
      <c r="N140" s="4" t="n">
        <v>0</v>
      </c>
      <c r="O140" s="4" t="n">
        <v>0</v>
      </c>
      <c r="P140" s="4" t="n">
        <v>0</v>
      </c>
    </row>
    <row r="141">
      <c r="B141" s="20" t="inlineStr">
        <is>
          <t>Total Equity</t>
        </is>
      </c>
      <c r="C141" s="20" t="inlineStr">
        <is>
          <t>AUDm</t>
        </is>
      </c>
      <c r="D141" s="21">
        <f>SUM(D137:D140)</f>
        <v/>
      </c>
      <c r="E141" s="21">
        <f>SUM(E137:E140)</f>
        <v/>
      </c>
      <c r="F141" s="21">
        <f>SUM(F137:F140)</f>
        <v/>
      </c>
      <c r="G141" s="21">
        <f>SUM(G137:G140)</f>
        <v/>
      </c>
      <c r="H141" s="21">
        <f>SUM(H137:H140)</f>
        <v/>
      </c>
      <c r="I141" s="21">
        <f>SUM(I137:I140)</f>
        <v/>
      </c>
      <c r="J141" s="21">
        <f>SUM(J137:J140)</f>
        <v/>
      </c>
      <c r="K141" s="21">
        <f>SUM(K137:K140)</f>
        <v/>
      </c>
      <c r="L141" s="21">
        <f>SUM(L137:L140)</f>
        <v/>
      </c>
      <c r="M141" s="21">
        <f>SUM(M137:M140)</f>
        <v/>
      </c>
      <c r="N141" s="21">
        <f>SUM(N137:N140)</f>
        <v/>
      </c>
      <c r="O141" s="21">
        <f>SUM(O137:O140)</f>
        <v/>
      </c>
      <c r="P141" s="21">
        <f>SUM(P137:P140)</f>
        <v/>
      </c>
    </row>
    <row r="142">
      <c r="B142" s="8" t="inlineStr">
        <is>
          <t>ROE</t>
        </is>
      </c>
      <c r="C142" t="inlineStr">
        <is>
          <t>%</t>
        </is>
      </c>
      <c r="D142" s="6">
        <f>IF(D141=0,"",D72/D141)</f>
        <v/>
      </c>
      <c r="E142" s="6">
        <f>IF(E141=0,"",E72/E141)</f>
        <v/>
      </c>
      <c r="F142" s="6">
        <f>IF(F141=0,"",F72/F141)</f>
        <v/>
      </c>
      <c r="G142" s="6">
        <f>IF(G141=0,"",G72/G141)</f>
        <v/>
      </c>
      <c r="H142" s="6">
        <f>IF(H141=0,"",H72/H141)</f>
        <v/>
      </c>
      <c r="I142" s="6">
        <f>IF(I141=0,"",I72/I141)</f>
        <v/>
      </c>
      <c r="J142" s="6">
        <f>IF(J141=0,"",J72/J141)</f>
        <v/>
      </c>
      <c r="K142" s="6">
        <f>IF(K141=0,"",K72/K141)</f>
        <v/>
      </c>
      <c r="L142" s="6">
        <f>IF(L141=0,"",L72/L141)</f>
        <v/>
      </c>
      <c r="M142" s="6">
        <f>IF(M141=0,"",M72/M141)</f>
        <v/>
      </c>
      <c r="N142" s="6">
        <f>IF(N141=0,"",N72/N141)</f>
        <v/>
      </c>
      <c r="O142" s="6">
        <f>IF(O141=0,"",O72/O141)</f>
        <v/>
      </c>
      <c r="P142" s="6">
        <f>IF(P141=0,"",P72/P141)</f>
        <v/>
      </c>
    </row>
    <row r="143">
      <c r="B143" s="8" t="inlineStr">
        <is>
          <t>P/B</t>
        </is>
      </c>
      <c r="C143" t="inlineStr">
        <is>
          <t>x</t>
        </is>
      </c>
      <c r="D143" s="13">
        <f>IF(D141=0,"",28*D79/D141)</f>
        <v/>
      </c>
      <c r="E143" s="13">
        <f>IF(E141=0,"",28*E79/E141)</f>
        <v/>
      </c>
      <c r="F143" s="13">
        <f>IF(F141=0,"",28*F79/F141)</f>
        <v/>
      </c>
      <c r="G143" s="13">
        <f>IF(G141=0,"",28*G79/G141)</f>
        <v/>
      </c>
      <c r="H143" s="13">
        <f>IF(H141=0,"",28*H79/H141)</f>
        <v/>
      </c>
      <c r="I143" s="13">
        <f>IF(I141=0,"",28*I79/I141)</f>
        <v/>
      </c>
      <c r="J143" s="13">
        <f>IF(J141=0,"",28*J79/J141)</f>
        <v/>
      </c>
      <c r="K143" s="13">
        <f>IF(K141=0,"",28*K79/K141)</f>
        <v/>
      </c>
      <c r="L143" s="13">
        <f>IF(L141=0,"",28*L79/L141)</f>
        <v/>
      </c>
      <c r="M143" s="13">
        <f>IF(M141=0,"",28*M79/M141)</f>
        <v/>
      </c>
      <c r="N143" s="13">
        <f>IF(N141=0,"",28*N79/N141)</f>
        <v/>
      </c>
      <c r="O143" s="13">
        <f>IF(O141=0,"",28*O79/O141)</f>
        <v/>
      </c>
      <c r="P143" s="13">
        <f>IF(P141=0,"",28*P79/P141)</f>
        <v/>
      </c>
    </row>
    <row r="144">
      <c r="B144" s="8" t="inlineStr">
        <is>
          <t>BS Check (should be 0)</t>
        </is>
      </c>
      <c r="C144" t="inlineStr">
        <is>
          <t>AUDm</t>
        </is>
      </c>
      <c r="D144" s="4">
        <f>D117-D129-D141</f>
        <v/>
      </c>
      <c r="E144" s="4">
        <f>E117-E129-E141</f>
        <v/>
      </c>
      <c r="F144" s="4">
        <f>F117-F129-F141</f>
        <v/>
      </c>
      <c r="G144" s="4">
        <f>G117-G129-G141</f>
        <v/>
      </c>
      <c r="H144" s="4">
        <f>H117-H129-H141</f>
        <v/>
      </c>
      <c r="I144" s="4">
        <f>I117-I129-I141</f>
        <v/>
      </c>
      <c r="J144" s="4">
        <f>J117-J129-J141</f>
        <v/>
      </c>
      <c r="K144" s="4">
        <f>K117-K129-K141</f>
        <v/>
      </c>
      <c r="L144" s="4">
        <f>L117-L129-L141</f>
        <v/>
      </c>
      <c r="M144" s="4">
        <f>M117-M129-M141</f>
        <v/>
      </c>
      <c r="N144" s="4">
        <f>N117-N129-N141</f>
        <v/>
      </c>
      <c r="O144" s="4">
        <f>O117-O129-O141</f>
        <v/>
      </c>
      <c r="P144" s="4">
        <f>P117-P129-P141</f>
        <v/>
      </c>
    </row>
    <row r="145">
      <c r="B145" s="8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</row>
    <row r="146">
      <c r="A146" s="2" t="n"/>
      <c r="B146" s="18" t="inlineStr">
        <is>
          <t>Cash Flow</t>
        </is>
      </c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B147" s="5" t="inlineStr">
        <is>
          <t>CFO</t>
        </is>
      </c>
    </row>
    <row r="148">
      <c r="A148" t="inlineStr">
        <is>
          <t>CF-EBITDA</t>
        </is>
      </c>
      <c r="B148" s="8" t="inlineStr">
        <is>
          <t>Statutory EBITDA</t>
        </is>
      </c>
      <c r="C148" t="inlineStr">
        <is>
          <t>AUDm</t>
        </is>
      </c>
      <c r="D148" s="4">
        <f>D45</f>
        <v/>
      </c>
      <c r="E148" s="4">
        <f>E45</f>
        <v/>
      </c>
      <c r="F148" s="4">
        <f>F45</f>
        <v/>
      </c>
      <c r="G148" s="4">
        <f>G45</f>
        <v/>
      </c>
      <c r="H148" s="4">
        <f>H45</f>
        <v/>
      </c>
      <c r="I148" s="4">
        <f>I45</f>
        <v/>
      </c>
      <c r="J148" s="4">
        <f>J45</f>
        <v/>
      </c>
      <c r="K148" s="4">
        <f>K45</f>
        <v/>
      </c>
      <c r="L148" s="4">
        <f>L45</f>
        <v/>
      </c>
      <c r="M148" s="4">
        <f>M45</f>
        <v/>
      </c>
      <c r="N148" s="4">
        <f>N45</f>
        <v/>
      </c>
      <c r="O148" s="4">
        <f>O45</f>
        <v/>
      </c>
      <c r="P148" s="4">
        <f>P45</f>
        <v/>
      </c>
    </row>
    <row r="149">
      <c r="A149" t="inlineStr">
        <is>
          <t>CF-WC Change</t>
        </is>
      </c>
      <c r="B149" t="inlineStr">
        <is>
          <t>Working Capital Change</t>
        </is>
      </c>
      <c r="C149" t="inlineStr">
        <is>
          <t>AUDm</t>
        </is>
      </c>
      <c r="D149" s="4" t="n">
        <v>0</v>
      </c>
      <c r="E149" s="4" t="n">
        <v>0</v>
      </c>
      <c r="F149" s="4" t="n">
        <v>0</v>
      </c>
      <c r="G149" s="4">
        <f>-(G111-F111)-(G112-F112)+(G125-F125)</f>
        <v/>
      </c>
      <c r="H149" s="4">
        <f>-(H111-G111)-(H112-G112)+(H125-G125)</f>
        <v/>
      </c>
      <c r="I149" s="4">
        <f>-(I111-H111)-(I112-H112)+(I125-H125)</f>
        <v/>
      </c>
      <c r="J149" s="4">
        <f>-(J111-I111)-(J112-I112)+(J125-I125)</f>
        <v/>
      </c>
      <c r="K149" s="4">
        <f>-(K111-J111)-(K112-J112)+(K125-J125)</f>
        <v/>
      </c>
      <c r="L149" s="4">
        <f>-(L111-K111)-(L112-K112)+(L125-K125)</f>
        <v/>
      </c>
      <c r="M149" s="4">
        <f>-(M111-L111)-(M112-L112)+(M125-L125)</f>
        <v/>
      </c>
      <c r="N149" s="4">
        <f>-(N111-M111)-(N112-M112)+(N125-M125)</f>
        <v/>
      </c>
      <c r="O149" s="4">
        <f>-(O111-N111)-(O112-N112)+(O125-N125)</f>
        <v/>
      </c>
      <c r="P149" s="4">
        <f>-(P111-O111)-(P112-O112)+(P125-O125)</f>
        <v/>
      </c>
    </row>
    <row r="150">
      <c r="A150" t="inlineStr">
        <is>
          <t>CF-Non Cash</t>
        </is>
      </c>
      <c r="B150" t="inlineStr">
        <is>
          <t>Non-Cash Items &amp; Other</t>
        </is>
      </c>
      <c r="C150" t="inlineStr">
        <is>
          <t>AUDm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</row>
    <row r="151">
      <c r="B151" s="20" t="inlineStr">
        <is>
          <t>Gross Operating Cash Flow</t>
        </is>
      </c>
      <c r="C151" s="20" t="inlineStr">
        <is>
          <t>AUDm</t>
        </is>
      </c>
      <c r="D151" s="21">
        <f>D148+D149+D150</f>
        <v/>
      </c>
      <c r="E151" s="21">
        <f>E148+E149+E150</f>
        <v/>
      </c>
      <c r="F151" s="21">
        <f>F148+F149+F150</f>
        <v/>
      </c>
      <c r="G151" s="21">
        <f>G148+G149+G150</f>
        <v/>
      </c>
      <c r="H151" s="21">
        <f>H148+H149+H150</f>
        <v/>
      </c>
      <c r="I151" s="21">
        <f>I148+I149+I150</f>
        <v/>
      </c>
      <c r="J151" s="21">
        <f>J148+J149+J150</f>
        <v/>
      </c>
      <c r="K151" s="21">
        <f>K148+K149+K150</f>
        <v/>
      </c>
      <c r="L151" s="21">
        <f>L148+L149+L150</f>
        <v/>
      </c>
      <c r="M151" s="21">
        <f>M148+M149+M150</f>
        <v/>
      </c>
      <c r="N151" s="21">
        <f>N148+N149+N150</f>
        <v/>
      </c>
      <c r="O151" s="21">
        <f>O148+O149+O150</f>
        <v/>
      </c>
      <c r="P151" s="21">
        <f>P148+P149+P150</f>
        <v/>
      </c>
    </row>
    <row r="152">
      <c r="A152" t="inlineStr">
        <is>
          <t>CF-Int Received</t>
        </is>
      </c>
      <c r="B152" t="inlineStr">
        <is>
          <t>Interest Received</t>
        </is>
      </c>
      <c r="C152" t="inlineStr">
        <is>
          <t>AUDm</t>
        </is>
      </c>
      <c r="D152" s="19" t="n">
        <v>0</v>
      </c>
      <c r="E152" s="19" t="n">
        <v>0</v>
      </c>
      <c r="F152" s="19" t="n">
        <v>0</v>
      </c>
      <c r="G152" s="4">
        <f>G59</f>
        <v/>
      </c>
      <c r="H152" s="4">
        <f>H59</f>
        <v/>
      </c>
      <c r="I152" s="4">
        <f>I59</f>
        <v/>
      </c>
      <c r="J152" s="4">
        <f>J59</f>
        <v/>
      </c>
      <c r="K152" s="4">
        <f>K59</f>
        <v/>
      </c>
      <c r="L152" s="4">
        <f>L59</f>
        <v/>
      </c>
      <c r="M152" s="4">
        <f>M59</f>
        <v/>
      </c>
      <c r="N152" s="4">
        <f>N59</f>
        <v/>
      </c>
      <c r="O152" s="4">
        <f>O59</f>
        <v/>
      </c>
      <c r="P152" s="4">
        <f>P59</f>
        <v/>
      </c>
    </row>
    <row r="153">
      <c r="A153" t="inlineStr">
        <is>
          <t>CF-Interest Paid</t>
        </is>
      </c>
      <c r="B153" t="inlineStr">
        <is>
          <t>Interest Paid</t>
        </is>
      </c>
      <c r="C153" t="inlineStr">
        <is>
          <t>AUDm</t>
        </is>
      </c>
      <c r="D153" s="19" t="n">
        <v>0</v>
      </c>
      <c r="E153" s="19" t="n">
        <v>0</v>
      </c>
      <c r="F153" s="19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</row>
    <row r="154">
      <c r="A154" t="inlineStr">
        <is>
          <t>CF-Lease Int Paid</t>
        </is>
      </c>
      <c r="B154" t="inlineStr">
        <is>
          <t>Lease Interest Paid</t>
        </is>
      </c>
      <c r="C154" t="inlineStr">
        <is>
          <t>AUDm</t>
        </is>
      </c>
      <c r="D154" s="19" t="n">
        <v>0</v>
      </c>
      <c r="E154" s="19" t="n">
        <v>0</v>
      </c>
      <c r="F154" s="19" t="n">
        <v>0</v>
      </c>
      <c r="G154" s="4">
        <f>G60*0.5</f>
        <v/>
      </c>
      <c r="H154" s="4">
        <f>H60*0.5</f>
        <v/>
      </c>
      <c r="I154" s="4">
        <f>I60*0.5</f>
        <v/>
      </c>
      <c r="J154" s="4">
        <f>J60*0.5</f>
        <v/>
      </c>
      <c r="K154" s="4">
        <f>K60*0.5</f>
        <v/>
      </c>
      <c r="L154" s="4">
        <f>L60*0.5</f>
        <v/>
      </c>
      <c r="M154" s="4">
        <f>M60*0.5</f>
        <v/>
      </c>
      <c r="N154" s="4">
        <f>N60*0.5</f>
        <v/>
      </c>
      <c r="O154" s="4">
        <f>O60*0.5</f>
        <v/>
      </c>
      <c r="P154" s="4">
        <f>P60*0.5</f>
        <v/>
      </c>
    </row>
    <row r="155">
      <c r="A155" t="inlineStr">
        <is>
          <t>CF-Tax Paid</t>
        </is>
      </c>
      <c r="B155" t="inlineStr">
        <is>
          <t>Tax Paid</t>
        </is>
      </c>
      <c r="C155" t="inlineStr">
        <is>
          <t>AUDm</t>
        </is>
      </c>
      <c r="D155" s="19" t="n">
        <v>0</v>
      </c>
      <c r="E155" s="19" t="n">
        <v>0</v>
      </c>
      <c r="F155" s="19" t="n">
        <v>0</v>
      </c>
      <c r="G155" s="4">
        <f>G69*0.9</f>
        <v/>
      </c>
      <c r="H155" s="4">
        <f>H69*0.9</f>
        <v/>
      </c>
      <c r="I155" s="4">
        <f>I69*0.9</f>
        <v/>
      </c>
      <c r="J155" s="4">
        <f>J69*0.9</f>
        <v/>
      </c>
      <c r="K155" s="4">
        <f>K69*0.9</f>
        <v/>
      </c>
      <c r="L155" s="4">
        <f>L69*0.9</f>
        <v/>
      </c>
      <c r="M155" s="4">
        <f>M69*0.9</f>
        <v/>
      </c>
      <c r="N155" s="4">
        <f>N69*0.9</f>
        <v/>
      </c>
      <c r="O155" s="4">
        <f>O69*0.9</f>
        <v/>
      </c>
      <c r="P155" s="4">
        <f>P69*0.9</f>
        <v/>
      </c>
    </row>
    <row r="156">
      <c r="A156" t="inlineStr">
        <is>
          <t>CF-Net OCF</t>
        </is>
      </c>
      <c r="B156" s="20" t="inlineStr">
        <is>
          <t>Net Operating Cash Flow</t>
        </is>
      </c>
      <c r="C156" s="20" t="inlineStr">
        <is>
          <t>AUDm</t>
        </is>
      </c>
      <c r="D156" s="32" t="n">
        <v>34.947</v>
      </c>
      <c r="E156" s="32" t="n">
        <v>36.765</v>
      </c>
      <c r="F156" s="32" t="n">
        <v>57.327</v>
      </c>
      <c r="G156" s="21">
        <f>SUM(G151:G155)</f>
        <v/>
      </c>
      <c r="H156" s="21">
        <f>SUM(H151:H155)</f>
        <v/>
      </c>
      <c r="I156" s="21">
        <f>SUM(I151:I155)</f>
        <v/>
      </c>
      <c r="J156" s="21">
        <f>SUM(J151:J155)</f>
        <v/>
      </c>
      <c r="K156" s="21">
        <f>SUM(K151:K155)</f>
        <v/>
      </c>
      <c r="L156" s="21">
        <f>SUM(L151:L155)</f>
        <v/>
      </c>
      <c r="M156" s="21">
        <f>SUM(M151:M155)</f>
        <v/>
      </c>
      <c r="N156" s="21">
        <f>SUM(N151:N155)</f>
        <v/>
      </c>
      <c r="O156" s="21">
        <f>SUM(O151:O155)</f>
        <v/>
      </c>
      <c r="P156" s="21">
        <f>SUM(P151:P155)</f>
        <v/>
      </c>
    </row>
    <row r="157">
      <c r="B157" t="inlineStr">
        <is>
          <t>OCF Growth</t>
        </is>
      </c>
      <c r="C157" t="inlineStr">
        <is>
          <t>% YoY</t>
        </is>
      </c>
      <c r="D157" s="6" t="n"/>
      <c r="E157" s="6" t="n"/>
      <c r="F157" s="6" t="n"/>
      <c r="G157" s="6">
        <f>IF(F156=0,"",G156/F156-1)</f>
        <v/>
      </c>
      <c r="H157" s="6">
        <f>IF(G156=0,"",H156/G156-1)</f>
        <v/>
      </c>
      <c r="I157" s="6">
        <f>IF(H156=0,"",I156/H156-1)</f>
        <v/>
      </c>
      <c r="J157" s="6">
        <f>IF(I156=0,"",J156/I156-1)</f>
        <v/>
      </c>
      <c r="K157" s="6">
        <f>IF(J156=0,"",K156/J156-1)</f>
        <v/>
      </c>
      <c r="L157" s="6">
        <f>IF(K156=0,"",L156/K156-1)</f>
        <v/>
      </c>
      <c r="M157" s="6">
        <f>IF(L156=0,"",M156/L156-1)</f>
        <v/>
      </c>
      <c r="N157" s="6">
        <f>IF(M156=0,"",N156/M156-1)</f>
        <v/>
      </c>
      <c r="O157" s="6">
        <f>IF(N156=0,"",O156/N156-1)</f>
        <v/>
      </c>
      <c r="P157" s="6">
        <f>IF(O156=0,"",P156/O156-1)</f>
        <v/>
      </c>
    </row>
    <row r="159">
      <c r="B159" s="5" t="inlineStr">
        <is>
          <t>CFI</t>
        </is>
      </c>
    </row>
    <row r="160">
      <c r="A160" t="inlineStr">
        <is>
          <t>CF-Capex PPE</t>
        </is>
      </c>
      <c r="B160" t="inlineStr">
        <is>
          <t>Capex (PPE)</t>
        </is>
      </c>
      <c r="C160" t="inlineStr">
        <is>
          <t>AUDm</t>
        </is>
      </c>
      <c r="D160" s="19" t="n">
        <v>-39.713</v>
      </c>
      <c r="E160" s="19" t="n">
        <v>-33.496</v>
      </c>
      <c r="F160" s="19" t="n">
        <v>-61.326</v>
      </c>
      <c r="G160" s="4">
        <f>F160*1.10</f>
        <v/>
      </c>
      <c r="H160" s="4">
        <f>G160*1.10</f>
        <v/>
      </c>
      <c r="I160" s="4">
        <f>H160*1.10</f>
        <v/>
      </c>
      <c r="J160" s="4">
        <f>I160*1.10</f>
        <v/>
      </c>
      <c r="K160" s="4">
        <f>J160*1.10</f>
        <v/>
      </c>
      <c r="L160" s="4">
        <f>K160*1.10</f>
        <v/>
      </c>
      <c r="M160" s="4">
        <f>L160*1.10</f>
        <v/>
      </c>
      <c r="N160" s="4">
        <f>M160*1.10</f>
        <v/>
      </c>
      <c r="O160" s="4">
        <f>N160*1.10</f>
        <v/>
      </c>
      <c r="P160" s="4">
        <f>O160*1.10</f>
        <v/>
      </c>
    </row>
    <row r="161">
      <c r="B161" s="25" t="inlineStr">
        <is>
          <t>Capex / Sales</t>
        </is>
      </c>
      <c r="C161" t="inlineStr">
        <is>
          <t>%</t>
        </is>
      </c>
      <c r="D161" s="6">
        <f>IF(D7=0,"",D160/D7)</f>
        <v/>
      </c>
      <c r="E161" s="6">
        <f>IF(E7=0,"",E160/E7)</f>
        <v/>
      </c>
      <c r="F161" s="6">
        <f>IF(F7=0,"",F160/F7)</f>
        <v/>
      </c>
      <c r="G161" s="26">
        <f>IF(G7=0,"",G160/G7)</f>
        <v/>
      </c>
      <c r="H161" s="26">
        <f>IF(H7=0,"",H160/H7)</f>
        <v/>
      </c>
      <c r="I161" s="26">
        <f>IF(I7=0,"",I160/I7)</f>
        <v/>
      </c>
      <c r="J161" s="26">
        <f>IF(J7=0,"",J160/J7)</f>
        <v/>
      </c>
      <c r="K161" s="26">
        <f>IF(K7=0,"",K160/K7)</f>
        <v/>
      </c>
      <c r="L161" s="26">
        <f>IF(L7=0,"",L160/L7)</f>
        <v/>
      </c>
      <c r="M161" s="26">
        <f>IF(M7=0,"",M160/M7)</f>
        <v/>
      </c>
      <c r="N161" s="26">
        <f>IF(N7=0,"",N160/N7)</f>
        <v/>
      </c>
      <c r="O161" s="26">
        <f>IF(O7=0,"",O160/O7)</f>
        <v/>
      </c>
      <c r="P161" s="26">
        <f>IF(P7=0,"",P160/P7)</f>
        <v/>
      </c>
    </row>
    <row r="162">
      <c r="A162" t="inlineStr">
        <is>
          <t>CF-Capex Intang</t>
        </is>
      </c>
      <c r="B162" t="inlineStr">
        <is>
          <t>Capex (Intangibles)</t>
        </is>
      </c>
      <c r="C162" t="inlineStr">
        <is>
          <t>AUDm</t>
        </is>
      </c>
      <c r="D162" s="41" t="n">
        <v>0</v>
      </c>
      <c r="E162" s="41" t="n">
        <v>0</v>
      </c>
      <c r="F162" s="41" t="n">
        <v>0</v>
      </c>
      <c r="G162" s="42" t="n">
        <v>0</v>
      </c>
      <c r="H162" s="42" t="n">
        <v>0</v>
      </c>
      <c r="I162" s="42" t="n">
        <v>0</v>
      </c>
      <c r="J162" s="42" t="n">
        <v>0</v>
      </c>
      <c r="K162" s="42" t="n">
        <v>0</v>
      </c>
      <c r="L162" s="42" t="n">
        <v>0</v>
      </c>
      <c r="M162" s="42" t="n">
        <v>0</v>
      </c>
      <c r="N162" s="42" t="n">
        <v>0</v>
      </c>
      <c r="O162" s="42" t="n">
        <v>0</v>
      </c>
      <c r="P162" s="42" t="n">
        <v>0</v>
      </c>
    </row>
    <row r="163">
      <c r="A163" t="inlineStr">
        <is>
          <t>CF-Acquisitions</t>
        </is>
      </c>
      <c r="B163" t="inlineStr">
        <is>
          <t>Acquisitions</t>
        </is>
      </c>
      <c r="C163" t="inlineStr">
        <is>
          <t>AUDm</t>
        </is>
      </c>
      <c r="D163" s="19" t="n">
        <v>0</v>
      </c>
      <c r="E163" s="41" t="n">
        <v>0</v>
      </c>
      <c r="F163" s="41" t="n">
        <v>0</v>
      </c>
      <c r="G163" s="42" t="n">
        <v>0</v>
      </c>
      <c r="H163" s="42" t="n">
        <v>0</v>
      </c>
      <c r="I163" s="42" t="n">
        <v>0</v>
      </c>
      <c r="J163" s="42" t="n">
        <v>0</v>
      </c>
      <c r="K163" s="42" t="n">
        <v>0</v>
      </c>
      <c r="L163" s="42" t="n">
        <v>0</v>
      </c>
      <c r="M163" s="42" t="n">
        <v>0</v>
      </c>
      <c r="N163" s="42" t="n">
        <v>0</v>
      </c>
      <c r="O163" s="42" t="n">
        <v>0</v>
      </c>
      <c r="P163" s="42" t="n">
        <v>0</v>
      </c>
    </row>
    <row r="164">
      <c r="A164" t="inlineStr">
        <is>
          <t>CF-Asset Sales</t>
        </is>
      </c>
      <c r="B164" t="inlineStr">
        <is>
          <t>Asset Sales / Other</t>
        </is>
      </c>
      <c r="C164" t="inlineStr">
        <is>
          <t>AUDm</t>
        </is>
      </c>
      <c r="D164" s="19" t="n">
        <v>0</v>
      </c>
      <c r="E164" s="19" t="n">
        <v>0</v>
      </c>
      <c r="F164" s="19" t="n">
        <v>0</v>
      </c>
      <c r="G164" s="42" t="n">
        <v>0</v>
      </c>
      <c r="H164" s="42" t="n">
        <v>0</v>
      </c>
      <c r="I164" s="42" t="n">
        <v>0</v>
      </c>
      <c r="J164" s="42" t="n">
        <v>0</v>
      </c>
      <c r="K164" s="42" t="n">
        <v>0</v>
      </c>
      <c r="L164" s="42" t="n">
        <v>0</v>
      </c>
      <c r="M164" s="42" t="n">
        <v>0</v>
      </c>
      <c r="N164" s="42" t="n">
        <v>0</v>
      </c>
      <c r="O164" s="42" t="n">
        <v>0</v>
      </c>
      <c r="P164" s="42" t="n">
        <v>0</v>
      </c>
    </row>
    <row r="165">
      <c r="A165" t="inlineStr">
        <is>
          <t>CF-Other CFI</t>
        </is>
      </c>
      <c r="B165" t="inlineStr">
        <is>
          <t>Other</t>
        </is>
      </c>
      <c r="C165" t="inlineStr">
        <is>
          <t>AUDm</t>
        </is>
      </c>
      <c r="D165" s="4" t="n">
        <v>0</v>
      </c>
      <c r="E165" s="4" t="n">
        <v>0</v>
      </c>
      <c r="F165" s="4" t="n">
        <v>0</v>
      </c>
      <c r="G165" s="42" t="n">
        <v>0</v>
      </c>
      <c r="H165" s="42" t="n">
        <v>0</v>
      </c>
      <c r="I165" s="42" t="n">
        <v>0</v>
      </c>
      <c r="J165" s="42" t="n">
        <v>0</v>
      </c>
      <c r="K165" s="42" t="n">
        <v>0</v>
      </c>
      <c r="L165" s="42" t="n">
        <v>0</v>
      </c>
      <c r="M165" s="42" t="n">
        <v>0</v>
      </c>
      <c r="N165" s="42" t="n">
        <v>0</v>
      </c>
      <c r="O165" s="42" t="n">
        <v>0</v>
      </c>
      <c r="P165" s="42" t="n">
        <v>0</v>
      </c>
    </row>
    <row r="166">
      <c r="B166" s="20" t="inlineStr">
        <is>
          <t>Total Investing Cash Flow</t>
        </is>
      </c>
      <c r="C166" s="20" t="inlineStr">
        <is>
          <t>AUDm</t>
        </is>
      </c>
      <c r="D166" s="32" t="n">
        <v>-48.403</v>
      </c>
      <c r="E166" s="32" t="n">
        <v>-311.818</v>
      </c>
      <c r="F166" s="32" t="n">
        <v>-34.551</v>
      </c>
      <c r="G166" s="21">
        <f>SUM(G160:G165)</f>
        <v/>
      </c>
      <c r="H166" s="21">
        <f>SUM(H160:H165)</f>
        <v/>
      </c>
      <c r="I166" s="21">
        <f>SUM(I160:I165)</f>
        <v/>
      </c>
      <c r="J166" s="21">
        <f>SUM(J160:J165)</f>
        <v/>
      </c>
      <c r="K166" s="21">
        <f>SUM(K160:K165)</f>
        <v/>
      </c>
      <c r="L166" s="21">
        <f>SUM(L160:L165)</f>
        <v/>
      </c>
      <c r="M166" s="21">
        <f>SUM(M160:M165)</f>
        <v/>
      </c>
      <c r="N166" s="21">
        <f>SUM(N160:N165)</f>
        <v/>
      </c>
      <c r="O166" s="21">
        <f>SUM(O160:O165)</f>
        <v/>
      </c>
      <c r="P166" s="21">
        <f>SUM(P160:P165)</f>
        <v/>
      </c>
    </row>
    <row r="168">
      <c r="B168" s="5" t="inlineStr">
        <is>
          <t>CFF</t>
        </is>
      </c>
    </row>
    <row r="169">
      <c r="A169" t="inlineStr">
        <is>
          <t>CF-Dividends</t>
        </is>
      </c>
      <c r="B169" t="inlineStr">
        <is>
          <t>Dividends Paid</t>
        </is>
      </c>
      <c r="C169" t="inlineStr">
        <is>
          <t>AUDm</t>
        </is>
      </c>
      <c r="D169" s="19" t="n">
        <v>0</v>
      </c>
      <c r="E169" s="19" t="n">
        <v>0</v>
      </c>
      <c r="F169" s="19" t="n">
        <v>-13</v>
      </c>
      <c r="G169" s="4">
        <f>-F89</f>
        <v/>
      </c>
      <c r="H169" s="4">
        <f>-G89</f>
        <v/>
      </c>
      <c r="I169" s="4">
        <f>-H89</f>
        <v/>
      </c>
      <c r="J169" s="4">
        <f>-I89</f>
        <v/>
      </c>
      <c r="K169" s="4">
        <f>-J89</f>
        <v/>
      </c>
      <c r="L169" s="4">
        <f>-K89</f>
        <v/>
      </c>
      <c r="M169" s="4">
        <f>-L89</f>
        <v/>
      </c>
      <c r="N169" s="4">
        <f>-M89</f>
        <v/>
      </c>
      <c r="O169" s="4">
        <f>-N89</f>
        <v/>
      </c>
      <c r="P169" s="4">
        <f>-O89</f>
        <v/>
      </c>
    </row>
    <row r="170">
      <c r="A170" t="inlineStr">
        <is>
          <t>CF-Share Issues</t>
        </is>
      </c>
      <c r="B170" t="inlineStr">
        <is>
          <t>Share Issues / Buybacks</t>
        </is>
      </c>
      <c r="C170" t="inlineStr">
        <is>
          <t>AUDm</t>
        </is>
      </c>
      <c r="D170" s="4" t="n">
        <v>0</v>
      </c>
      <c r="E170" s="4" t="n">
        <v>254.934</v>
      </c>
      <c r="F170" s="4" t="n">
        <v>0</v>
      </c>
      <c r="G170" s="43" t="n">
        <v>0</v>
      </c>
      <c r="H170" s="42" t="n">
        <v>0</v>
      </c>
      <c r="I170" s="42" t="n">
        <v>0</v>
      </c>
      <c r="J170" s="42" t="n">
        <v>0</v>
      </c>
      <c r="K170" s="42" t="n">
        <v>0</v>
      </c>
      <c r="L170" s="42" t="n">
        <v>0</v>
      </c>
      <c r="M170" s="42" t="n">
        <v>0</v>
      </c>
      <c r="N170" s="42" t="n">
        <v>0</v>
      </c>
      <c r="O170" s="42" t="n">
        <v>0</v>
      </c>
      <c r="P170" s="42" t="n">
        <v>0</v>
      </c>
    </row>
    <row r="171">
      <c r="A171" t="inlineStr">
        <is>
          <t>CF-Lease Principal</t>
        </is>
      </c>
      <c r="B171" t="inlineStr">
        <is>
          <t>Lease Principal Payments</t>
        </is>
      </c>
      <c r="C171" t="inlineStr">
        <is>
          <t>AUDm</t>
        </is>
      </c>
      <c r="D171" s="19" t="n">
        <v>0</v>
      </c>
      <c r="E171" s="19" t="n">
        <v>0</v>
      </c>
      <c r="F171" s="19" t="n">
        <v>0</v>
      </c>
      <c r="G171" s="4">
        <f>-G127*0.08</f>
        <v/>
      </c>
      <c r="H171" s="4">
        <f>-H127*0.08</f>
        <v/>
      </c>
      <c r="I171" s="4">
        <f>-I127*0.08</f>
        <v/>
      </c>
      <c r="J171" s="4">
        <f>-J127*0.08</f>
        <v/>
      </c>
      <c r="K171" s="4">
        <f>-K127*0.08</f>
        <v/>
      </c>
      <c r="L171" s="4">
        <f>-L127*0.08</f>
        <v/>
      </c>
      <c r="M171" s="4">
        <f>-M127*0.08</f>
        <v/>
      </c>
      <c r="N171" s="4">
        <f>-N127*0.08</f>
        <v/>
      </c>
      <c r="O171" s="4">
        <f>-O127*0.08</f>
        <v/>
      </c>
      <c r="P171" s="4">
        <f>-P127*0.08</f>
        <v/>
      </c>
    </row>
    <row r="172">
      <c r="A172" t="inlineStr">
        <is>
          <t>CF-Debt Change</t>
        </is>
      </c>
      <c r="B172" t="inlineStr">
        <is>
          <t>Change in Debt</t>
        </is>
      </c>
      <c r="C172" t="inlineStr">
        <is>
          <t>AUDm</t>
        </is>
      </c>
      <c r="D172" s="4" t="n">
        <v>0</v>
      </c>
      <c r="E172" s="4" t="n">
        <v>0</v>
      </c>
      <c r="F172" s="4" t="n">
        <v>0</v>
      </c>
      <c r="G172" s="42" t="n">
        <v>0</v>
      </c>
      <c r="H172" s="42" t="n">
        <v>0</v>
      </c>
      <c r="I172" s="42" t="n">
        <v>0</v>
      </c>
      <c r="J172" s="42" t="n">
        <v>0</v>
      </c>
      <c r="K172" s="42" t="n">
        <v>0</v>
      </c>
      <c r="L172" s="42" t="n">
        <v>0</v>
      </c>
      <c r="M172" s="42" t="n">
        <v>0</v>
      </c>
      <c r="N172" s="42" t="n">
        <v>0</v>
      </c>
      <c r="O172" s="42" t="n">
        <v>0</v>
      </c>
      <c r="P172" s="42" t="n">
        <v>0</v>
      </c>
    </row>
    <row r="173">
      <c r="A173" t="inlineStr">
        <is>
          <t>CF-Other CFF</t>
        </is>
      </c>
      <c r="B173" t="inlineStr">
        <is>
          <t>Other</t>
        </is>
      </c>
      <c r="C173" t="inlineStr">
        <is>
          <t>AUDm</t>
        </is>
      </c>
      <c r="D173" s="4" t="n">
        <v>0</v>
      </c>
      <c r="E173" s="4" t="n">
        <v>0</v>
      </c>
      <c r="F173" s="4" t="n">
        <v>0</v>
      </c>
      <c r="G173" s="42" t="n">
        <v>0</v>
      </c>
      <c r="H173" s="42" t="n">
        <v>0</v>
      </c>
      <c r="I173" s="42" t="n">
        <v>0</v>
      </c>
      <c r="J173" s="42" t="n">
        <v>0</v>
      </c>
      <c r="K173" s="42" t="n">
        <v>0</v>
      </c>
      <c r="L173" s="42" t="n">
        <v>0</v>
      </c>
      <c r="M173" s="42" t="n">
        <v>0</v>
      </c>
      <c r="N173" s="42" t="n">
        <v>0</v>
      </c>
      <c r="O173" s="42" t="n">
        <v>0</v>
      </c>
      <c r="P173" s="42" t="n">
        <v>0</v>
      </c>
    </row>
    <row r="174">
      <c r="B174" s="20" t="inlineStr">
        <is>
          <t>Total Financing Cash Flow</t>
        </is>
      </c>
      <c r="C174" s="20" t="inlineStr">
        <is>
          <t>AUDm</t>
        </is>
      </c>
      <c r="D174" s="32" t="n">
        <v>-4.467</v>
      </c>
      <c r="E174" s="32" t="n">
        <v>254.934</v>
      </c>
      <c r="F174" s="32" t="n">
        <v>0.679</v>
      </c>
      <c r="G174" s="21">
        <f>SUM(G169:G173)</f>
        <v/>
      </c>
      <c r="H174" s="21">
        <f>SUM(H169:H173)</f>
        <v/>
      </c>
      <c r="I174" s="21">
        <f>SUM(I169:I173)</f>
        <v/>
      </c>
      <c r="J174" s="21">
        <f>SUM(J169:J173)</f>
        <v/>
      </c>
      <c r="K174" s="21">
        <f>SUM(K169:K173)</f>
        <v/>
      </c>
      <c r="L174" s="21">
        <f>SUM(L169:L173)</f>
        <v/>
      </c>
      <c r="M174" s="21">
        <f>SUM(M169:M173)</f>
        <v/>
      </c>
      <c r="N174" s="21">
        <f>SUM(N169:N173)</f>
        <v/>
      </c>
      <c r="O174" s="21">
        <f>SUM(O169:O173)</f>
        <v/>
      </c>
      <c r="P174" s="21">
        <f>SUM(P169:P173)</f>
        <v/>
      </c>
    </row>
    <row r="176">
      <c r="B176" s="20" t="inlineStr">
        <is>
          <t>Net Change in Cash</t>
        </is>
      </c>
      <c r="C176" s="20" t="inlineStr">
        <is>
          <t>AUDm</t>
        </is>
      </c>
      <c r="D176" s="21" t="n">
        <v>-17.923</v>
      </c>
      <c r="E176" s="21" t="n">
        <v>-20.119</v>
      </c>
      <c r="F176" s="21" t="n">
        <v>23.455</v>
      </c>
      <c r="G176" s="21">
        <f>G156+G166+G174</f>
        <v/>
      </c>
      <c r="H176" s="21">
        <f>H156+H166+H174</f>
        <v/>
      </c>
      <c r="I176" s="21">
        <f>I156+I166+I174</f>
        <v/>
      </c>
      <c r="J176" s="21">
        <f>J156+J166+J174</f>
        <v/>
      </c>
      <c r="K176" s="21">
        <f>K156+K166+K174</f>
        <v/>
      </c>
      <c r="L176" s="21">
        <f>L156+L166+L174</f>
        <v/>
      </c>
      <c r="M176" s="21">
        <f>M156+M166+M174</f>
        <v/>
      </c>
      <c r="N176" s="21">
        <f>N156+N166+N174</f>
        <v/>
      </c>
      <c r="O176" s="21">
        <f>O156+O166+O174</f>
        <v/>
      </c>
      <c r="P176" s="21">
        <f>P156+P166+P174</f>
        <v/>
      </c>
    </row>
    <row r="178">
      <c r="A178" s="2" t="n"/>
      <c r="B178" s="18" t="inlineStr">
        <is>
          <t>Operating Free Cash Flow</t>
        </is>
      </c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B179" s="8" t="inlineStr">
        <is>
          <t>Net OCF</t>
        </is>
      </c>
      <c r="C179" t="inlineStr">
        <is>
          <t>AUDm</t>
        </is>
      </c>
      <c r="D179" s="4">
        <f>D156</f>
        <v/>
      </c>
      <c r="E179" s="4">
        <f>E156</f>
        <v/>
      </c>
      <c r="F179" s="4">
        <f>F156</f>
        <v/>
      </c>
      <c r="G179" s="4">
        <f>G156</f>
        <v/>
      </c>
      <c r="H179" s="4">
        <f>H156</f>
        <v/>
      </c>
      <c r="I179" s="4">
        <f>I156</f>
        <v/>
      </c>
      <c r="J179" s="4">
        <f>J156</f>
        <v/>
      </c>
      <c r="K179" s="4">
        <f>K156</f>
        <v/>
      </c>
      <c r="L179" s="4">
        <f>L156</f>
        <v/>
      </c>
      <c r="M179" s="4">
        <f>M156</f>
        <v/>
      </c>
      <c r="N179" s="4">
        <f>N156</f>
        <v/>
      </c>
      <c r="O179" s="4">
        <f>O156</f>
        <v/>
      </c>
      <c r="P179" s="4">
        <f>P156</f>
        <v/>
      </c>
    </row>
    <row r="180">
      <c r="B180" s="8" t="inlineStr">
        <is>
          <t>Net Capex</t>
        </is>
      </c>
      <c r="C180" t="inlineStr">
        <is>
          <t>AUDm</t>
        </is>
      </c>
      <c r="D180" s="4">
        <f>D160</f>
        <v/>
      </c>
      <c r="E180" s="4">
        <f>E160</f>
        <v/>
      </c>
      <c r="F180" s="4">
        <f>F160</f>
        <v/>
      </c>
      <c r="G180" s="4">
        <f>G160</f>
        <v/>
      </c>
      <c r="H180" s="4">
        <f>H160</f>
        <v/>
      </c>
      <c r="I180" s="4">
        <f>I160</f>
        <v/>
      </c>
      <c r="J180" s="4">
        <f>J160</f>
        <v/>
      </c>
      <c r="K180" s="4">
        <f>K160</f>
        <v/>
      </c>
      <c r="L180" s="4">
        <f>L160</f>
        <v/>
      </c>
      <c r="M180" s="4">
        <f>M160</f>
        <v/>
      </c>
      <c r="N180" s="4">
        <f>N160</f>
        <v/>
      </c>
      <c r="O180" s="4">
        <f>O160</f>
        <v/>
      </c>
      <c r="P180" s="4">
        <f>P160</f>
        <v/>
      </c>
    </row>
    <row r="181">
      <c r="B181" s="8" t="inlineStr">
        <is>
          <t>Lease Principal</t>
        </is>
      </c>
      <c r="C181" t="inlineStr">
        <is>
          <t>AUDm</t>
        </is>
      </c>
      <c r="D181" s="4">
        <f>D171</f>
        <v/>
      </c>
      <c r="E181" s="4">
        <f>E171</f>
        <v/>
      </c>
      <c r="F181" s="4">
        <f>F171</f>
        <v/>
      </c>
      <c r="G181" s="4">
        <f>G171</f>
        <v/>
      </c>
      <c r="H181" s="4">
        <f>H171</f>
        <v/>
      </c>
      <c r="I181" s="4">
        <f>I171</f>
        <v/>
      </c>
      <c r="J181" s="4">
        <f>J171</f>
        <v/>
      </c>
      <c r="K181" s="4">
        <f>K171</f>
        <v/>
      </c>
      <c r="L181" s="4">
        <f>L171</f>
        <v/>
      </c>
      <c r="M181" s="4">
        <f>M171</f>
        <v/>
      </c>
      <c r="N181" s="4">
        <f>N171</f>
        <v/>
      </c>
      <c r="O181" s="4">
        <f>O171</f>
        <v/>
      </c>
      <c r="P181" s="4">
        <f>P171</f>
        <v/>
      </c>
    </row>
    <row r="182">
      <c r="B182" s="20" t="inlineStr">
        <is>
          <t>Operating Free Cash Flow</t>
        </is>
      </c>
      <c r="C182" s="20" t="inlineStr">
        <is>
          <t>AUDm</t>
        </is>
      </c>
      <c r="D182" s="21">
        <f>D179+D180+D181</f>
        <v/>
      </c>
      <c r="E182" s="21">
        <f>E179+E180+E181</f>
        <v/>
      </c>
      <c r="F182" s="21">
        <f>F179+F180+F181</f>
        <v/>
      </c>
      <c r="G182" s="21">
        <f>G179+G180+G181</f>
        <v/>
      </c>
      <c r="H182" s="21">
        <f>H179+H180+H181</f>
        <v/>
      </c>
      <c r="I182" s="21">
        <f>I179+I180+I181</f>
        <v/>
      </c>
      <c r="J182" s="21">
        <f>J179+J180+J181</f>
        <v/>
      </c>
      <c r="K182" s="21">
        <f>K179+K180+K181</f>
        <v/>
      </c>
      <c r="L182" s="21">
        <f>L179+L180+L181</f>
        <v/>
      </c>
      <c r="M182" s="21">
        <f>M179+M180+M181</f>
        <v/>
      </c>
      <c r="N182" s="21">
        <f>N179+N180+N181</f>
        <v/>
      </c>
      <c r="O182" s="21">
        <f>O179+O180+O181</f>
        <v/>
      </c>
      <c r="P182" s="21">
        <f>P179+P180+P181</f>
        <v/>
      </c>
    </row>
    <row r="183">
      <c r="B183" s="8" t="inlineStr">
        <is>
          <t>FCF per Share</t>
        </is>
      </c>
      <c r="C183" t="inlineStr">
        <is>
          <t>AUDps</t>
        </is>
      </c>
      <c r="D183" s="9">
        <f>IF(D82=0,"",D182/D82)</f>
        <v/>
      </c>
      <c r="E183" s="9">
        <f>IF(E82=0,"",E182/E82)</f>
        <v/>
      </c>
      <c r="F183" s="9">
        <f>IF(F82=0,"",F182/F82)</f>
        <v/>
      </c>
      <c r="G183" s="9">
        <f>IF(G82=0,"",G182/G82)</f>
        <v/>
      </c>
      <c r="H183" s="9">
        <f>IF(H82=0,"",H182/H82)</f>
        <v/>
      </c>
      <c r="I183" s="9">
        <f>IF(I82=0,"",I182/I82)</f>
        <v/>
      </c>
      <c r="J183" s="9">
        <f>IF(J82=0,"",J182/J82)</f>
        <v/>
      </c>
      <c r="K183" s="9">
        <f>IF(K82=0,"",K182/K82)</f>
        <v/>
      </c>
      <c r="L183" s="9">
        <f>IF(L82=0,"",L182/L82)</f>
        <v/>
      </c>
      <c r="M183" s="9">
        <f>IF(M82=0,"",M182/M82)</f>
        <v/>
      </c>
      <c r="N183" s="9">
        <f>IF(N82=0,"",N182/N82)</f>
        <v/>
      </c>
      <c r="O183" s="9">
        <f>IF(O82=0,"",O182/O82)</f>
        <v/>
      </c>
      <c r="P183" s="9">
        <f>IF(P82=0,"",P182/P82)</f>
        <v/>
      </c>
    </row>
    <row r="184">
      <c r="B184" s="8" t="inlineStr">
        <is>
          <t>FCF Yield</t>
        </is>
      </c>
      <c r="C184" t="inlineStr">
        <is>
          <t>%</t>
        </is>
      </c>
      <c r="D184" s="6">
        <f>IF(D82=0,"",D183/28)</f>
        <v/>
      </c>
      <c r="E184" s="6">
        <f>IF(E82=0,"",E183/28)</f>
        <v/>
      </c>
      <c r="F184" s="6">
        <f>IF(F82=0,"",F183/28)</f>
        <v/>
      </c>
      <c r="G184" s="6">
        <f>IF(G82=0,"",G183/28)</f>
        <v/>
      </c>
      <c r="H184" s="6">
        <f>IF(H82=0,"",H183/28)</f>
        <v/>
      </c>
      <c r="I184" s="6">
        <f>IF(I82=0,"",I183/28)</f>
        <v/>
      </c>
      <c r="J184" s="6">
        <f>IF(J82=0,"",J183/28)</f>
        <v/>
      </c>
      <c r="K184" s="6">
        <f>IF(K82=0,"",K183/28)</f>
        <v/>
      </c>
      <c r="L184" s="6">
        <f>IF(L82=0,"",L183/28)</f>
        <v/>
      </c>
      <c r="M184" s="6">
        <f>IF(M82=0,"",M183/28)</f>
        <v/>
      </c>
      <c r="N184" s="6">
        <f>IF(N82=0,"",N183/28)</f>
        <v/>
      </c>
      <c r="O184" s="6">
        <f>IF(O82=0,"",O183/28)</f>
        <v/>
      </c>
      <c r="P184" s="6">
        <f>IF(P82=0,"",P183/28)</f>
        <v/>
      </c>
    </row>
    <row r="185">
      <c r="B185" s="8" t="inlineStr">
        <is>
          <t>FCF Margin</t>
        </is>
      </c>
      <c r="C185" t="inlineStr">
        <is>
          <t>%</t>
        </is>
      </c>
      <c r="D185" s="6">
        <f>IF(D7=0,"",D182/D7)</f>
        <v/>
      </c>
      <c r="E185" s="6">
        <f>IF(E7=0,"",E182/E7)</f>
        <v/>
      </c>
      <c r="F185" s="6">
        <f>IF(F7=0,"",F182/F7)</f>
        <v/>
      </c>
      <c r="G185" s="6">
        <f>IF(G7=0,"",G182/G7)</f>
        <v/>
      </c>
      <c r="H185" s="6">
        <f>IF(H7=0,"",H182/H7)</f>
        <v/>
      </c>
      <c r="I185" s="6">
        <f>IF(I7=0,"",I182/I7)</f>
        <v/>
      </c>
      <c r="J185" s="6">
        <f>IF(J7=0,"",J182/J7)</f>
        <v/>
      </c>
      <c r="K185" s="6">
        <f>IF(K7=0,"",K182/K7)</f>
        <v/>
      </c>
      <c r="L185" s="6">
        <f>IF(L7=0,"",L182/L7)</f>
        <v/>
      </c>
      <c r="M185" s="6">
        <f>IF(M7=0,"",M182/M7)</f>
        <v/>
      </c>
      <c r="N185" s="6">
        <f>IF(N7=0,"",N182/N7)</f>
        <v/>
      </c>
      <c r="O185" s="6">
        <f>IF(O7=0,"",O182/O7)</f>
        <v/>
      </c>
      <c r="P185" s="6">
        <f>IF(P7=0,"",P182/P7)</f>
        <v/>
      </c>
    </row>
    <row r="188">
      <c r="A188" s="2" t="n"/>
      <c r="B188" s="18" t="inlineStr">
        <is>
          <t>ROIC</t>
        </is>
      </c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B189" s="8" t="inlineStr">
        <is>
          <t>Invested Capital</t>
        </is>
      </c>
      <c r="C189" t="inlineStr">
        <is>
          <t>AUDm</t>
        </is>
      </c>
      <c r="D189" s="4">
        <f>D141+D128-D110+D127</f>
        <v/>
      </c>
      <c r="E189" s="4">
        <f>E141+E128-E110+E127</f>
        <v/>
      </c>
      <c r="F189" s="4">
        <f>F141+F128-F110+F127</f>
        <v/>
      </c>
      <c r="G189" s="4">
        <f>G141+G128-G110+G127</f>
        <v/>
      </c>
      <c r="H189" s="4">
        <f>H141+H128-H110+H127</f>
        <v/>
      </c>
      <c r="I189" s="4">
        <f>I141+I128-I110+I127</f>
        <v/>
      </c>
      <c r="J189" s="4">
        <f>J141+J128-J110+J127</f>
        <v/>
      </c>
      <c r="K189" s="4">
        <f>K141+K128-K110+K127</f>
        <v/>
      </c>
      <c r="L189" s="4">
        <f>L141+L128-L110+L127</f>
        <v/>
      </c>
      <c r="M189" s="4">
        <f>M141+M128-M110+M127</f>
        <v/>
      </c>
      <c r="N189" s="4">
        <f>N141+N128-N110+N127</f>
        <v/>
      </c>
      <c r="O189" s="4">
        <f>O141+O128-O110+O127</f>
        <v/>
      </c>
      <c r="P189" s="4">
        <f>P141+P128-P110+P127</f>
        <v/>
      </c>
    </row>
    <row r="190">
      <c r="B190" s="8" t="inlineStr">
        <is>
          <t>EBIT</t>
        </is>
      </c>
      <c r="C190" t="inlineStr">
        <is>
          <t>AUDm</t>
        </is>
      </c>
      <c r="D190" s="4">
        <f>D54</f>
        <v/>
      </c>
      <c r="E190" s="4">
        <f>E54</f>
        <v/>
      </c>
      <c r="F190" s="4">
        <f>F54</f>
        <v/>
      </c>
      <c r="G190" s="4">
        <f>G54</f>
        <v/>
      </c>
      <c r="H190" s="4">
        <f>H54</f>
        <v/>
      </c>
      <c r="I190" s="4">
        <f>I54</f>
        <v/>
      </c>
      <c r="J190" s="4">
        <f>J54</f>
        <v/>
      </c>
      <c r="K190" s="4">
        <f>K54</f>
        <v/>
      </c>
      <c r="L190" s="4">
        <f>L54</f>
        <v/>
      </c>
      <c r="M190" s="4">
        <f>M54</f>
        <v/>
      </c>
      <c r="N190" s="4">
        <f>N54</f>
        <v/>
      </c>
      <c r="O190" s="4">
        <f>O54</f>
        <v/>
      </c>
      <c r="P190" s="4">
        <f>P54</f>
        <v/>
      </c>
    </row>
    <row r="191">
      <c r="B191" s="8" t="inlineStr">
        <is>
          <t>ROFE</t>
        </is>
      </c>
      <c r="C191" t="inlineStr">
        <is>
          <t>%</t>
        </is>
      </c>
      <c r="D191" s="6">
        <f>IF(D189=0,"",D190/D189)</f>
        <v/>
      </c>
      <c r="E191" s="6">
        <f>IF(E189=0,"",E190/E189)</f>
        <v/>
      </c>
      <c r="F191" s="6">
        <f>IF(F189=0,"",F190/F189)</f>
        <v/>
      </c>
      <c r="G191" s="6">
        <f>IF(G189=0,"",G190/G189)</f>
        <v/>
      </c>
      <c r="H191" s="6">
        <f>IF(H189=0,"",H190/H189)</f>
        <v/>
      </c>
      <c r="I191" s="6">
        <f>IF(I189=0,"",I190/I189)</f>
        <v/>
      </c>
      <c r="J191" s="6">
        <f>IF(J189=0,"",J190/J189)</f>
        <v/>
      </c>
      <c r="K191" s="6">
        <f>IF(K189=0,"",K190/K189)</f>
        <v/>
      </c>
      <c r="L191" s="6">
        <f>IF(L189=0,"",L190/L189)</f>
        <v/>
      </c>
      <c r="M191" s="6">
        <f>IF(M189=0,"",M190/M189)</f>
        <v/>
      </c>
      <c r="N191" s="6">
        <f>IF(N189=0,"",N190/N189)</f>
        <v/>
      </c>
      <c r="O191" s="6">
        <f>IF(O189=0,"",O190/O189)</f>
        <v/>
      </c>
      <c r="P191" s="6">
        <f>IF(P189=0,"",P190/P189)</f>
        <v/>
      </c>
    </row>
    <row r="192">
      <c r="B192" s="8" t="inlineStr">
        <is>
          <t>NOPAT</t>
        </is>
      </c>
      <c r="C192" t="inlineStr">
        <is>
          <t>AUDm</t>
        </is>
      </c>
      <c r="D192" s="4">
        <f>D190*(1+D70)</f>
        <v/>
      </c>
      <c r="E192" s="4">
        <f>E190*(1+E70)</f>
        <v/>
      </c>
      <c r="F192" s="4">
        <f>F190*(1+F70)</f>
        <v/>
      </c>
      <c r="G192" s="4">
        <f>G190*(1+G70)</f>
        <v/>
      </c>
      <c r="H192" s="4">
        <f>H190*(1+H70)</f>
        <v/>
      </c>
      <c r="I192" s="4">
        <f>I190*(1+I70)</f>
        <v/>
      </c>
      <c r="J192" s="4">
        <f>J190*(1+J70)</f>
        <v/>
      </c>
      <c r="K192" s="4">
        <f>K190*(1+K70)</f>
        <v/>
      </c>
      <c r="L192" s="4">
        <f>L190*(1+L70)</f>
        <v/>
      </c>
      <c r="M192" s="4">
        <f>M190*(1+M70)</f>
        <v/>
      </c>
      <c r="N192" s="4">
        <f>N190*(1+N70)</f>
        <v/>
      </c>
      <c r="O192" s="4">
        <f>O190*(1+O70)</f>
        <v/>
      </c>
      <c r="P192" s="4">
        <f>P190*(1+P70)</f>
        <v/>
      </c>
    </row>
    <row r="193">
      <c r="B193" s="8" t="inlineStr">
        <is>
          <t>ROIC</t>
        </is>
      </c>
      <c r="C193" t="inlineStr">
        <is>
          <t>%</t>
        </is>
      </c>
      <c r="D193" s="6">
        <f>IF(D189=0,"",D192/D189)</f>
        <v/>
      </c>
      <c r="E193" s="6">
        <f>IF(E189=0,"",E192/E189)</f>
        <v/>
      </c>
      <c r="F193" s="6">
        <f>IF(F189=0,"",F192/F189)</f>
        <v/>
      </c>
      <c r="G193" s="6">
        <f>IF(G189=0,"",G192/G189)</f>
        <v/>
      </c>
      <c r="H193" s="6">
        <f>IF(H189=0,"",H192/H189)</f>
        <v/>
      </c>
      <c r="I193" s="6">
        <f>IF(I189=0,"",I192/I189)</f>
        <v/>
      </c>
      <c r="J193" s="6">
        <f>IF(J189=0,"",J192/J189)</f>
        <v/>
      </c>
      <c r="K193" s="6">
        <f>IF(K189=0,"",K192/K189)</f>
        <v/>
      </c>
      <c r="L193" s="6">
        <f>IF(L189=0,"",L192/L189)</f>
        <v/>
      </c>
      <c r="M193" s="6">
        <f>IF(M189=0,"",M192/M189)</f>
        <v/>
      </c>
      <c r="N193" s="6">
        <f>IF(N189=0,"",N192/N189)</f>
        <v/>
      </c>
      <c r="O193" s="6">
        <f>IF(O189=0,"",O192/O189)</f>
        <v/>
      </c>
      <c r="P193" s="6">
        <f>IF(P189=0,"",P192/P189)</f>
        <v/>
      </c>
    </row>
    <row r="196">
      <c r="B196" s="18" t="n"/>
    </row>
    <row r="197">
      <c r="B197" s="25" t="n"/>
      <c r="D197" s="6" t="n"/>
      <c r="E197" s="6" t="n"/>
      <c r="F197" s="6" t="n"/>
      <c r="G197" s="26" t="n"/>
      <c r="H197" s="26" t="n"/>
      <c r="I197" s="26" t="n"/>
      <c r="J197" s="26" t="n"/>
      <c r="K197" s="26" t="n"/>
      <c r="L197" s="26" t="n"/>
      <c r="M197" s="26" t="n"/>
      <c r="N197" s="26" t="n"/>
      <c r="O197" s="26" t="n"/>
      <c r="P197" s="26" t="n"/>
    </row>
    <row r="198">
      <c r="B198" s="25" t="n"/>
      <c r="D198" s="3" t="n"/>
      <c r="E198" s="3" t="n"/>
      <c r="F198" s="3" t="n"/>
      <c r="G198" s="48" t="n"/>
      <c r="H198" s="48" t="n"/>
      <c r="I198" s="48" t="n"/>
      <c r="J198" s="48" t="n"/>
      <c r="K198" s="48" t="n"/>
      <c r="L198" s="48" t="n"/>
      <c r="M198" s="48" t="n"/>
      <c r="N198" s="48" t="n"/>
      <c r="O198" s="48" t="n"/>
      <c r="P198" s="48" t="n"/>
    </row>
    <row r="199">
      <c r="B199" s="25" t="n"/>
      <c r="D199" s="3" t="n"/>
      <c r="E199" s="3" t="n"/>
      <c r="F199" s="3" t="n"/>
      <c r="G199" s="48" t="n"/>
      <c r="H199" s="48" t="n"/>
      <c r="I199" s="48" t="n"/>
      <c r="J199" s="48" t="n"/>
      <c r="K199" s="48" t="n"/>
      <c r="L199" s="48" t="n"/>
      <c r="M199" s="48" t="n"/>
      <c r="N199" s="48" t="n"/>
      <c r="O199" s="48" t="n"/>
      <c r="P199" s="48" t="n"/>
    </row>
  </sheetData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23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N114" sqref="N114"/>
    </sheetView>
  </sheetViews>
  <sheetFormatPr baseColWidth="8" defaultRowHeight="14.5"/>
  <cols>
    <col hidden="1" width="30" customWidth="1" min="1" max="1"/>
    <col width="32" customWidth="1" min="2" max="2"/>
    <col width="8" customWidth="1" min="3" max="3"/>
    <col width="11" customWidth="1" min="4" max="33"/>
  </cols>
  <sheetData>
    <row r="1">
      <c r="D1" t="n">
        <v>2023</v>
      </c>
      <c r="E1" t="n">
        <v>2023</v>
      </c>
      <c r="F1" t="n">
        <v>2024</v>
      </c>
      <c r="G1" t="n">
        <v>2024</v>
      </c>
      <c r="H1" t="n">
        <v>2025</v>
      </c>
      <c r="I1" t="n">
        <v>2025</v>
      </c>
      <c r="J1" t="n">
        <v>2026</v>
      </c>
      <c r="K1" t="n">
        <v>2026</v>
      </c>
      <c r="L1" t="n">
        <v>2027</v>
      </c>
      <c r="M1" t="n">
        <v>2027</v>
      </c>
      <c r="N1" t="n">
        <v>2028</v>
      </c>
      <c r="O1" t="n">
        <v>2028</v>
      </c>
      <c r="P1" t="n">
        <v>2029</v>
      </c>
      <c r="Q1" t="n">
        <v>2029</v>
      </c>
      <c r="R1" t="n">
        <v>2030</v>
      </c>
      <c r="S1" t="n">
        <v>2030</v>
      </c>
      <c r="T1" t="n">
        <v>2031</v>
      </c>
      <c r="U1" t="n">
        <v>2031</v>
      </c>
      <c r="V1" t="n">
        <v>2032</v>
      </c>
      <c r="W1" t="n">
        <v>2032</v>
      </c>
      <c r="X1" t="n">
        <v>2033</v>
      </c>
      <c r="Y1" t="n">
        <v>2033</v>
      </c>
      <c r="Z1" t="n">
        <v>2034</v>
      </c>
      <c r="AA1" t="n">
        <v>2034</v>
      </c>
      <c r="AB1" t="n">
        <v>2035</v>
      </c>
      <c r="AC1" t="n">
        <v>2035</v>
      </c>
    </row>
    <row r="2" ht="18.5" customHeight="1">
      <c r="B2" s="14" t="inlineStr">
        <is>
          <t>GYG Segments (Half-Year)</t>
        </is>
      </c>
      <c r="D2" s="15" t="inlineStr">
        <is>
          <t>Actual ----------&gt;</t>
        </is>
      </c>
      <c r="E2" s="15" t="n"/>
      <c r="F2" s="15" t="n"/>
      <c r="G2" s="15" t="n"/>
      <c r="H2" s="15" t="n"/>
      <c r="I2" s="15" t="n"/>
      <c r="J2" s="15" t="n"/>
      <c r="K2" s="16" t="inlineStr">
        <is>
          <t>Forecast -----&gt;</t>
        </is>
      </c>
      <c r="L2" s="16" t="n"/>
      <c r="M2" s="16" t="n"/>
      <c r="N2" s="16" t="n"/>
      <c r="O2" s="16" t="n"/>
      <c r="P2" s="16" t="n"/>
      <c r="Q2" s="16" t="n"/>
      <c r="R2" s="16" t="n"/>
      <c r="S2" s="16" t="n"/>
      <c r="T2" s="16" t="n"/>
      <c r="U2" s="16" t="n"/>
      <c r="V2" s="16" t="n"/>
      <c r="W2" s="16" t="n"/>
      <c r="X2" s="16" t="n"/>
      <c r="Y2" s="16" t="n"/>
      <c r="Z2" s="16" t="n"/>
      <c r="AA2" s="16" t="n"/>
      <c r="AB2" s="16" t="n"/>
      <c r="AC2" s="16" t="n"/>
    </row>
    <row r="3">
      <c r="B3" t="inlineStr">
        <is>
          <t>Guzman y Gomez (GYG.AX)</t>
        </is>
      </c>
      <c r="C3" t="inlineStr">
        <is>
          <t>Units</t>
        </is>
      </c>
      <c r="D3" s="7" t="inlineStr">
        <is>
          <t>1H23</t>
        </is>
      </c>
      <c r="E3" s="7" t="inlineStr">
        <is>
          <t>2H23</t>
        </is>
      </c>
      <c r="F3" s="7" t="inlineStr">
        <is>
          <t>1H24</t>
        </is>
      </c>
      <c r="G3" s="7" t="inlineStr">
        <is>
          <t>2H24</t>
        </is>
      </c>
      <c r="H3" s="7" t="inlineStr">
        <is>
          <t>1H25</t>
        </is>
      </c>
      <c r="I3" s="7" t="inlineStr">
        <is>
          <t>2H25</t>
        </is>
      </c>
      <c r="J3" s="7" t="inlineStr">
        <is>
          <t>1H26</t>
        </is>
      </c>
      <c r="K3" s="7" t="inlineStr">
        <is>
          <t>2H26</t>
        </is>
      </c>
      <c r="L3" s="7" t="inlineStr">
        <is>
          <t>1H27</t>
        </is>
      </c>
      <c r="M3" s="7" t="inlineStr">
        <is>
          <t>2H27</t>
        </is>
      </c>
      <c r="N3" s="7" t="inlineStr">
        <is>
          <t>1H28</t>
        </is>
      </c>
      <c r="O3" s="7" t="inlineStr">
        <is>
          <t>2H28</t>
        </is>
      </c>
      <c r="P3" s="7" t="inlineStr">
        <is>
          <t>1H29</t>
        </is>
      </c>
      <c r="Q3" s="7" t="inlineStr">
        <is>
          <t>2H29</t>
        </is>
      </c>
      <c r="R3" s="7" t="inlineStr">
        <is>
          <t>1H30</t>
        </is>
      </c>
      <c r="S3" s="7" t="inlineStr">
        <is>
          <t>2H30</t>
        </is>
      </c>
      <c r="T3" s="7" t="inlineStr">
        <is>
          <t>1H31</t>
        </is>
      </c>
      <c r="U3" s="7" t="inlineStr">
        <is>
          <t>2H31</t>
        </is>
      </c>
      <c r="V3" s="7" t="inlineStr">
        <is>
          <t>1H32</t>
        </is>
      </c>
      <c r="W3" s="7" t="inlineStr">
        <is>
          <t>2H32</t>
        </is>
      </c>
      <c r="X3" s="7" t="inlineStr">
        <is>
          <t>1H33</t>
        </is>
      </c>
      <c r="Y3" s="7" t="inlineStr">
        <is>
          <t>2H33</t>
        </is>
      </c>
      <c r="Z3" s="7" t="inlineStr">
        <is>
          <t>1H34</t>
        </is>
      </c>
      <c r="AA3" s="7" t="inlineStr">
        <is>
          <t>2H34</t>
        </is>
      </c>
      <c r="AB3" s="7" t="inlineStr">
        <is>
          <t>1H35</t>
        </is>
      </c>
      <c r="AC3" s="7" t="inlineStr">
        <is>
          <t>2H35</t>
        </is>
      </c>
    </row>
    <row r="4">
      <c r="D4" s="17" t="n">
        <v>44926</v>
      </c>
      <c r="E4" s="17" t="n">
        <v>45107</v>
      </c>
      <c r="F4" s="17" t="n">
        <v>45291</v>
      </c>
      <c r="G4" s="17" t="n">
        <v>45473</v>
      </c>
      <c r="H4" s="17" t="n">
        <v>45657</v>
      </c>
      <c r="I4" s="17" t="n">
        <v>45838</v>
      </c>
      <c r="J4" s="17" t="n">
        <v>46022</v>
      </c>
      <c r="K4" s="17" t="n">
        <v>46203</v>
      </c>
      <c r="L4" s="17" t="n">
        <v>46387</v>
      </c>
      <c r="M4" s="17" t="n">
        <v>46568</v>
      </c>
      <c r="N4" s="17" t="n">
        <v>46752</v>
      </c>
      <c r="O4" s="17" t="n">
        <v>46934</v>
      </c>
      <c r="P4" s="17" t="n">
        <v>47118</v>
      </c>
      <c r="Q4" s="17" t="n">
        <v>47299</v>
      </c>
      <c r="R4" s="17" t="n">
        <v>47483</v>
      </c>
      <c r="S4" s="17" t="n">
        <v>47664</v>
      </c>
      <c r="T4" s="17" t="n">
        <v>47848</v>
      </c>
      <c r="U4" s="17" t="n">
        <v>48029</v>
      </c>
      <c r="V4" s="17" t="n">
        <v>48213</v>
      </c>
      <c r="W4" s="17" t="n">
        <v>48395</v>
      </c>
      <c r="X4" s="17" t="n">
        <v>48579</v>
      </c>
      <c r="Y4" s="17" t="n">
        <v>48760</v>
      </c>
      <c r="Z4" s="17" t="n">
        <v>48944</v>
      </c>
      <c r="AA4" s="17" t="n">
        <v>49125</v>
      </c>
      <c r="AB4" s="17" t="n">
        <v>49309</v>
      </c>
      <c r="AC4" s="17" t="n">
        <v>49490</v>
      </c>
    </row>
    <row r="5">
      <c r="A5" s="2" t="n"/>
      <c r="B5" s="18" t="inlineStr">
        <is>
          <t>P&amp;L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</row>
    <row r="6">
      <c r="B6" s="5" t="inlineStr">
        <is>
          <t>Revenue</t>
        </is>
      </c>
    </row>
    <row r="7">
      <c r="A7" t="inlineStr">
        <is>
          <t>Rev-Total Revenue</t>
        </is>
      </c>
      <c r="B7" t="inlineStr">
        <is>
          <t>Total Revenue</t>
        </is>
      </c>
      <c r="C7" t="inlineStr">
        <is>
          <t>AUDm</t>
        </is>
      </c>
      <c r="D7" s="19" t="n">
        <v>124</v>
      </c>
      <c r="E7" s="4" t="n">
        <v>135.044</v>
      </c>
      <c r="F7" s="19" t="n">
        <v>167.287</v>
      </c>
      <c r="G7" s="4" t="n">
        <v>174.927</v>
      </c>
      <c r="H7" s="19" t="n">
        <v>212.419</v>
      </c>
      <c r="I7" s="4" t="n">
        <v>223.563</v>
      </c>
      <c r="J7" s="19" t="n">
        <v>261.201</v>
      </c>
      <c r="K7" s="4">
        <f>K104+K109+K118+K121</f>
        <v/>
      </c>
      <c r="L7" s="4">
        <f>L104+L109+L118+L121</f>
        <v/>
      </c>
      <c r="M7" s="4">
        <f>M104+M109+M118+M121</f>
        <v/>
      </c>
      <c r="N7" s="4">
        <f>N104+N109+N118+N121</f>
        <v/>
      </c>
      <c r="O7" s="4">
        <f>O104+O109+O118+O121</f>
        <v/>
      </c>
      <c r="P7" s="4">
        <f>P104+P109+P118+P121</f>
        <v/>
      </c>
      <c r="Q7" s="4">
        <f>Q104+Q109+Q118+Q121</f>
        <v/>
      </c>
      <c r="R7" s="4">
        <f>R104+R109+R118+R121</f>
        <v/>
      </c>
      <c r="S7" s="4">
        <f>S104+S109+S118+S121</f>
        <v/>
      </c>
      <c r="T7" s="4">
        <f>T104+T109+T118+T121</f>
        <v/>
      </c>
      <c r="U7" s="4">
        <f>U104+U109+U118+U121</f>
        <v/>
      </c>
      <c r="V7" s="4">
        <f>V104+V109+V118+V121</f>
        <v/>
      </c>
      <c r="W7" s="4">
        <f>W104+W109+W118+W121</f>
        <v/>
      </c>
      <c r="X7" s="4">
        <f>X104+X109+X118+X121</f>
        <v/>
      </c>
      <c r="Y7" s="4">
        <f>Y104+Y109+Y118+Y121</f>
        <v/>
      </c>
      <c r="Z7" s="4">
        <f>Z104+Z109+Z118+Z121</f>
        <v/>
      </c>
      <c r="AA7" s="4">
        <f>AA104+AA109+AA118+AA121</f>
        <v/>
      </c>
      <c r="AB7" s="4">
        <f>AB104+AB109+AB118+AB121</f>
        <v/>
      </c>
      <c r="AC7" s="4">
        <f>AC104+AC109+AC118+AC121</f>
        <v/>
      </c>
    </row>
    <row r="8">
      <c r="A8" t="inlineStr">
        <is>
          <t>Rev-Other Revenue</t>
        </is>
      </c>
      <c r="B8" t="inlineStr">
        <is>
          <t>Other Revenue &amp; Income</t>
        </is>
      </c>
      <c r="C8" t="inlineStr">
        <is>
          <t>AUDm</t>
        </is>
      </c>
      <c r="D8" s="19" t="n">
        <v>8.5</v>
      </c>
      <c r="E8" s="4" t="n">
        <v>9.225</v>
      </c>
      <c r="F8" s="19" t="n">
        <v>11.568</v>
      </c>
      <c r="G8" s="4" t="n">
        <v>11.206</v>
      </c>
      <c r="H8" s="19" t="n">
        <v>14.711</v>
      </c>
      <c r="I8" s="4" t="n">
        <v>17.313</v>
      </c>
      <c r="J8" s="19" t="n">
        <v>17.363</v>
      </c>
      <c r="K8" s="4">
        <f>I8*1.075</f>
        <v/>
      </c>
      <c r="L8" s="4">
        <f>J8*1.075</f>
        <v/>
      </c>
      <c r="M8" s="4">
        <f>K8*1.075</f>
        <v/>
      </c>
      <c r="N8" s="4">
        <f>L8*1.075</f>
        <v/>
      </c>
      <c r="O8" s="4">
        <f>M8*1.075</f>
        <v/>
      </c>
      <c r="P8" s="4">
        <f>N8*1.075</f>
        <v/>
      </c>
      <c r="Q8" s="4">
        <f>O8*1.075</f>
        <v/>
      </c>
      <c r="R8" s="4">
        <f>P8*1.075</f>
        <v/>
      </c>
      <c r="S8" s="4">
        <f>Q8*1.075</f>
        <v/>
      </c>
      <c r="T8" s="4">
        <f>R8*1.075</f>
        <v/>
      </c>
      <c r="U8" s="4">
        <f>S8*1.075</f>
        <v/>
      </c>
      <c r="V8" s="4">
        <f>T8*1.075</f>
        <v/>
      </c>
      <c r="W8" s="4">
        <f>U8*1.075</f>
        <v/>
      </c>
      <c r="X8" s="4">
        <f>V8*1.075</f>
        <v/>
      </c>
      <c r="Y8" s="4">
        <f>W8*1.075</f>
        <v/>
      </c>
      <c r="Z8" s="4">
        <f>X8*1.075</f>
        <v/>
      </c>
      <c r="AA8" s="4">
        <f>Y8*1.075</f>
        <v/>
      </c>
      <c r="AB8" s="4">
        <f>Z8*1.075</f>
        <v/>
      </c>
      <c r="AC8" s="4">
        <f>AA8*1.075</f>
        <v/>
      </c>
    </row>
    <row r="9">
      <c r="A9" t="inlineStr">
        <is>
          <t>Rev-Total Rev Incl Other</t>
        </is>
      </c>
      <c r="B9" s="20" t="inlineStr">
        <is>
          <t>Total Revenue (incl Other)</t>
        </is>
      </c>
      <c r="C9" s="20" t="inlineStr">
        <is>
          <t>AUDm</t>
        </is>
      </c>
      <c r="D9" s="21">
        <f>D7+D8</f>
        <v/>
      </c>
      <c r="E9" s="21">
        <f>E7+E8</f>
        <v/>
      </c>
      <c r="F9" s="21">
        <f>F7+F8</f>
        <v/>
      </c>
      <c r="G9" s="21">
        <f>G7+G8</f>
        <v/>
      </c>
      <c r="H9" s="21">
        <f>H7+H8</f>
        <v/>
      </c>
      <c r="I9" s="21">
        <f>I7+I8</f>
        <v/>
      </c>
      <c r="J9" s="21">
        <f>J7+J8</f>
        <v/>
      </c>
      <c r="K9" s="21">
        <f>K7+K8</f>
        <v/>
      </c>
      <c r="L9" s="21">
        <f>L7+L8</f>
        <v/>
      </c>
      <c r="M9" s="21">
        <f>M7+M8</f>
        <v/>
      </c>
      <c r="N9" s="21">
        <f>N7+N8</f>
        <v/>
      </c>
      <c r="O9" s="21">
        <f>O7+O8</f>
        <v/>
      </c>
      <c r="P9" s="21">
        <f>P7+P8</f>
        <v/>
      </c>
      <c r="Q9" s="21">
        <f>Q7+Q8</f>
        <v/>
      </c>
      <c r="R9" s="21">
        <f>R7+R8</f>
        <v/>
      </c>
      <c r="S9" s="21">
        <f>S7+S8</f>
        <v/>
      </c>
      <c r="T9" s="21">
        <f>T7+T8</f>
        <v/>
      </c>
      <c r="U9" s="21">
        <f>U7+U8</f>
        <v/>
      </c>
      <c r="V9" s="21">
        <f>V7+V8</f>
        <v/>
      </c>
      <c r="W9" s="21">
        <f>W7+W8</f>
        <v/>
      </c>
      <c r="X9" s="21">
        <f>X7+X8</f>
        <v/>
      </c>
      <c r="Y9" s="21">
        <f>Y7+Y8</f>
        <v/>
      </c>
      <c r="Z9" s="21">
        <f>Z7+Z8</f>
        <v/>
      </c>
      <c r="AA9" s="21">
        <f>AA7+AA8</f>
        <v/>
      </c>
      <c r="AB9" s="21">
        <f>AB7+AB8</f>
        <v/>
      </c>
      <c r="AC9" s="21">
        <f>AC7+AC8</f>
        <v/>
      </c>
    </row>
    <row r="10">
      <c r="B10" t="inlineStr">
        <is>
          <t>Revenue Growth (YoY)</t>
        </is>
      </c>
      <c r="C10" t="inlineStr">
        <is>
          <t>% YoY</t>
        </is>
      </c>
      <c r="D10" s="6" t="n"/>
      <c r="E10" s="6" t="n"/>
      <c r="F10" s="6">
        <f>IF(D7=0,"",F7/D7-1)</f>
        <v/>
      </c>
      <c r="G10" s="6">
        <f>IF(E7=0,"",G7/E7-1)</f>
        <v/>
      </c>
      <c r="H10" s="6">
        <f>IF(F7=0,"",H7/F7-1)</f>
        <v/>
      </c>
      <c r="I10" s="6">
        <f>IF(G7=0,"",I7/G7-1)</f>
        <v/>
      </c>
      <c r="J10" s="6">
        <f>IF(H7=0,"",J7/H7-1)</f>
        <v/>
      </c>
      <c r="K10" s="6">
        <f>IF(I7=0,"",K7/I7-1)</f>
        <v/>
      </c>
      <c r="L10" s="6">
        <f>IF(J7=0,"",L7/J7-1)</f>
        <v/>
      </c>
      <c r="M10" s="6">
        <f>IF(K7=0,"",M7/K7-1)</f>
        <v/>
      </c>
      <c r="N10" s="6">
        <f>IF(L7=0,"",N7/L7-1)</f>
        <v/>
      </c>
      <c r="O10" s="6">
        <f>IF(M7=0,"",O7/M7-1)</f>
        <v/>
      </c>
      <c r="P10" s="6">
        <f>IF(N7=0,"",P7/N7-1)</f>
        <v/>
      </c>
      <c r="Q10" s="6">
        <f>IF(O7=0,"",Q7/O7-1)</f>
        <v/>
      </c>
      <c r="R10" s="6">
        <f>IF(P7=0,"",R7/P7-1)</f>
        <v/>
      </c>
      <c r="S10" s="6">
        <f>IF(Q7=0,"",S7/Q7-1)</f>
        <v/>
      </c>
      <c r="T10" s="6">
        <f>IF(R7=0,"",T7/R7-1)</f>
        <v/>
      </c>
      <c r="U10" s="6">
        <f>IF(S7=0,"",U7/S7-1)</f>
        <v/>
      </c>
      <c r="V10" s="6">
        <f>IF(T7=0,"",V7/T7-1)</f>
        <v/>
      </c>
      <c r="W10" s="6">
        <f>IF(U7=0,"",W7/U7-1)</f>
        <v/>
      </c>
      <c r="X10" s="6">
        <f>IF(V7=0,"",X7/V7-1)</f>
        <v/>
      </c>
      <c r="Y10" s="6">
        <f>IF(W7=0,"",Y7/W7-1)</f>
        <v/>
      </c>
      <c r="Z10" s="6">
        <f>IF(X7=0,"",Z7/X7-1)</f>
        <v/>
      </c>
      <c r="AA10" s="6">
        <f>IF(Y7=0,"",AA7/Y7-1)</f>
        <v/>
      </c>
      <c r="AB10" s="6">
        <f>IF(Z7=0,"",AB7/Z7-1)</f>
        <v/>
      </c>
      <c r="AC10" s="6">
        <f>IF(AA7=0,"",AC7/AA7-1)</f>
        <v/>
      </c>
    </row>
    <row r="12">
      <c r="B12" s="5" t="inlineStr">
        <is>
          <t>COGS</t>
        </is>
      </c>
    </row>
    <row r="13">
      <c r="A13" t="inlineStr">
        <is>
          <t>COGS-Food &amp; Packaging</t>
        </is>
      </c>
      <c r="B13" t="inlineStr">
        <is>
          <t>Cost of Food &amp; Packaging</t>
        </is>
      </c>
      <c r="C13" t="inlineStr">
        <is>
          <t>AUDm</t>
        </is>
      </c>
      <c r="D13" s="54" t="n">
        <v>-33.7</v>
      </c>
      <c r="E13" s="4" t="n">
        <v>-36.728</v>
      </c>
      <c r="F13" s="54" t="n">
        <v>-43.192</v>
      </c>
      <c r="G13" s="4" t="n">
        <v>-44.388</v>
      </c>
      <c r="H13" s="54" t="n">
        <v>-55.071</v>
      </c>
      <c r="I13" s="4" t="n">
        <v>-58.877</v>
      </c>
      <c r="J13" s="54" t="n">
        <v>-67.126</v>
      </c>
      <c r="K13" s="4">
        <f>K7*-0.261</f>
        <v/>
      </c>
      <c r="L13" s="4">
        <f>L7*-0.261</f>
        <v/>
      </c>
      <c r="M13" s="4">
        <f>M7*-0.261</f>
        <v/>
      </c>
      <c r="N13" s="4">
        <f>N7*-0.261</f>
        <v/>
      </c>
      <c r="O13" s="4">
        <f>O7*-0.261</f>
        <v/>
      </c>
      <c r="P13" s="4">
        <f>P7*-0.261</f>
        <v/>
      </c>
      <c r="Q13" s="4">
        <f>Q7*-0.261</f>
        <v/>
      </c>
      <c r="R13" s="4">
        <f>R7*-0.261</f>
        <v/>
      </c>
      <c r="S13" s="4">
        <f>S7*-0.261</f>
        <v/>
      </c>
      <c r="T13" s="4">
        <f>T7*-0.261</f>
        <v/>
      </c>
      <c r="U13" s="4">
        <f>U7*-0.261</f>
        <v/>
      </c>
      <c r="V13" s="4">
        <f>V7*-0.261</f>
        <v/>
      </c>
      <c r="W13" s="4">
        <f>W7*-0.261</f>
        <v/>
      </c>
      <c r="X13" s="4">
        <f>X7*-0.261</f>
        <v/>
      </c>
      <c r="Y13" s="4">
        <f>Y7*-0.261</f>
        <v/>
      </c>
      <c r="Z13" s="4">
        <f>Z7*-0.261</f>
        <v/>
      </c>
      <c r="AA13" s="4">
        <f>AA7*-0.261</f>
        <v/>
      </c>
      <c r="AB13" s="4">
        <f>AB7*-0.261</f>
        <v/>
      </c>
      <c r="AC13" s="4">
        <f>AC7*-0.261</f>
        <v/>
      </c>
    </row>
    <row r="14">
      <c r="A14" t="inlineStr">
        <is>
          <t>COGS-Employee Benefits</t>
        </is>
      </c>
      <c r="B14" t="inlineStr">
        <is>
          <t>Employee Benefits</t>
        </is>
      </c>
      <c r="C14" t="inlineStr">
        <is>
          <t>AUDm</t>
        </is>
      </c>
      <c r="D14" s="54" t="n">
        <v>-54.5</v>
      </c>
      <c r="E14" s="4" t="n">
        <v>-59.225</v>
      </c>
      <c r="F14" s="54" t="n">
        <v>-73.32599999999999</v>
      </c>
      <c r="G14" s="4" t="n">
        <v>-80.407</v>
      </c>
      <c r="H14" s="54" t="n">
        <v>-89.003</v>
      </c>
      <c r="I14" s="4" t="n">
        <v>-95.65300000000001</v>
      </c>
      <c r="J14" s="54" t="n">
        <v>-110.669</v>
      </c>
      <c r="K14" s="4">
        <f>K7*-0.424</f>
        <v/>
      </c>
      <c r="L14" s="4">
        <f>L7*-0.424</f>
        <v/>
      </c>
      <c r="M14" s="4">
        <f>M7*-0.424</f>
        <v/>
      </c>
      <c r="N14" s="4">
        <f>N7*-0.424</f>
        <v/>
      </c>
      <c r="O14" s="4">
        <f>O7*-0.424</f>
        <v/>
      </c>
      <c r="P14" s="4">
        <f>P7*-0.424</f>
        <v/>
      </c>
      <c r="Q14" s="4">
        <f>Q7*-0.424</f>
        <v/>
      </c>
      <c r="R14" s="4">
        <f>R7*-0.424</f>
        <v/>
      </c>
      <c r="S14" s="4">
        <f>S7*-0.424</f>
        <v/>
      </c>
      <c r="T14" s="4">
        <f>T7*-0.424</f>
        <v/>
      </c>
      <c r="U14" s="4">
        <f>U7*-0.424</f>
        <v/>
      </c>
      <c r="V14" s="4">
        <f>V7*-0.424</f>
        <v/>
      </c>
      <c r="W14" s="4">
        <f>W7*-0.424</f>
        <v/>
      </c>
      <c r="X14" s="4">
        <f>X7*-0.424</f>
        <v/>
      </c>
      <c r="Y14" s="4">
        <f>Y7*-0.424</f>
        <v/>
      </c>
      <c r="Z14" s="4">
        <f>Z7*-0.424</f>
        <v/>
      </c>
      <c r="AA14" s="4">
        <f>AA7*-0.424</f>
        <v/>
      </c>
      <c r="AB14" s="4">
        <f>AB7*-0.424</f>
        <v/>
      </c>
      <c r="AC14" s="4">
        <f>AC7*-0.424</f>
        <v/>
      </c>
    </row>
    <row r="15">
      <c r="A15" t="inlineStr">
        <is>
          <t>COGS-Other Costs</t>
        </is>
      </c>
      <c r="B15" t="inlineStr">
        <is>
          <t>Admin, Marketing &amp; Other</t>
        </is>
      </c>
      <c r="C15" t="inlineStr">
        <is>
          <t>AUDm</t>
        </is>
      </c>
      <c r="D15" s="19" t="n">
        <v>-30.2</v>
      </c>
      <c r="E15" s="4" t="n">
        <v>-32.795</v>
      </c>
      <c r="F15" s="19" t="n">
        <v>-43.43300000000001</v>
      </c>
      <c r="G15" s="4" t="n">
        <v>-52.968</v>
      </c>
      <c r="H15" s="19" t="n">
        <v>-51.478</v>
      </c>
      <c r="I15" s="4" t="n">
        <v>-52.805</v>
      </c>
      <c r="J15" s="19" t="n">
        <v>-59.831</v>
      </c>
      <c r="K15" s="4">
        <f>K7*-0.230</f>
        <v/>
      </c>
      <c r="L15" s="4">
        <f>L7*-0.230</f>
        <v/>
      </c>
      <c r="M15" s="4">
        <f>M7*-0.230</f>
        <v/>
      </c>
      <c r="N15" s="4">
        <f>N7*-0.230</f>
        <v/>
      </c>
      <c r="O15" s="4">
        <f>O7*-0.230</f>
        <v/>
      </c>
      <c r="P15" s="4">
        <f>P7*-0.230</f>
        <v/>
      </c>
      <c r="Q15" s="4">
        <f>Q7*-0.230</f>
        <v/>
      </c>
      <c r="R15" s="4">
        <f>R7*-0.230</f>
        <v/>
      </c>
      <c r="S15" s="4">
        <f>S7*-0.230</f>
        <v/>
      </c>
      <c r="T15" s="4">
        <f>T7*-0.230</f>
        <v/>
      </c>
      <c r="U15" s="4">
        <f>U7*-0.230</f>
        <v/>
      </c>
      <c r="V15" s="4">
        <f>V7*-0.230</f>
        <v/>
      </c>
      <c r="W15" s="4">
        <f>W7*-0.230</f>
        <v/>
      </c>
      <c r="X15" s="4">
        <f>X7*-0.230</f>
        <v/>
      </c>
      <c r="Y15" s="4">
        <f>Y7*-0.230</f>
        <v/>
      </c>
      <c r="Z15" s="4">
        <f>Z7*-0.230</f>
        <v/>
      </c>
      <c r="AA15" s="4">
        <f>AA7*-0.230</f>
        <v/>
      </c>
      <c r="AB15" s="4">
        <f>AB7*-0.230</f>
        <v/>
      </c>
      <c r="AC15" s="4">
        <f>AC7*-0.230</f>
        <v/>
      </c>
    </row>
    <row r="16">
      <c r="A16" t="inlineStr">
        <is>
          <t>COGS-Total Costs</t>
        </is>
      </c>
      <c r="B16" s="20" t="inlineStr">
        <is>
          <t>Total Operating Costs</t>
        </is>
      </c>
      <c r="C16" s="20" t="inlineStr">
        <is>
          <t>AUDm</t>
        </is>
      </c>
      <c r="D16" s="21">
        <f>D13+D14+D15</f>
        <v/>
      </c>
      <c r="E16" s="21">
        <f>E13+E14+E15</f>
        <v/>
      </c>
      <c r="F16" s="21">
        <f>F13+F14+F15</f>
        <v/>
      </c>
      <c r="G16" s="21">
        <f>G13+G14+G15</f>
        <v/>
      </c>
      <c r="H16" s="21">
        <f>H13+H14+H15</f>
        <v/>
      </c>
      <c r="I16" s="21">
        <f>I13+I14+I15</f>
        <v/>
      </c>
      <c r="J16" s="21">
        <f>J13+J14+J15</f>
        <v/>
      </c>
      <c r="K16" s="21">
        <f>K13+K14+K15</f>
        <v/>
      </c>
      <c r="L16" s="21">
        <f>L13+L14+L15</f>
        <v/>
      </c>
      <c r="M16" s="21">
        <f>M13+M14+M15</f>
        <v/>
      </c>
      <c r="N16" s="21">
        <f>N13+N14+N15</f>
        <v/>
      </c>
      <c r="O16" s="21">
        <f>O13+O14+O15</f>
        <v/>
      </c>
      <c r="P16" s="21">
        <f>P13+P14+P15</f>
        <v/>
      </c>
      <c r="Q16" s="21">
        <f>Q13+Q14+Q15</f>
        <v/>
      </c>
      <c r="R16" s="21">
        <f>R13+R14+R15</f>
        <v/>
      </c>
      <c r="S16" s="21">
        <f>S13+S14+S15</f>
        <v/>
      </c>
      <c r="T16" s="21">
        <f>T13+T14+T15</f>
        <v/>
      </c>
      <c r="U16" s="21">
        <f>U13+U14+U15</f>
        <v/>
      </c>
      <c r="V16" s="21">
        <f>V13+V14+V15</f>
        <v/>
      </c>
      <c r="W16" s="21">
        <f>W13+W14+W15</f>
        <v/>
      </c>
      <c r="X16" s="21">
        <f>X13+X14+X15</f>
        <v/>
      </c>
      <c r="Y16" s="21">
        <f>Y13+Y14+Y15</f>
        <v/>
      </c>
      <c r="Z16" s="21">
        <f>Z13+Z14+Z15</f>
        <v/>
      </c>
      <c r="AA16" s="21">
        <f>AA13+AA14+AA15</f>
        <v/>
      </c>
      <c r="AB16" s="21">
        <f>AB13+AB14+AB15</f>
        <v/>
      </c>
      <c r="AC16" s="21">
        <f>AC13+AC14+AC15</f>
        <v/>
      </c>
    </row>
    <row r="18">
      <c r="B18" s="5" t="inlineStr">
        <is>
          <t>Statutory EBITDA</t>
        </is>
      </c>
    </row>
    <row r="19">
      <c r="A19" t="inlineStr">
        <is>
          <t>GP-Statutory EBITDA</t>
        </is>
      </c>
      <c r="B19" t="inlineStr">
        <is>
          <t>Statutory EBITDA</t>
        </is>
      </c>
      <c r="C19" t="inlineStr">
        <is>
          <t>AUDm</t>
        </is>
      </c>
      <c r="D19" s="4">
        <f>D9+D16</f>
        <v/>
      </c>
      <c r="E19" s="4">
        <f>E9+E16</f>
        <v/>
      </c>
      <c r="F19" s="4">
        <f>F9+F16</f>
        <v/>
      </c>
      <c r="G19" s="4">
        <f>G9+G16</f>
        <v/>
      </c>
      <c r="H19" s="4">
        <f>H9+H16</f>
        <v/>
      </c>
      <c r="I19" s="4">
        <f>I9+I16</f>
        <v/>
      </c>
      <c r="J19" s="4">
        <f>J9+J16</f>
        <v/>
      </c>
      <c r="K19" s="4">
        <f>K9+K16</f>
        <v/>
      </c>
      <c r="L19" s="4">
        <f>L9+L16</f>
        <v/>
      </c>
      <c r="M19" s="4">
        <f>M9+M16</f>
        <v/>
      </c>
      <c r="N19" s="4">
        <f>N9+N16</f>
        <v/>
      </c>
      <c r="O19" s="4">
        <f>O9+O16</f>
        <v/>
      </c>
      <c r="P19" s="4">
        <f>P9+P16</f>
        <v/>
      </c>
      <c r="Q19" s="4">
        <f>Q9+Q16</f>
        <v/>
      </c>
      <c r="R19" s="4">
        <f>R9+R16</f>
        <v/>
      </c>
      <c r="S19" s="4">
        <f>S9+S16</f>
        <v/>
      </c>
      <c r="T19" s="4">
        <f>T9+T16</f>
        <v/>
      </c>
      <c r="U19" s="4">
        <f>U9+U16</f>
        <v/>
      </c>
      <c r="V19" s="4">
        <f>V9+V16</f>
        <v/>
      </c>
      <c r="W19" s="4">
        <f>W9+W16</f>
        <v/>
      </c>
      <c r="X19" s="4">
        <f>X9+X16</f>
        <v/>
      </c>
      <c r="Y19" s="4">
        <f>Y9+Y16</f>
        <v/>
      </c>
      <c r="Z19" s="4">
        <f>Z9+Z16</f>
        <v/>
      </c>
      <c r="AA19" s="4">
        <f>AA9+AA16</f>
        <v/>
      </c>
      <c r="AB19" s="4">
        <f>AB9+AB16</f>
        <v/>
      </c>
      <c r="AC19" s="4">
        <f>AC9+AC16</f>
        <v/>
      </c>
    </row>
    <row r="20"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</row>
    <row r="21"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</row>
    <row r="22">
      <c r="B22" s="20" t="n"/>
      <c r="C22" s="20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  <c r="AA22" s="21" t="n"/>
      <c r="AB22" s="21" t="n"/>
      <c r="AC22" s="21" t="n"/>
    </row>
    <row r="23"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</row>
    <row r="24"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</row>
    <row r="25"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</row>
    <row r="26"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</row>
    <row r="28">
      <c r="B28" s="5" t="inlineStr">
        <is>
          <t>Segment EBITDA</t>
        </is>
      </c>
    </row>
    <row r="29">
      <c r="D29" s="19" t="n"/>
      <c r="E29" s="4" t="n"/>
      <c r="F29" s="19" t="n"/>
      <c r="G29" s="4" t="n"/>
      <c r="H29" s="19" t="n"/>
      <c r="I29" s="4" t="n"/>
      <c r="J29" s="19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</row>
    <row r="30">
      <c r="D30" s="19" t="n"/>
      <c r="E30" s="4" t="n"/>
      <c r="F30" s="19" t="n"/>
      <c r="G30" s="4" t="n"/>
      <c r="H30" s="19" t="n"/>
      <c r="I30" s="4" t="n"/>
      <c r="J30" s="19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</row>
    <row r="31">
      <c r="D31" s="19" t="n"/>
      <c r="E31" s="4" t="n"/>
      <c r="F31" s="19" t="n"/>
      <c r="G31" s="4" t="n"/>
      <c r="H31" s="19" t="n"/>
      <c r="I31" s="4" t="n"/>
      <c r="J31" s="19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</row>
    <row r="32">
      <c r="D32" s="19" t="n"/>
      <c r="E32" s="4" t="n"/>
      <c r="F32" s="19" t="n"/>
      <c r="G32" s="4" t="n"/>
      <c r="H32" s="19" t="n"/>
      <c r="I32" s="4" t="n"/>
      <c r="J32" s="19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</row>
    <row r="33">
      <c r="B33" s="20" t="n"/>
      <c r="C33" s="20" t="n"/>
      <c r="D33" s="21" t="n"/>
      <c r="E33" s="21" t="n"/>
      <c r="F33" s="21" t="n"/>
      <c r="G33" s="21" t="n"/>
      <c r="H33" s="21" t="n"/>
      <c r="I33" s="21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  <c r="AA33" s="21" t="n"/>
      <c r="AB33" s="21" t="n"/>
      <c r="AC33" s="21" t="n"/>
    </row>
    <row r="34"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</row>
    <row r="35"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</row>
    <row r="37">
      <c r="B37" s="5" t="inlineStr">
        <is>
          <t>Segment EBITDA</t>
        </is>
      </c>
    </row>
    <row r="38">
      <c r="A38" t="inlineStr">
        <is>
          <t>EBITDA-Australia EBITDA</t>
        </is>
      </c>
      <c r="B38" t="inlineStr">
        <is>
          <t>Australia Segment EBITDA</t>
        </is>
      </c>
      <c r="C38" t="inlineStr">
        <is>
          <t>AUDm</t>
        </is>
      </c>
      <c r="D38" s="19" t="n">
        <v>15</v>
      </c>
      <c r="E38" s="4" t="n">
        <v>15.7</v>
      </c>
      <c r="F38" s="19" t="n">
        <v>23.1</v>
      </c>
      <c r="G38" s="4" t="n">
        <v>22.5</v>
      </c>
      <c r="H38" s="19" t="n">
        <v>31.8</v>
      </c>
      <c r="I38" s="4" t="n">
        <v>34.2</v>
      </c>
      <c r="J38" s="19" t="n">
        <v>41.3</v>
      </c>
      <c r="K38" s="4">
        <f>K112</f>
        <v/>
      </c>
      <c r="L38" s="4">
        <f>L112</f>
        <v/>
      </c>
      <c r="M38" s="4">
        <f>M112</f>
        <v/>
      </c>
      <c r="N38" s="4">
        <f>N112</f>
        <v/>
      </c>
      <c r="O38" s="4">
        <f>O112</f>
        <v/>
      </c>
      <c r="P38" s="4">
        <f>P112</f>
        <v/>
      </c>
      <c r="Q38" s="4">
        <f>Q112</f>
        <v/>
      </c>
      <c r="R38" s="4">
        <f>R112</f>
        <v/>
      </c>
      <c r="S38" s="4">
        <f>S112</f>
        <v/>
      </c>
      <c r="T38" s="4">
        <f>T112</f>
        <v/>
      </c>
      <c r="U38" s="4">
        <f>U112</f>
        <v/>
      </c>
      <c r="V38" s="4">
        <f>V112</f>
        <v/>
      </c>
      <c r="W38" s="4">
        <f>W112</f>
        <v/>
      </c>
      <c r="X38" s="4">
        <f>X112</f>
        <v/>
      </c>
      <c r="Y38" s="4">
        <f>Y112</f>
        <v/>
      </c>
      <c r="Z38" s="4">
        <f>Z112</f>
        <v/>
      </c>
      <c r="AA38" s="4">
        <f>AA112</f>
        <v/>
      </c>
      <c r="AB38" s="4">
        <f>AB112</f>
        <v/>
      </c>
      <c r="AC38" s="4">
        <f>AC112</f>
        <v/>
      </c>
    </row>
    <row r="39">
      <c r="A39" t="inlineStr">
        <is>
          <t>EBITDA-US EBITDA</t>
        </is>
      </c>
      <c r="B39" t="inlineStr">
        <is>
          <t>US Segment EBITDA</t>
        </is>
      </c>
      <c r="C39" t="inlineStr">
        <is>
          <t>AUDm</t>
        </is>
      </c>
      <c r="D39" s="19" t="n">
        <v>-2</v>
      </c>
      <c r="E39" s="4" t="n">
        <v>-2.3</v>
      </c>
      <c r="F39" s="19" t="n">
        <v>-3.1</v>
      </c>
      <c r="G39" s="4" t="n">
        <v>-3.4</v>
      </c>
      <c r="H39" s="19" t="n">
        <v>-5</v>
      </c>
      <c r="I39" s="4" t="n">
        <v>-8.199999999999999</v>
      </c>
      <c r="J39" s="19" t="n">
        <v>-8.300000000000001</v>
      </c>
      <c r="K39" s="4">
        <f>K123</f>
        <v/>
      </c>
      <c r="L39" s="4">
        <f>L123</f>
        <v/>
      </c>
      <c r="M39" s="4">
        <f>M123</f>
        <v/>
      </c>
      <c r="N39" s="4">
        <f>N123</f>
        <v/>
      </c>
      <c r="O39" s="4">
        <f>O123</f>
        <v/>
      </c>
      <c r="P39" s="4">
        <f>P123</f>
        <v/>
      </c>
      <c r="Q39" s="4">
        <f>Q123</f>
        <v/>
      </c>
      <c r="R39" s="4">
        <f>R123</f>
        <v/>
      </c>
      <c r="S39" s="4">
        <f>S123</f>
        <v/>
      </c>
      <c r="T39" s="4">
        <f>T123</f>
        <v/>
      </c>
      <c r="U39" s="4">
        <f>U123</f>
        <v/>
      </c>
      <c r="V39" s="4">
        <f>V123</f>
        <v/>
      </c>
      <c r="W39" s="4">
        <f>W123</f>
        <v/>
      </c>
      <c r="X39" s="4">
        <f>X123</f>
        <v/>
      </c>
      <c r="Y39" s="4">
        <f>Y123</f>
        <v/>
      </c>
      <c r="Z39" s="4">
        <f>Z123</f>
        <v/>
      </c>
      <c r="AA39" s="4">
        <f>AA123</f>
        <v/>
      </c>
      <c r="AB39" s="4">
        <f>AB123</f>
        <v/>
      </c>
      <c r="AC39" s="4">
        <f>AC123</f>
        <v/>
      </c>
    </row>
    <row r="40">
      <c r="A40" t="inlineStr">
        <is>
          <t>EBITDA-Corporate EBITDA</t>
        </is>
      </c>
      <c r="B40" t="inlineStr">
        <is>
          <t>Corporate / Eliminations</t>
        </is>
      </c>
      <c r="C40" t="inlineStr">
        <is>
          <t>AUDm</t>
        </is>
      </c>
      <c r="D40" s="19" t="n">
        <v>0</v>
      </c>
      <c r="E40" s="4" t="n">
        <v>0</v>
      </c>
      <c r="F40" s="19" t="n">
        <v>0</v>
      </c>
      <c r="G40" s="4" t="n">
        <v>0</v>
      </c>
      <c r="H40" s="19" t="n">
        <v>0</v>
      </c>
      <c r="I40" s="4" t="n">
        <v>0</v>
      </c>
      <c r="J40" s="19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  <c r="U40" s="4" t="n">
        <v>0</v>
      </c>
      <c r="V40" s="4" t="n">
        <v>0</v>
      </c>
      <c r="W40" s="4" t="n">
        <v>0</v>
      </c>
      <c r="X40" s="4" t="n">
        <v>0</v>
      </c>
      <c r="Y40" s="4" t="n">
        <v>0</v>
      </c>
      <c r="Z40" s="4" t="n">
        <v>0</v>
      </c>
      <c r="AA40" s="4" t="n">
        <v>0</v>
      </c>
      <c r="AB40" s="4" t="n">
        <v>0</v>
      </c>
      <c r="AC40" s="4" t="n">
        <v>0</v>
      </c>
    </row>
    <row r="41">
      <c r="B41" s="25" t="n"/>
      <c r="D41" s="6" t="n"/>
      <c r="E41" s="6" t="n"/>
      <c r="F41" s="6" t="n"/>
      <c r="G41" s="6" t="n"/>
      <c r="H41" s="6" t="n"/>
      <c r="I41" s="6" t="n"/>
      <c r="J41" s="6" t="n"/>
      <c r="K41" s="26" t="n"/>
      <c r="L41" s="26" t="n"/>
      <c r="M41" s="26" t="n"/>
      <c r="N41" s="26" t="n"/>
      <c r="O41" s="26" t="n"/>
      <c r="P41" s="26" t="n"/>
      <c r="Q41" s="26" t="n"/>
      <c r="R41" s="26" t="n"/>
      <c r="S41" s="26" t="n"/>
      <c r="T41" s="26" t="n"/>
      <c r="U41" s="26" t="n"/>
      <c r="V41" s="26" t="n"/>
      <c r="W41" s="26" t="n"/>
      <c r="X41" s="26" t="n"/>
      <c r="Y41" s="26" t="n"/>
      <c r="Z41" s="26" t="n"/>
      <c r="AA41" s="26" t="n"/>
      <c r="AB41" s="26" t="n"/>
      <c r="AC41" s="26" t="n"/>
    </row>
    <row r="42">
      <c r="A42" t="inlineStr">
        <is>
          <t>EBITDA-Underlying EBITDA</t>
        </is>
      </c>
      <c r="B42" s="20" t="inlineStr">
        <is>
          <t>Group Segment Underlying EBITDA</t>
        </is>
      </c>
      <c r="C42" s="20" t="inlineStr">
        <is>
          <t>AUDm</t>
        </is>
      </c>
      <c r="D42" s="21">
        <f>SUM(D38:D40)</f>
        <v/>
      </c>
      <c r="E42" s="21">
        <f>SUM(E38:E40)</f>
        <v/>
      </c>
      <c r="F42" s="21">
        <f>SUM(F38:F40)</f>
        <v/>
      </c>
      <c r="G42" s="21">
        <f>SUM(G38:G40)</f>
        <v/>
      </c>
      <c r="H42" s="21">
        <f>SUM(H38:H40)</f>
        <v/>
      </c>
      <c r="I42" s="21">
        <f>SUM(I38:I40)</f>
        <v/>
      </c>
      <c r="J42" s="21">
        <f>SUM(J38:J40)</f>
        <v/>
      </c>
      <c r="K42" s="21">
        <f>SUM(K38:K40)</f>
        <v/>
      </c>
      <c r="L42" s="21">
        <f>SUM(L38:L40)</f>
        <v/>
      </c>
      <c r="M42" s="21">
        <f>SUM(M38:M40)</f>
        <v/>
      </c>
      <c r="N42" s="21">
        <f>SUM(N38:N40)</f>
        <v/>
      </c>
      <c r="O42" s="21">
        <f>SUM(O38:O40)</f>
        <v/>
      </c>
      <c r="P42" s="21">
        <f>SUM(P38:P40)</f>
        <v/>
      </c>
      <c r="Q42" s="21">
        <f>SUM(Q38:Q40)</f>
        <v/>
      </c>
      <c r="R42" s="21">
        <f>SUM(R38:R40)</f>
        <v/>
      </c>
      <c r="S42" s="21">
        <f>SUM(S38:S40)</f>
        <v/>
      </c>
      <c r="T42" s="21">
        <f>SUM(T38:T40)</f>
        <v/>
      </c>
      <c r="U42" s="21">
        <f>SUM(U38:U40)</f>
        <v/>
      </c>
      <c r="V42" s="21">
        <f>SUM(V38:V40)</f>
        <v/>
      </c>
      <c r="W42" s="21">
        <f>SUM(W38:W40)</f>
        <v/>
      </c>
      <c r="X42" s="21">
        <f>SUM(X38:X40)</f>
        <v/>
      </c>
      <c r="Y42" s="21">
        <f>SUM(Y38:Y40)</f>
        <v/>
      </c>
      <c r="Z42" s="21">
        <f>SUM(Z38:Z40)</f>
        <v/>
      </c>
      <c r="AA42" s="21">
        <f>SUM(AA38:AA40)</f>
        <v/>
      </c>
      <c r="AB42" s="21">
        <f>SUM(AB38:AB40)</f>
        <v/>
      </c>
      <c r="AC42" s="21">
        <f>SUM(AC38:AC40)</f>
        <v/>
      </c>
    </row>
    <row r="43">
      <c r="B43" t="inlineStr">
        <is>
          <t>Seg EBITDA Growth (YoY)</t>
        </is>
      </c>
      <c r="C43" t="inlineStr">
        <is>
          <t>% YoY</t>
        </is>
      </c>
      <c r="D43" s="6" t="n"/>
      <c r="E43" s="6" t="n"/>
      <c r="F43" s="6">
        <f>IF(D42=0,"",F42/D42-1)</f>
        <v/>
      </c>
      <c r="G43" s="6">
        <f>IF(E42=0,"",G42/E42-1)</f>
        <v/>
      </c>
      <c r="H43" s="6">
        <f>IF(F42=0,"",H42/F42-1)</f>
        <v/>
      </c>
      <c r="I43" s="6">
        <f>IF(G42=0,"",I42/G42-1)</f>
        <v/>
      </c>
      <c r="J43" s="6">
        <f>IF(H42=0,"",J42/H42-1)</f>
        <v/>
      </c>
      <c r="K43" s="6">
        <f>IF(I42=0,"",K42/I42-1)</f>
        <v/>
      </c>
      <c r="L43" s="6">
        <f>IF(J42=0,"",L42/J42-1)</f>
        <v/>
      </c>
      <c r="M43" s="6">
        <f>IF(K42=0,"",M42/K42-1)</f>
        <v/>
      </c>
      <c r="N43" s="6">
        <f>IF(L42=0,"",N42/L42-1)</f>
        <v/>
      </c>
      <c r="O43" s="6">
        <f>IF(M42=0,"",O42/M42-1)</f>
        <v/>
      </c>
      <c r="P43" s="6">
        <f>IF(N42=0,"",P42/N42-1)</f>
        <v/>
      </c>
      <c r="Q43" s="6">
        <f>IF(O42=0,"",Q42/O42-1)</f>
        <v/>
      </c>
      <c r="R43" s="6">
        <f>IF(P42=0,"",R42/P42-1)</f>
        <v/>
      </c>
      <c r="S43" s="6">
        <f>IF(Q42=0,"",S42/Q42-1)</f>
        <v/>
      </c>
      <c r="T43" s="6">
        <f>IF(R42=0,"",T42/R42-1)</f>
        <v/>
      </c>
      <c r="U43" s="6">
        <f>IF(S42=0,"",U42/S42-1)</f>
        <v/>
      </c>
      <c r="V43" s="6">
        <f>IF(T42=0,"",V42/T42-1)</f>
        <v/>
      </c>
      <c r="W43" s="6">
        <f>IF(U42=0,"",W42/U42-1)</f>
        <v/>
      </c>
      <c r="X43" s="6">
        <f>IF(V42=0,"",X42/V42-1)</f>
        <v/>
      </c>
      <c r="Y43" s="6">
        <f>IF(W42=0,"",Y42/W42-1)</f>
        <v/>
      </c>
      <c r="Z43" s="6">
        <f>IF(X42=0,"",Z42/X42-1)</f>
        <v/>
      </c>
      <c r="AA43" s="6">
        <f>IF(Y42=0,"",AA42/Y42-1)</f>
        <v/>
      </c>
      <c r="AB43" s="6">
        <f>IF(Z42=0,"",AB42/Z42-1)</f>
        <v/>
      </c>
      <c r="AC43" s="6">
        <f>IF(AA42=0,"",AC42/AA42-1)</f>
        <v/>
      </c>
    </row>
    <row r="44">
      <c r="B44" t="inlineStr">
        <is>
          <t>Seg EBITDA Margin</t>
        </is>
      </c>
      <c r="C44" t="inlineStr">
        <is>
          <t>%</t>
        </is>
      </c>
      <c r="D44" s="6">
        <f>IF(D7=0,"",D42/D7)</f>
        <v/>
      </c>
      <c r="E44" s="6">
        <f>IF(E7=0,"",E42/E7)</f>
        <v/>
      </c>
      <c r="F44" s="6">
        <f>IF(F7=0,"",F42/F7)</f>
        <v/>
      </c>
      <c r="G44" s="6">
        <f>IF(G7=0,"",G42/G7)</f>
        <v/>
      </c>
      <c r="H44" s="6">
        <f>IF(H7=0,"",H42/H7)</f>
        <v/>
      </c>
      <c r="I44" s="6">
        <f>IF(I7=0,"",I42/I7)</f>
        <v/>
      </c>
      <c r="J44" s="6">
        <f>IF(J7=0,"",J42/J7)</f>
        <v/>
      </c>
      <c r="K44" s="6">
        <f>IF(K7=0,"",K42/K7)</f>
        <v/>
      </c>
      <c r="L44" s="6">
        <f>IF(L7=0,"",L42/L7)</f>
        <v/>
      </c>
      <c r="M44" s="6">
        <f>IF(M7=0,"",M42/M7)</f>
        <v/>
      </c>
      <c r="N44" s="6">
        <f>IF(N7=0,"",N42/N7)</f>
        <v/>
      </c>
      <c r="O44" s="6">
        <f>IF(O7=0,"",O42/O7)</f>
        <v/>
      </c>
      <c r="P44" s="6">
        <f>IF(P7=0,"",P42/P7)</f>
        <v/>
      </c>
      <c r="Q44" s="6">
        <f>IF(Q7=0,"",Q42/Q7)</f>
        <v/>
      </c>
      <c r="R44" s="6">
        <f>IF(R7=0,"",R42/R7)</f>
        <v/>
      </c>
      <c r="S44" s="6">
        <f>IF(S7=0,"",S42/S7)</f>
        <v/>
      </c>
      <c r="T44" s="6">
        <f>IF(T7=0,"",T42/T7)</f>
        <v/>
      </c>
      <c r="U44" s="6">
        <f>IF(U7=0,"",U42/U7)</f>
        <v/>
      </c>
      <c r="V44" s="6">
        <f>IF(V7=0,"",V42/V7)</f>
        <v/>
      </c>
      <c r="W44" s="6">
        <f>IF(W7=0,"",W42/W7)</f>
        <v/>
      </c>
      <c r="X44" s="6">
        <f>IF(X7=0,"",X42/X7)</f>
        <v/>
      </c>
      <c r="Y44" s="6">
        <f>IF(Y7=0,"",Y42/Y7)</f>
        <v/>
      </c>
      <c r="Z44" s="6">
        <f>IF(Z7=0,"",Z42/Z7)</f>
        <v/>
      </c>
      <c r="AA44" s="6">
        <f>IF(AA7=0,"",AA42/AA7)</f>
        <v/>
      </c>
      <c r="AB44" s="6">
        <f>IF(AB7=0,"",AB42/AB7)</f>
        <v/>
      </c>
      <c r="AC44" s="6">
        <f>IF(AC7=0,"",AC42/AC7)</f>
        <v/>
      </c>
    </row>
    <row r="45"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</row>
    <row r="46"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</row>
    <row r="48">
      <c r="A48" t="inlineStr">
        <is>
          <t>Stat-AASB16</t>
        </is>
      </c>
      <c r="B48" t="inlineStr">
        <is>
          <t>AASB 16 / SBP / Other Adjustments</t>
        </is>
      </c>
      <c r="C48" t="inlineStr">
        <is>
          <t>AUDm</t>
        </is>
      </c>
      <c r="D48" s="19" t="n">
        <v>1.5</v>
      </c>
      <c r="E48" s="4" t="n">
        <v>1.7</v>
      </c>
      <c r="F48" s="19" t="n">
        <v>2.5</v>
      </c>
      <c r="G48" s="4" t="n">
        <v>-9</v>
      </c>
      <c r="H48" s="19" t="n">
        <v>4.8</v>
      </c>
      <c r="I48" s="4" t="n">
        <v>7.5</v>
      </c>
      <c r="J48" s="19" t="n">
        <v>7.9</v>
      </c>
      <c r="K48" s="4">
        <f>I48*1.05</f>
        <v/>
      </c>
      <c r="L48" s="4">
        <f>J48*1.05</f>
        <v/>
      </c>
      <c r="M48" s="4">
        <f>K48*1.05</f>
        <v/>
      </c>
      <c r="N48" s="4">
        <f>L48*1.05</f>
        <v/>
      </c>
      <c r="O48" s="4">
        <f>M48*1.05</f>
        <v/>
      </c>
      <c r="P48" s="4">
        <f>N48*1.05</f>
        <v/>
      </c>
      <c r="Q48" s="4">
        <f>O48*1.05</f>
        <v/>
      </c>
      <c r="R48" s="4">
        <f>P48*1.05</f>
        <v/>
      </c>
      <c r="S48" s="4">
        <f>Q48*1.05</f>
        <v/>
      </c>
      <c r="T48" s="4">
        <f>R48*1.05</f>
        <v/>
      </c>
      <c r="U48" s="4">
        <f>S48*1.05</f>
        <v/>
      </c>
      <c r="V48" s="4">
        <f>T48*1.05</f>
        <v/>
      </c>
      <c r="W48" s="4">
        <f>U48*1.05</f>
        <v/>
      </c>
      <c r="X48" s="4">
        <f>V48*1.05</f>
        <v/>
      </c>
      <c r="Y48" s="4">
        <f>W48*1.05</f>
        <v/>
      </c>
      <c r="Z48" s="4">
        <f>X48*1.05</f>
        <v/>
      </c>
      <c r="AA48" s="4">
        <f>Y48*1.05</f>
        <v/>
      </c>
      <c r="AB48" s="4">
        <f>Z48*1.05</f>
        <v/>
      </c>
      <c r="AC48" s="4">
        <f>AA48*1.05</f>
        <v/>
      </c>
    </row>
    <row r="49">
      <c r="A49" t="inlineStr">
        <is>
          <t>Stat-Statutory EBITDA</t>
        </is>
      </c>
      <c r="B49" s="20" t="inlineStr">
        <is>
          <t>Statutory EBITDA</t>
        </is>
      </c>
      <c r="C49" s="20" t="inlineStr">
        <is>
          <t>AUDm</t>
        </is>
      </c>
      <c r="D49" s="21">
        <f>D42+D48</f>
        <v/>
      </c>
      <c r="E49" s="21">
        <f>E42+E48</f>
        <v/>
      </c>
      <c r="F49" s="21">
        <f>F42+F48</f>
        <v/>
      </c>
      <c r="G49" s="21">
        <f>G42+G48</f>
        <v/>
      </c>
      <c r="H49" s="21">
        <f>H42+H48</f>
        <v/>
      </c>
      <c r="I49" s="21">
        <f>I42+I48</f>
        <v/>
      </c>
      <c r="J49" s="21">
        <f>J42+J48</f>
        <v/>
      </c>
      <c r="K49" s="21">
        <f>K42+K48</f>
        <v/>
      </c>
      <c r="L49" s="21">
        <f>L42+L48</f>
        <v/>
      </c>
      <c r="M49" s="21">
        <f>M42+M48</f>
        <v/>
      </c>
      <c r="N49" s="21">
        <f>N42+N48</f>
        <v/>
      </c>
      <c r="O49" s="21">
        <f>O42+O48</f>
        <v/>
      </c>
      <c r="P49" s="21">
        <f>P42+P48</f>
        <v/>
      </c>
      <c r="Q49" s="21">
        <f>Q42+Q48</f>
        <v/>
      </c>
      <c r="R49" s="21">
        <f>R42+R48</f>
        <v/>
      </c>
      <c r="S49" s="21">
        <f>S42+S48</f>
        <v/>
      </c>
      <c r="T49" s="21">
        <f>T42+T48</f>
        <v/>
      </c>
      <c r="U49" s="21">
        <f>U42+U48</f>
        <v/>
      </c>
      <c r="V49" s="21">
        <f>V42+V48</f>
        <v/>
      </c>
      <c r="W49" s="21">
        <f>W42+W48</f>
        <v/>
      </c>
      <c r="X49" s="21">
        <f>X42+X48</f>
        <v/>
      </c>
      <c r="Y49" s="21">
        <f>Y42+Y48</f>
        <v/>
      </c>
      <c r="Z49" s="21">
        <f>Z42+Z48</f>
        <v/>
      </c>
      <c r="AA49" s="21">
        <f>AA42+AA48</f>
        <v/>
      </c>
      <c r="AB49" s="21">
        <f>AB42+AB48</f>
        <v/>
      </c>
      <c r="AC49" s="21">
        <f>AC42+AC48</f>
        <v/>
      </c>
    </row>
    <row r="51">
      <c r="B51" s="5" t="inlineStr">
        <is>
          <t>D&amp;A</t>
        </is>
      </c>
    </row>
    <row r="52">
      <c r="A52" t="inlineStr">
        <is>
          <t>DA-Total DA</t>
        </is>
      </c>
      <c r="B52" t="inlineStr">
        <is>
          <t>Depreciation &amp; Amortisation</t>
        </is>
      </c>
      <c r="C52" t="inlineStr">
        <is>
          <t>AUDm</t>
        </is>
      </c>
      <c r="D52" s="46" t="n">
        <v>-12.2</v>
      </c>
      <c r="E52" s="4" t="n">
        <v>-13.355</v>
      </c>
      <c r="F52" s="46" t="n">
        <v>-15.9</v>
      </c>
      <c r="G52" s="4" t="n">
        <v>-15.223</v>
      </c>
      <c r="H52" s="46" t="n">
        <v>-19.08</v>
      </c>
      <c r="I52" s="4" t="n">
        <v>-20.601</v>
      </c>
      <c r="J52" s="47" t="n">
        <v>-21.181</v>
      </c>
      <c r="K52" s="4">
        <f>I52*1.06</f>
        <v/>
      </c>
      <c r="L52" s="4">
        <f>J52*1.06</f>
        <v/>
      </c>
      <c r="M52" s="4">
        <f>K52*1.06</f>
        <v/>
      </c>
      <c r="N52" s="4">
        <f>L52*1.06</f>
        <v/>
      </c>
      <c r="O52" s="4">
        <f>M52*1.06</f>
        <v/>
      </c>
      <c r="P52" s="4">
        <f>N52*1.06</f>
        <v/>
      </c>
      <c r="Q52" s="4">
        <f>O52*1.06</f>
        <v/>
      </c>
      <c r="R52" s="4">
        <f>P52*1.06</f>
        <v/>
      </c>
      <c r="S52" s="4">
        <f>Q52*1.06</f>
        <v/>
      </c>
      <c r="T52" s="4">
        <f>R52*1.06</f>
        <v/>
      </c>
      <c r="U52" s="4">
        <f>S52*1.06</f>
        <v/>
      </c>
      <c r="V52" s="4">
        <f>T52*1.06</f>
        <v/>
      </c>
      <c r="W52" s="4">
        <f>U52*1.06</f>
        <v/>
      </c>
      <c r="X52" s="4">
        <f>V52*1.06</f>
        <v/>
      </c>
      <c r="Y52" s="4">
        <f>W52*1.06</f>
        <v/>
      </c>
      <c r="Z52" s="4">
        <f>X52*1.06</f>
        <v/>
      </c>
      <c r="AA52" s="4">
        <f>Y52*1.06</f>
        <v/>
      </c>
      <c r="AB52" s="4">
        <f>Z52*1.06</f>
        <v/>
      </c>
      <c r="AC52" s="4">
        <f>AA52*1.06</f>
        <v/>
      </c>
    </row>
    <row r="53">
      <c r="D53" s="19" t="n"/>
      <c r="E53" s="4" t="n"/>
      <c r="F53" s="19" t="n"/>
      <c r="G53" s="4" t="n"/>
      <c r="H53" s="19" t="n"/>
      <c r="I53" s="4" t="n"/>
      <c r="J53" s="19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</row>
    <row r="54">
      <c r="B54" s="20" t="n"/>
      <c r="C54" s="20" t="n"/>
      <c r="D54" s="21" t="n"/>
      <c r="E54" s="21" t="n"/>
      <c r="F54" s="21" t="n"/>
      <c r="G54" s="21" t="n"/>
      <c r="H54" s="21" t="n"/>
      <c r="I54" s="21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21" t="n"/>
      <c r="W54" s="21" t="n"/>
      <c r="X54" s="21" t="n"/>
      <c r="Y54" s="21" t="n"/>
      <c r="Z54" s="21" t="n"/>
      <c r="AA54" s="21" t="n"/>
      <c r="AB54" s="21" t="n"/>
      <c r="AC54" s="21" t="n"/>
    </row>
    <row r="55">
      <c r="B55" s="25" t="inlineStr">
        <is>
          <t>D&amp;A / Revenue</t>
        </is>
      </c>
      <c r="C55" t="inlineStr">
        <is>
          <t>%</t>
        </is>
      </c>
      <c r="D55" s="6">
        <f>IF(D7=0,"",D52/D7)</f>
        <v/>
      </c>
      <c r="E55" s="6">
        <f>IF(E7=0,"",E52/E7)</f>
        <v/>
      </c>
      <c r="F55" s="6">
        <f>IF(F7=0,"",F52/F7)</f>
        <v/>
      </c>
      <c r="G55" s="6">
        <f>IF(G7=0,"",G52/G7)</f>
        <v/>
      </c>
      <c r="H55" s="6">
        <f>IF(H7=0,"",H52/H7)</f>
        <v/>
      </c>
      <c r="I55" s="6">
        <f>IF(I7=0,"",I52/I7)</f>
        <v/>
      </c>
      <c r="J55" s="6">
        <f>IF(J7=0,"",J52/J7)</f>
        <v/>
      </c>
      <c r="K55" s="26">
        <f>IF(K7=0,"",K52/K7)</f>
        <v/>
      </c>
      <c r="L55" s="26">
        <f>IF(L7=0,"",L52/L7)</f>
        <v/>
      </c>
      <c r="M55" s="26">
        <f>IF(M7=0,"",M52/M7)</f>
        <v/>
      </c>
      <c r="N55" s="26">
        <f>IF(N7=0,"",N52/N7)</f>
        <v/>
      </c>
      <c r="O55" s="26">
        <f>IF(O7=0,"",O52/O7)</f>
        <v/>
      </c>
      <c r="P55" s="26">
        <f>IF(P7=0,"",P52/P7)</f>
        <v/>
      </c>
      <c r="Q55" s="26">
        <f>IF(Q7=0,"",Q52/Q7)</f>
        <v/>
      </c>
      <c r="R55" s="26">
        <f>IF(R7=0,"",R52/R7)</f>
        <v/>
      </c>
      <c r="S55" s="26">
        <f>IF(S7=0,"",S52/S7)</f>
        <v/>
      </c>
      <c r="T55" s="26">
        <f>IF(T7=0,"",T52/T7)</f>
        <v/>
      </c>
      <c r="U55" s="26">
        <f>IF(U7=0,"",U52/U7)</f>
        <v/>
      </c>
      <c r="V55" s="26">
        <f>IF(V7=0,"",V52/V7)</f>
        <v/>
      </c>
      <c r="W55" s="26">
        <f>IF(W7=0,"",W52/W7)</f>
        <v/>
      </c>
      <c r="X55" s="26">
        <f>IF(X7=0,"",X52/X7)</f>
        <v/>
      </c>
      <c r="Y55" s="26">
        <f>IF(Y7=0,"",Y52/Y7)</f>
        <v/>
      </c>
      <c r="Z55" s="26">
        <f>IF(Z7=0,"",Z52/Z7)</f>
        <v/>
      </c>
      <c r="AA55" s="26">
        <f>IF(AA7=0,"",AA52/AA7)</f>
        <v/>
      </c>
      <c r="AB55" s="26">
        <f>IF(AB7=0,"",AB52/AB7)</f>
        <v/>
      </c>
      <c r="AC55" s="26">
        <f>IF(AC7=0,"",AC52/AC7)</f>
        <v/>
      </c>
    </row>
    <row r="57">
      <c r="B57" s="5" t="inlineStr">
        <is>
          <t>EBIT</t>
        </is>
      </c>
    </row>
    <row r="58">
      <c r="A58" t="inlineStr">
        <is>
          <t>EBIT-EBIT</t>
        </is>
      </c>
      <c r="B58" s="20" t="inlineStr">
        <is>
          <t>EBIT (Operating Profit)</t>
        </is>
      </c>
      <c r="C58" s="20" t="inlineStr">
        <is>
          <t>AUDm</t>
        </is>
      </c>
      <c r="D58" s="21">
        <f>D49+D52</f>
        <v/>
      </c>
      <c r="E58" s="21">
        <f>E49+E52</f>
        <v/>
      </c>
      <c r="F58" s="21">
        <f>F49+F52</f>
        <v/>
      </c>
      <c r="G58" s="21">
        <f>G49+G52</f>
        <v/>
      </c>
      <c r="H58" s="21">
        <f>H49+H52</f>
        <v/>
      </c>
      <c r="I58" s="21">
        <f>I49+I52</f>
        <v/>
      </c>
      <c r="J58" s="21">
        <f>J49+J52</f>
        <v/>
      </c>
      <c r="K58" s="21">
        <f>K49+K52</f>
        <v/>
      </c>
      <c r="L58" s="21">
        <f>L49+L52</f>
        <v/>
      </c>
      <c r="M58" s="21">
        <f>M49+M52</f>
        <v/>
      </c>
      <c r="N58" s="21">
        <f>N49+N52</f>
        <v/>
      </c>
      <c r="O58" s="21">
        <f>O49+O52</f>
        <v/>
      </c>
      <c r="P58" s="21">
        <f>P49+P52</f>
        <v/>
      </c>
      <c r="Q58" s="21">
        <f>Q49+Q52</f>
        <v/>
      </c>
      <c r="R58" s="21">
        <f>R49+R52</f>
        <v/>
      </c>
      <c r="S58" s="21">
        <f>S49+S52</f>
        <v/>
      </c>
      <c r="T58" s="21">
        <f>T49+T52</f>
        <v/>
      </c>
      <c r="U58" s="21">
        <f>U49+U52</f>
        <v/>
      </c>
      <c r="V58" s="21">
        <f>V49+V52</f>
        <v/>
      </c>
      <c r="W58" s="21">
        <f>W49+W52</f>
        <v/>
      </c>
      <c r="X58" s="21">
        <f>X49+X52</f>
        <v/>
      </c>
      <c r="Y58" s="21">
        <f>Y49+Y52</f>
        <v/>
      </c>
      <c r="Z58" s="21">
        <f>Z49+Z52</f>
        <v/>
      </c>
      <c r="AA58" s="21">
        <f>AA49+AA52</f>
        <v/>
      </c>
      <c r="AB58" s="21">
        <f>AB49+AB52</f>
        <v/>
      </c>
      <c r="AC58" s="21">
        <f>AC49+AC52</f>
        <v/>
      </c>
    </row>
    <row r="59">
      <c r="B59" t="inlineStr">
        <is>
          <t>EBIT Growth (YoY)</t>
        </is>
      </c>
      <c r="C59" t="inlineStr">
        <is>
          <t>% YoY</t>
        </is>
      </c>
      <c r="D59" s="6" t="n"/>
      <c r="E59" s="6" t="n"/>
      <c r="F59" s="6">
        <f>IF(D58=0,"",F58/D58-1)</f>
        <v/>
      </c>
      <c r="G59" s="6">
        <f>IF(E58=0,"",G58/E58-1)</f>
        <v/>
      </c>
      <c r="H59" s="6">
        <f>IF(F58=0,"",H58/F58-1)</f>
        <v/>
      </c>
      <c r="I59" s="6">
        <f>IF(G58=0,"",I58/G58-1)</f>
        <v/>
      </c>
      <c r="J59" s="6">
        <f>IF(H58=0,"",J58/H58-1)</f>
        <v/>
      </c>
      <c r="K59" s="6">
        <f>IF(I58=0,"",K58/I58-1)</f>
        <v/>
      </c>
      <c r="L59" s="6">
        <f>IF(J58=0,"",L58/J58-1)</f>
        <v/>
      </c>
      <c r="M59" s="6">
        <f>IF(K58=0,"",M58/K58-1)</f>
        <v/>
      </c>
      <c r="N59" s="6">
        <f>IF(L58=0,"",N58/L58-1)</f>
        <v/>
      </c>
      <c r="O59" s="6">
        <f>IF(M58=0,"",O58/M58-1)</f>
        <v/>
      </c>
      <c r="P59" s="6">
        <f>IF(N58=0,"",P58/N58-1)</f>
        <v/>
      </c>
      <c r="Q59" s="6">
        <f>IF(O58=0,"",Q58/O58-1)</f>
        <v/>
      </c>
      <c r="R59" s="6">
        <f>IF(P58=0,"",R58/P58-1)</f>
        <v/>
      </c>
      <c r="S59" s="6">
        <f>IF(Q58=0,"",S58/Q58-1)</f>
        <v/>
      </c>
      <c r="T59" s="6">
        <f>IF(R58=0,"",T58/R58-1)</f>
        <v/>
      </c>
      <c r="U59" s="6">
        <f>IF(S58=0,"",U58/S58-1)</f>
        <v/>
      </c>
      <c r="V59" s="6">
        <f>IF(T58=0,"",V58/T58-1)</f>
        <v/>
      </c>
      <c r="W59" s="6">
        <f>IF(U58=0,"",W58/U58-1)</f>
        <v/>
      </c>
      <c r="X59" s="6">
        <f>IF(V58=0,"",X58/V58-1)</f>
        <v/>
      </c>
      <c r="Y59" s="6">
        <f>IF(W58=0,"",Y58/W58-1)</f>
        <v/>
      </c>
      <c r="Z59" s="6">
        <f>IF(X58=0,"",Z58/X58-1)</f>
        <v/>
      </c>
      <c r="AA59" s="6">
        <f>IF(Y58=0,"",AA58/Y58-1)</f>
        <v/>
      </c>
      <c r="AB59" s="6">
        <f>IF(Z58=0,"",AB58/Z58-1)</f>
        <v/>
      </c>
      <c r="AC59" s="6">
        <f>IF(AA58=0,"",AC58/AA58-1)</f>
        <v/>
      </c>
    </row>
    <row r="60">
      <c r="B60" t="inlineStr">
        <is>
          <t>EBIT Margin</t>
        </is>
      </c>
      <c r="C60" t="inlineStr">
        <is>
          <t>%</t>
        </is>
      </c>
      <c r="D60" s="6">
        <f>IF(D7=0,"",D58/D7)</f>
        <v/>
      </c>
      <c r="E60" s="6">
        <f>IF(E7=0,"",E58/E7)</f>
        <v/>
      </c>
      <c r="F60" s="6">
        <f>IF(F7=0,"",F58/F7)</f>
        <v/>
      </c>
      <c r="G60" s="6">
        <f>IF(G7=0,"",G58/G7)</f>
        <v/>
      </c>
      <c r="H60" s="6">
        <f>IF(H7=0,"",H58/H7)</f>
        <v/>
      </c>
      <c r="I60" s="6">
        <f>IF(I7=0,"",I58/I7)</f>
        <v/>
      </c>
      <c r="J60" s="6">
        <f>IF(J7=0,"",J58/J7)</f>
        <v/>
      </c>
      <c r="K60" s="6">
        <f>IF(K7=0,"",K58/K7)</f>
        <v/>
      </c>
      <c r="L60" s="6">
        <f>IF(L7=0,"",L58/L7)</f>
        <v/>
      </c>
      <c r="M60" s="6">
        <f>IF(M7=0,"",M58/M7)</f>
        <v/>
      </c>
      <c r="N60" s="6">
        <f>IF(N7=0,"",N58/N7)</f>
        <v/>
      </c>
      <c r="O60" s="6">
        <f>IF(O7=0,"",O58/O7)</f>
        <v/>
      </c>
      <c r="P60" s="6">
        <f>IF(P7=0,"",P58/P7)</f>
        <v/>
      </c>
      <c r="Q60" s="6">
        <f>IF(Q7=0,"",Q58/Q7)</f>
        <v/>
      </c>
      <c r="R60" s="6">
        <f>IF(R7=0,"",R58/R7)</f>
        <v/>
      </c>
      <c r="S60" s="6">
        <f>IF(S7=0,"",S58/S7)</f>
        <v/>
      </c>
      <c r="T60" s="6">
        <f>IF(T7=0,"",T58/T7)</f>
        <v/>
      </c>
      <c r="U60" s="6">
        <f>IF(U7=0,"",U58/U7)</f>
        <v/>
      </c>
      <c r="V60" s="6">
        <f>IF(V7=0,"",V58/V7)</f>
        <v/>
      </c>
      <c r="W60" s="6">
        <f>IF(W7=0,"",W58/W7)</f>
        <v/>
      </c>
      <c r="X60" s="6">
        <f>IF(X7=0,"",X58/X7)</f>
        <v/>
      </c>
      <c r="Y60" s="6">
        <f>IF(Y7=0,"",Y58/Y7)</f>
        <v/>
      </c>
      <c r="Z60" s="6">
        <f>IF(Z7=0,"",Z58/Z7)</f>
        <v/>
      </c>
      <c r="AA60" s="6">
        <f>IF(AA7=0,"",AA58/AA7)</f>
        <v/>
      </c>
      <c r="AB60" s="6">
        <f>IF(AB7=0,"",AB58/AB7)</f>
        <v/>
      </c>
      <c r="AC60" s="6">
        <f>IF(AC7=0,"",AC58/AC7)</f>
        <v/>
      </c>
    </row>
    <row r="62">
      <c r="B62" s="5" t="inlineStr">
        <is>
          <t>Interest</t>
        </is>
      </c>
    </row>
    <row r="63">
      <c r="A63" t="inlineStr">
        <is>
          <t>Int-Finance Income</t>
        </is>
      </c>
      <c r="B63" t="inlineStr">
        <is>
          <t>Finance Income</t>
        </is>
      </c>
      <c r="C63" t="inlineStr">
        <is>
          <t>AUDm</t>
        </is>
      </c>
      <c r="D63" s="19" t="n">
        <v>2.2</v>
      </c>
      <c r="E63" s="4" t="n">
        <v>2.393</v>
      </c>
      <c r="F63" s="19" t="n">
        <v>2.327</v>
      </c>
      <c r="G63" s="4" t="n">
        <v>3.685</v>
      </c>
      <c r="H63" s="19" t="n">
        <v>11.445</v>
      </c>
      <c r="I63" s="4" t="n">
        <v>11.229</v>
      </c>
      <c r="J63" s="19" t="n">
        <v>11.432</v>
      </c>
      <c r="K63" s="4">
        <f>I63*1.0</f>
        <v/>
      </c>
      <c r="L63" s="4">
        <f>J63*1.0</f>
        <v/>
      </c>
      <c r="M63" s="4">
        <f>K63*1.0</f>
        <v/>
      </c>
      <c r="N63" s="4">
        <f>L63*1.0</f>
        <v/>
      </c>
      <c r="O63" s="4">
        <f>M63*1.0</f>
        <v/>
      </c>
      <c r="P63" s="4">
        <f>N63*1.0</f>
        <v/>
      </c>
      <c r="Q63" s="4">
        <f>O63*1.0</f>
        <v/>
      </c>
      <c r="R63" s="4">
        <f>P63*1.0</f>
        <v/>
      </c>
      <c r="S63" s="4">
        <f>Q63*1.0</f>
        <v/>
      </c>
      <c r="T63" s="4">
        <f>R63*1.0</f>
        <v/>
      </c>
      <c r="U63" s="4">
        <f>S63*1.0</f>
        <v/>
      </c>
      <c r="V63" s="4">
        <f>T63*1.0</f>
        <v/>
      </c>
      <c r="W63" s="4">
        <f>U63*1.0</f>
        <v/>
      </c>
      <c r="X63" s="4">
        <f>V63*1.0</f>
        <v/>
      </c>
      <c r="Y63" s="4">
        <f>W63*1.0</f>
        <v/>
      </c>
      <c r="Z63" s="4">
        <f>X63*1.0</f>
        <v/>
      </c>
      <c r="AA63" s="4">
        <f>Y63*1.0</f>
        <v/>
      </c>
      <c r="AB63" s="4">
        <f>Z63*1.0</f>
        <v/>
      </c>
      <c r="AC63" s="4">
        <f>AA63*1.0</f>
        <v/>
      </c>
    </row>
    <row r="64">
      <c r="A64" t="inlineStr">
        <is>
          <t>Int-Finance Costs</t>
        </is>
      </c>
      <c r="B64" t="inlineStr">
        <is>
          <t>Finance Costs</t>
        </is>
      </c>
      <c r="C64" t="inlineStr">
        <is>
          <t>AUDm</t>
        </is>
      </c>
      <c r="D64" s="46" t="n">
        <v>-4.1</v>
      </c>
      <c r="E64" s="4" t="n">
        <v>-4.403</v>
      </c>
      <c r="F64" s="46" t="n">
        <v>-6.41</v>
      </c>
      <c r="G64" s="4" t="n">
        <v>-7.314</v>
      </c>
      <c r="H64" s="46" t="n">
        <v>-8.752000000000001</v>
      </c>
      <c r="I64" s="4" t="n">
        <v>-10.15</v>
      </c>
      <c r="J64" s="47" t="n">
        <v>-12.014</v>
      </c>
      <c r="K64" s="4">
        <f>I64*1.05</f>
        <v/>
      </c>
      <c r="L64" s="4">
        <f>J64*1.05</f>
        <v/>
      </c>
      <c r="M64" s="4">
        <f>K64*1.05</f>
        <v/>
      </c>
      <c r="N64" s="4">
        <f>L64*1.05</f>
        <v/>
      </c>
      <c r="O64" s="4">
        <f>M64*1.05</f>
        <v/>
      </c>
      <c r="P64" s="4">
        <f>N64*1.05</f>
        <v/>
      </c>
      <c r="Q64" s="4">
        <f>O64*1.05</f>
        <v/>
      </c>
      <c r="R64" s="4">
        <f>P64*1.05</f>
        <v/>
      </c>
      <c r="S64" s="4">
        <f>Q64*1.05</f>
        <v/>
      </c>
      <c r="T64" s="4">
        <f>R64*1.05</f>
        <v/>
      </c>
      <c r="U64" s="4">
        <f>S64*1.05</f>
        <v/>
      </c>
      <c r="V64" s="4">
        <f>T64*1.05</f>
        <v/>
      </c>
      <c r="W64" s="4">
        <f>U64*1.05</f>
        <v/>
      </c>
      <c r="X64" s="4">
        <f>V64*1.05</f>
        <v/>
      </c>
      <c r="Y64" s="4">
        <f>W64*1.05</f>
        <v/>
      </c>
      <c r="Z64" s="4">
        <f>X64*1.05</f>
        <v/>
      </c>
      <c r="AA64" s="4">
        <f>Y64*1.05</f>
        <v/>
      </c>
      <c r="AB64" s="4">
        <f>Z64*1.05</f>
        <v/>
      </c>
      <c r="AC64" s="4">
        <f>AA64*1.05</f>
        <v/>
      </c>
    </row>
    <row r="65">
      <c r="D65" s="46" t="n"/>
      <c r="E65" s="4" t="n"/>
      <c r="F65" s="46" t="n"/>
      <c r="G65" s="4" t="n"/>
      <c r="H65" s="46" t="n"/>
      <c r="I65" s="4" t="n"/>
      <c r="J65" s="47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</row>
    <row r="66">
      <c r="A66" t="inlineStr">
        <is>
          <t>Int-Net Finance Costs</t>
        </is>
      </c>
      <c r="B66" s="20" t="inlineStr">
        <is>
          <t>Net Finance Costs</t>
        </is>
      </c>
      <c r="C66" s="20" t="inlineStr">
        <is>
          <t>AUDm</t>
        </is>
      </c>
      <c r="D66" s="21">
        <f>D63+D64</f>
        <v/>
      </c>
      <c r="E66" s="21">
        <f>E63+E64</f>
        <v/>
      </c>
      <c r="F66" s="21">
        <f>F63+F64</f>
        <v/>
      </c>
      <c r="G66" s="21">
        <f>G63+G64</f>
        <v/>
      </c>
      <c r="H66" s="21">
        <f>H63+H64</f>
        <v/>
      </c>
      <c r="I66" s="21">
        <f>I63+I64</f>
        <v/>
      </c>
      <c r="J66" s="21">
        <f>J63+J64</f>
        <v/>
      </c>
      <c r="K66" s="21">
        <f>K63+K64</f>
        <v/>
      </c>
      <c r="L66" s="21">
        <f>L63+L64</f>
        <v/>
      </c>
      <c r="M66" s="21">
        <f>M63+M64</f>
        <v/>
      </c>
      <c r="N66" s="21">
        <f>N63+N64</f>
        <v/>
      </c>
      <c r="O66" s="21">
        <f>O63+O64</f>
        <v/>
      </c>
      <c r="P66" s="21">
        <f>P63+P64</f>
        <v/>
      </c>
      <c r="Q66" s="21">
        <f>Q63+Q64</f>
        <v/>
      </c>
      <c r="R66" s="21">
        <f>R63+R64</f>
        <v/>
      </c>
      <c r="S66" s="21">
        <f>S63+S64</f>
        <v/>
      </c>
      <c r="T66" s="21">
        <f>T63+T64</f>
        <v/>
      </c>
      <c r="U66" s="21">
        <f>U63+U64</f>
        <v/>
      </c>
      <c r="V66" s="21">
        <f>V63+V64</f>
        <v/>
      </c>
      <c r="W66" s="21">
        <f>W63+W64</f>
        <v/>
      </c>
      <c r="X66" s="21">
        <f>X63+X64</f>
        <v/>
      </c>
      <c r="Y66" s="21">
        <f>Y63+Y64</f>
        <v/>
      </c>
      <c r="Z66" s="21">
        <f>Z63+Z64</f>
        <v/>
      </c>
      <c r="AA66" s="21">
        <f>AA63+AA64</f>
        <v/>
      </c>
      <c r="AB66" s="21">
        <f>AB63+AB64</f>
        <v/>
      </c>
      <c r="AC66" s="21">
        <f>AC63+AC64</f>
        <v/>
      </c>
    </row>
    <row r="67">
      <c r="B67" s="25" t="n"/>
      <c r="D67" s="6" t="n"/>
      <c r="E67" s="6" t="n"/>
      <c r="F67" s="6" t="n"/>
      <c r="G67" s="6" t="n"/>
      <c r="H67" s="6" t="n"/>
      <c r="I67" s="6" t="n"/>
      <c r="J67" s="6" t="n"/>
      <c r="K67" s="26" t="n"/>
      <c r="L67" s="26" t="n"/>
      <c r="M67" s="26" t="n"/>
      <c r="N67" s="26" t="n"/>
      <c r="O67" s="26" t="n"/>
      <c r="P67" s="26" t="n"/>
      <c r="Q67" s="26" t="n"/>
      <c r="R67" s="26" t="n"/>
      <c r="S67" s="26" t="n"/>
      <c r="T67" s="26" t="n"/>
      <c r="U67" s="26" t="n"/>
      <c r="V67" s="26" t="n"/>
      <c r="W67" s="26" t="n"/>
      <c r="X67" s="26" t="n"/>
      <c r="Y67" s="26" t="n"/>
      <c r="Z67" s="26" t="n"/>
      <c r="AA67" s="26" t="n"/>
      <c r="AB67" s="26" t="n"/>
      <c r="AC67" s="26" t="n"/>
    </row>
    <row r="68">
      <c r="B68" s="25" t="n"/>
      <c r="D68" s="6" t="n"/>
      <c r="E68" s="6" t="n"/>
      <c r="F68" s="6" t="n"/>
      <c r="G68" s="6" t="n"/>
      <c r="H68" s="6" t="n"/>
      <c r="I68" s="6" t="n"/>
      <c r="J68" s="6" t="n"/>
      <c r="K68" s="26" t="n"/>
      <c r="L68" s="26" t="n"/>
      <c r="M68" s="26" t="n"/>
      <c r="N68" s="26" t="n"/>
      <c r="O68" s="26" t="n"/>
      <c r="P68" s="26" t="n"/>
      <c r="Q68" s="26" t="n"/>
      <c r="R68" s="26" t="n"/>
      <c r="S68" s="26" t="n"/>
      <c r="T68" s="26" t="n"/>
      <c r="U68" s="26" t="n"/>
      <c r="V68" s="26" t="n"/>
      <c r="W68" s="26" t="n"/>
      <c r="X68" s="26" t="n"/>
      <c r="Y68" s="26" t="n"/>
      <c r="Z68" s="26" t="n"/>
      <c r="AA68" s="26" t="n"/>
      <c r="AB68" s="26" t="n"/>
      <c r="AC68" s="26" t="n"/>
    </row>
    <row r="69">
      <c r="B69" s="25" t="n"/>
      <c r="D69" s="6" t="n"/>
      <c r="E69" s="6" t="n"/>
      <c r="F69" s="6" t="n"/>
      <c r="G69" s="6" t="n"/>
      <c r="H69" s="6" t="n"/>
      <c r="I69" s="6" t="n"/>
      <c r="J69" s="6" t="n"/>
      <c r="K69" s="26" t="n"/>
      <c r="L69" s="26" t="n"/>
      <c r="M69" s="26" t="n"/>
      <c r="N69" s="26" t="n"/>
      <c r="O69" s="26" t="n"/>
      <c r="P69" s="26" t="n"/>
      <c r="Q69" s="26" t="n"/>
      <c r="R69" s="26" t="n"/>
      <c r="S69" s="26" t="n"/>
      <c r="T69" s="26" t="n"/>
      <c r="U69" s="26" t="n"/>
      <c r="V69" s="26" t="n"/>
      <c r="W69" s="26" t="n"/>
      <c r="X69" s="26" t="n"/>
      <c r="Y69" s="26" t="n"/>
      <c r="Z69" s="26" t="n"/>
      <c r="AA69" s="26" t="n"/>
      <c r="AB69" s="26" t="n"/>
      <c r="AC69" s="26" t="n"/>
    </row>
    <row r="71">
      <c r="A71" t="inlineStr">
        <is>
          <t>PBT-PBT</t>
        </is>
      </c>
      <c r="B71" s="20" t="inlineStr">
        <is>
          <t>PBT</t>
        </is>
      </c>
      <c r="C71" s="20" t="inlineStr">
        <is>
          <t>AUDm</t>
        </is>
      </c>
      <c r="D71" s="21">
        <f>D58+D66</f>
        <v/>
      </c>
      <c r="E71" s="21">
        <f>E58+E66</f>
        <v/>
      </c>
      <c r="F71" s="21">
        <f>F58+F66</f>
        <v/>
      </c>
      <c r="G71" s="21">
        <f>G58+G66</f>
        <v/>
      </c>
      <c r="H71" s="21">
        <f>H58+H66</f>
        <v/>
      </c>
      <c r="I71" s="21">
        <f>I58+I66</f>
        <v/>
      </c>
      <c r="J71" s="21">
        <f>J58+J66</f>
        <v/>
      </c>
      <c r="K71" s="21">
        <f>K58+K66</f>
        <v/>
      </c>
      <c r="L71" s="21">
        <f>L58+L66</f>
        <v/>
      </c>
      <c r="M71" s="21">
        <f>M58+M66</f>
        <v/>
      </c>
      <c r="N71" s="21">
        <f>N58+N66</f>
        <v/>
      </c>
      <c r="O71" s="21">
        <f>O58+O66</f>
        <v/>
      </c>
      <c r="P71" s="21">
        <f>P58+P66</f>
        <v/>
      </c>
      <c r="Q71" s="21">
        <f>Q58+Q66</f>
        <v/>
      </c>
      <c r="R71" s="21">
        <f>R58+R66</f>
        <v/>
      </c>
      <c r="S71" s="21">
        <f>S58+S66</f>
        <v/>
      </c>
      <c r="T71" s="21">
        <f>T58+T66</f>
        <v/>
      </c>
      <c r="U71" s="21">
        <f>U58+U66</f>
        <v/>
      </c>
      <c r="V71" s="21">
        <f>V58+V66</f>
        <v/>
      </c>
      <c r="W71" s="21">
        <f>W58+W66</f>
        <v/>
      </c>
      <c r="X71" s="21">
        <f>X58+X66</f>
        <v/>
      </c>
      <c r="Y71" s="21">
        <f>Y58+Y66</f>
        <v/>
      </c>
      <c r="Z71" s="21">
        <f>Z58+Z66</f>
        <v/>
      </c>
      <c r="AA71" s="21">
        <f>AA58+AA66</f>
        <v/>
      </c>
      <c r="AB71" s="21">
        <f>AB58+AB66</f>
        <v/>
      </c>
      <c r="AC71" s="21">
        <f>AC58+AC66</f>
        <v/>
      </c>
    </row>
    <row r="72">
      <c r="A72" t="inlineStr">
        <is>
          <t>Tax-Tax Expense</t>
        </is>
      </c>
      <c r="B72" t="inlineStr">
        <is>
          <t>Tax Expense</t>
        </is>
      </c>
      <c r="C72" t="inlineStr">
        <is>
          <t>AUDm</t>
        </is>
      </c>
      <c r="D72" s="19" t="n">
        <v>-1.2</v>
      </c>
      <c r="E72" s="4" t="n">
        <v>-1.223</v>
      </c>
      <c r="F72" s="19" t="n">
        <v>-2.881</v>
      </c>
      <c r="G72" s="4" t="n">
        <v>0.694</v>
      </c>
      <c r="H72" s="19" t="n">
        <v>-7.89</v>
      </c>
      <c r="I72" s="4" t="n">
        <v>-6.844</v>
      </c>
      <c r="J72" s="19" t="n">
        <v>-8.595000000000001</v>
      </c>
      <c r="K72" s="4">
        <f>IF(K71&gt;0,-K71*0.35,0)</f>
        <v/>
      </c>
      <c r="L72" s="4">
        <f>IF(L71&gt;0,-L71*0.35,0)</f>
        <v/>
      </c>
      <c r="M72" s="4">
        <f>IF(M71&gt;0,-M71*0.35,0)</f>
        <v/>
      </c>
      <c r="N72" s="4">
        <f>IF(N71&gt;0,-N71*0.35,0)</f>
        <v/>
      </c>
      <c r="O72" s="4">
        <f>IF(O71&gt;0,-O71*0.35,0)</f>
        <v/>
      </c>
      <c r="P72" s="4">
        <f>IF(P71&gt;0,-P71*0.35,0)</f>
        <v/>
      </c>
      <c r="Q72" s="4">
        <f>IF(Q71&gt;0,-Q71*0.35,0)</f>
        <v/>
      </c>
      <c r="R72" s="4">
        <f>IF(R71&gt;0,-R71*0.35,0)</f>
        <v/>
      </c>
      <c r="S72" s="4">
        <f>IF(S71&gt;0,-S71*0.35,0)</f>
        <v/>
      </c>
      <c r="T72" s="4">
        <f>IF(T71&gt;0,-T71*0.35,0)</f>
        <v/>
      </c>
      <c r="U72" s="4">
        <f>IF(U71&gt;0,-U71*0.35,0)</f>
        <v/>
      </c>
      <c r="V72" s="4">
        <f>IF(V71&gt;0,-V71*0.35,0)</f>
        <v/>
      </c>
      <c r="W72" s="4">
        <f>IF(W71&gt;0,-W71*0.35,0)</f>
        <v/>
      </c>
      <c r="X72" s="4">
        <f>IF(X71&gt;0,-X71*0.35,0)</f>
        <v/>
      </c>
      <c r="Y72" s="4">
        <f>IF(Y71&gt;0,-Y71*0.35,0)</f>
        <v/>
      </c>
      <c r="Z72" s="4">
        <f>IF(Z71&gt;0,-Z71*0.35,0)</f>
        <v/>
      </c>
      <c r="AA72" s="4">
        <f>IF(AA71&gt;0,-AA71*0.35,0)</f>
        <v/>
      </c>
      <c r="AB72" s="4">
        <f>IF(AB71&gt;0,-AB71*0.35,0)</f>
        <v/>
      </c>
      <c r="AC72" s="4">
        <f>IF(AC71&gt;0,-AC71*0.35,0)</f>
        <v/>
      </c>
    </row>
    <row r="73">
      <c r="B73" s="25" t="inlineStr">
        <is>
          <t>Tax Rate</t>
        </is>
      </c>
      <c r="C73" t="inlineStr">
        <is>
          <t>%</t>
        </is>
      </c>
      <c r="D73" s="6">
        <f>IF(D71=0,"",D72/D71)</f>
        <v/>
      </c>
      <c r="E73" s="6">
        <f>IF(E71=0,"",E72/E71)</f>
        <v/>
      </c>
      <c r="F73" s="6">
        <f>IF(F71=0,"",F72/F71)</f>
        <v/>
      </c>
      <c r="G73" s="6">
        <f>IF(G71=0,"",G72/G71)</f>
        <v/>
      </c>
      <c r="H73" s="6">
        <f>IF(H71=0,"",H72/H71)</f>
        <v/>
      </c>
      <c r="I73" s="6">
        <f>IF(I71=0,"",I72/I71)</f>
        <v/>
      </c>
      <c r="J73" s="6">
        <f>IF(J71=0,"",J72/J71)</f>
        <v/>
      </c>
      <c r="K73" s="26">
        <f>IF(K71=0,"",K72/K71)</f>
        <v/>
      </c>
      <c r="L73" s="26">
        <f>IF(L71=0,"",L72/L71)</f>
        <v/>
      </c>
      <c r="M73" s="26">
        <f>IF(M71=0,"",M72/M71)</f>
        <v/>
      </c>
      <c r="N73" s="26">
        <f>IF(N71=0,"",N72/N71)</f>
        <v/>
      </c>
      <c r="O73" s="26">
        <f>IF(O71=0,"",O72/O71)</f>
        <v/>
      </c>
      <c r="P73" s="26">
        <f>IF(P71=0,"",P72/P71)</f>
        <v/>
      </c>
      <c r="Q73" s="26">
        <f>IF(Q71=0,"",Q72/Q71)</f>
        <v/>
      </c>
      <c r="R73" s="26">
        <f>IF(R71=0,"",R72/R71)</f>
        <v/>
      </c>
      <c r="S73" s="26">
        <f>IF(S71=0,"",S72/S71)</f>
        <v/>
      </c>
      <c r="T73" s="26">
        <f>IF(T71=0,"",T72/T71)</f>
        <v/>
      </c>
      <c r="U73" s="26">
        <f>IF(U71=0,"",U72/U71)</f>
        <v/>
      </c>
      <c r="V73" s="26">
        <f>IF(V71=0,"",V72/V71)</f>
        <v/>
      </c>
      <c r="W73" s="26">
        <f>IF(W71=0,"",W72/W71)</f>
        <v/>
      </c>
      <c r="X73" s="26">
        <f>IF(X71=0,"",X72/X71)</f>
        <v/>
      </c>
      <c r="Y73" s="26">
        <f>IF(Y71=0,"",Y72/Y71)</f>
        <v/>
      </c>
      <c r="Z73" s="26">
        <f>IF(Z71=0,"",Z72/Z71)</f>
        <v/>
      </c>
      <c r="AA73" s="26">
        <f>IF(AA71=0,"",AA72/AA71)</f>
        <v/>
      </c>
      <c r="AB73" s="26">
        <f>IF(AB71=0,"",AB72/AB71)</f>
        <v/>
      </c>
      <c r="AC73" s="26">
        <f>IF(AC71=0,"",AC72/AC71)</f>
        <v/>
      </c>
    </row>
    <row r="74">
      <c r="B74" s="49" t="n"/>
      <c r="D74" s="19" t="n"/>
      <c r="E74" s="4" t="n"/>
      <c r="F74" s="19" t="n"/>
      <c r="G74" s="4" t="n"/>
      <c r="H74" s="19" t="n"/>
      <c r="I74" s="4" t="n"/>
      <c r="J74" s="19" t="n"/>
      <c r="K74" s="40" t="n"/>
      <c r="L74" s="40" t="n"/>
      <c r="M74" s="40" t="n"/>
      <c r="N74" s="40" t="n"/>
      <c r="O74" s="40" t="n"/>
      <c r="P74" s="40" t="n"/>
      <c r="Q74" s="40" t="n"/>
      <c r="R74" s="40" t="n"/>
      <c r="S74" s="40" t="n"/>
      <c r="T74" s="40" t="n"/>
      <c r="U74" s="40" t="n"/>
      <c r="V74" s="40" t="n"/>
      <c r="W74" s="40" t="n"/>
      <c r="X74" s="40" t="n"/>
      <c r="Y74" s="40" t="n"/>
      <c r="Z74" s="40" t="n"/>
      <c r="AA74" s="40" t="n"/>
      <c r="AB74" s="40" t="n"/>
      <c r="AC74" s="40" t="n"/>
    </row>
    <row r="75">
      <c r="A75" t="inlineStr">
        <is>
          <t>NPAT-Statutory NPAT</t>
        </is>
      </c>
      <c r="B75" s="20" t="inlineStr">
        <is>
          <t>NPAT</t>
        </is>
      </c>
      <c r="C75" s="20" t="inlineStr">
        <is>
          <t>AUDm</t>
        </is>
      </c>
      <c r="D75" s="21">
        <f>D71+D72</f>
        <v/>
      </c>
      <c r="E75" s="21">
        <f>E71+E72</f>
        <v/>
      </c>
      <c r="F75" s="21">
        <f>F71+F72</f>
        <v/>
      </c>
      <c r="G75" s="21">
        <f>G71+G72</f>
        <v/>
      </c>
      <c r="H75" s="21">
        <f>H71+H72</f>
        <v/>
      </c>
      <c r="I75" s="21">
        <f>I71+I72</f>
        <v/>
      </c>
      <c r="J75" s="21">
        <f>J71+J72</f>
        <v/>
      </c>
      <c r="K75" s="21">
        <f>K71+K72</f>
        <v/>
      </c>
      <c r="L75" s="21">
        <f>L71+L72</f>
        <v/>
      </c>
      <c r="M75" s="21">
        <f>M71+M72</f>
        <v/>
      </c>
      <c r="N75" s="21">
        <f>N71+N72</f>
        <v/>
      </c>
      <c r="O75" s="21">
        <f>O71+O72</f>
        <v/>
      </c>
      <c r="P75" s="21">
        <f>P71+P72</f>
        <v/>
      </c>
      <c r="Q75" s="21">
        <f>Q71+Q72</f>
        <v/>
      </c>
      <c r="R75" s="21">
        <f>R71+R72</f>
        <v/>
      </c>
      <c r="S75" s="21">
        <f>S71+S72</f>
        <v/>
      </c>
      <c r="T75" s="21">
        <f>T71+T72</f>
        <v/>
      </c>
      <c r="U75" s="21">
        <f>U71+U72</f>
        <v/>
      </c>
      <c r="V75" s="21">
        <f>V71+V72</f>
        <v/>
      </c>
      <c r="W75" s="21">
        <f>W71+W72</f>
        <v/>
      </c>
      <c r="X75" s="21">
        <f>X71+X72</f>
        <v/>
      </c>
      <c r="Y75" s="21">
        <f>Y71+Y72</f>
        <v/>
      </c>
      <c r="Z75" s="21">
        <f>Z71+Z72</f>
        <v/>
      </c>
      <c r="AA75" s="21">
        <f>AA71+AA72</f>
        <v/>
      </c>
      <c r="AB75" s="21">
        <f>AB71+AB72</f>
        <v/>
      </c>
      <c r="AC75" s="21">
        <f>AC71+AC72</f>
        <v/>
      </c>
    </row>
    <row r="76">
      <c r="D76" s="19" t="n"/>
      <c r="E76" s="4" t="n"/>
      <c r="F76" s="19" t="n"/>
      <c r="G76" s="4" t="n"/>
      <c r="H76" s="19" t="n"/>
      <c r="I76" s="4" t="n"/>
      <c r="J76" s="19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</row>
    <row r="77">
      <c r="B77" s="20" t="n"/>
      <c r="C77" s="20" t="n"/>
      <c r="D77" s="21" t="n"/>
      <c r="E77" s="21" t="n"/>
      <c r="F77" s="21" t="n"/>
      <c r="G77" s="21" t="n"/>
      <c r="H77" s="21" t="n"/>
      <c r="I77" s="21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1" t="n"/>
      <c r="W77" s="21" t="n"/>
      <c r="X77" s="21" t="n"/>
      <c r="Y77" s="21" t="n"/>
      <c r="Z77" s="21" t="n"/>
      <c r="AA77" s="21" t="n"/>
      <c r="AB77" s="21" t="n"/>
      <c r="AC77" s="21" t="n"/>
    </row>
    <row r="78">
      <c r="B78" t="inlineStr">
        <is>
          <t>NPAT Growth (YoY)</t>
        </is>
      </c>
      <c r="C78" t="inlineStr">
        <is>
          <t>% YoY</t>
        </is>
      </c>
      <c r="D78" s="6" t="n"/>
      <c r="E78" s="6" t="n"/>
      <c r="F78" s="6">
        <f>IF(D75&lt;=0,"",F75/D75-1)</f>
        <v/>
      </c>
      <c r="G78" s="6">
        <f>IF(E75&lt;=0,"",G75/E75-1)</f>
        <v/>
      </c>
      <c r="H78" s="6">
        <f>IF(F75&lt;=0,"",H75/F75-1)</f>
        <v/>
      </c>
      <c r="I78" s="6">
        <f>IF(G75&lt;=0,"",I75/G75-1)</f>
        <v/>
      </c>
      <c r="J78" s="6">
        <f>IF(H75&lt;=0,"",J75/H75-1)</f>
        <v/>
      </c>
      <c r="K78" s="6">
        <f>IF(I75&lt;=0,"",K75/I75-1)</f>
        <v/>
      </c>
      <c r="L78" s="6">
        <f>IF(J75&lt;=0,"",L75/J75-1)</f>
        <v/>
      </c>
      <c r="M78" s="6">
        <f>IF(K75&lt;=0,"",M75/K75-1)</f>
        <v/>
      </c>
      <c r="N78" s="6">
        <f>IF(L75&lt;=0,"",N75/L75-1)</f>
        <v/>
      </c>
      <c r="O78" s="6">
        <f>IF(M75&lt;=0,"",O75/M75-1)</f>
        <v/>
      </c>
      <c r="P78" s="6">
        <f>IF(N75&lt;=0,"",P75/N75-1)</f>
        <v/>
      </c>
      <c r="Q78" s="6">
        <f>IF(O75&lt;=0,"",Q75/O75-1)</f>
        <v/>
      </c>
      <c r="R78" s="6">
        <f>IF(P75&lt;=0,"",R75/P75-1)</f>
        <v/>
      </c>
      <c r="S78" s="6">
        <f>IF(Q75&lt;=0,"",S75/Q75-1)</f>
        <v/>
      </c>
      <c r="T78" s="6">
        <f>IF(R75&lt;=0,"",T75/R75-1)</f>
        <v/>
      </c>
      <c r="U78" s="6">
        <f>IF(S75&lt;=0,"",U75/S75-1)</f>
        <v/>
      </c>
      <c r="V78" s="6">
        <f>IF(T75&lt;=0,"",V75/T75-1)</f>
        <v/>
      </c>
      <c r="W78" s="6">
        <f>IF(U75&lt;=0,"",W75/U75-1)</f>
        <v/>
      </c>
      <c r="X78" s="6">
        <f>IF(V75&lt;=0,"",X75/V75-1)</f>
        <v/>
      </c>
      <c r="Y78" s="6">
        <f>IF(W75&lt;=0,"",Y75/W75-1)</f>
        <v/>
      </c>
      <c r="Z78" s="6">
        <f>IF(X75&lt;=0,"",Z75/X75-1)</f>
        <v/>
      </c>
      <c r="AA78" s="6">
        <f>IF(Y75&lt;=0,"",AA75/Y75-1)</f>
        <v/>
      </c>
      <c r="AB78" s="6">
        <f>IF(Z75&lt;=0,"",AB75/Z75-1)</f>
        <v/>
      </c>
      <c r="AC78" s="6">
        <f>IF(AA75&lt;=0,"",AC75/AA75-1)</f>
        <v/>
      </c>
    </row>
    <row r="80">
      <c r="A80" s="27" t="n"/>
      <c r="B80" s="28" t="inlineStr">
        <is>
          <t>Operating Metrics</t>
        </is>
      </c>
      <c r="C80" s="27" t="n"/>
      <c r="D80" s="27" t="n"/>
      <c r="E80" s="27" t="n"/>
      <c r="F80" s="27" t="n"/>
      <c r="G80" s="27" t="n"/>
      <c r="H80" s="27" t="n"/>
      <c r="I80" s="27" t="n"/>
      <c r="J80" s="27" t="n"/>
      <c r="K80" s="27" t="n"/>
      <c r="L80" s="27" t="n"/>
      <c r="M80" s="27" t="n"/>
      <c r="N80" s="27" t="n"/>
      <c r="O80" s="27" t="n"/>
      <c r="P80" s="27" t="n"/>
      <c r="Q80" s="27" t="n"/>
      <c r="R80" s="27" t="n"/>
      <c r="S80" s="27" t="n"/>
      <c r="T80" s="27" t="n"/>
      <c r="U80" s="27" t="n"/>
      <c r="V80" s="27" t="n"/>
      <c r="W80" s="27" t="n"/>
      <c r="X80" s="27" t="n"/>
      <c r="Y80" s="27" t="n"/>
      <c r="Z80" s="27" t="n"/>
      <c r="AA80" s="27" t="n"/>
      <c r="AB80" s="27" t="n"/>
      <c r="AC80" s="27" t="n"/>
    </row>
    <row r="81">
      <c r="A81" t="inlineStr">
        <is>
          <t>KPI-Total Restaurants</t>
        </is>
      </c>
      <c r="B81" t="inlineStr">
        <is>
          <t>Total Restaurants</t>
        </is>
      </c>
      <c r="C81" t="inlineStr">
        <is>
          <t>#</t>
        </is>
      </c>
      <c r="D81" s="19" t="n"/>
      <c r="E81" s="4" t="n">
        <v>194</v>
      </c>
      <c r="F81" s="19" t="n">
        <v>209</v>
      </c>
      <c r="G81" s="4" t="n">
        <v>220</v>
      </c>
      <c r="H81" s="19" t="n">
        <v>239</v>
      </c>
      <c r="I81" s="4" t="n">
        <v>256</v>
      </c>
      <c r="J81" s="19" t="n">
        <v>272</v>
      </c>
      <c r="K81" s="4">
        <f>K82+K83+K84</f>
        <v/>
      </c>
      <c r="L81" s="4">
        <f>L82+L83+L84</f>
        <v/>
      </c>
      <c r="M81" s="4">
        <f>M82+M83+M84</f>
        <v/>
      </c>
      <c r="N81" s="4">
        <f>N82+N83+N84</f>
        <v/>
      </c>
      <c r="O81" s="4">
        <f>O82+O83+O84</f>
        <v/>
      </c>
      <c r="P81" s="4">
        <f>P82+P83+P84</f>
        <v/>
      </c>
      <c r="Q81" s="4">
        <f>Q82+Q83+Q84</f>
        <v/>
      </c>
      <c r="R81" s="4">
        <f>R82+R83+R84</f>
        <v/>
      </c>
      <c r="S81" s="4">
        <f>S82+S83+S84</f>
        <v/>
      </c>
      <c r="T81" s="4">
        <f>T82+T83+T84</f>
        <v/>
      </c>
      <c r="U81" s="4">
        <f>U82+U83+U84</f>
        <v/>
      </c>
      <c r="V81" s="4">
        <f>V82+V83+V84</f>
        <v/>
      </c>
      <c r="W81" s="4">
        <f>W82+W83+W84</f>
        <v/>
      </c>
      <c r="X81" s="4">
        <f>X82+X83+X84</f>
        <v/>
      </c>
      <c r="Y81" s="4">
        <f>Y82+Y83+Y84</f>
        <v/>
      </c>
      <c r="Z81" s="4">
        <f>Z82+Z83+Z84</f>
        <v/>
      </c>
      <c r="AA81" s="4">
        <f>AA82+AA83+AA84</f>
        <v/>
      </c>
      <c r="AB81" s="4">
        <f>AB82+AB83+AB84</f>
        <v/>
      </c>
      <c r="AC81" s="4">
        <f>AC82+AC83+AC84</f>
        <v/>
      </c>
    </row>
    <row r="82">
      <c r="A82" t="inlineStr">
        <is>
          <t>KPI-Aus Corp Restaurants</t>
        </is>
      </c>
      <c r="B82" t="inlineStr">
        <is>
          <t>Aus Corporate Restaurants</t>
        </is>
      </c>
      <c r="C82" t="inlineStr">
        <is>
          <t>#</t>
        </is>
      </c>
      <c r="D82" s="19" t="n"/>
      <c r="E82" s="4" t="n">
        <v>55</v>
      </c>
      <c r="F82" s="19" t="n">
        <v>62</v>
      </c>
      <c r="G82" s="4" t="n">
        <v>64</v>
      </c>
      <c r="H82" s="19" t="n">
        <v>74</v>
      </c>
      <c r="I82" s="4" t="n">
        <v>81</v>
      </c>
      <c r="J82" s="19" t="n">
        <v>87</v>
      </c>
      <c r="K82" s="4">
        <f>J82+5</f>
        <v/>
      </c>
      <c r="L82" s="4">
        <f>J82+5</f>
        <v/>
      </c>
      <c r="M82" s="4">
        <f>L82+5</f>
        <v/>
      </c>
      <c r="N82" s="4">
        <f>L82+5</f>
        <v/>
      </c>
      <c r="O82" s="4">
        <f>N82+5</f>
        <v/>
      </c>
      <c r="P82" s="4">
        <f>N82+5</f>
        <v/>
      </c>
      <c r="Q82" s="4">
        <f>P82+5</f>
        <v/>
      </c>
      <c r="R82" s="4">
        <f>P82+5</f>
        <v/>
      </c>
      <c r="S82" s="4">
        <f>R82+5</f>
        <v/>
      </c>
      <c r="T82" s="4">
        <f>R82+5</f>
        <v/>
      </c>
      <c r="U82" s="4">
        <f>T82+5</f>
        <v/>
      </c>
      <c r="V82" s="4">
        <f>T82+5</f>
        <v/>
      </c>
      <c r="W82" s="4">
        <f>V82+5</f>
        <v/>
      </c>
      <c r="X82" s="4">
        <f>V82+5</f>
        <v/>
      </c>
      <c r="Y82" s="4">
        <f>X82+5</f>
        <v/>
      </c>
      <c r="Z82" s="4">
        <f>X82+5</f>
        <v/>
      </c>
      <c r="AA82" s="4">
        <f>Z82+5</f>
        <v/>
      </c>
      <c r="AB82" s="4">
        <f>Z82+5</f>
        <v/>
      </c>
      <c r="AC82" s="4">
        <f>AB82+5</f>
        <v/>
      </c>
    </row>
    <row r="83">
      <c r="A83" t="inlineStr">
        <is>
          <t>KPI-Aus Fran Restaurants</t>
        </is>
      </c>
      <c r="B83" s="20" t="inlineStr">
        <is>
          <t>Aus Franchise Restaurants</t>
        </is>
      </c>
      <c r="C83" s="20" t="inlineStr">
        <is>
          <t>#</t>
        </is>
      </c>
      <c r="D83" s="21" t="n"/>
      <c r="E83" s="21" t="n">
        <v>136</v>
      </c>
      <c r="F83" s="21" t="n">
        <v>143</v>
      </c>
      <c r="G83" s="21" t="n">
        <v>152</v>
      </c>
      <c r="H83" s="21" t="n">
        <v>161</v>
      </c>
      <c r="I83" s="21" t="n">
        <v>169</v>
      </c>
      <c r="J83" s="21" t="n">
        <v>177</v>
      </c>
      <c r="K83" s="21">
        <f>J83+11</f>
        <v/>
      </c>
      <c r="L83" s="21">
        <f>J83+11</f>
        <v/>
      </c>
      <c r="M83" s="21">
        <f>L83+11</f>
        <v/>
      </c>
      <c r="N83" s="21">
        <f>L83+11</f>
        <v/>
      </c>
      <c r="O83" s="21">
        <f>N83+11</f>
        <v/>
      </c>
      <c r="P83" s="21">
        <f>N83+11</f>
        <v/>
      </c>
      <c r="Q83" s="21">
        <f>P83+11</f>
        <v/>
      </c>
      <c r="R83" s="21">
        <f>P83+11</f>
        <v/>
      </c>
      <c r="S83" s="21">
        <f>R83+11</f>
        <v/>
      </c>
      <c r="T83" s="21">
        <f>R83+11</f>
        <v/>
      </c>
      <c r="U83" s="21">
        <f>T83+11</f>
        <v/>
      </c>
      <c r="V83" s="21">
        <f>T83+11</f>
        <v/>
      </c>
      <c r="W83" s="21">
        <f>V83+11</f>
        <v/>
      </c>
      <c r="X83" s="21">
        <f>V83+11</f>
        <v/>
      </c>
      <c r="Y83" s="21">
        <f>X83+11</f>
        <v/>
      </c>
      <c r="Z83" s="21">
        <f>X83+11</f>
        <v/>
      </c>
      <c r="AA83" s="21">
        <f>Z83+11</f>
        <v/>
      </c>
      <c r="AB83" s="21">
        <f>Z83+11</f>
        <v/>
      </c>
      <c r="AC83" s="21">
        <f>AB83+11</f>
        <v/>
      </c>
    </row>
    <row r="84">
      <c r="A84" t="inlineStr">
        <is>
          <t>KPI-US Restaurants</t>
        </is>
      </c>
      <c r="B84" s="8" t="inlineStr">
        <is>
          <t>US Restaurants</t>
        </is>
      </c>
      <c r="C84" t="inlineStr">
        <is>
          <t>#</t>
        </is>
      </c>
      <c r="D84" s="29" t="n"/>
      <c r="E84" s="29" t="n">
        <v>3</v>
      </c>
      <c r="F84" s="29" t="n">
        <v>4</v>
      </c>
      <c r="G84" s="29" t="n">
        <v>4</v>
      </c>
      <c r="H84" s="29" t="n">
        <v>4</v>
      </c>
      <c r="I84" s="29" t="n">
        <v>6</v>
      </c>
      <c r="J84" s="29" t="n">
        <v>8</v>
      </c>
      <c r="K84" s="29">
        <f>K116</f>
        <v/>
      </c>
      <c r="L84" s="29">
        <f>L116</f>
        <v/>
      </c>
      <c r="M84" s="29">
        <f>M116</f>
        <v/>
      </c>
      <c r="N84" s="29">
        <f>N116</f>
        <v/>
      </c>
      <c r="O84" s="29">
        <f>O116</f>
        <v/>
      </c>
      <c r="P84" s="29">
        <f>P116</f>
        <v/>
      </c>
      <c r="Q84" s="29">
        <f>Q116</f>
        <v/>
      </c>
      <c r="R84" s="29">
        <f>R116</f>
        <v/>
      </c>
      <c r="S84" s="29">
        <f>S116</f>
        <v/>
      </c>
      <c r="T84" s="29">
        <f>T116</f>
        <v/>
      </c>
      <c r="U84" s="29">
        <f>U116</f>
        <v/>
      </c>
      <c r="V84" s="29">
        <f>V116</f>
        <v/>
      </c>
      <c r="W84" s="29">
        <f>W116</f>
        <v/>
      </c>
      <c r="X84" s="29">
        <f>X116</f>
        <v/>
      </c>
      <c r="Y84" s="29">
        <f>Y116</f>
        <v/>
      </c>
      <c r="Z84" s="29">
        <f>Z116</f>
        <v/>
      </c>
      <c r="AA84" s="29">
        <f>AA116</f>
        <v/>
      </c>
      <c r="AB84" s="29">
        <f>AB116</f>
        <v/>
      </c>
      <c r="AC84" s="29">
        <f>AC116</f>
        <v/>
      </c>
    </row>
    <row r="85">
      <c r="A85" t="inlineStr">
        <is>
          <t>KPI-Aus Network Sales</t>
        </is>
      </c>
      <c r="B85" s="8" t="inlineStr">
        <is>
          <t>Australia Network Sales</t>
        </is>
      </c>
      <c r="C85" t="inlineStr">
        <is>
          <t>AUDm</t>
        </is>
      </c>
      <c r="D85" s="29" t="n">
        <v>360</v>
      </c>
      <c r="E85" s="29" t="n">
        <v>393</v>
      </c>
      <c r="F85" s="29" t="n">
        <v>465</v>
      </c>
      <c r="G85" s="29" t="n">
        <v>483.7</v>
      </c>
      <c r="H85" s="29" t="n">
        <v>573</v>
      </c>
      <c r="I85" s="29" t="n">
        <v>595.4</v>
      </c>
      <c r="J85" s="29" t="n">
        <v>673.6</v>
      </c>
      <c r="K85" s="29">
        <f>K103</f>
        <v/>
      </c>
      <c r="L85" s="29">
        <f>L103</f>
        <v/>
      </c>
      <c r="M85" s="29">
        <f>M103</f>
        <v/>
      </c>
      <c r="N85" s="29">
        <f>N103</f>
        <v/>
      </c>
      <c r="O85" s="29">
        <f>O103</f>
        <v/>
      </c>
      <c r="P85" s="29">
        <f>P103</f>
        <v/>
      </c>
      <c r="Q85" s="29">
        <f>Q103</f>
        <v/>
      </c>
      <c r="R85" s="29">
        <f>R103</f>
        <v/>
      </c>
      <c r="S85" s="29">
        <f>S103</f>
        <v/>
      </c>
      <c r="T85" s="29">
        <f>T103</f>
        <v/>
      </c>
      <c r="U85" s="29">
        <f>U103</f>
        <v/>
      </c>
      <c r="V85" s="29">
        <f>V103</f>
        <v/>
      </c>
      <c r="W85" s="29">
        <f>W103</f>
        <v/>
      </c>
      <c r="X85" s="29">
        <f>X103</f>
        <v/>
      </c>
      <c r="Y85" s="29">
        <f>Y103</f>
        <v/>
      </c>
      <c r="Z85" s="29">
        <f>Z103</f>
        <v/>
      </c>
      <c r="AA85" s="29">
        <f>AA103</f>
        <v/>
      </c>
      <c r="AB85" s="29">
        <f>AB103</f>
        <v/>
      </c>
      <c r="AC85" s="29">
        <f>AC103</f>
        <v/>
      </c>
    </row>
    <row r="86">
      <c r="A86" t="inlineStr">
        <is>
          <t>KPI-US Network Sales</t>
        </is>
      </c>
      <c r="B86" s="8" t="inlineStr">
        <is>
          <t>US Network Sales</t>
        </is>
      </c>
      <c r="C86" t="inlineStr">
        <is>
          <t>AUDm</t>
        </is>
      </c>
      <c r="D86" s="29" t="n">
        <v>2.8</v>
      </c>
      <c r="E86" s="29" t="n">
        <v>3.2</v>
      </c>
      <c r="F86" s="29" t="n">
        <v>5.6</v>
      </c>
      <c r="G86" s="29" t="n">
        <v>5.2</v>
      </c>
      <c r="H86" s="29" t="n">
        <v>4.9</v>
      </c>
      <c r="I86" s="29" t="n">
        <v>7.3</v>
      </c>
      <c r="J86" s="29" t="n">
        <v>8.199999999999999</v>
      </c>
      <c r="K86" s="29">
        <f>K117</f>
        <v/>
      </c>
      <c r="L86" s="29">
        <f>L117</f>
        <v/>
      </c>
      <c r="M86" s="29">
        <f>M117</f>
        <v/>
      </c>
      <c r="N86" s="29">
        <f>N117</f>
        <v/>
      </c>
      <c r="O86" s="29">
        <f>O117</f>
        <v/>
      </c>
      <c r="P86" s="29">
        <f>P117</f>
        <v/>
      </c>
      <c r="Q86" s="29">
        <f>Q117</f>
        <v/>
      </c>
      <c r="R86" s="29">
        <f>R117</f>
        <v/>
      </c>
      <c r="S86" s="29">
        <f>S117</f>
        <v/>
      </c>
      <c r="T86" s="29">
        <f>T117</f>
        <v/>
      </c>
      <c r="U86" s="29">
        <f>U117</f>
        <v/>
      </c>
      <c r="V86" s="29">
        <f>V117</f>
        <v/>
      </c>
      <c r="W86" s="29">
        <f>W117</f>
        <v/>
      </c>
      <c r="X86" s="29">
        <f>X117</f>
        <v/>
      </c>
      <c r="Y86" s="29">
        <f>Y117</f>
        <v/>
      </c>
      <c r="Z86" s="29">
        <f>Z117</f>
        <v/>
      </c>
      <c r="AA86" s="29">
        <f>AA117</f>
        <v/>
      </c>
      <c r="AB86" s="29">
        <f>AB117</f>
        <v/>
      </c>
      <c r="AC86" s="29">
        <f>AC117</f>
        <v/>
      </c>
    </row>
    <row r="87">
      <c r="A87" t="inlineStr">
        <is>
          <t>KPI-Comp Sales Growth</t>
        </is>
      </c>
      <c r="B87" s="8" t="inlineStr">
        <is>
          <t>Comp Sales Growth</t>
        </is>
      </c>
      <c r="C87" t="inlineStr">
        <is>
          <t>%</t>
        </is>
      </c>
      <c r="D87" s="29" t="n"/>
      <c r="E87" s="29" t="n"/>
      <c r="F87" s="29">
        <f>IF(D85=0,"",(F85+F86)/(D85+D86)-1)</f>
        <v/>
      </c>
      <c r="G87" s="29">
        <f>IF(E85=0,"",(G85+G86)/(E85+E86)-1)</f>
        <v/>
      </c>
      <c r="H87" s="29">
        <f>IF(F85=0,"",(H85+H86)/(F85+F86)-1)</f>
        <v/>
      </c>
      <c r="I87" s="29">
        <f>IF(G85=0,"",(I85+I86)/(G85+G86)-1)</f>
        <v/>
      </c>
      <c r="J87" s="29">
        <f>IF(H85=0,"",(J85+J86)/(H85+H86)-1)</f>
        <v/>
      </c>
      <c r="K87" s="29">
        <f>IF(I85=0,"",(K85+K86)/(I85+I86)-1)</f>
        <v/>
      </c>
      <c r="L87" s="29">
        <f>IF(J85=0,"",(L85+L86)/(J85+J86)-1)</f>
        <v/>
      </c>
      <c r="M87" s="29">
        <f>IF(K85=0,"",(M85+M86)/(K85+K86)-1)</f>
        <v/>
      </c>
      <c r="N87" s="29">
        <f>IF(L85=0,"",(N85+N86)/(L85+L86)-1)</f>
        <v/>
      </c>
      <c r="O87" s="29">
        <f>IF(M85=0,"",(O85+O86)/(M85+M86)-1)</f>
        <v/>
      </c>
      <c r="P87" s="29">
        <f>IF(N85=0,"",(P85+P86)/(N85+N86)-1)</f>
        <v/>
      </c>
      <c r="Q87" s="29">
        <f>IF(O85=0,"",(Q85+Q86)/(O85+O86)-1)</f>
        <v/>
      </c>
      <c r="R87" s="29">
        <f>IF(P85=0,"",(R85+R86)/(P85+P86)-1)</f>
        <v/>
      </c>
      <c r="S87" s="29">
        <f>IF(Q85=0,"",(S85+S86)/(Q85+Q86)-1)</f>
        <v/>
      </c>
      <c r="T87" s="29">
        <f>IF(R85=0,"",(T85+T86)/(R85+R86)-1)</f>
        <v/>
      </c>
      <c r="U87" s="29">
        <f>IF(S85=0,"",(U85+U86)/(S85+S86)-1)</f>
        <v/>
      </c>
      <c r="V87" s="29">
        <f>IF(T85=0,"",(V85+V86)/(T85+T86)-1)</f>
        <v/>
      </c>
      <c r="W87" s="29">
        <f>IF(U85=0,"",(W85+W86)/(U85+U86)-1)</f>
        <v/>
      </c>
      <c r="X87" s="29">
        <f>IF(V85=0,"",(X85+X86)/(V85+V86)-1)</f>
        <v/>
      </c>
      <c r="Y87" s="29">
        <f>IF(W85=0,"",(Y85+Y86)/(W85+W86)-1)</f>
        <v/>
      </c>
      <c r="Z87" s="29">
        <f>IF(X85=0,"",(Z85+Z86)/(X85+X86)-1)</f>
        <v/>
      </c>
      <c r="AA87" s="29">
        <f>IF(Y85=0,"",(AA85+AA86)/(Y85+Y86)-1)</f>
        <v/>
      </c>
      <c r="AB87" s="29">
        <f>IF(Z85=0,"",(AB85+AB86)/(Z85+Z86)-1)</f>
        <v/>
      </c>
      <c r="AC87" s="29">
        <f>IF(AA85=0,"",(AC85+AC86)/(AA85+AA86)-1)</f>
        <v/>
      </c>
    </row>
    <row r="88">
      <c r="D88" s="30" t="n"/>
      <c r="E88" s="29" t="n"/>
      <c r="F88" s="30" t="n"/>
      <c r="G88" s="29" t="n"/>
      <c r="H88" s="30" t="n"/>
      <c r="I88" s="29" t="n"/>
      <c r="J88" s="30" t="n"/>
      <c r="K88" s="29" t="n"/>
      <c r="L88" s="29" t="n"/>
      <c r="M88" s="29" t="n"/>
      <c r="N88" s="29" t="n"/>
      <c r="O88" s="29" t="n"/>
      <c r="P88" s="29" t="n"/>
      <c r="Q88" s="29" t="n"/>
      <c r="R88" s="29" t="n"/>
      <c r="S88" s="29" t="n"/>
      <c r="T88" s="29" t="n"/>
      <c r="U88" s="29" t="n"/>
      <c r="V88" s="29" t="n"/>
      <c r="W88" s="29" t="n"/>
      <c r="X88" s="29" t="n"/>
      <c r="Y88" s="29" t="n"/>
      <c r="Z88" s="29" t="n"/>
      <c r="AA88" s="29" t="n"/>
      <c r="AB88" s="29" t="n"/>
      <c r="AC88" s="29" t="n"/>
    </row>
    <row r="89">
      <c r="D89" s="30" t="n"/>
      <c r="E89" s="29" t="n"/>
      <c r="F89" s="30" t="n"/>
      <c r="G89" s="29" t="n"/>
      <c r="H89" s="30" t="n"/>
      <c r="I89" s="29" t="n"/>
      <c r="J89" s="30" t="n"/>
      <c r="K89" s="29" t="n"/>
      <c r="L89" s="29" t="n"/>
      <c r="M89" s="29" t="n"/>
      <c r="N89" s="29" t="n"/>
      <c r="O89" s="29" t="n"/>
      <c r="P89" s="29" t="n"/>
      <c r="Q89" s="29" t="n"/>
      <c r="R89" s="29" t="n"/>
      <c r="S89" s="29" t="n"/>
      <c r="T89" s="29" t="n"/>
      <c r="U89" s="29" t="n"/>
      <c r="V89" s="29" t="n"/>
      <c r="W89" s="29" t="n"/>
      <c r="X89" s="29" t="n"/>
      <c r="Y89" s="29" t="n"/>
      <c r="Z89" s="29" t="n"/>
      <c r="AA89" s="29" t="n"/>
      <c r="AB89" s="29" t="n"/>
      <c r="AC89" s="29" t="n"/>
    </row>
    <row r="90">
      <c r="D90" s="6" t="n"/>
      <c r="E90" s="6" t="n"/>
      <c r="F90" s="6" t="n"/>
      <c r="G90" s="6" t="n"/>
      <c r="H90" s="6" t="n"/>
      <c r="I90" s="6" t="n"/>
      <c r="J90" s="31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</row>
    <row r="92">
      <c r="A92" s="27" t="n"/>
      <c r="B92" s="28" t="inlineStr">
        <is>
          <t>Segment Forecast - Australia</t>
        </is>
      </c>
      <c r="C92" s="27" t="n"/>
      <c r="D92" s="27" t="n"/>
      <c r="E92" s="27" t="n"/>
      <c r="F92" s="27" t="n"/>
      <c r="G92" s="27" t="n"/>
      <c r="H92" s="27" t="n"/>
      <c r="I92" s="27" t="n"/>
      <c r="J92" s="27" t="n"/>
      <c r="K92" s="27" t="n"/>
      <c r="L92" s="27" t="n"/>
      <c r="M92" s="27" t="n"/>
      <c r="N92" s="27" t="n"/>
      <c r="O92" s="27" t="n"/>
      <c r="P92" s="27" t="n"/>
      <c r="Q92" s="27" t="n"/>
      <c r="R92" s="27" t="n"/>
      <c r="S92" s="27" t="n"/>
      <c r="T92" s="27" t="n"/>
      <c r="U92" s="27" t="n"/>
      <c r="V92" s="27" t="n"/>
      <c r="W92" s="27" t="n"/>
      <c r="X92" s="27" t="n"/>
      <c r="Y92" s="27" t="n"/>
      <c r="Z92" s="27" t="n"/>
      <c r="AA92" s="27" t="n"/>
      <c r="AB92" s="27" t="n"/>
      <c r="AC92" s="27" t="n"/>
    </row>
    <row r="93">
      <c r="B93" s="8" t="inlineStr">
        <is>
          <t>Drive Thru Restaurants (#)</t>
        </is>
      </c>
      <c r="C93" t="inlineStr">
        <is>
          <t>#</t>
        </is>
      </c>
      <c r="D93" s="4" t="n"/>
      <c r="E93" s="4" t="n"/>
      <c r="F93" s="4" t="n"/>
      <c r="G93" s="4" t="n"/>
      <c r="H93" s="4" t="n"/>
      <c r="I93" s="4" t="n">
        <v>117</v>
      </c>
      <c r="J93" s="4" t="n">
        <v>126</v>
      </c>
      <c r="K93" s="4">
        <f>J93+5</f>
        <v/>
      </c>
      <c r="L93" s="4">
        <f>K93+5</f>
        <v/>
      </c>
      <c r="M93" s="4">
        <f>L93+5</f>
        <v/>
      </c>
      <c r="N93" s="4">
        <f>M93+5</f>
        <v/>
      </c>
      <c r="O93" s="4">
        <f>N93+5</f>
        <v/>
      </c>
      <c r="P93" s="4">
        <f>O93+5</f>
        <v/>
      </c>
      <c r="Q93" s="4">
        <f>P93+5</f>
        <v/>
      </c>
      <c r="R93" s="4">
        <f>Q93+5</f>
        <v/>
      </c>
      <c r="S93" s="4">
        <f>R93+5</f>
        <v/>
      </c>
      <c r="T93" s="4">
        <f>S93+5</f>
        <v/>
      </c>
      <c r="U93" s="4">
        <f>T93+5</f>
        <v/>
      </c>
      <c r="V93" s="4">
        <f>U93+5</f>
        <v/>
      </c>
      <c r="W93" s="4">
        <f>V93+5</f>
        <v/>
      </c>
      <c r="X93" s="4">
        <f>W93+5</f>
        <v/>
      </c>
      <c r="Y93" s="4">
        <f>X93+5</f>
        <v/>
      </c>
      <c r="Z93" s="4">
        <f>Y93+5</f>
        <v/>
      </c>
      <c r="AA93" s="4">
        <f>Z93+5</f>
        <v/>
      </c>
      <c r="AB93" s="4">
        <f>AA93+5</f>
        <v/>
      </c>
      <c r="AC93" s="4">
        <f>AB93+5</f>
        <v/>
      </c>
    </row>
    <row r="94">
      <c r="B94" s="25" t="inlineStr">
        <is>
          <t>Strip Restaurants (#)</t>
        </is>
      </c>
      <c r="C94" t="inlineStr">
        <is>
          <t>#</t>
        </is>
      </c>
      <c r="D94" s="6" t="n"/>
      <c r="E94" s="6" t="n"/>
      <c r="F94" s="6" t="n"/>
      <c r="G94" s="6" t="n"/>
      <c r="H94" s="6" t="n"/>
      <c r="I94" s="6" t="n">
        <v>68</v>
      </c>
      <c r="J94" s="6" t="n">
        <v>73</v>
      </c>
      <c r="K94" s="26">
        <f>J94+3</f>
        <v/>
      </c>
      <c r="L94" s="26">
        <f>K94+3</f>
        <v/>
      </c>
      <c r="M94" s="26">
        <f>L94+3</f>
        <v/>
      </c>
      <c r="N94" s="26">
        <f>M94+3</f>
        <v/>
      </c>
      <c r="O94" s="26">
        <f>N94+3</f>
        <v/>
      </c>
      <c r="P94" s="26">
        <f>O94+3</f>
        <v/>
      </c>
      <c r="Q94" s="26">
        <f>P94+3</f>
        <v/>
      </c>
      <c r="R94" s="26">
        <f>Q94+3</f>
        <v/>
      </c>
      <c r="S94" s="26">
        <f>R94+3</f>
        <v/>
      </c>
      <c r="T94" s="26">
        <f>S94+3</f>
        <v/>
      </c>
      <c r="U94" s="26">
        <f>T94+3</f>
        <v/>
      </c>
      <c r="V94" s="26">
        <f>U94+3</f>
        <v/>
      </c>
      <c r="W94" s="26">
        <f>V94+3</f>
        <v/>
      </c>
      <c r="X94" s="26">
        <f>W94+3</f>
        <v/>
      </c>
      <c r="Y94" s="26">
        <f>X94+3</f>
        <v/>
      </c>
      <c r="Z94" s="26">
        <f>Y94+3</f>
        <v/>
      </c>
      <c r="AA94" s="26">
        <f>Z94+3</f>
        <v/>
      </c>
      <c r="AB94" s="26">
        <f>AA94+3</f>
        <v/>
      </c>
      <c r="AC94" s="26">
        <f>AB94+3</f>
        <v/>
      </c>
    </row>
    <row r="95">
      <c r="B95" s="8" t="inlineStr">
        <is>
          <t>Other Restaurants (#)</t>
        </is>
      </c>
      <c r="C95" t="inlineStr">
        <is>
          <t>#</t>
        </is>
      </c>
      <c r="D95" s="29" t="n"/>
      <c r="E95" s="29" t="n"/>
      <c r="F95" s="29" t="n"/>
      <c r="G95" s="29" t="n"/>
      <c r="H95" s="29" t="n"/>
      <c r="I95" s="29" t="n">
        <v>39</v>
      </c>
      <c r="J95" s="29" t="n">
        <v>38</v>
      </c>
      <c r="K95" s="29">
        <f>J95</f>
        <v/>
      </c>
      <c r="L95" s="29">
        <f>K95</f>
        <v/>
      </c>
      <c r="M95" s="29">
        <f>L95</f>
        <v/>
      </c>
      <c r="N95" s="29">
        <f>M95</f>
        <v/>
      </c>
      <c r="O95" s="29">
        <f>N95</f>
        <v/>
      </c>
      <c r="P95" s="29">
        <f>O95</f>
        <v/>
      </c>
      <c r="Q95" s="29">
        <f>P95</f>
        <v/>
      </c>
      <c r="R95" s="29">
        <f>Q95</f>
        <v/>
      </c>
      <c r="S95" s="29">
        <f>R95</f>
        <v/>
      </c>
      <c r="T95" s="29">
        <f>S95</f>
        <v/>
      </c>
      <c r="U95" s="29">
        <f>T95</f>
        <v/>
      </c>
      <c r="V95" s="29">
        <f>U95</f>
        <v/>
      </c>
      <c r="W95" s="29">
        <f>V95</f>
        <v/>
      </c>
      <c r="X95" s="29">
        <f>W95</f>
        <v/>
      </c>
      <c r="Y95" s="29">
        <f>X95</f>
        <v/>
      </c>
      <c r="Z95" s="29">
        <f>Y95</f>
        <v/>
      </c>
      <c r="AA95" s="29">
        <f>Z95</f>
        <v/>
      </c>
      <c r="AB95" s="29">
        <f>AA95</f>
        <v/>
      </c>
      <c r="AC95" s="29">
        <f>AB95</f>
        <v/>
      </c>
    </row>
    <row r="96">
      <c r="B96" s="25" t="inlineStr">
        <is>
          <t>Total Australia Restaurants (#)</t>
        </is>
      </c>
      <c r="C96" t="inlineStr">
        <is>
          <t>#</t>
        </is>
      </c>
      <c r="D96" s="6" t="n"/>
      <c r="E96" s="6" t="n"/>
      <c r="F96" s="6" t="n"/>
      <c r="G96" s="6" t="n"/>
      <c r="H96" s="6" t="n"/>
      <c r="I96" s="6">
        <f>I93+I94+I95</f>
        <v/>
      </c>
      <c r="J96" s="6">
        <f>J93+J94+J95</f>
        <v/>
      </c>
      <c r="K96" s="26">
        <f>K93+K94+K95</f>
        <v/>
      </c>
      <c r="L96" s="26">
        <f>L93+L94+L95</f>
        <v/>
      </c>
      <c r="M96" s="26">
        <f>M93+M94+M95</f>
        <v/>
      </c>
      <c r="N96" s="26">
        <f>N93+N94+N95</f>
        <v/>
      </c>
      <c r="O96" s="26">
        <f>O93+O94+O95</f>
        <v/>
      </c>
      <c r="P96" s="26">
        <f>P93+P94+P95</f>
        <v/>
      </c>
      <c r="Q96" s="26">
        <f>Q93+Q94+Q95</f>
        <v/>
      </c>
      <c r="R96" s="26">
        <f>R93+R94+R95</f>
        <v/>
      </c>
      <c r="S96" s="26">
        <f>S93+S94+S95</f>
        <v/>
      </c>
      <c r="T96" s="26">
        <f>T93+T94+T95</f>
        <v/>
      </c>
      <c r="U96" s="26">
        <f>U93+U94+U95</f>
        <v/>
      </c>
      <c r="V96" s="26">
        <f>V93+V94+V95</f>
        <v/>
      </c>
      <c r="W96" s="26">
        <f>W93+W94+W95</f>
        <v/>
      </c>
      <c r="X96" s="26">
        <f>X93+X94+X95</f>
        <v/>
      </c>
      <c r="Y96" s="26">
        <f>Y93+Y94+Y95</f>
        <v/>
      </c>
      <c r="Z96" s="26">
        <f>Z93+Z94+Z95</f>
        <v/>
      </c>
      <c r="AA96" s="26">
        <f>AA93+AA94+AA95</f>
        <v/>
      </c>
      <c r="AB96" s="26">
        <f>AB93+AB94+AB95</f>
        <v/>
      </c>
      <c r="AC96" s="26">
        <f>AC93+AC94+AC95</f>
        <v/>
      </c>
    </row>
    <row r="97">
      <c r="B97" s="8" t="inlineStr">
        <is>
          <t>DT AUV ($m)</t>
        </is>
      </c>
      <c r="C97" t="inlineStr">
        <is>
          <t>AUDm</t>
        </is>
      </c>
      <c r="D97" s="4" t="n"/>
      <c r="E97" s="4" t="n"/>
      <c r="F97" s="4" t="n"/>
      <c r="G97" s="4" t="n"/>
      <c r="H97" s="4" t="n"/>
      <c r="I97" s="4" t="n">
        <v>6.7</v>
      </c>
      <c r="J97" s="4" t="n">
        <v>6.9</v>
      </c>
      <c r="K97" s="4">
        <f>J97*1.0125</f>
        <v/>
      </c>
      <c r="L97" s="4">
        <f>K97*1.0125</f>
        <v/>
      </c>
      <c r="M97" s="4">
        <f>L97*1.0125</f>
        <v/>
      </c>
      <c r="N97" s="4">
        <f>M97*1.0125</f>
        <v/>
      </c>
      <c r="O97" s="4">
        <f>N97*1.0125</f>
        <v/>
      </c>
      <c r="P97" s="4">
        <f>O97*1.0125</f>
        <v/>
      </c>
      <c r="Q97" s="4">
        <f>P97*1.0125</f>
        <v/>
      </c>
      <c r="R97" s="4">
        <f>Q97*1.0125</f>
        <v/>
      </c>
      <c r="S97" s="4">
        <f>R97*1.0125</f>
        <v/>
      </c>
      <c r="T97" s="4">
        <f>S97*1.0125</f>
        <v/>
      </c>
      <c r="U97" s="4">
        <f>T97*1.0125</f>
        <v/>
      </c>
      <c r="V97" s="4">
        <f>U97*1.0125</f>
        <v/>
      </c>
      <c r="W97" s="4">
        <f>V97*1.0125</f>
        <v/>
      </c>
      <c r="X97" s="4">
        <f>W97*1.0125</f>
        <v/>
      </c>
      <c r="Y97" s="4">
        <f>X97*1.0125</f>
        <v/>
      </c>
      <c r="Z97" s="4">
        <f>Y97*1.0125</f>
        <v/>
      </c>
      <c r="AA97" s="4">
        <f>Z97*1.0125</f>
        <v/>
      </c>
      <c r="AB97" s="4">
        <f>AA97*1.0125</f>
        <v/>
      </c>
      <c r="AC97" s="4">
        <f>AB97*1.0125</f>
        <v/>
      </c>
    </row>
    <row r="98">
      <c r="B98" s="25" t="inlineStr">
        <is>
          <t>Strip AUV ($m)</t>
        </is>
      </c>
      <c r="C98" t="inlineStr">
        <is>
          <t>AUDm</t>
        </is>
      </c>
      <c r="D98" s="31" t="n"/>
      <c r="E98" s="6" t="n"/>
      <c r="F98" s="31" t="n"/>
      <c r="G98" s="6" t="n"/>
      <c r="H98" s="31" t="n"/>
      <c r="I98" s="6" t="n">
        <v>5</v>
      </c>
      <c r="J98" s="31" t="n">
        <v>5.2</v>
      </c>
      <c r="K98" s="26">
        <f>J98*1.0125</f>
        <v/>
      </c>
      <c r="L98" s="26">
        <f>K98*1.0125</f>
        <v/>
      </c>
      <c r="M98" s="26">
        <f>L98*1.0125</f>
        <v/>
      </c>
      <c r="N98" s="26">
        <f>M98*1.0125</f>
        <v/>
      </c>
      <c r="O98" s="26">
        <f>N98*1.0125</f>
        <v/>
      </c>
      <c r="P98" s="26">
        <f>O98*1.0125</f>
        <v/>
      </c>
      <c r="Q98" s="26">
        <f>P98*1.0125</f>
        <v/>
      </c>
      <c r="R98" s="26">
        <f>Q98*1.0125</f>
        <v/>
      </c>
      <c r="S98" s="26">
        <f>R98*1.0125</f>
        <v/>
      </c>
      <c r="T98" s="26">
        <f>S98*1.0125</f>
        <v/>
      </c>
      <c r="U98" s="26">
        <f>T98*1.0125</f>
        <v/>
      </c>
      <c r="V98" s="26">
        <f>U98*1.0125</f>
        <v/>
      </c>
      <c r="W98" s="26">
        <f>V98*1.0125</f>
        <v/>
      </c>
      <c r="X98" s="26">
        <f>W98*1.0125</f>
        <v/>
      </c>
      <c r="Y98" s="26">
        <f>X98*1.0125</f>
        <v/>
      </c>
      <c r="Z98" s="26">
        <f>Y98*1.0125</f>
        <v/>
      </c>
      <c r="AA98" s="26">
        <f>Z98*1.0125</f>
        <v/>
      </c>
      <c r="AB98" s="26">
        <f>AA98*1.0125</f>
        <v/>
      </c>
      <c r="AC98" s="26">
        <f>AB98*1.0125</f>
        <v/>
      </c>
    </row>
    <row r="99">
      <c r="B99" s="8" t="inlineStr">
        <is>
          <t>Other AUV ($m)</t>
        </is>
      </c>
      <c r="C99" t="inlineStr">
        <is>
          <t>AUDm</t>
        </is>
      </c>
      <c r="D99" s="4" t="n"/>
      <c r="E99" s="4" t="n"/>
      <c r="F99" s="4" t="n"/>
      <c r="G99" s="4" t="n"/>
      <c r="H99" s="4" t="n"/>
      <c r="I99" s="4" t="n">
        <v>4</v>
      </c>
      <c r="J99" s="4" t="n">
        <v>4</v>
      </c>
      <c r="K99" s="4">
        <f>J99*1.0125</f>
        <v/>
      </c>
      <c r="L99" s="4">
        <f>K99*1.0125</f>
        <v/>
      </c>
      <c r="M99" s="4">
        <f>L99*1.0125</f>
        <v/>
      </c>
      <c r="N99" s="4">
        <f>M99*1.0125</f>
        <v/>
      </c>
      <c r="O99" s="4">
        <f>N99*1.0125</f>
        <v/>
      </c>
      <c r="P99" s="4">
        <f>O99*1.0125</f>
        <v/>
      </c>
      <c r="Q99" s="4">
        <f>P99*1.0125</f>
        <v/>
      </c>
      <c r="R99" s="4">
        <f>Q99*1.0125</f>
        <v/>
      </c>
      <c r="S99" s="4">
        <f>R99*1.0125</f>
        <v/>
      </c>
      <c r="T99" s="4">
        <f>S99*1.0125</f>
        <v/>
      </c>
      <c r="U99" s="4">
        <f>T99*1.0125</f>
        <v/>
      </c>
      <c r="V99" s="4">
        <f>U99*1.0125</f>
        <v/>
      </c>
      <c r="W99" s="4">
        <f>V99*1.0125</f>
        <v/>
      </c>
      <c r="X99" s="4">
        <f>W99*1.0125</f>
        <v/>
      </c>
      <c r="Y99" s="4">
        <f>X99*1.0125</f>
        <v/>
      </c>
      <c r="Z99" s="4">
        <f>Y99*1.0125</f>
        <v/>
      </c>
      <c r="AA99" s="4">
        <f>Z99*1.0125</f>
        <v/>
      </c>
      <c r="AB99" s="4">
        <f>AA99*1.0125</f>
        <v/>
      </c>
      <c r="AC99" s="4">
        <f>AB99*1.0125</f>
        <v/>
      </c>
    </row>
    <row r="100">
      <c r="B100" s="8" t="inlineStr">
        <is>
          <t>Network Sales - Drive Thru</t>
        </is>
      </c>
      <c r="C100" t="inlineStr">
        <is>
          <t>AUDm</t>
        </is>
      </c>
      <c r="D100" s="4" t="n"/>
      <c r="E100" s="4" t="n"/>
      <c r="F100" s="4" t="n"/>
      <c r="G100" s="4" t="n"/>
      <c r="H100" s="4" t="n"/>
      <c r="I100" s="4">
        <f>I93*I97*0.5</f>
        <v/>
      </c>
      <c r="J100" s="4">
        <f>J93*J97*0.5</f>
        <v/>
      </c>
      <c r="K100" s="4">
        <f>K93*K97*0.5</f>
        <v/>
      </c>
      <c r="L100" s="4">
        <f>L93*L97*0.5</f>
        <v/>
      </c>
      <c r="M100" s="4">
        <f>M93*M97*0.5</f>
        <v/>
      </c>
      <c r="N100" s="4">
        <f>N93*N97*0.5</f>
        <v/>
      </c>
      <c r="O100" s="4">
        <f>O93*O97*0.5</f>
        <v/>
      </c>
      <c r="P100" s="4">
        <f>P93*P97*0.5</f>
        <v/>
      </c>
      <c r="Q100" s="4">
        <f>Q93*Q97*0.5</f>
        <v/>
      </c>
      <c r="R100" s="4">
        <f>R93*R97*0.5</f>
        <v/>
      </c>
      <c r="S100" s="4">
        <f>S93*S97*0.5</f>
        <v/>
      </c>
      <c r="T100" s="4">
        <f>T93*T97*0.5</f>
        <v/>
      </c>
      <c r="U100" s="4">
        <f>U93*U97*0.5</f>
        <v/>
      </c>
      <c r="V100" s="4">
        <f>V93*V97*0.5</f>
        <v/>
      </c>
      <c r="W100" s="4">
        <f>W93*W97*0.5</f>
        <v/>
      </c>
      <c r="X100" s="4">
        <f>X93*X97*0.5</f>
        <v/>
      </c>
      <c r="Y100" s="4">
        <f>Y93*Y97*0.5</f>
        <v/>
      </c>
      <c r="Z100" s="4">
        <f>Z93*Z97*0.5</f>
        <v/>
      </c>
      <c r="AA100" s="4">
        <f>AA93*AA97*0.5</f>
        <v/>
      </c>
      <c r="AB100" s="4">
        <f>AB93*AB97*0.5</f>
        <v/>
      </c>
      <c r="AC100" s="4">
        <f>AC93*AC97*0.5</f>
        <v/>
      </c>
    </row>
    <row r="101">
      <c r="B101" s="25" t="inlineStr">
        <is>
          <t>Network Sales - Strip</t>
        </is>
      </c>
      <c r="C101" t="inlineStr">
        <is>
          <t>AUDm</t>
        </is>
      </c>
      <c r="D101" s="6" t="n"/>
      <c r="E101" s="6" t="n"/>
      <c r="F101" s="6" t="n"/>
      <c r="G101" s="6" t="n"/>
      <c r="H101" s="6" t="n"/>
      <c r="I101" s="6">
        <f>I94*I98*0.5</f>
        <v/>
      </c>
      <c r="J101" s="6">
        <f>J94*J98*0.5</f>
        <v/>
      </c>
      <c r="K101" s="26">
        <f>K94*K98*0.5</f>
        <v/>
      </c>
      <c r="L101" s="26">
        <f>L94*L98*0.5</f>
        <v/>
      </c>
      <c r="M101" s="26">
        <f>M94*M98*0.5</f>
        <v/>
      </c>
      <c r="N101" s="26">
        <f>N94*N98*0.5</f>
        <v/>
      </c>
      <c r="O101" s="26">
        <f>O94*O98*0.5</f>
        <v/>
      </c>
      <c r="P101" s="26">
        <f>P94*P98*0.5</f>
        <v/>
      </c>
      <c r="Q101" s="26">
        <f>Q94*Q98*0.5</f>
        <v/>
      </c>
      <c r="R101" s="26">
        <f>R94*R98*0.5</f>
        <v/>
      </c>
      <c r="S101" s="26">
        <f>S94*S98*0.5</f>
        <v/>
      </c>
      <c r="T101" s="26">
        <f>T94*T98*0.5</f>
        <v/>
      </c>
      <c r="U101" s="26">
        <f>U94*U98*0.5</f>
        <v/>
      </c>
      <c r="V101" s="26">
        <f>V94*V98*0.5</f>
        <v/>
      </c>
      <c r="W101" s="26">
        <f>W94*W98*0.5</f>
        <v/>
      </c>
      <c r="X101" s="26">
        <f>X94*X98*0.5</f>
        <v/>
      </c>
      <c r="Y101" s="26">
        <f>Y94*Y98*0.5</f>
        <v/>
      </c>
      <c r="Z101" s="26">
        <f>Z94*Z98*0.5</f>
        <v/>
      </c>
      <c r="AA101" s="26">
        <f>AA94*AA98*0.5</f>
        <v/>
      </c>
      <c r="AB101" s="26">
        <f>AB94*AB98*0.5</f>
        <v/>
      </c>
      <c r="AC101" s="26">
        <f>AC94*AC98*0.5</f>
        <v/>
      </c>
    </row>
    <row r="102">
      <c r="B102" s="8" t="inlineStr">
        <is>
          <t>Network Sales - Other</t>
        </is>
      </c>
      <c r="C102" t="inlineStr">
        <is>
          <t>AUDm</t>
        </is>
      </c>
      <c r="D102" s="29" t="n"/>
      <c r="E102" s="29" t="n"/>
      <c r="F102" s="29" t="n"/>
      <c r="G102" s="29" t="n"/>
      <c r="H102" s="29" t="n"/>
      <c r="I102" s="29">
        <f>I95*I99*0.5</f>
        <v/>
      </c>
      <c r="J102" s="29">
        <f>J95*J99*0.5</f>
        <v/>
      </c>
      <c r="K102" s="29">
        <f>K95*K99*0.5</f>
        <v/>
      </c>
      <c r="L102" s="29">
        <f>L95*L99*0.5</f>
        <v/>
      </c>
      <c r="M102" s="29">
        <f>M95*M99*0.5</f>
        <v/>
      </c>
      <c r="N102" s="29">
        <f>N95*N99*0.5</f>
        <v/>
      </c>
      <c r="O102" s="29">
        <f>O95*O99*0.5</f>
        <v/>
      </c>
      <c r="P102" s="29">
        <f>P95*P99*0.5</f>
        <v/>
      </c>
      <c r="Q102" s="29">
        <f>Q95*Q99*0.5</f>
        <v/>
      </c>
      <c r="R102" s="29">
        <f>R95*R99*0.5</f>
        <v/>
      </c>
      <c r="S102" s="29">
        <f>S95*S99*0.5</f>
        <v/>
      </c>
      <c r="T102" s="29">
        <f>T95*T99*0.5</f>
        <v/>
      </c>
      <c r="U102" s="29">
        <f>U95*U99*0.5</f>
        <v/>
      </c>
      <c r="V102" s="29">
        <f>V95*V99*0.5</f>
        <v/>
      </c>
      <c r="W102" s="29">
        <f>W95*W99*0.5</f>
        <v/>
      </c>
      <c r="X102" s="29">
        <f>X95*X99*0.5</f>
        <v/>
      </c>
      <c r="Y102" s="29">
        <f>Y95*Y99*0.5</f>
        <v/>
      </c>
      <c r="Z102" s="29">
        <f>Z95*Z99*0.5</f>
        <v/>
      </c>
      <c r="AA102" s="29">
        <f>AA95*AA99*0.5</f>
        <v/>
      </c>
      <c r="AB102" s="29">
        <f>AB95*AB99*0.5</f>
        <v/>
      </c>
      <c r="AC102" s="29">
        <f>AC95*AC99*0.5</f>
        <v/>
      </c>
    </row>
    <row r="103">
      <c r="B103" s="20" t="inlineStr">
        <is>
          <t>Total Australia Network Sales</t>
        </is>
      </c>
      <c r="C103" s="20" t="inlineStr">
        <is>
          <t>AUDm</t>
        </is>
      </c>
      <c r="D103" s="21" t="n">
        <v>360</v>
      </c>
      <c r="E103" s="21" t="n">
        <v>393</v>
      </c>
      <c r="F103" s="21" t="n">
        <v>465</v>
      </c>
      <c r="G103" s="21" t="n">
        <v>483.7</v>
      </c>
      <c r="H103" s="21" t="n">
        <v>573</v>
      </c>
      <c r="I103" s="21">
        <f>I100+I101+I102</f>
        <v/>
      </c>
      <c r="J103" s="21">
        <f>J100+J101+J102</f>
        <v/>
      </c>
      <c r="K103" s="21">
        <f>K100+K101+K102</f>
        <v/>
      </c>
      <c r="L103" s="21">
        <f>L100+L101+L102</f>
        <v/>
      </c>
      <c r="M103" s="21">
        <f>M100+M101+M102</f>
        <v/>
      </c>
      <c r="N103" s="21">
        <f>N100+N101+N102</f>
        <v/>
      </c>
      <c r="O103" s="21">
        <f>O100+O101+O102</f>
        <v/>
      </c>
      <c r="P103" s="21">
        <f>P100+P101+P102</f>
        <v/>
      </c>
      <c r="Q103" s="21">
        <f>Q100+Q101+Q102</f>
        <v/>
      </c>
      <c r="R103" s="21">
        <f>R100+R101+R102</f>
        <v/>
      </c>
      <c r="S103" s="21">
        <f>S100+S101+S102</f>
        <v/>
      </c>
      <c r="T103" s="21">
        <f>T100+T101+T102</f>
        <v/>
      </c>
      <c r="U103" s="21">
        <f>U100+U101+U102</f>
        <v/>
      </c>
      <c r="V103" s="21">
        <f>V100+V101+V102</f>
        <v/>
      </c>
      <c r="W103" s="21">
        <f>W100+W101+W102</f>
        <v/>
      </c>
      <c r="X103" s="21">
        <f>X100+X101+X102</f>
        <v/>
      </c>
      <c r="Y103" s="21">
        <f>Y100+Y101+Y102</f>
        <v/>
      </c>
      <c r="Z103" s="21">
        <f>Z100+Z101+Z102</f>
        <v/>
      </c>
      <c r="AA103" s="21">
        <f>AA100+AA101+AA102</f>
        <v/>
      </c>
      <c r="AB103" s="21">
        <f>AB100+AB101+AB102</f>
        <v/>
      </c>
      <c r="AC103" s="21">
        <f>AC100+AC101+AC102</f>
        <v/>
      </c>
    </row>
    <row r="104">
      <c r="B104" t="inlineStr">
        <is>
          <t>Corporate Restaurant Sales</t>
        </is>
      </c>
      <c r="C104" t="inlineStr">
        <is>
          <t>AUDm</t>
        </is>
      </c>
      <c r="D104" t="n">
        <v>101</v>
      </c>
      <c r="E104" t="n">
        <v>111</v>
      </c>
      <c r="F104" t="n">
        <v>136.2</v>
      </c>
      <c r="G104" t="n">
        <v>142.7</v>
      </c>
      <c r="H104" t="n">
        <v>176.1</v>
      </c>
      <c r="I104" t="n">
        <v>183.9</v>
      </c>
      <c r="J104" t="n">
        <v>215.1</v>
      </c>
      <c r="K104">
        <f>J104*1.08</f>
        <v/>
      </c>
      <c r="L104">
        <f>J104*1.15</f>
        <v/>
      </c>
      <c r="M104">
        <f>L104*1.08</f>
        <v/>
      </c>
      <c r="N104">
        <f>L104*1.15</f>
        <v/>
      </c>
      <c r="O104">
        <f>N104*1.08</f>
        <v/>
      </c>
      <c r="P104">
        <f>N104*1.15</f>
        <v/>
      </c>
      <c r="Q104">
        <f>P104*1.08</f>
        <v/>
      </c>
      <c r="R104">
        <f>P104*1.15</f>
        <v/>
      </c>
      <c r="S104">
        <f>R104*1.08</f>
        <v/>
      </c>
      <c r="T104">
        <f>R104*1.15</f>
        <v/>
      </c>
      <c r="U104">
        <f>T104*1.08</f>
        <v/>
      </c>
      <c r="V104">
        <f>T104*1.15</f>
        <v/>
      </c>
      <c r="W104">
        <f>V104*1.08</f>
        <v/>
      </c>
      <c r="X104">
        <f>V104*1.15</f>
        <v/>
      </c>
      <c r="Y104">
        <f>X104*1.08</f>
        <v/>
      </c>
      <c r="Z104">
        <f>X104*1.15</f>
        <v/>
      </c>
      <c r="AA104">
        <f>Z104*1.08</f>
        <v/>
      </c>
      <c r="AB104">
        <f>Z104*1.15</f>
        <v/>
      </c>
      <c r="AC104">
        <f>AB104*1.08</f>
        <v/>
      </c>
    </row>
    <row r="105">
      <c r="A105" s="27" t="n"/>
      <c r="B105" s="28" t="inlineStr">
        <is>
          <t>Corporate Restaurant Margin (%)</t>
        </is>
      </c>
      <c r="C105" s="27" t="inlineStr">
        <is>
          <t>%</t>
        </is>
      </c>
      <c r="D105" s="27" t="n">
        <v>0.144</v>
      </c>
      <c r="E105" s="27" t="n">
        <v>0.144</v>
      </c>
      <c r="F105" s="27" t="n">
        <v>0.175</v>
      </c>
      <c r="G105" s="27" t="n">
        <v>0.173</v>
      </c>
      <c r="H105" s="27" t="n">
        <v>0.18</v>
      </c>
      <c r="I105" s="27" t="n">
        <v>0.178</v>
      </c>
      <c r="J105" s="27" t="n">
        <v>0.176</v>
      </c>
      <c r="K105" s="27">
        <f>MIN(0.20,J105+0.002)</f>
        <v/>
      </c>
      <c r="L105" s="27">
        <f>MIN(0.20,K105+0.002)</f>
        <v/>
      </c>
      <c r="M105" s="27">
        <f>MIN(0.20,L105+0.002)</f>
        <v/>
      </c>
      <c r="N105" s="27">
        <f>MIN(0.20,M105+0.002)</f>
        <v/>
      </c>
      <c r="O105" s="27">
        <f>MIN(0.20,N105+0.002)</f>
        <v/>
      </c>
      <c r="P105" s="27">
        <f>MIN(0.20,O105+0.002)</f>
        <v/>
      </c>
      <c r="Q105" s="27">
        <f>MIN(0.20,P105+0.002)</f>
        <v/>
      </c>
      <c r="R105" s="27">
        <f>MIN(0.20,Q105+0.002)</f>
        <v/>
      </c>
      <c r="S105" s="27">
        <f>MIN(0.20,R105+0.002)</f>
        <v/>
      </c>
      <c r="T105" s="27">
        <f>MIN(0.20,S105+0.002)</f>
        <v/>
      </c>
      <c r="U105" s="27">
        <f>MIN(0.20,T105+0.002)</f>
        <v/>
      </c>
      <c r="V105" s="27">
        <f>MIN(0.20,U105+0.002)</f>
        <v/>
      </c>
      <c r="W105" s="27">
        <f>MIN(0.20,V105+0.002)</f>
        <v/>
      </c>
      <c r="X105" s="27">
        <f>MIN(0.20,W105+0.002)</f>
        <v/>
      </c>
      <c r="Y105" s="27">
        <f>MIN(0.20,X105+0.002)</f>
        <v/>
      </c>
      <c r="Z105" s="27">
        <f>MIN(0.20,Y105+0.002)</f>
        <v/>
      </c>
      <c r="AA105" s="27">
        <f>MIN(0.20,Z105+0.002)</f>
        <v/>
      </c>
      <c r="AB105" s="27">
        <f>MIN(0.20,AA105+0.002)</f>
        <v/>
      </c>
      <c r="AC105" s="27">
        <f>MIN(0.20,AB105+0.002)</f>
        <v/>
      </c>
    </row>
    <row r="106">
      <c r="B106" s="8" t="inlineStr">
        <is>
          <t>Corporate Restaurant Margin ($)</t>
        </is>
      </c>
      <c r="C106" t="inlineStr">
        <is>
          <t>AUDm</t>
        </is>
      </c>
      <c r="D106" s="4">
        <f>D104*D105</f>
        <v/>
      </c>
      <c r="E106" s="4">
        <f>E104*E105</f>
        <v/>
      </c>
      <c r="F106" s="4">
        <f>F104*F105</f>
        <v/>
      </c>
      <c r="G106" s="4">
        <f>G104*G105</f>
        <v/>
      </c>
      <c r="H106" s="4">
        <f>H104*H105</f>
        <v/>
      </c>
      <c r="I106" s="4">
        <f>I104*I105</f>
        <v/>
      </c>
      <c r="J106" s="4">
        <f>J104*J105</f>
        <v/>
      </c>
      <c r="K106" s="4">
        <f>K104*K105</f>
        <v/>
      </c>
      <c r="L106" s="4">
        <f>L104*L105</f>
        <v/>
      </c>
      <c r="M106" s="4">
        <f>M104*M105</f>
        <v/>
      </c>
      <c r="N106" s="4">
        <f>N104*N105</f>
        <v/>
      </c>
      <c r="O106" s="4">
        <f>O104*O105</f>
        <v/>
      </c>
      <c r="P106" s="4">
        <f>P104*P105</f>
        <v/>
      </c>
      <c r="Q106" s="4">
        <f>Q104*Q105</f>
        <v/>
      </c>
      <c r="R106" s="4">
        <f>R104*R105</f>
        <v/>
      </c>
      <c r="S106" s="4">
        <f>S104*S105</f>
        <v/>
      </c>
      <c r="T106" s="4">
        <f>T104*T105</f>
        <v/>
      </c>
      <c r="U106" s="4">
        <f>U104*U105</f>
        <v/>
      </c>
      <c r="V106" s="4">
        <f>V104*V105</f>
        <v/>
      </c>
      <c r="W106" s="4">
        <f>W104*W105</f>
        <v/>
      </c>
      <c r="X106" s="4">
        <f>X104*X105</f>
        <v/>
      </c>
      <c r="Y106" s="4">
        <f>Y104*Y105</f>
        <v/>
      </c>
      <c r="Z106" s="4">
        <f>Z104*Z105</f>
        <v/>
      </c>
      <c r="AA106" s="4">
        <f>AA104*AA105</f>
        <v/>
      </c>
      <c r="AB106" s="4">
        <f>AB104*AB105</f>
        <v/>
      </c>
      <c r="AC106" s="4">
        <f>AC104*AC105</f>
        <v/>
      </c>
    </row>
    <row r="107">
      <c r="B107" s="25" t="inlineStr">
        <is>
          <t>Franchise Network Sales</t>
        </is>
      </c>
      <c r="C107" t="inlineStr">
        <is>
          <t>AUDm</t>
        </is>
      </c>
      <c r="D107" s="6">
        <f>D103-D104</f>
        <v/>
      </c>
      <c r="E107" s="6">
        <f>E103-E104</f>
        <v/>
      </c>
      <c r="F107" s="6">
        <f>F103-F104</f>
        <v/>
      </c>
      <c r="G107" s="6">
        <f>G103-G104</f>
        <v/>
      </c>
      <c r="H107" s="6">
        <f>H103-H104</f>
        <v/>
      </c>
      <c r="I107" s="6">
        <f>I103-I104</f>
        <v/>
      </c>
      <c r="J107" s="6">
        <f>J103-J104</f>
        <v/>
      </c>
      <c r="K107" s="26">
        <f>K103-K104</f>
        <v/>
      </c>
      <c r="L107" s="26">
        <f>L103-L104</f>
        <v/>
      </c>
      <c r="M107" s="26">
        <f>M103-M104</f>
        <v/>
      </c>
      <c r="N107" s="26">
        <f>N103-N104</f>
        <v/>
      </c>
      <c r="O107" s="26">
        <f>O103-O104</f>
        <v/>
      </c>
      <c r="P107" s="26">
        <f>P103-P104</f>
        <v/>
      </c>
      <c r="Q107" s="26">
        <f>Q103-Q104</f>
        <v/>
      </c>
      <c r="R107" s="26">
        <f>R103-R104</f>
        <v/>
      </c>
      <c r="S107" s="26">
        <f>S103-S104</f>
        <v/>
      </c>
      <c r="T107" s="26">
        <f>T103-T104</f>
        <v/>
      </c>
      <c r="U107" s="26">
        <f>U103-U104</f>
        <v/>
      </c>
      <c r="V107" s="26">
        <f>V103-V104</f>
        <v/>
      </c>
      <c r="W107" s="26">
        <f>W103-W104</f>
        <v/>
      </c>
      <c r="X107" s="26">
        <f>X103-X104</f>
        <v/>
      </c>
      <c r="Y107" s="26">
        <f>Y103-Y104</f>
        <v/>
      </c>
      <c r="Z107" s="26">
        <f>Z103-Z104</f>
        <v/>
      </c>
      <c r="AA107" s="26">
        <f>AA103-AA104</f>
        <v/>
      </c>
      <c r="AB107" s="26">
        <f>AB103-AB104</f>
        <v/>
      </c>
      <c r="AC107" s="26">
        <f>AC103-AC104</f>
        <v/>
      </c>
    </row>
    <row r="108">
      <c r="B108" s="8" t="inlineStr">
        <is>
          <t>Implied Franchise Royalty Rate (%)</t>
        </is>
      </c>
      <c r="C108" t="inlineStr">
        <is>
          <t>%</t>
        </is>
      </c>
      <c r="D108" s="29" t="n">
        <v>0.08699999999999999</v>
      </c>
      <c r="E108" s="29" t="n">
        <v>0.08699999999999999</v>
      </c>
      <c r="F108" s="29" t="n">
        <v>0.08699999999999999</v>
      </c>
      <c r="G108" s="29" t="n">
        <v>0.093</v>
      </c>
      <c r="H108" s="29" t="n">
        <v>0.097</v>
      </c>
      <c r="I108" s="29" t="n">
        <v>0.097</v>
      </c>
      <c r="J108" s="29" t="n">
        <v>0.097</v>
      </c>
      <c r="K108" s="29">
        <f>MIN(0.10,J108+0.001)</f>
        <v/>
      </c>
      <c r="L108" s="29">
        <f>MIN(0.10,K108+0.001)</f>
        <v/>
      </c>
      <c r="M108" s="29">
        <f>MIN(0.10,L108+0.001)</f>
        <v/>
      </c>
      <c r="N108" s="29">
        <f>MIN(0.10,M108+0.001)</f>
        <v/>
      </c>
      <c r="O108" s="29">
        <f>MIN(0.10,N108+0.001)</f>
        <v/>
      </c>
      <c r="P108" s="29">
        <f>MIN(0.10,O108+0.001)</f>
        <v/>
      </c>
      <c r="Q108" s="29">
        <f>MIN(0.10,P108+0.001)</f>
        <v/>
      </c>
      <c r="R108" s="29">
        <f>MIN(0.10,Q108+0.001)</f>
        <v/>
      </c>
      <c r="S108" s="29">
        <f>MIN(0.10,R108+0.001)</f>
        <v/>
      </c>
      <c r="T108" s="29">
        <f>MIN(0.10,S108+0.001)</f>
        <v/>
      </c>
      <c r="U108" s="29">
        <f>MIN(0.10,T108+0.001)</f>
        <v/>
      </c>
      <c r="V108" s="29">
        <f>MIN(0.10,U108+0.001)</f>
        <v/>
      </c>
      <c r="W108" s="29">
        <f>MIN(0.10,V108+0.001)</f>
        <v/>
      </c>
      <c r="X108" s="29">
        <f>MIN(0.10,W108+0.001)</f>
        <v/>
      </c>
      <c r="Y108" s="29">
        <f>MIN(0.10,X108+0.001)</f>
        <v/>
      </c>
      <c r="Z108" s="29">
        <f>MIN(0.10,Y108+0.001)</f>
        <v/>
      </c>
      <c r="AA108" s="29">
        <f>MIN(0.10,Z108+0.001)</f>
        <v/>
      </c>
      <c r="AB108" s="29">
        <f>MIN(0.10,AA108+0.001)</f>
        <v/>
      </c>
      <c r="AC108" s="29">
        <f>MIN(0.10,AB108+0.001)</f>
        <v/>
      </c>
    </row>
    <row r="109">
      <c r="B109" s="25" t="inlineStr">
        <is>
          <t>Franchise &amp; Other Revenue</t>
        </is>
      </c>
      <c r="C109" t="inlineStr">
        <is>
          <t>AUDm</t>
        </is>
      </c>
      <c r="D109" s="6">
        <f>D107*D108</f>
        <v/>
      </c>
      <c r="E109" s="6">
        <f>E107*E108</f>
        <v/>
      </c>
      <c r="F109" s="6">
        <f>F107*F108</f>
        <v/>
      </c>
      <c r="G109" s="6">
        <f>G107*G108</f>
        <v/>
      </c>
      <c r="H109" s="6" t="n">
        <v>38.2</v>
      </c>
      <c r="I109" s="6" t="n">
        <v>40.5</v>
      </c>
      <c r="J109" s="6" t="n">
        <v>42.8</v>
      </c>
      <c r="K109" s="26">
        <f>K107*K108</f>
        <v/>
      </c>
      <c r="L109" s="26">
        <f>L107*L108</f>
        <v/>
      </c>
      <c r="M109" s="26">
        <f>M107*M108</f>
        <v/>
      </c>
      <c r="N109" s="26">
        <f>N107*N108</f>
        <v/>
      </c>
      <c r="O109" s="26">
        <f>O107*O108</f>
        <v/>
      </c>
      <c r="P109" s="26">
        <f>P107*P108</f>
        <v/>
      </c>
      <c r="Q109" s="26">
        <f>Q107*Q108</f>
        <v/>
      </c>
      <c r="R109" s="26">
        <f>R107*R108</f>
        <v/>
      </c>
      <c r="S109" s="26">
        <f>S107*S108</f>
        <v/>
      </c>
      <c r="T109" s="26">
        <f>T107*T108</f>
        <v/>
      </c>
      <c r="U109" s="26">
        <f>U107*U108</f>
        <v/>
      </c>
      <c r="V109" s="26">
        <f>V107*V108</f>
        <v/>
      </c>
      <c r="W109" s="26">
        <f>W107*W108</f>
        <v/>
      </c>
      <c r="X109" s="26">
        <f>X107*X108</f>
        <v/>
      </c>
      <c r="Y109" s="26">
        <f>Y107*Y108</f>
        <v/>
      </c>
      <c r="Z109" s="26">
        <f>Z107*Z108</f>
        <v/>
      </c>
      <c r="AA109" s="26">
        <f>AA107*AA108</f>
        <v/>
      </c>
      <c r="AB109" s="26">
        <f>AB107*AB108</f>
        <v/>
      </c>
      <c r="AC109" s="26">
        <f>AC107*AC108</f>
        <v/>
      </c>
    </row>
    <row r="110">
      <c r="B110" s="8" t="inlineStr">
        <is>
          <t>G&amp;A Costs</t>
        </is>
      </c>
      <c r="C110" t="inlineStr">
        <is>
          <t>AUDm</t>
        </is>
      </c>
      <c r="D110" s="4" t="n">
        <v>-22</v>
      </c>
      <c r="E110" s="4" t="n">
        <v>-24.7</v>
      </c>
      <c r="F110" s="4" t="n">
        <v>-30</v>
      </c>
      <c r="G110" s="4" t="n">
        <v>-33.7</v>
      </c>
      <c r="H110" s="4" t="n">
        <v>-38.1</v>
      </c>
      <c r="I110" s="4" t="n">
        <v>-38.9</v>
      </c>
      <c r="J110" s="4" t="n">
        <v>-39.4</v>
      </c>
      <c r="K110" s="4">
        <f>J110*1.04</f>
        <v/>
      </c>
      <c r="L110" s="4">
        <f>J110*1.04</f>
        <v/>
      </c>
      <c r="M110" s="4">
        <f>L110*1.04</f>
        <v/>
      </c>
      <c r="N110" s="4">
        <f>L110*1.04</f>
        <v/>
      </c>
      <c r="O110" s="4">
        <f>N110*1.04</f>
        <v/>
      </c>
      <c r="P110" s="4">
        <f>N110*1.04</f>
        <v/>
      </c>
      <c r="Q110" s="4">
        <f>P110*1.04</f>
        <v/>
      </c>
      <c r="R110" s="4">
        <f>P110*1.04</f>
        <v/>
      </c>
      <c r="S110" s="4">
        <f>R110*1.04</f>
        <v/>
      </c>
      <c r="T110" s="4">
        <f>R110*1.04</f>
        <v/>
      </c>
      <c r="U110" s="4">
        <f>T110*1.04</f>
        <v/>
      </c>
      <c r="V110" s="4">
        <f>T110*1.04</f>
        <v/>
      </c>
      <c r="W110" s="4">
        <f>V110*1.04</f>
        <v/>
      </c>
      <c r="X110" s="4">
        <f>V110*1.04</f>
        <v/>
      </c>
      <c r="Y110" s="4">
        <f>X110*1.04</f>
        <v/>
      </c>
      <c r="Z110" s="4">
        <f>X110*1.04</f>
        <v/>
      </c>
      <c r="AA110" s="4">
        <f>Z110*1.04</f>
        <v/>
      </c>
      <c r="AB110" s="4">
        <f>Z110*1.04</f>
        <v/>
      </c>
      <c r="AC110" s="4">
        <f>AB110*1.04</f>
        <v/>
      </c>
    </row>
    <row r="111">
      <c r="B111" s="25" t="inlineStr">
        <is>
          <t>G&amp;A as % of Network Sales</t>
        </is>
      </c>
      <c r="C111" t="inlineStr">
        <is>
          <t>%</t>
        </is>
      </c>
      <c r="D111" s="31">
        <f>IF(D103=0,"",ABS(D110)/D103)</f>
        <v/>
      </c>
      <c r="E111" s="6">
        <f>IF(E103=0,"",ABS(E110)/E103)</f>
        <v/>
      </c>
      <c r="F111" s="31">
        <f>IF(F103=0,"",ABS(F110)/F103)</f>
        <v/>
      </c>
      <c r="G111" s="6">
        <f>IF(G103=0,"",ABS(G110)/G103)</f>
        <v/>
      </c>
      <c r="H111" s="31">
        <f>IF(H103=0,"",ABS(H110)/H103)</f>
        <v/>
      </c>
      <c r="I111" s="6">
        <f>IF(I103=0,"",ABS(I110)/I103)</f>
        <v/>
      </c>
      <c r="J111" s="31">
        <f>IF(J103=0,"",ABS(J110)/J103)</f>
        <v/>
      </c>
      <c r="K111" s="26">
        <f>IF(K103=0,"",ABS(K110)/K103)</f>
        <v/>
      </c>
      <c r="L111" s="26">
        <f>IF(L103=0,"",ABS(L110)/L103)</f>
        <v/>
      </c>
      <c r="M111" s="26">
        <f>IF(M103=0,"",ABS(M110)/M103)</f>
        <v/>
      </c>
      <c r="N111" s="26">
        <f>IF(N103=0,"",ABS(N110)/N103)</f>
        <v/>
      </c>
      <c r="O111" s="26">
        <f>IF(O103=0,"",ABS(O110)/O103)</f>
        <v/>
      </c>
      <c r="P111" s="26">
        <f>IF(P103=0,"",ABS(P110)/P103)</f>
        <v/>
      </c>
      <c r="Q111" s="26">
        <f>IF(Q103=0,"",ABS(Q110)/Q103)</f>
        <v/>
      </c>
      <c r="R111" s="26">
        <f>IF(R103=0,"",ABS(R110)/R103)</f>
        <v/>
      </c>
      <c r="S111" s="26">
        <f>IF(S103=0,"",ABS(S110)/S103)</f>
        <v/>
      </c>
      <c r="T111" s="26">
        <f>IF(T103=0,"",ABS(T110)/T103)</f>
        <v/>
      </c>
      <c r="U111" s="26">
        <f>IF(U103=0,"",ABS(U110)/U103)</f>
        <v/>
      </c>
      <c r="V111" s="26">
        <f>IF(V103=0,"",ABS(V110)/V103)</f>
        <v/>
      </c>
      <c r="W111" s="26">
        <f>IF(W103=0,"",ABS(W110)/W103)</f>
        <v/>
      </c>
      <c r="X111" s="26">
        <f>IF(X103=0,"",ABS(X110)/X103)</f>
        <v/>
      </c>
      <c r="Y111" s="26">
        <f>IF(Y103=0,"",ABS(Y110)/Y103)</f>
        <v/>
      </c>
      <c r="Z111" s="26">
        <f>IF(Z103=0,"",ABS(Z110)/Z103)</f>
        <v/>
      </c>
      <c r="AA111" s="26">
        <f>IF(AA103=0,"",ABS(AA110)/AA103)</f>
        <v/>
      </c>
      <c r="AB111" s="26">
        <f>IF(AB103=0,"",ABS(AB110)/AB103)</f>
        <v/>
      </c>
      <c r="AC111" s="26">
        <f>IF(AC103=0,"",ABS(AC110)/AC103)</f>
        <v/>
      </c>
    </row>
    <row r="112">
      <c r="B112" s="8" t="inlineStr">
        <is>
          <t>Australia Segment EBITDA</t>
        </is>
      </c>
      <c r="C112" t="inlineStr">
        <is>
          <t>AUDm</t>
        </is>
      </c>
      <c r="D112" s="4">
        <f>D106+D109+D110</f>
        <v/>
      </c>
      <c r="E112" s="4">
        <f>E106+E109+E110</f>
        <v/>
      </c>
      <c r="F112" s="4">
        <f>F106+F109+F110</f>
        <v/>
      </c>
      <c r="G112" s="4">
        <f>G106+G109+G110</f>
        <v/>
      </c>
      <c r="H112" s="4">
        <f>H106+H109+H110</f>
        <v/>
      </c>
      <c r="I112" s="4">
        <f>I106+I109+I110</f>
        <v/>
      </c>
      <c r="J112" s="4">
        <f>J106+J109+J110</f>
        <v/>
      </c>
      <c r="K112" s="4">
        <f>K106+K109+K110</f>
        <v/>
      </c>
      <c r="L112" s="4">
        <f>L106+L109+L110</f>
        <v/>
      </c>
      <c r="M112" s="4">
        <f>M106+M109+M110</f>
        <v/>
      </c>
      <c r="N112" s="4">
        <f>N106+N109+N110</f>
        <v/>
      </c>
      <c r="O112" s="4">
        <f>O106+O109+O110</f>
        <v/>
      </c>
      <c r="P112" s="4">
        <f>P106+P109+P110</f>
        <v/>
      </c>
      <c r="Q112" s="4">
        <f>Q106+Q109+Q110</f>
        <v/>
      </c>
      <c r="R112" s="4">
        <f>R106+R109+R110</f>
        <v/>
      </c>
      <c r="S112" s="4">
        <f>S106+S109+S110</f>
        <v/>
      </c>
      <c r="T112" s="4">
        <f>T106+T109+T110</f>
        <v/>
      </c>
      <c r="U112" s="4">
        <f>U106+U109+U110</f>
        <v/>
      </c>
      <c r="V112" s="4">
        <f>V106+V109+V110</f>
        <v/>
      </c>
      <c r="W112" s="4">
        <f>W106+W109+W110</f>
        <v/>
      </c>
      <c r="X112" s="4">
        <f>X106+X109+X110</f>
        <v/>
      </c>
      <c r="Y112" s="4">
        <f>Y106+Y109+Y110</f>
        <v/>
      </c>
      <c r="Z112" s="4">
        <f>Z106+Z109+Z110</f>
        <v/>
      </c>
      <c r="AA112" s="4">
        <f>AA106+AA109+AA110</f>
        <v/>
      </c>
      <c r="AB112" s="4">
        <f>AB106+AB109+AB110</f>
        <v/>
      </c>
      <c r="AC112" s="4">
        <f>AC106+AC109+AC110</f>
        <v/>
      </c>
    </row>
    <row r="113">
      <c r="B113" s="8" t="inlineStr">
        <is>
          <t>Seg EBITDA as % of NS</t>
        </is>
      </c>
      <c r="C113" t="inlineStr">
        <is>
          <t>%</t>
        </is>
      </c>
      <c r="D113" s="4">
        <f>IF(D103=0,"",D112/D103)</f>
        <v/>
      </c>
      <c r="E113" s="4">
        <f>IF(E103=0,"",E112/E103)</f>
        <v/>
      </c>
      <c r="F113" s="4">
        <f>IF(F103=0,"",F112/F103)</f>
        <v/>
      </c>
      <c r="G113" s="4">
        <f>IF(G103=0,"",G112/G103)</f>
        <v/>
      </c>
      <c r="H113" s="4">
        <f>IF(H103=0,"",H112/H103)</f>
        <v/>
      </c>
      <c r="I113" s="4">
        <f>IF(I103=0,"",I112/I103)</f>
        <v/>
      </c>
      <c r="J113" s="4">
        <f>IF(J103=0,"",J112/J103)</f>
        <v/>
      </c>
      <c r="K113" s="4">
        <f>IF(K103=0,"",K112/K103)</f>
        <v/>
      </c>
      <c r="L113" s="4">
        <f>IF(L103=0,"",L112/L103)</f>
        <v/>
      </c>
      <c r="M113" s="4">
        <f>IF(M103=0,"",M112/M103)</f>
        <v/>
      </c>
      <c r="N113" s="4">
        <f>IF(N103=0,"",N112/N103)</f>
        <v/>
      </c>
      <c r="O113" s="4">
        <f>IF(O103=0,"",O112/O103)</f>
        <v/>
      </c>
      <c r="P113" s="4">
        <f>IF(P103=0,"",P112/P103)</f>
        <v/>
      </c>
      <c r="Q113" s="4">
        <f>IF(Q103=0,"",Q112/Q103)</f>
        <v/>
      </c>
      <c r="R113" s="4">
        <f>IF(R103=0,"",R112/R103)</f>
        <v/>
      </c>
      <c r="S113" s="4">
        <f>IF(S103=0,"",S112/S103)</f>
        <v/>
      </c>
      <c r="T113" s="4">
        <f>IF(T103=0,"",T112/T103)</f>
        <v/>
      </c>
      <c r="U113" s="4">
        <f>IF(U103=0,"",U112/U103)</f>
        <v/>
      </c>
      <c r="V113" s="4">
        <f>IF(V103=0,"",V112/V103)</f>
        <v/>
      </c>
      <c r="W113" s="4">
        <f>IF(W103=0,"",W112/W103)</f>
        <v/>
      </c>
      <c r="X113" s="4">
        <f>IF(X103=0,"",X112/X103)</f>
        <v/>
      </c>
      <c r="Y113" s="4">
        <f>IF(Y103=0,"",Y112/Y103)</f>
        <v/>
      </c>
      <c r="Z113" s="4">
        <f>IF(Z103=0,"",Z112/Z103)</f>
        <v/>
      </c>
      <c r="AA113" s="4">
        <f>IF(AA103=0,"",AA112/AA103)</f>
        <v/>
      </c>
      <c r="AB113" s="4">
        <f>IF(AB103=0,"",AB112/AB103)</f>
        <v/>
      </c>
      <c r="AC113" s="4">
        <f>IF(AC103=0,"",AC112/AC103)</f>
        <v/>
      </c>
    </row>
    <row r="114">
      <c r="B114" s="25" t="n"/>
      <c r="D114" s="6" t="n"/>
      <c r="E114" s="6" t="n"/>
      <c r="F114" s="6" t="n"/>
      <c r="G114" s="6" t="n"/>
      <c r="H114" s="6" t="n"/>
      <c r="I114" s="6" t="n"/>
      <c r="J114" s="6" t="n"/>
      <c r="K114" s="26" t="n"/>
      <c r="L114" s="26" t="n"/>
      <c r="M114" s="26" t="n"/>
      <c r="N114" s="26" t="n"/>
      <c r="O114" s="26" t="n"/>
      <c r="P114" s="26" t="n"/>
      <c r="Q114" s="26" t="n"/>
      <c r="R114" s="26" t="n"/>
      <c r="S114" s="26" t="n"/>
      <c r="T114" s="26" t="n"/>
      <c r="U114" s="26" t="n"/>
      <c r="V114" s="26" t="n"/>
      <c r="W114" s="26" t="n"/>
      <c r="X114" s="26" t="n"/>
      <c r="Y114" s="26" t="n"/>
      <c r="Z114" s="26" t="n"/>
      <c r="AA114" s="26" t="n"/>
      <c r="AB114" s="26" t="n"/>
      <c r="AC114" s="26" t="n"/>
    </row>
    <row r="115">
      <c r="B115" s="8" t="inlineStr">
        <is>
          <t>Segment Forecast - US</t>
        </is>
      </c>
      <c r="C115" t="inlineStr">
        <is>
          <t>NZD</t>
        </is>
      </c>
      <c r="D115" s="29" t="n"/>
      <c r="E115" s="29" t="n"/>
      <c r="F115" s="29" t="n"/>
      <c r="G115" s="29" t="n"/>
      <c r="H115" s="29" t="n"/>
      <c r="I115" s="29" t="n"/>
      <c r="J115" s="29" t="n"/>
      <c r="K115" s="29" t="n"/>
      <c r="L115" s="29" t="n"/>
      <c r="M115" s="29" t="n"/>
      <c r="N115" s="29" t="n"/>
      <c r="O115" s="29" t="n"/>
      <c r="P115" s="29" t="n"/>
      <c r="Q115" s="29" t="n"/>
      <c r="R115" s="29" t="n"/>
      <c r="S115" s="29" t="n"/>
      <c r="T115" s="29" t="n"/>
      <c r="U115" s="29" t="n"/>
      <c r="V115" s="29" t="n"/>
      <c r="W115" s="29" t="n"/>
      <c r="X115" s="29" t="n"/>
      <c r="Y115" s="29" t="n"/>
      <c r="Z115" s="29" t="n"/>
      <c r="AA115" s="29" t="n"/>
      <c r="AB115" s="29" t="n"/>
      <c r="AC115" s="29" t="n"/>
    </row>
    <row r="116">
      <c r="B116" s="20" t="inlineStr">
        <is>
          <t>US Restaurants (#)</t>
        </is>
      </c>
      <c r="C116" s="20" t="inlineStr">
        <is>
          <t>#</t>
        </is>
      </c>
      <c r="D116" s="21" t="n"/>
      <c r="E116" s="21" t="n">
        <v>3</v>
      </c>
      <c r="F116" s="21" t="n">
        <v>4</v>
      </c>
      <c r="G116" s="21" t="n">
        <v>4</v>
      </c>
      <c r="H116" s="21" t="n">
        <v>4</v>
      </c>
      <c r="I116" s="21" t="n">
        <v>6</v>
      </c>
      <c r="J116" s="21" t="n">
        <v>8</v>
      </c>
      <c r="K116" s="21">
        <f>J116+1</f>
        <v/>
      </c>
      <c r="L116" s="21">
        <f>K116+1</f>
        <v/>
      </c>
      <c r="M116" s="21">
        <f>L116+1</f>
        <v/>
      </c>
      <c r="N116" s="21">
        <f>M116+1</f>
        <v/>
      </c>
      <c r="O116" s="21">
        <f>N116+1</f>
        <v/>
      </c>
      <c r="P116" s="21">
        <f>O116+1</f>
        <v/>
      </c>
      <c r="Q116" s="21">
        <f>P116+1</f>
        <v/>
      </c>
      <c r="R116" s="21">
        <f>Q116+1</f>
        <v/>
      </c>
      <c r="S116" s="21">
        <f>R116+1</f>
        <v/>
      </c>
      <c r="T116" s="21">
        <f>S116+1</f>
        <v/>
      </c>
      <c r="U116" s="21">
        <f>T116+1</f>
        <v/>
      </c>
      <c r="V116" s="21">
        <f>U116+1</f>
        <v/>
      </c>
      <c r="W116" s="21">
        <f>V116+1</f>
        <v/>
      </c>
      <c r="X116" s="21">
        <f>W116+1</f>
        <v/>
      </c>
      <c r="Y116" s="21">
        <f>X116+1</f>
        <v/>
      </c>
      <c r="Z116" s="21">
        <f>Y116+1</f>
        <v/>
      </c>
      <c r="AA116" s="21">
        <f>Z116+1</f>
        <v/>
      </c>
      <c r="AB116" s="21">
        <f>AA116+1</f>
        <v/>
      </c>
      <c r="AC116" s="21">
        <f>AB116+1</f>
        <v/>
      </c>
    </row>
    <row r="117">
      <c r="B117" t="inlineStr">
        <is>
          <t>US Network Sales</t>
        </is>
      </c>
      <c r="C117" t="inlineStr">
        <is>
          <t>AUDm</t>
        </is>
      </c>
      <c r="D117" t="n">
        <v>2.8</v>
      </c>
      <c r="E117" t="n">
        <v>3.2</v>
      </c>
      <c r="F117" t="n">
        <v>5.6</v>
      </c>
      <c r="G117" t="n">
        <v>5.2</v>
      </c>
      <c r="H117" t="n">
        <v>4.9</v>
      </c>
      <c r="I117" t="n">
        <v>7.3</v>
      </c>
      <c r="J117" t="n">
        <v>8.199999999999999</v>
      </c>
      <c r="K117">
        <f>J117*1.15</f>
        <v/>
      </c>
      <c r="L117">
        <f>J117*1.15</f>
        <v/>
      </c>
      <c r="M117">
        <f>L117*1.15</f>
        <v/>
      </c>
      <c r="N117">
        <f>L117*1.15</f>
        <v/>
      </c>
      <c r="O117">
        <f>N117*1.15</f>
        <v/>
      </c>
      <c r="P117">
        <f>N117*1.15</f>
        <v/>
      </c>
      <c r="Q117">
        <f>P117*1.15</f>
        <v/>
      </c>
      <c r="R117">
        <f>P117*1.15</f>
        <v/>
      </c>
      <c r="S117">
        <f>R117*1.15</f>
        <v/>
      </c>
      <c r="T117">
        <f>R117*1.15</f>
        <v/>
      </c>
      <c r="U117">
        <f>T117*1.15</f>
        <v/>
      </c>
      <c r="V117">
        <f>T117*1.15</f>
        <v/>
      </c>
      <c r="W117">
        <f>V117*1.15</f>
        <v/>
      </c>
      <c r="X117">
        <f>V117*1.15</f>
        <v/>
      </c>
      <c r="Y117">
        <f>X117*1.15</f>
        <v/>
      </c>
      <c r="Z117">
        <f>X117*1.15</f>
        <v/>
      </c>
      <c r="AA117">
        <f>Z117*1.15</f>
        <v/>
      </c>
      <c r="AB117">
        <f>Z117*1.15</f>
        <v/>
      </c>
      <c r="AC117">
        <f>AB117*1.15</f>
        <v/>
      </c>
    </row>
    <row r="118">
      <c r="B118" t="inlineStr">
        <is>
          <t>Corporate Restaurant Sales</t>
        </is>
      </c>
      <c r="C118" t="inlineStr">
        <is>
          <t>AUDm</t>
        </is>
      </c>
      <c r="F118" t="n">
        <v>0</v>
      </c>
      <c r="G118" t="n">
        <v>10.8</v>
      </c>
      <c r="H118" t="n">
        <v>3.2</v>
      </c>
      <c r="I118" t="n">
        <v>5.7</v>
      </c>
      <c r="J118" t="n">
        <v>6.5</v>
      </c>
      <c r="K118">
        <f>K117</f>
        <v/>
      </c>
      <c r="L118">
        <f>L117</f>
        <v/>
      </c>
      <c r="M118">
        <f>M117</f>
        <v/>
      </c>
      <c r="N118">
        <f>N117</f>
        <v/>
      </c>
      <c r="O118">
        <f>O117</f>
        <v/>
      </c>
      <c r="P118">
        <f>P117</f>
        <v/>
      </c>
      <c r="Q118">
        <f>Q117</f>
        <v/>
      </c>
      <c r="R118">
        <f>R117</f>
        <v/>
      </c>
      <c r="S118">
        <f>S117</f>
        <v/>
      </c>
      <c r="T118">
        <f>T117</f>
        <v/>
      </c>
      <c r="U118">
        <f>U117</f>
        <v/>
      </c>
      <c r="V118">
        <f>V117</f>
        <v/>
      </c>
      <c r="W118">
        <f>W117</f>
        <v/>
      </c>
      <c r="X118">
        <f>X117</f>
        <v/>
      </c>
      <c r="Y118">
        <f>Y117</f>
        <v/>
      </c>
      <c r="Z118">
        <f>Z117</f>
        <v/>
      </c>
      <c r="AA118">
        <f>AA117</f>
        <v/>
      </c>
      <c r="AB118">
        <f>AB117</f>
        <v/>
      </c>
      <c r="AC118">
        <f>AC117</f>
        <v/>
      </c>
    </row>
    <row r="119">
      <c r="B119" t="inlineStr">
        <is>
          <t>Corporate Restaurant Margin (%)</t>
        </is>
      </c>
      <c r="C119" t="inlineStr">
        <is>
          <t>%</t>
        </is>
      </c>
      <c r="H119" t="n">
        <v>-0.406</v>
      </c>
      <c r="I119" t="n">
        <v>-0.667</v>
      </c>
      <c r="J119" t="n">
        <v>-0.6919999999999999</v>
      </c>
      <c r="K119">
        <f>MAX(-0.30,J119+0.03)</f>
        <v/>
      </c>
      <c r="L119">
        <f>MAX(-0.30,K119+0.03)</f>
        <v/>
      </c>
      <c r="M119">
        <f>MAX(-0.30,L119+0.03)</f>
        <v/>
      </c>
      <c r="N119">
        <f>MAX(-0.30,M119+0.03)</f>
        <v/>
      </c>
      <c r="O119">
        <f>MAX(-0.30,N119+0.03)</f>
        <v/>
      </c>
      <c r="P119">
        <f>MAX(-0.30,O119+0.03)</f>
        <v/>
      </c>
      <c r="Q119">
        <f>MAX(-0.30,P119+0.03)</f>
        <v/>
      </c>
      <c r="R119">
        <f>MAX(-0.30,Q119+0.03)</f>
        <v/>
      </c>
      <c r="S119">
        <f>MAX(-0.30,R119+0.03)</f>
        <v/>
      </c>
      <c r="T119">
        <f>MAX(-0.30,S119+0.03)</f>
        <v/>
      </c>
      <c r="U119">
        <f>MAX(-0.30,T119+0.03)</f>
        <v/>
      </c>
      <c r="V119">
        <f>MAX(-0.30,U119+0.03)</f>
        <v/>
      </c>
      <c r="W119">
        <f>MAX(-0.30,V119+0.03)</f>
        <v/>
      </c>
      <c r="X119">
        <f>MAX(-0.30,W119+0.03)</f>
        <v/>
      </c>
      <c r="Y119">
        <f>MAX(-0.30,X119+0.03)</f>
        <v/>
      </c>
      <c r="Z119">
        <f>MAX(-0.30,Y119+0.03)</f>
        <v/>
      </c>
      <c r="AA119">
        <f>MAX(-0.30,Z119+0.03)</f>
        <v/>
      </c>
      <c r="AB119">
        <f>MAX(-0.30,AA119+0.03)</f>
        <v/>
      </c>
      <c r="AC119">
        <f>MAX(-0.30,AB119+0.03)</f>
        <v/>
      </c>
    </row>
    <row r="120">
      <c r="B120" t="inlineStr">
        <is>
          <t>Corporate Restaurant Margin ($)</t>
        </is>
      </c>
      <c r="C120" t="inlineStr">
        <is>
          <t>AUDm</t>
        </is>
      </c>
      <c r="G120" t="n">
        <v>-1</v>
      </c>
      <c r="H120" t="n">
        <v>-1.3</v>
      </c>
      <c r="I120" t="n">
        <v>-3.8</v>
      </c>
      <c r="J120" t="n">
        <v>-4.5</v>
      </c>
      <c r="K120">
        <f>K118*K119</f>
        <v/>
      </c>
      <c r="L120">
        <f>L118*L119</f>
        <v/>
      </c>
      <c r="M120">
        <f>M118*M119</f>
        <v/>
      </c>
      <c r="N120">
        <f>N118*N119</f>
        <v/>
      </c>
      <c r="O120">
        <f>O118*O119</f>
        <v/>
      </c>
      <c r="P120">
        <f>P118*P119</f>
        <v/>
      </c>
      <c r="Q120">
        <f>Q118*Q119</f>
        <v/>
      </c>
      <c r="R120">
        <f>R118*R119</f>
        <v/>
      </c>
      <c r="S120">
        <f>S118*S119</f>
        <v/>
      </c>
      <c r="T120">
        <f>T118*T119</f>
        <v/>
      </c>
      <c r="U120">
        <f>U118*U119</f>
        <v/>
      </c>
      <c r="V120">
        <f>V118*V119</f>
        <v/>
      </c>
      <c r="W120">
        <f>W118*W119</f>
        <v/>
      </c>
      <c r="X120">
        <f>X118*X119</f>
        <v/>
      </c>
      <c r="Y120">
        <f>Y118*Y119</f>
        <v/>
      </c>
      <c r="Z120">
        <f>Z118*Z119</f>
        <v/>
      </c>
      <c r="AA120">
        <f>AA118*AA119</f>
        <v/>
      </c>
      <c r="AB120">
        <f>AB118*AB119</f>
        <v/>
      </c>
      <c r="AC120">
        <f>AC118*AC119</f>
        <v/>
      </c>
    </row>
    <row r="121">
      <c r="B121" t="inlineStr">
        <is>
          <t>Franchise &amp; Other Revenue</t>
        </is>
      </c>
      <c r="C121" t="inlineStr">
        <is>
          <t>AUDm</t>
        </is>
      </c>
      <c r="D121" t="n">
        <v>0</v>
      </c>
      <c r="E121" t="n">
        <v>0</v>
      </c>
      <c r="F121" t="n">
        <v>0</v>
      </c>
      <c r="G121" t="n">
        <v>0</v>
      </c>
      <c r="H121" t="n">
        <v>0.1</v>
      </c>
      <c r="I121" t="n">
        <v>0.2</v>
      </c>
      <c r="J121" t="n">
        <v>0.1</v>
      </c>
      <c r="K121">
        <f>J121*1.2</f>
        <v/>
      </c>
      <c r="L121">
        <f>K121*1.2</f>
        <v/>
      </c>
      <c r="M121">
        <f>L121*1.2</f>
        <v/>
      </c>
      <c r="N121">
        <f>M121*1.2</f>
        <v/>
      </c>
      <c r="O121">
        <f>N121*1.2</f>
        <v/>
      </c>
      <c r="P121">
        <f>O121*1.2</f>
        <v/>
      </c>
      <c r="Q121">
        <f>P121*1.2</f>
        <v/>
      </c>
      <c r="R121">
        <f>Q121*1.2</f>
        <v/>
      </c>
      <c r="S121">
        <f>R121*1.2</f>
        <v/>
      </c>
      <c r="T121">
        <f>S121*1.2</f>
        <v/>
      </c>
      <c r="U121">
        <f>T121*1.2</f>
        <v/>
      </c>
      <c r="V121">
        <f>U121*1.2</f>
        <v/>
      </c>
      <c r="W121">
        <f>V121*1.2</f>
        <v/>
      </c>
      <c r="X121">
        <f>W121*1.2</f>
        <v/>
      </c>
      <c r="Y121">
        <f>X121*1.2</f>
        <v/>
      </c>
      <c r="Z121">
        <f>Y121*1.2</f>
        <v/>
      </c>
      <c r="AA121">
        <f>Z121*1.2</f>
        <v/>
      </c>
      <c r="AB121">
        <f>AA121*1.2</f>
        <v/>
      </c>
      <c r="AC121">
        <f>AB121*1.2</f>
        <v/>
      </c>
    </row>
    <row r="122">
      <c r="B122" t="inlineStr">
        <is>
          <t>G&amp;A Costs</t>
        </is>
      </c>
      <c r="C122" t="inlineStr">
        <is>
          <t>AUDm</t>
        </is>
      </c>
      <c r="G122" t="n">
        <v>-5.5</v>
      </c>
      <c r="H122" t="n">
        <v>-3.8</v>
      </c>
      <c r="I122" t="n">
        <v>-4.6</v>
      </c>
      <c r="J122" t="n">
        <v>-4</v>
      </c>
      <c r="K122">
        <f>J122*1.05</f>
        <v/>
      </c>
      <c r="L122">
        <f>J122*1.05</f>
        <v/>
      </c>
      <c r="M122">
        <f>L122*1.05</f>
        <v/>
      </c>
      <c r="N122">
        <f>L122*1.05</f>
        <v/>
      </c>
      <c r="O122">
        <f>N122*1.05</f>
        <v/>
      </c>
      <c r="P122">
        <f>N122*1.05</f>
        <v/>
      </c>
      <c r="Q122">
        <f>P122*1.05</f>
        <v/>
      </c>
      <c r="R122">
        <f>P122*1.05</f>
        <v/>
      </c>
      <c r="S122">
        <f>R122*1.05</f>
        <v/>
      </c>
      <c r="T122">
        <f>R122*1.05</f>
        <v/>
      </c>
      <c r="U122">
        <f>T122*1.05</f>
        <v/>
      </c>
      <c r="V122">
        <f>T122*1.05</f>
        <v/>
      </c>
      <c r="W122">
        <f>V122*1.05</f>
        <v/>
      </c>
      <c r="X122">
        <f>V122*1.05</f>
        <v/>
      </c>
      <c r="Y122">
        <f>X122*1.05</f>
        <v/>
      </c>
      <c r="Z122">
        <f>X122*1.05</f>
        <v/>
      </c>
      <c r="AA122">
        <f>Z122*1.05</f>
        <v/>
      </c>
      <c r="AB122">
        <f>Z122*1.05</f>
        <v/>
      </c>
      <c r="AC122">
        <f>AB122*1.05</f>
        <v/>
      </c>
    </row>
    <row r="123">
      <c r="B123" t="inlineStr">
        <is>
          <t>US Segment EBITDA</t>
        </is>
      </c>
      <c r="C123" t="inlineStr">
        <is>
          <t>AUDm</t>
        </is>
      </c>
      <c r="D123" t="n">
        <v>-2</v>
      </c>
      <c r="E123" t="n">
        <v>-2.3</v>
      </c>
      <c r="F123" t="n">
        <v>-3.1</v>
      </c>
      <c r="G123">
        <f>G120+G121+G122</f>
        <v/>
      </c>
      <c r="H123">
        <f>H120+H121+H122</f>
        <v/>
      </c>
      <c r="I123">
        <f>I120+I121+I122</f>
        <v/>
      </c>
      <c r="J123">
        <f>J120+J121+J122</f>
        <v/>
      </c>
      <c r="K123">
        <f>K120+K121+K122</f>
        <v/>
      </c>
      <c r="L123">
        <f>L120+L121+L122</f>
        <v/>
      </c>
      <c r="M123">
        <f>M120+M121+M122</f>
        <v/>
      </c>
      <c r="N123">
        <f>N120+N121+N122</f>
        <v/>
      </c>
      <c r="O123">
        <f>O120+O121+O122</f>
        <v/>
      </c>
      <c r="P123">
        <f>P120+P121+P122</f>
        <v/>
      </c>
      <c r="Q123">
        <f>Q120+Q121+Q122</f>
        <v/>
      </c>
      <c r="R123">
        <f>R120+R121+R122</f>
        <v/>
      </c>
      <c r="S123">
        <f>S120+S121+S122</f>
        <v/>
      </c>
      <c r="T123">
        <f>T120+T121+T122</f>
        <v/>
      </c>
      <c r="U123">
        <f>U120+U121+U122</f>
        <v/>
      </c>
      <c r="V123">
        <f>V120+V121+V122</f>
        <v/>
      </c>
      <c r="W123">
        <f>W120+W121+W122</f>
        <v/>
      </c>
      <c r="X123">
        <f>X120+X121+X122</f>
        <v/>
      </c>
      <c r="Y123">
        <f>Y120+Y121+Y122</f>
        <v/>
      </c>
      <c r="Z123">
        <f>Z120+Z121+Z122</f>
        <v/>
      </c>
      <c r="AA123">
        <f>AA120+AA121+AA122</f>
        <v/>
      </c>
      <c r="AB123">
        <f>AB120+AB121+AB122</f>
        <v/>
      </c>
      <c r="AC123">
        <f>AC120+AC121+AC122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2026-03-02T02:03:35Z</dcterms:created>
  <dcterms:modified xsi:type="dcterms:W3CDTF">2026-03-15T03:15:01Z</dcterms:modified>
  <cp:lastModifiedBy>Peter Wilson</cp:lastModifiedBy>
</cp:coreProperties>
</file>