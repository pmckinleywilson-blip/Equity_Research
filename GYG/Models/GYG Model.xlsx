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Value" sheetId="1" state="visible" r:id="rId1"/>
    <sheet name="Annual" sheetId="2" state="visible" r:id="rId2"/>
    <sheet name="HY &amp; Segment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#,##0.0"/>
    <numFmt numFmtId="166" formatCode="0.0%"/>
    <numFmt numFmtId="167" formatCode="0.000"/>
    <numFmt numFmtId="168" formatCode="0.0\x"/>
    <numFmt numFmtId="169" formatCode="d/mm/yy"/>
    <numFmt numFmtId="170" formatCode="dd\-mmm\-yy"/>
    <numFmt numFmtId="171" formatCode="DD-MMM-YY"/>
    <numFmt numFmtId="172" formatCode="0.0x"/>
  </numFmts>
  <fonts count="22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1"/>
      <u val="single"/>
    </font>
    <font>
      <name val="Calibri"/>
      <family val="2"/>
      <color rgb="FFC00000"/>
      <sz val="11"/>
    </font>
    <font>
      <name val="Calibri"/>
      <family val="2"/>
      <b val="1"/>
      <sz val="12"/>
    </font>
    <font>
      <name val="Calibri"/>
      <family val="2"/>
      <color rgb="FF0000CC"/>
      <sz val="11"/>
    </font>
    <font>
      <name val="Calibri"/>
      <family val="2"/>
      <b val="1"/>
      <color rgb="FF0000CC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color rgb="FF0000CC"/>
      <sz val="11"/>
    </font>
    <font>
      <name val="Calibri"/>
      <color rgb="FFC00000"/>
      <sz val="11"/>
    </font>
    <font>
      <name val="Calibri"/>
      <color rgb="FF0000CC"/>
      <sz val="11"/>
    </font>
    <font>
      <name val="Calibri"/>
      <color rgb="FF0000CC"/>
      <sz val="11"/>
    </font>
    <font>
      <name val="Calibri"/>
      <family val="2"/>
      <color rgb="FFFF0000"/>
      <sz val="11"/>
      <scheme val="minor"/>
    </font>
    <font>
      <name val="Calibri"/>
      <family val="2"/>
      <sz val="11"/>
    </font>
    <font>
      <b val="1"/>
      <color rgb="00FFFFFF"/>
    </font>
    <font>
      <b val="1"/>
      <sz val="14"/>
    </font>
    <font>
      <b val="1"/>
    </font>
    <font>
      <color rgb="000000CC"/>
    </font>
    <font>
      <color rgb="00C00000"/>
    </font>
  </fonts>
  <fills count="12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C5D9F1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00002060"/>
        <bgColor rgb="00002060"/>
      </patternFill>
    </fill>
    <fill>
      <patternFill patternType="solid">
        <fgColor rgb="000070C0"/>
        <bgColor rgb="000070C0"/>
      </patternFill>
    </fill>
    <fill>
      <patternFill patternType="solid">
        <fgColor rgb="00C5D9F1"/>
        <bgColor rgb="00C5D9F1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0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2" fontId="6" fillId="0" borderId="0" pivotButton="0" quotePrefix="0" xfId="0"/>
    <xf numFmtId="168" fontId="5" fillId="6" borderId="0" pivotButton="0" quotePrefix="0" xfId="0"/>
    <xf numFmtId="168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169" fontId="0" fillId="0" borderId="0" pivotButton="0" quotePrefix="0" xfId="0"/>
    <xf numFmtId="0" fontId="3" fillId="4" borderId="0" pivotButton="0" quotePrefix="0" xfId="0"/>
    <xf numFmtId="165" fontId="7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164" fontId="7" fillId="0" borderId="0" pivotButton="0" quotePrefix="0" xfId="0"/>
    <xf numFmtId="167" fontId="3" fillId="0" borderId="1" pivotButton="0" quotePrefix="0" xfId="0"/>
    <xf numFmtId="167" fontId="7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0" fontId="0" fillId="5" borderId="0" pivotButton="0" quotePrefix="0" xfId="0"/>
    <xf numFmtId="0" fontId="3" fillId="5" borderId="0" pivotButton="0" quotePrefix="0" xfId="0"/>
    <xf numFmtId="3" fontId="0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165" fontId="8" fillId="0" borderId="1" pivotButton="0" quotePrefix="0" xfId="0"/>
    <xf numFmtId="0" fontId="9" fillId="0" borderId="1" pivotButton="0" quotePrefix="0" xfId="0"/>
    <xf numFmtId="165" fontId="9" fillId="0" borderId="1" pivotButton="0" quotePrefix="0" xfId="0"/>
    <xf numFmtId="165" fontId="0" fillId="0" borderId="2" pivotButton="0" quotePrefix="0" xfId="0"/>
    <xf numFmtId="0" fontId="0" fillId="0" borderId="3" pivotButton="0" quotePrefix="0" xfId="0"/>
    <xf numFmtId="165" fontId="0" fillId="0" borderId="3" pivotButton="0" quotePrefix="0" xfId="0"/>
    <xf numFmtId="0" fontId="0" fillId="0" borderId="2" pivotButton="0" quotePrefix="0" xfId="0"/>
    <xf numFmtId="165" fontId="3" fillId="0" borderId="2" pivotButton="0" quotePrefix="0" xfId="0"/>
    <xf numFmtId="165" fontId="10" fillId="0" borderId="0" pivotButton="0" quotePrefix="0" xfId="0"/>
    <xf numFmtId="165" fontId="11" fillId="0" borderId="0" pivotButton="0" quotePrefix="0" xfId="0"/>
    <xf numFmtId="165" fontId="12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6" fontId="5" fillId="0" borderId="3" pivotButton="0" quotePrefix="0" xfId="0"/>
    <xf numFmtId="165" fontId="13" fillId="0" borderId="0" pivotButton="0" quotePrefix="0" xfId="0"/>
    <xf numFmtId="165" fontId="14" fillId="0" borderId="0" pivotButton="0" quotePrefix="0" xfId="0"/>
    <xf numFmtId="164" fontId="5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166" fontId="10" fillId="0" borderId="0" pivotButton="0" quotePrefix="0" xfId="0"/>
    <xf numFmtId="170" fontId="15" fillId="7" borderId="0" pivotButton="0" quotePrefix="0" xfId="0"/>
    <xf numFmtId="2" fontId="0" fillId="0" borderId="0" pivotButton="0" quotePrefix="0" xfId="0"/>
    <xf numFmtId="165" fontId="16" fillId="0" borderId="0" pivotButton="0" quotePrefix="0" xfId="0"/>
    <xf numFmtId="0" fontId="0" fillId="7" borderId="0" applyAlignment="1" pivotButton="0" quotePrefix="0" xfId="0">
      <alignment horizontal="right"/>
    </xf>
    <xf numFmtId="0" fontId="18" fillId="0" borderId="0" pivotButton="0" quotePrefix="0" xfId="0"/>
    <xf numFmtId="0" fontId="17" fillId="8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171" fontId="0" fillId="0" borderId="0" pivotButton="0" quotePrefix="0" xfId="0"/>
    <xf numFmtId="0" fontId="19" fillId="10" borderId="0" pivotButton="0" quotePrefix="0" xfId="0"/>
    <xf numFmtId="165" fontId="20" fillId="0" borderId="0" pivotButton="0" quotePrefix="0" xfId="0"/>
    <xf numFmtId="165" fontId="20" fillId="0" borderId="1" pivotButton="0" quotePrefix="0" xfId="0"/>
    <xf numFmtId="0" fontId="19" fillId="10" borderId="1" pivotButton="0" quotePrefix="0" xfId="0"/>
    <xf numFmtId="165" fontId="20" fillId="5" borderId="0" pivotButton="0" quotePrefix="0" xfId="0"/>
    <xf numFmtId="3" fontId="20" fillId="0" borderId="0" pivotButton="0" quotePrefix="0" xfId="0"/>
    <xf numFmtId="3" fontId="20" fillId="4" borderId="0" pivotButton="0" quotePrefix="0" xfId="0"/>
    <xf numFmtId="166" fontId="20" fillId="0" borderId="0" pivotButton="0" quotePrefix="0" xfId="0"/>
    <xf numFmtId="166" fontId="20" fillId="0" borderId="1" pivotButton="0" quotePrefix="0" xfId="0"/>
    <xf numFmtId="165" fontId="20" fillId="4" borderId="0" pivotButton="0" quotePrefix="0" xfId="0"/>
    <xf numFmtId="3" fontId="20" fillId="5" borderId="0" pivotButton="0" quotePrefix="0" xfId="0"/>
    <xf numFmtId="3" fontId="20" fillId="0" borderId="1" pivotButton="0" quotePrefix="0" xfId="0"/>
    <xf numFmtId="165" fontId="21" fillId="0" borderId="0" pivotButton="0" quotePrefix="0" xfId="0"/>
    <xf numFmtId="166" fontId="21" fillId="11" borderId="0" pivotButton="0" quotePrefix="0" xfId="0"/>
    <xf numFmtId="165" fontId="21" fillId="11" borderId="0" pivotButton="0" quotePrefix="0" xfId="0"/>
    <xf numFmtId="166" fontId="21" fillId="11" borderId="1" pivotButton="0" quotePrefix="0" xfId="0"/>
    <xf numFmtId="3" fontId="21" fillId="11" borderId="0" pivotButton="0" quotePrefix="0" xfId="0"/>
    <xf numFmtId="164" fontId="20" fillId="0" borderId="0" pivotButton="0" quotePrefix="0" xfId="0"/>
    <xf numFmtId="164" fontId="21" fillId="0" borderId="0" pivotButton="0" quotePrefix="0" xfId="0"/>
    <xf numFmtId="165" fontId="21" fillId="0" borderId="1" pivotButton="0" quotePrefix="0" xfId="0"/>
    <xf numFmtId="165" fontId="0" fillId="4" borderId="0" pivotButton="0" quotePrefix="0" xfId="0"/>
    <xf numFmtId="0" fontId="19" fillId="0" borderId="0" applyAlignment="1" pivotButton="0" quotePrefix="0" xfId="0">
      <alignment horizontal="center"/>
    </xf>
    <xf numFmtId="4" fontId="6" fillId="0" borderId="0" pivotButton="0" quotePrefix="0" xfId="0"/>
    <xf numFmtId="168" fontId="21" fillId="6" borderId="0" pivotButton="0" quotePrefix="0" xfId="0"/>
    <xf numFmtId="4" fontId="0" fillId="0" borderId="0" pivotButton="0" quotePrefix="0" xfId="0"/>
    <xf numFmtId="172" fontId="0" fillId="0" borderId="0" pivotButton="0" quotePrefix="0" xfId="0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8"/>
  <sheetViews>
    <sheetView workbookViewId="0">
      <selection activeCell="C7" sqref="C7"/>
    </sheetView>
  </sheetViews>
  <sheetFormatPr baseColWidth="8" defaultRowHeight="14.5"/>
  <cols>
    <col width="3" customWidth="1" min="1" max="1"/>
    <col width="30" customWidth="1" min="2" max="2"/>
    <col width="12" customWidth="1" min="3" max="18"/>
  </cols>
  <sheetData>
    <row r="2" ht="18.5" customHeight="1">
      <c r="B2" s="1" t="inlineStr">
        <is>
          <t>GYG DCF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4">
      <c r="B4" t="inlineStr">
        <is>
          <t>Current Share Price (AUD)</t>
        </is>
      </c>
      <c r="C4" s="44" t="n">
        <v>25</v>
      </c>
    </row>
    <row r="5">
      <c r="B5" t="inlineStr">
        <is>
          <t>Shares Outstanding (#m)</t>
        </is>
      </c>
      <c r="C5" s="3" t="n">
        <v>101</v>
      </c>
    </row>
    <row r="6">
      <c r="B6" t="inlineStr">
        <is>
          <t>Market Cap (AUDm)</t>
        </is>
      </c>
      <c r="C6" s="4">
        <f>C4*C5</f>
        <v/>
      </c>
    </row>
    <row r="7">
      <c r="B7" t="inlineStr">
        <is>
          <t>Net Cash (AUDm)</t>
        </is>
      </c>
      <c r="C7" s="4" t="n">
        <v>281.7</v>
      </c>
    </row>
    <row r="8">
      <c r="B8" t="inlineStr">
        <is>
          <t>Market EV (AUDm)</t>
        </is>
      </c>
      <c r="C8" s="4">
        <f>C6-C7</f>
        <v/>
      </c>
    </row>
    <row r="9">
      <c r="B9" t="inlineStr">
        <is>
          <t>Valuation Date</t>
        </is>
      </c>
      <c r="C9" s="52" t="inlineStr">
        <is>
          <t>2025-12-31</t>
        </is>
      </c>
    </row>
    <row r="11">
      <c r="B11" s="5" t="inlineStr">
        <is>
          <t>WACC Inputs</t>
        </is>
      </c>
    </row>
    <row r="12">
      <c r="B12" t="inlineStr">
        <is>
          <t>Risk-free Rate</t>
        </is>
      </c>
      <c r="C12" s="26" t="n">
        <v>0.04</v>
      </c>
    </row>
    <row r="13">
      <c r="B13" t="inlineStr">
        <is>
          <t>Equity Risk Premium</t>
        </is>
      </c>
      <c r="C13" s="26" t="n">
        <v>0.06</v>
      </c>
    </row>
    <row r="14">
      <c r="B14" t="inlineStr">
        <is>
          <t>Beta</t>
        </is>
      </c>
      <c r="C14" s="44" t="n">
        <v>1</v>
      </c>
    </row>
    <row r="15">
      <c r="B15" t="inlineStr">
        <is>
          <t>Cost of Equity</t>
        </is>
      </c>
      <c r="C15" s="6">
        <f>C12+C14*C13</f>
        <v/>
      </c>
    </row>
    <row r="16">
      <c r="B16" t="inlineStr">
        <is>
          <t>Pre-tax Cost of Debt</t>
        </is>
      </c>
      <c r="C16" s="26" t="n">
        <v>0.06</v>
      </c>
    </row>
    <row r="17">
      <c r="B17" t="inlineStr">
        <is>
          <t>Tax Rate</t>
        </is>
      </c>
      <c r="C17" s="26" t="n">
        <v>0.3</v>
      </c>
    </row>
    <row r="18">
      <c r="B18" t="inlineStr">
        <is>
          <t>After-tax Cost of Debt</t>
        </is>
      </c>
      <c r="C18" s="6">
        <f>C16*(1-C17)</f>
        <v/>
      </c>
    </row>
    <row r="19">
      <c r="B19" s="36" t="inlineStr">
        <is>
          <t>Debt Weight (D/(D+E))</t>
        </is>
      </c>
      <c r="C19" s="45" t="n">
        <v>0</v>
      </c>
    </row>
    <row r="20">
      <c r="B20" t="inlineStr">
        <is>
          <t>WACC</t>
        </is>
      </c>
      <c r="C20" s="6">
        <f>C15*(1-C19)+C18*C19</f>
        <v/>
      </c>
    </row>
    <row r="21">
      <c r="B21" t="inlineStr">
        <is>
          <t>Terminal Growth Rate</t>
        </is>
      </c>
      <c r="C21" s="26" t="n">
        <v>0.03</v>
      </c>
    </row>
    <row r="22">
      <c r="B22" t="inlineStr">
        <is>
          <t>Stub Period</t>
        </is>
      </c>
      <c r="C22" s="53">
        <f>(INDEX(Annual!$D:$P,4,MATCH($D$24,Annual!$D$3:$P$3,0))-C9)/365.25</f>
        <v/>
      </c>
    </row>
    <row r="23">
      <c r="C23" s="9" t="n"/>
    </row>
    <row r="24">
      <c r="B24" s="5" t="inlineStr">
        <is>
          <t>FCF Projection</t>
        </is>
      </c>
      <c r="D24" s="81" t="inlineStr">
        <is>
          <t>FY26E</t>
        </is>
      </c>
      <c r="E24" s="81" t="inlineStr">
        <is>
          <t>FY27E</t>
        </is>
      </c>
      <c r="F24" s="81" t="inlineStr">
        <is>
          <t>FY28E</t>
        </is>
      </c>
      <c r="G24" s="81" t="inlineStr">
        <is>
          <t>FY29E</t>
        </is>
      </c>
      <c r="H24" s="7" t="inlineStr">
        <is>
          <t>FY30E</t>
        </is>
      </c>
      <c r="I24" s="7" t="inlineStr">
        <is>
          <t>FY31E</t>
        </is>
      </c>
      <c r="J24" s="7" t="inlineStr">
        <is>
          <t>FY32E</t>
        </is>
      </c>
      <c r="K24" s="7" t="inlineStr">
        <is>
          <t>FY33E</t>
        </is>
      </c>
      <c r="L24" s="7" t="inlineStr">
        <is>
          <t>FY34E</t>
        </is>
      </c>
      <c r="M24" s="7" t="inlineStr">
        <is>
          <t>FY35E</t>
        </is>
      </c>
    </row>
    <row r="25">
      <c r="B25" t="inlineStr">
        <is>
          <t>EBITDA</t>
        </is>
      </c>
      <c r="C25" t="inlineStr">
        <is>
          <t>AUDm</t>
        </is>
      </c>
      <c r="D25" s="4">
        <f>INDEX('Annual'!H:H,MATCH("EBITDA-Statutory EBITDA",'Annual'!$A:$A,0))</f>
        <v/>
      </c>
      <c r="E25" s="4">
        <f>INDEX('Annual'!I:I,MATCH("EBITDA-Statutory EBITDA",'Annual'!$A:$A,0))</f>
        <v/>
      </c>
      <c r="F25" s="4">
        <f>INDEX('Annual'!J:J,MATCH("EBITDA-Statutory EBITDA",'Annual'!$A:$A,0))</f>
        <v/>
      </c>
      <c r="G25" s="4">
        <f>INDEX('Annual'!K:K,MATCH("EBITDA-Statutory EBITDA",'Annual'!$A:$A,0))</f>
        <v/>
      </c>
      <c r="H25" s="4">
        <f>INDEX(Annual!$D:$P,MATCH("EBITDA-Underlying EBITDA",Annual!$A:$A,0),MATCH(H$24,Annual!$D$3:$P$3,0))</f>
        <v/>
      </c>
      <c r="I25" s="4">
        <f>INDEX(Annual!$D:$P,MATCH("EBITDA-Underlying EBITDA",Annual!$A:$A,0),MATCH(I$24,Annual!$D$3:$P$3,0))</f>
        <v/>
      </c>
      <c r="J25" s="4">
        <f>INDEX(Annual!$D:$P,MATCH("EBITDA-Underlying EBITDA",Annual!$A:$A,0),MATCH(J$24,Annual!$D$3:$P$3,0))</f>
        <v/>
      </c>
      <c r="K25" s="4">
        <f>INDEX(Annual!$D:$P,MATCH("EBITDA-Underlying EBITDA",Annual!$A:$A,0),MATCH(K$24,Annual!$D$3:$P$3,0))</f>
        <v/>
      </c>
      <c r="L25" s="4">
        <f>INDEX(Annual!$D:$P,MATCH("EBITDA-Underlying EBITDA",Annual!$A:$A,0),MATCH(L$24,Annual!$D$3:$P$3,0))</f>
        <v/>
      </c>
      <c r="M25" s="4">
        <f>INDEX(Annual!$D:$P,MATCH("EBITDA-Underlying EBITDA",Annual!$A:$A,0),MATCH(M$24,Annual!$D$3:$P$3,0))</f>
        <v/>
      </c>
    </row>
    <row r="26">
      <c r="B26" t="inlineStr">
        <is>
          <t>less D&amp;A</t>
        </is>
      </c>
      <c r="C26" t="inlineStr">
        <is>
          <t>AUDm</t>
        </is>
      </c>
      <c r="D26" s="4">
        <f>INDEX('Annual'!H:H,MATCH("DA-Total DA",'Annual'!$A:$A,0))</f>
        <v/>
      </c>
      <c r="E26" s="4">
        <f>INDEX('Annual'!I:I,MATCH("DA-Total DA",'Annual'!$A:$A,0))</f>
        <v/>
      </c>
      <c r="F26" s="4">
        <f>INDEX('Annual'!J:J,MATCH("DA-Total DA",'Annual'!$A:$A,0))</f>
        <v/>
      </c>
      <c r="G26" s="4">
        <f>INDEX('Annual'!K:K,MATCH("DA-Total DA",'Annual'!$A:$A,0))</f>
        <v/>
      </c>
      <c r="H26" s="4">
        <f>INDEX(Annual!$D:$P,MATCH("DA-Total DA",Annual!$A:$A,0),MATCH(H$24,Annual!$D$3:$P$3,0))</f>
        <v/>
      </c>
      <c r="I26" s="4">
        <f>INDEX(Annual!$D:$P,MATCH("DA-Total DA",Annual!$A:$A,0),MATCH(I$24,Annual!$D$3:$P$3,0))</f>
        <v/>
      </c>
      <c r="J26" s="4">
        <f>INDEX(Annual!$D:$P,MATCH("DA-Total DA",Annual!$A:$A,0),MATCH(J$24,Annual!$D$3:$P$3,0))</f>
        <v/>
      </c>
      <c r="K26" s="4">
        <f>INDEX(Annual!$D:$P,MATCH("DA-Total DA",Annual!$A:$A,0),MATCH(K$24,Annual!$D$3:$P$3,0))</f>
        <v/>
      </c>
      <c r="L26" s="4">
        <f>INDEX(Annual!$D:$P,MATCH("DA-Total DA",Annual!$A:$A,0),MATCH(L$24,Annual!$D$3:$P$3,0))</f>
        <v/>
      </c>
      <c r="M26" s="4">
        <f>INDEX(Annual!$D:$P,MATCH("DA-Total DA",Annual!$A:$A,0),MATCH(M$24,Annual!$D$3:$P$3,0))</f>
        <v/>
      </c>
    </row>
    <row r="27">
      <c r="B27" t="inlineStr">
        <is>
          <t>EBIT</t>
        </is>
      </c>
      <c r="C27" t="inlineStr">
        <is>
          <t>AUDm</t>
        </is>
      </c>
      <c r="D27" s="4">
        <f>D25+D26</f>
        <v/>
      </c>
      <c r="E27" s="4">
        <f>E25+E26</f>
        <v/>
      </c>
      <c r="F27" s="4">
        <f>F25+F26</f>
        <v/>
      </c>
      <c r="G27" s="4">
        <f>G25+G26</f>
        <v/>
      </c>
      <c r="H27" s="4">
        <f>INDEX(Annual!$D:$P,MATCH("EBIT-Underlying EBIT",Annual!$A:$A,0),MATCH(H$24,Annual!$D$3:$P$3,0))</f>
        <v/>
      </c>
      <c r="I27" s="4">
        <f>INDEX(Annual!$D:$P,MATCH("EBIT-Underlying EBIT",Annual!$A:$A,0),MATCH(I$24,Annual!$D$3:$P$3,0))</f>
        <v/>
      </c>
      <c r="J27" s="4">
        <f>INDEX(Annual!$D:$P,MATCH("EBIT-Underlying EBIT",Annual!$A:$A,0),MATCH(J$24,Annual!$D$3:$P$3,0))</f>
        <v/>
      </c>
      <c r="K27" s="4">
        <f>INDEX(Annual!$D:$P,MATCH("EBIT-Underlying EBIT",Annual!$A:$A,0),MATCH(K$24,Annual!$D$3:$P$3,0))</f>
        <v/>
      </c>
      <c r="L27" s="4">
        <f>INDEX(Annual!$D:$P,MATCH("EBIT-Underlying EBIT",Annual!$A:$A,0),MATCH(L$24,Annual!$D$3:$P$3,0))</f>
        <v/>
      </c>
      <c r="M27" s="4">
        <f>INDEX(Annual!$D:$P,MATCH("EBIT-Underlying EBIT",Annual!$A:$A,0),MATCH(M$24,Annual!$D$3:$P$3,0))</f>
        <v/>
      </c>
    </row>
    <row r="28">
      <c r="B28" t="inlineStr">
        <is>
          <t>less Tax on EBIT</t>
        </is>
      </c>
      <c r="C28" t="inlineStr">
        <is>
          <t>AUDm</t>
        </is>
      </c>
      <c r="D28" s="4">
        <f>-D27*$C$17</f>
        <v/>
      </c>
      <c r="E28" s="4">
        <f>-E27*$C$17</f>
        <v/>
      </c>
      <c r="F28" s="4">
        <f>-F27*$C$17</f>
        <v/>
      </c>
      <c r="G28" s="4">
        <f>-G27*$C$17</f>
        <v/>
      </c>
      <c r="H28" s="4">
        <f>-H27*$C$17</f>
        <v/>
      </c>
      <c r="I28" s="4">
        <f>-I27*$C$17</f>
        <v/>
      </c>
      <c r="J28" s="4">
        <f>-J27*$C$17</f>
        <v/>
      </c>
      <c r="K28" s="4">
        <f>-K27*$C$17</f>
        <v/>
      </c>
      <c r="L28" s="4">
        <f>-L27*$C$17</f>
        <v/>
      </c>
      <c r="M28" s="4">
        <f>-M27*$C$17</f>
        <v/>
      </c>
    </row>
    <row r="29">
      <c r="B29" t="inlineStr">
        <is>
          <t>NOPAT</t>
        </is>
      </c>
      <c r="C29" t="inlineStr">
        <is>
          <t>AUDm</t>
        </is>
      </c>
      <c r="D29" s="4">
        <f>D27+D28</f>
        <v/>
      </c>
      <c r="E29" s="4">
        <f>E27+E28</f>
        <v/>
      </c>
      <c r="F29" s="4">
        <f>F27+F28</f>
        <v/>
      </c>
      <c r="G29" s="4">
        <f>G27+G28</f>
        <v/>
      </c>
      <c r="H29" s="4">
        <f>H27+H28</f>
        <v/>
      </c>
      <c r="I29" s="4">
        <f>I27+I28</f>
        <v/>
      </c>
      <c r="J29" s="4">
        <f>J27+J28</f>
        <v/>
      </c>
      <c r="K29" s="4">
        <f>K27+K28</f>
        <v/>
      </c>
      <c r="L29" s="4">
        <f>L27+L28</f>
        <v/>
      </c>
      <c r="M29" s="4">
        <f>M27+M28</f>
        <v/>
      </c>
    </row>
    <row r="30">
      <c r="B30" t="inlineStr">
        <is>
          <t>plus D&amp;A</t>
        </is>
      </c>
      <c r="C30" t="inlineStr">
        <is>
          <t>AUDm</t>
        </is>
      </c>
      <c r="D30" s="4">
        <f>-D26</f>
        <v/>
      </c>
      <c r="E30" s="4">
        <f>-E26</f>
        <v/>
      </c>
      <c r="F30" s="4">
        <f>-F26</f>
        <v/>
      </c>
      <c r="G30" s="4">
        <f>-G26</f>
        <v/>
      </c>
      <c r="H30" s="4">
        <f>-H26</f>
        <v/>
      </c>
      <c r="I30" s="4">
        <f>-I26</f>
        <v/>
      </c>
      <c r="J30" s="4">
        <f>-J26</f>
        <v/>
      </c>
      <c r="K30" s="4">
        <f>-K26</f>
        <v/>
      </c>
      <c r="L30" s="4">
        <f>-L26</f>
        <v/>
      </c>
      <c r="M30" s="4">
        <f>-M26</f>
        <v/>
      </c>
    </row>
    <row r="31">
      <c r="B31" t="inlineStr">
        <is>
          <t>less Capex</t>
        </is>
      </c>
      <c r="C31" t="inlineStr">
        <is>
          <t>AUDm</t>
        </is>
      </c>
      <c r="D31" s="4">
        <f>INDEX('Annual'!H:H,MATCH("CF-Capex PPE",'Annual'!$A:$A,0))</f>
        <v/>
      </c>
      <c r="E31" s="4">
        <f>INDEX('Annual'!I:I,MATCH("CF-Capex PPE",'Annual'!$A:$A,0))</f>
        <v/>
      </c>
      <c r="F31" s="4">
        <f>INDEX('Annual'!J:J,MATCH("CF-Capex PPE",'Annual'!$A:$A,0))</f>
        <v/>
      </c>
      <c r="G31" s="4">
        <f>INDEX('Annual'!K:K,MATCH("CF-Capex PPE",'Annual'!$A:$A,0))</f>
        <v/>
      </c>
      <c r="H31" s="4">
        <f>INDEX(Annual!$D:$P,MATCH("CF-Capex PPE",Annual!$A:$A,0),MATCH(H$24,Annual!$D$3:$P$3,0))+INDEX(Annual!$D:$P,MATCH("CF-Capex Intang",Annual!$A:$A,0),MATCH(H$24,Annual!$D$3:$P$3,0))</f>
        <v/>
      </c>
      <c r="I31" s="4">
        <f>INDEX(Annual!$D:$P,MATCH("CF-Capex PPE",Annual!$A:$A,0),MATCH(I$24,Annual!$D$3:$P$3,0))+INDEX(Annual!$D:$P,MATCH("CF-Capex Intang",Annual!$A:$A,0),MATCH(I$24,Annual!$D$3:$P$3,0))</f>
        <v/>
      </c>
      <c r="J31" s="4">
        <f>INDEX(Annual!$D:$P,MATCH("CF-Capex PPE",Annual!$A:$A,0),MATCH(J$24,Annual!$D$3:$P$3,0))+INDEX(Annual!$D:$P,MATCH("CF-Capex Intang",Annual!$A:$A,0),MATCH(J$24,Annual!$D$3:$P$3,0))</f>
        <v/>
      </c>
      <c r="K31" s="4">
        <f>INDEX(Annual!$D:$P,MATCH("CF-Capex PPE",Annual!$A:$A,0),MATCH(K$24,Annual!$D$3:$P$3,0))+INDEX(Annual!$D:$P,MATCH("CF-Capex Intang",Annual!$A:$A,0),MATCH(K$24,Annual!$D$3:$P$3,0))</f>
        <v/>
      </c>
      <c r="L31" s="4">
        <f>INDEX(Annual!$D:$P,MATCH("CF-Capex PPE",Annual!$A:$A,0),MATCH(L$24,Annual!$D$3:$P$3,0))+INDEX(Annual!$D:$P,MATCH("CF-Capex Intang",Annual!$A:$A,0),MATCH(L$24,Annual!$D$3:$P$3,0))</f>
        <v/>
      </c>
      <c r="M31" s="4">
        <f>INDEX(Annual!$D:$P,MATCH("CF-Capex PPE",Annual!$A:$A,0),MATCH(M$24,Annual!$D$3:$P$3,0))+INDEX(Annual!$D:$P,MATCH("CF-Capex Intang",Annual!$A:$A,0),MATCH(M$24,Annual!$D$3:$P$3,0))</f>
        <v/>
      </c>
    </row>
    <row r="32">
      <c r="B32" t="inlineStr">
        <is>
          <t>less WC Change</t>
        </is>
      </c>
      <c r="C32" t="inlineStr">
        <is>
          <t>AUDm</t>
        </is>
      </c>
      <c r="D32" s="4" t="n">
        <v>0</v>
      </c>
      <c r="E32" s="4" t="n">
        <v>0</v>
      </c>
      <c r="F32" s="4" t="n">
        <v>0</v>
      </c>
      <c r="G32" s="4" t="n">
        <v>0</v>
      </c>
      <c r="H32" s="4">
        <f>INDEX(Annual!$D:$P,MATCH("CF-WC Change",Annual!$A:$A,0),MATCH(H$24,Annual!$D$3:$P$3,0))</f>
        <v/>
      </c>
      <c r="I32" s="4">
        <f>INDEX(Annual!$D:$P,MATCH("CF-WC Change",Annual!$A:$A,0),MATCH(I$24,Annual!$D$3:$P$3,0))</f>
        <v/>
      </c>
      <c r="J32" s="4">
        <f>INDEX(Annual!$D:$P,MATCH("CF-WC Change",Annual!$A:$A,0),MATCH(J$24,Annual!$D$3:$P$3,0))</f>
        <v/>
      </c>
      <c r="K32" s="4">
        <f>INDEX(Annual!$D:$P,MATCH("CF-WC Change",Annual!$A:$A,0),MATCH(K$24,Annual!$D$3:$P$3,0))</f>
        <v/>
      </c>
      <c r="L32" s="4">
        <f>INDEX(Annual!$D:$P,MATCH("CF-WC Change",Annual!$A:$A,0),MATCH(L$24,Annual!$D$3:$P$3,0))</f>
        <v/>
      </c>
      <c r="M32" s="4">
        <f>INDEX(Annual!$D:$P,MATCH("CF-WC Change",Annual!$A:$A,0),MATCH(M$24,Annual!$D$3:$P$3,0))</f>
        <v/>
      </c>
    </row>
    <row r="33">
      <c r="B33" s="33" t="inlineStr">
        <is>
          <t>FCFF</t>
        </is>
      </c>
      <c r="C33" s="33" t="inlineStr">
        <is>
          <t>AUDm</t>
        </is>
      </c>
      <c r="D33" s="34">
        <f>D29+D30+D31+D32</f>
        <v/>
      </c>
      <c r="E33" s="34">
        <f>E29+E30+E31+E32</f>
        <v/>
      </c>
      <c r="F33" s="34">
        <f>F29+F30+F31+F32</f>
        <v/>
      </c>
      <c r="G33" s="34">
        <f>G29+G30+G31+G32</f>
        <v/>
      </c>
      <c r="H33" s="34">
        <f>H29+H30+H31+H32</f>
        <v/>
      </c>
      <c r="I33" s="34">
        <f>I29+I30+I31+I32</f>
        <v/>
      </c>
      <c r="J33" s="34">
        <f>J29+J30+J31+J32</f>
        <v/>
      </c>
      <c r="K33" s="34">
        <f>K29+K30+K31+K32</f>
        <v/>
      </c>
      <c r="L33" s="34">
        <f>L29+L30+L31+L32</f>
        <v/>
      </c>
      <c r="M33" s="34">
        <f>M29+M30+M31+M32</f>
        <v/>
      </c>
    </row>
    <row r="34" ht="15" customHeight="1" thickBot="1">
      <c r="B34" t="inlineStr">
        <is>
          <t>Normalised FCFF (capex=D&amp;A)</t>
        </is>
      </c>
      <c r="C34" t="inlineStr">
        <is>
          <t>AUDm</t>
        </is>
      </c>
      <c r="D34" s="4">
        <f>D29</f>
        <v/>
      </c>
      <c r="E34" s="4">
        <f>E29</f>
        <v/>
      </c>
      <c r="F34" s="4">
        <f>F29</f>
        <v/>
      </c>
      <c r="G34" s="4">
        <f>G29</f>
        <v/>
      </c>
      <c r="M34" s="35">
        <f>M29+M32</f>
        <v/>
      </c>
    </row>
    <row r="35">
      <c r="B35" s="8" t="inlineStr">
        <is>
          <t>Terminal Value</t>
        </is>
      </c>
      <c r="G35" s="4">
        <f>G34*(1+$C$21)/($C$20-$C$21)</f>
        <v/>
      </c>
      <c r="M35" s="4">
        <f>M34*(1+$C$21)/($C$20-$C$21)</f>
        <v/>
      </c>
    </row>
    <row r="37">
      <c r="B37" t="inlineStr">
        <is>
          <t>Discount Factor</t>
        </is>
      </c>
      <c r="D37" s="9">
        <f>1/(1+$C$20)^0.5</f>
        <v/>
      </c>
      <c r="E37" s="9">
        <f>1/(1+$C$20)^1.5</f>
        <v/>
      </c>
      <c r="F37" s="9">
        <f>1/(1+$C$20)^2.5</f>
        <v/>
      </c>
      <c r="G37" s="9">
        <f>1/(1+$C$20)^3.5</f>
        <v/>
      </c>
      <c r="H37" s="53">
        <f>1/(1+$C$20)^($C$22+4)</f>
        <v/>
      </c>
      <c r="I37" s="53">
        <f>1/(1+$C$20)^($C$22+5)</f>
        <v/>
      </c>
      <c r="J37" s="53">
        <f>1/(1+$C$20)^($C$22+6)</f>
        <v/>
      </c>
      <c r="K37" s="53">
        <f>1/(1+$C$20)^($C$22+7)</f>
        <v/>
      </c>
      <c r="L37" s="53">
        <f>1/(1+$C$20)^($C$22+8)</f>
        <v/>
      </c>
      <c r="M37" s="53">
        <f>1/(1+$C$20)^($C$22+9)</f>
        <v/>
      </c>
    </row>
    <row r="38">
      <c r="B38" s="36" t="inlineStr">
        <is>
          <t>PV of FCFF</t>
        </is>
      </c>
      <c r="C38" s="36" t="n"/>
      <c r="D38" s="37">
        <f>D33*D37</f>
        <v/>
      </c>
      <c r="E38" s="37">
        <f>E33*E37</f>
        <v/>
      </c>
      <c r="F38" s="37">
        <f>F33*F37</f>
        <v/>
      </c>
      <c r="G38" s="37">
        <f>G33*G37</f>
        <v/>
      </c>
      <c r="H38" s="37">
        <f>H33*H37</f>
        <v/>
      </c>
      <c r="I38" s="37">
        <f>I33*I37</f>
        <v/>
      </c>
      <c r="J38" s="37">
        <f>J33*J37</f>
        <v/>
      </c>
      <c r="K38" s="37">
        <f>K33*K37</f>
        <v/>
      </c>
      <c r="L38" s="37">
        <f>L33*L37</f>
        <v/>
      </c>
      <c r="M38" s="37">
        <f>M33*M37</f>
        <v/>
      </c>
    </row>
    <row r="39">
      <c r="B39" t="inlineStr">
        <is>
          <t>PV of Terminal Value</t>
        </is>
      </c>
      <c r="G39" s="4">
        <f>G35*G37</f>
        <v/>
      </c>
      <c r="M39" s="4">
        <f>M35*M37</f>
        <v/>
      </c>
    </row>
    <row r="41">
      <c r="B41" t="inlineStr">
        <is>
          <t>Sum of PV of FCFs</t>
        </is>
      </c>
      <c r="C41" s="4">
        <f>SUM(D38:G38)</f>
        <v/>
      </c>
    </row>
    <row r="42">
      <c r="B42" s="36" t="inlineStr">
        <is>
          <t>PV of Terminal Value</t>
        </is>
      </c>
      <c r="C42" s="37">
        <f>G39</f>
        <v/>
      </c>
    </row>
    <row r="43">
      <c r="B43" t="inlineStr">
        <is>
          <t>Enterprise Value</t>
        </is>
      </c>
      <c r="C43" s="10">
        <f>C41+C42</f>
        <v/>
      </c>
    </row>
    <row r="45">
      <c r="B45" t="inlineStr">
        <is>
          <t>plus Net Cash</t>
        </is>
      </c>
      <c r="C45" s="4">
        <f>INDEX('Annual'!G:G,MATCH("BS-Cash",'Annual'!$A:$A,0))+INDEX('Annual'!G:G,MATCH("BS-Term Deposits",'Annual'!$A:$A,0))</f>
        <v/>
      </c>
    </row>
    <row r="46">
      <c r="B46" t="inlineStr">
        <is>
          <t>less Lease Liabilities</t>
        </is>
      </c>
      <c r="C46" s="4">
        <f>-INDEX('Annual'!G:G,MATCH("BS-Lease Liabilities",'Annual'!$A:$A,0))</f>
        <v/>
      </c>
    </row>
    <row r="47" ht="15" customHeight="1" thickBot="1">
      <c r="B47" s="38" t="inlineStr">
        <is>
          <t>Equity Value</t>
        </is>
      </c>
      <c r="C47" s="39">
        <f>C43+C45-C46</f>
        <v/>
      </c>
    </row>
    <row r="48" ht="15.5" customHeight="1">
      <c r="B48" t="inlineStr">
        <is>
          <t>Per Share Value (AUD)</t>
        </is>
      </c>
      <c r="C48" s="82">
        <f>C47/C5</f>
        <v/>
      </c>
    </row>
    <row r="49">
      <c r="B49" t="inlineStr">
        <is>
          <t>Upside / Downside</t>
        </is>
      </c>
      <c r="C49" s="6">
        <f>C48/C4-1</f>
        <v/>
      </c>
    </row>
    <row r="52" ht="18.5" customHeight="1">
      <c r="B52" s="1" t="inlineStr">
        <is>
          <t>EV/EBITDA SOTP</t>
        </is>
      </c>
      <c r="C52" s="2" t="n"/>
      <c r="D52" s="2" t="n"/>
      <c r="E52" s="2" t="n"/>
      <c r="F52" s="2" t="n"/>
      <c r="G52" s="2" t="n"/>
      <c r="H52" s="2" t="n"/>
      <c r="I52" s="2" t="n"/>
    </row>
    <row r="54">
      <c r="B54" t="inlineStr">
        <is>
          <t>Select FY:</t>
        </is>
      </c>
      <c r="C54" s="55" t="inlineStr">
        <is>
          <t>FY27E</t>
        </is>
      </c>
    </row>
    <row r="56">
      <c r="B56" s="8" t="inlineStr">
        <is>
          <t>Segment</t>
        </is>
      </c>
      <c r="C56" s="8" t="inlineStr">
        <is>
          <t>FY27E EBITDA</t>
        </is>
      </c>
      <c r="D56" s="8" t="inlineStr">
        <is>
          <t>Multiple</t>
        </is>
      </c>
      <c r="E56" s="8" t="inlineStr">
        <is>
          <t>EV</t>
        </is>
      </c>
    </row>
    <row r="57">
      <c r="B57" t="inlineStr">
        <is>
          <t>Australia</t>
        </is>
      </c>
      <c r="C57" s="4">
        <f>INDEX('Annual'!I:I,MATCH("EBITDA-Aus Seg EBITDA",'Annual'!$A:$A,0))</f>
        <v/>
      </c>
      <c r="D57" s="83" t="n">
        <v>25</v>
      </c>
      <c r="E57" s="4">
        <f>C57*D57</f>
        <v/>
      </c>
    </row>
    <row r="58">
      <c r="B58" t="inlineStr">
        <is>
          <t>US</t>
        </is>
      </c>
      <c r="C58" s="4">
        <f>INDEX('Annual'!I:I,MATCH("EBITDA-US Seg EBITDA",'Annual'!$A:$A,0))</f>
        <v/>
      </c>
      <c r="D58" s="83" t="n">
        <v>0</v>
      </c>
      <c r="E58" s="4">
        <f>C58*D58</f>
        <v/>
      </c>
    </row>
    <row r="59">
      <c r="B59" t="inlineStr">
        <is>
          <t>Corporate</t>
        </is>
      </c>
      <c r="C59" s="4">
        <f>INDEX(Annual!$D:$P,MATCH("EBITDA-Corporate EBITDA",Annual!$A:$A,0),MATCH($C$54,Annual!$D$3:$P$3,0))</f>
        <v/>
      </c>
      <c r="D59" s="12">
        <f>IF((C57+C58)=0,"",(C57*D57+C58*D58)/(C57+C58))</f>
        <v/>
      </c>
      <c r="E59" s="4">
        <f>C59*D59</f>
        <v/>
      </c>
    </row>
    <row r="61">
      <c r="B61" s="8" t="inlineStr">
        <is>
          <t>Group EV</t>
        </is>
      </c>
      <c r="C61" s="4">
        <f>SUM(E57:E58)</f>
        <v/>
      </c>
      <c r="E61" s="10">
        <f>SUM(E57:E59)</f>
        <v/>
      </c>
    </row>
    <row r="62">
      <c r="B62" t="inlineStr">
        <is>
          <t>less Net Debt</t>
        </is>
      </c>
      <c r="C62" s="4">
        <f>C45</f>
        <v/>
      </c>
      <c r="E62" s="4">
        <f>-C7</f>
        <v/>
      </c>
    </row>
    <row r="63">
      <c r="B63" t="inlineStr">
        <is>
          <t>less Lease Liabilities</t>
        </is>
      </c>
      <c r="C63" s="4">
        <f>-C46</f>
        <v/>
      </c>
      <c r="E63" s="4">
        <f>-INDEX(Annual!$D:$P,MATCH("BS-Lease Liabilities",Annual!$A:$A,0),MATCH($D$24,Annual!$D$3:$P$3,0)-1)</f>
        <v/>
      </c>
    </row>
    <row r="64">
      <c r="B64" t="inlineStr">
        <is>
          <t>Equity Value</t>
        </is>
      </c>
      <c r="C64" s="4">
        <f>C61+C62+C63</f>
        <v/>
      </c>
      <c r="E64" s="10">
        <f>E61+E62+E63</f>
        <v/>
      </c>
    </row>
    <row r="65" ht="15.5" customHeight="1">
      <c r="B65" t="inlineStr">
        <is>
          <t>Per Share Value (AUD)</t>
        </is>
      </c>
      <c r="C65" s="84">
        <f>C64/C5</f>
        <v/>
      </c>
      <c r="E65" s="11">
        <f>E64/C5</f>
        <v/>
      </c>
    </row>
    <row r="66">
      <c r="B66" t="inlineStr">
        <is>
          <t>Upside / Downside</t>
        </is>
      </c>
      <c r="C66" s="6">
        <f>C65/C4-1</f>
        <v/>
      </c>
      <c r="E66" s="6">
        <f>IF(C4=0,"",E65/C4-1)</f>
        <v/>
      </c>
    </row>
    <row r="68">
      <c r="B68" t="inlineStr">
        <is>
          <t>Implied Group EV/EBITDA</t>
        </is>
      </c>
      <c r="C68" s="85">
        <f>C8/INDEX('Annual'!G:G,MATCH("EBITDA-Statutory EBITDA",'Annual'!$A:$A,0))</f>
        <v/>
      </c>
      <c r="E68" s="13">
        <f>IF(INDEX(Annual!$D:$P,MATCH("EBITDA-Underlying EBITDA",Annual!$A:$A,0),MATCH($C$54,Annual!$D$3:$P$3,0))=0,"",E61/INDEX(Annual!$D:$P,MATCH("EBITDA-Underlying EBITDA",Annual!$A:$A,0),MATCH($C$54,Annual!$D$3:$P$3,0)))</f>
        <v/>
      </c>
    </row>
  </sheetData>
  <conditionalFormatting sqref="C49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E6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tabSelected="1" workbookViewId="0">
      <pane xSplit="3" ySplit="4" topLeftCell="D146" activePane="bottomRight" state="frozen"/>
      <selection pane="topRight" activeCell="A1" sqref="A1"/>
      <selection pane="bottomLeft" activeCell="A1" sqref="A1"/>
      <selection pane="bottomRight" activeCell="S165" sqref="S165"/>
    </sheetView>
  </sheetViews>
  <sheetFormatPr baseColWidth="8" defaultRowHeight="14.5"/>
  <cols>
    <col hidden="1" width="28" customWidth="1" min="1" max="1"/>
    <col width="38" customWidth="1" min="2" max="2"/>
    <col width="8" customWidth="1" min="3" max="3"/>
    <col width="14" customWidth="1" min="4" max="18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D1" t="n">
        <v>2022</v>
      </c>
      <c r="E1" t="n">
        <v>2023</v>
      </c>
      <c r="F1" t="n">
        <v>2024</v>
      </c>
      <c r="G1" t="n">
        <v>2025</v>
      </c>
      <c r="H1" t="n">
        <v>2026</v>
      </c>
      <c r="I1" t="n">
        <v>2027</v>
      </c>
      <c r="J1" t="n">
        <v>2028</v>
      </c>
      <c r="K1" t="n">
        <v>2029</v>
      </c>
    </row>
    <row r="2" ht="18.5" customHeight="1">
      <c r="B2" s="56" t="inlineStr">
        <is>
          <t>GYG Model Summary</t>
        </is>
      </c>
      <c r="D2" s="15" t="n"/>
      <c r="E2" s="15" t="n"/>
      <c r="F2" s="15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</row>
    <row r="3">
      <c r="B3" t="inlineStr">
        <is>
          <t>Guzman y Gomez (GYG.AX)</t>
        </is>
      </c>
      <c r="C3" t="inlineStr">
        <is>
          <t>Units</t>
        </is>
      </c>
      <c r="D3" s="57" t="inlineStr">
        <is>
          <t>FY22A</t>
        </is>
      </c>
      <c r="E3" s="57" t="inlineStr">
        <is>
          <t>FY23A</t>
        </is>
      </c>
      <c r="F3" s="57" t="inlineStr">
        <is>
          <t>FY24A</t>
        </is>
      </c>
      <c r="G3" s="57" t="inlineStr">
        <is>
          <t>FY25A</t>
        </is>
      </c>
      <c r="H3" s="58" t="inlineStr">
        <is>
          <t>FY26E</t>
        </is>
      </c>
      <c r="I3" s="58" t="inlineStr">
        <is>
          <t>FY27E</t>
        </is>
      </c>
      <c r="J3" s="58" t="inlineStr">
        <is>
          <t>FY28E</t>
        </is>
      </c>
      <c r="K3" s="58" t="inlineStr">
        <is>
          <t>FY29E</t>
        </is>
      </c>
      <c r="L3" s="7" t="n"/>
      <c r="M3" s="7" t="n"/>
      <c r="N3" s="7" t="n"/>
      <c r="O3" s="7" t="n"/>
      <c r="P3" s="7" t="n"/>
    </row>
    <row r="4">
      <c r="D4" s="59" t="n">
        <v>44742</v>
      </c>
      <c r="E4" s="59" t="n">
        <v>45107</v>
      </c>
      <c r="F4" s="59" t="n">
        <v>45473</v>
      </c>
      <c r="G4" s="59" t="n">
        <v>45838</v>
      </c>
      <c r="H4" s="59" t="n">
        <v>46203</v>
      </c>
      <c r="I4" s="59" t="n">
        <v>46568</v>
      </c>
      <c r="J4" s="59" t="n">
        <v>46934</v>
      </c>
      <c r="K4" s="59" t="n">
        <v>47299</v>
      </c>
      <c r="L4" s="17" t="n"/>
      <c r="M4" s="17" t="n"/>
      <c r="N4" s="17" t="n"/>
      <c r="O4" s="17" t="n"/>
      <c r="P4" s="17" t="n"/>
    </row>
    <row r="5">
      <c r="A5" s="2" t="n"/>
      <c r="B5" s="60" t="inlineStr">
        <is>
          <t>P&amp;L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B6" s="60" t="inlineStr">
        <is>
          <t>Revenue</t>
        </is>
      </c>
    </row>
    <row r="7">
      <c r="A7" t="inlineStr">
        <is>
          <t>Rev-Corp Restaurant Sales</t>
        </is>
      </c>
      <c r="B7" t="inlineStr">
        <is>
          <t>Corporate Restaurant Sales</t>
        </is>
      </c>
      <c r="C7" t="inlineStr">
        <is>
          <t>A$m</t>
        </is>
      </c>
      <c r="D7" s="61" t="n">
        <v>141.7</v>
      </c>
      <c r="E7" s="61" t="n">
        <v>217.934</v>
      </c>
      <c r="F7" s="61" t="n">
        <v>289.711</v>
      </c>
      <c r="G7" s="61" t="n">
        <v>368.591</v>
      </c>
      <c r="H7" s="4">
        <f>INDEX('HY &amp; Segments'!J:J,MATCH("Rev-Corp Restaurant Sales",'HY &amp; Segments'!$A:$A,0))+INDEX('HY &amp; Segments'!K:K,MATCH("Rev-Corp Restaurant Sales",'HY &amp; Segments'!$A:$A,0))</f>
        <v/>
      </c>
      <c r="I7" s="4">
        <f>INDEX('HY &amp; Segments'!L:L,MATCH("Rev-Corp Restaurant Sales",'HY &amp; Segments'!$A:$A,0))+INDEX('HY &amp; Segments'!M:M,MATCH("Rev-Corp Restaurant Sales",'HY &amp; Segments'!$A:$A,0))</f>
        <v/>
      </c>
      <c r="J7" s="4">
        <f>INDEX('HY &amp; Segments'!N:N,MATCH("Rev-Corp Restaurant Sales",'HY &amp; Segments'!$A:$A,0))+INDEX('HY &amp; Segments'!O:O,MATCH("Rev-Corp Restaurant Sales",'HY &amp; Segments'!$A:$A,0))</f>
        <v/>
      </c>
      <c r="K7" s="4">
        <f>INDEX('HY &amp; Segments'!P:P,MATCH("Rev-Corp Restaurant Sales",'HY &amp; Segments'!$A:$A,0))+INDEX('HY &amp; Segments'!Q:Q,MATCH("Rev-Corp Restaurant Sales",'HY &amp; Segments'!$A:$A,0))</f>
        <v/>
      </c>
      <c r="L7" s="4" t="n"/>
      <c r="M7" s="4" t="n"/>
      <c r="N7" s="4" t="n"/>
      <c r="O7" s="4" t="n"/>
      <c r="P7" s="4" t="n"/>
    </row>
    <row r="8">
      <c r="A8" t="inlineStr">
        <is>
          <t>Rev-Franchise Royalty</t>
        </is>
      </c>
      <c r="B8" t="inlineStr">
        <is>
          <t>Franchise Royalty Revenue</t>
        </is>
      </c>
      <c r="C8" t="inlineStr">
        <is>
          <t>A$m</t>
        </is>
      </c>
      <c r="D8" s="61" t="n">
        <v>30.1</v>
      </c>
      <c r="E8" s="61" t="n">
        <v>40.51</v>
      </c>
      <c r="F8" s="61" t="n">
        <v>51.858</v>
      </c>
      <c r="G8" s="61" t="n">
        <v>66.761</v>
      </c>
      <c r="H8" s="4">
        <f>INDEX('HY &amp; Segments'!J:J,MATCH("Rev-Franchise Royalty",'HY &amp; Segments'!$A:$A,0))+INDEX('HY &amp; Segments'!K:K,MATCH("Rev-Franchise Royalty",'HY &amp; Segments'!$A:$A,0))</f>
        <v/>
      </c>
      <c r="I8" s="4">
        <f>INDEX('HY &amp; Segments'!L:L,MATCH("Rev-Franchise Royalty",'HY &amp; Segments'!$A:$A,0))+INDEX('HY &amp; Segments'!M:M,MATCH("Rev-Franchise Royalty",'HY &amp; Segments'!$A:$A,0))</f>
        <v/>
      </c>
      <c r="J8" s="4">
        <f>INDEX('HY &amp; Segments'!N:N,MATCH("Rev-Franchise Royalty",'HY &amp; Segments'!$A:$A,0))+INDEX('HY &amp; Segments'!O:O,MATCH("Rev-Franchise Royalty",'HY &amp; Segments'!$A:$A,0))</f>
        <v/>
      </c>
      <c r="K8" s="4">
        <f>INDEX('HY &amp; Segments'!P:P,MATCH("Rev-Franchise Royalty",'HY &amp; Segments'!$A:$A,0))+INDEX('HY &amp; Segments'!Q:Q,MATCH("Rev-Franchise Royalty",'HY &amp; Segments'!$A:$A,0))</f>
        <v/>
      </c>
      <c r="L8" s="4" t="n"/>
      <c r="M8" s="4" t="n"/>
      <c r="N8" s="4" t="n"/>
      <c r="O8" s="4" t="n"/>
      <c r="P8" s="4" t="n"/>
    </row>
    <row r="9">
      <c r="A9" t="inlineStr">
        <is>
          <t>Rev-Franchise Fee</t>
        </is>
      </c>
      <c r="B9" s="20" t="inlineStr">
        <is>
          <t>Franchise Fee Revenue</t>
        </is>
      </c>
      <c r="C9" s="20" t="inlineStr">
        <is>
          <t>A$m</t>
        </is>
      </c>
      <c r="D9" s="62" t="n">
        <v>0</v>
      </c>
      <c r="E9" s="62" t="n">
        <v>0.6</v>
      </c>
      <c r="F9" s="62" t="n">
        <v>0.645</v>
      </c>
      <c r="G9" s="62" t="n">
        <v>0.63</v>
      </c>
      <c r="H9" s="21">
        <f>INDEX('HY &amp; Segments'!J:J,MATCH("Rev-Franchise Fee",'HY &amp; Segments'!$A:$A,0))+INDEX('HY &amp; Segments'!K:K,MATCH("Rev-Franchise Fee",'HY &amp; Segments'!$A:$A,0))</f>
        <v/>
      </c>
      <c r="I9" s="21">
        <f>INDEX('HY &amp; Segments'!L:L,MATCH("Rev-Franchise Fee",'HY &amp; Segments'!$A:$A,0))+INDEX('HY &amp; Segments'!M:M,MATCH("Rev-Franchise Fee",'HY &amp; Segments'!$A:$A,0))</f>
        <v/>
      </c>
      <c r="J9" s="21">
        <f>INDEX('HY &amp; Segments'!N:N,MATCH("Rev-Franchise Fee",'HY &amp; Segments'!$A:$A,0))+INDEX('HY &amp; Segments'!O:O,MATCH("Rev-Franchise Fee",'HY &amp; Segments'!$A:$A,0))</f>
        <v/>
      </c>
      <c r="K9" s="21">
        <f>INDEX('HY &amp; Segments'!P:P,MATCH("Rev-Franchise Fee",'HY &amp; Segments'!$A:$A,0))+INDEX('HY &amp; Segments'!Q:Q,MATCH("Rev-Franchise Fee",'HY &amp; Segments'!$A:$A,0))</f>
        <v/>
      </c>
      <c r="L9" s="21" t="n"/>
      <c r="M9" s="21" t="n"/>
      <c r="N9" s="21" t="n"/>
      <c r="O9" s="21" t="n"/>
      <c r="P9" s="21" t="n"/>
    </row>
    <row r="10">
      <c r="A10" t="inlineStr">
        <is>
          <t>Rev-Total Revenue</t>
        </is>
      </c>
      <c r="B10" t="inlineStr">
        <is>
          <t>Total Revenue</t>
        </is>
      </c>
      <c r="C10" t="inlineStr">
        <is>
          <t>A$m</t>
        </is>
      </c>
      <c r="D10" s="61" t="n">
        <v>171.8</v>
      </c>
      <c r="E10" s="61" t="n">
        <v>259.044</v>
      </c>
      <c r="F10" s="61" t="n">
        <v>342.214</v>
      </c>
      <c r="G10" s="61" t="n">
        <v>435.982</v>
      </c>
      <c r="H10" s="6">
        <f>H7+H8+H9</f>
        <v/>
      </c>
      <c r="I10" s="6">
        <f>I7+I8+I9</f>
        <v/>
      </c>
      <c r="J10" s="6">
        <f>J7+J8+J9</f>
        <v/>
      </c>
      <c r="K10" s="6">
        <f>K7+K8+K9</f>
        <v/>
      </c>
      <c r="L10" s="6" t="n"/>
      <c r="M10" s="6" t="n"/>
      <c r="N10" s="6" t="n"/>
      <c r="O10" s="6" t="n"/>
      <c r="P10" s="6" t="n"/>
    </row>
    <row r="11">
      <c r="B11" t="inlineStr">
        <is>
          <t>Revenue Growth</t>
        </is>
      </c>
      <c r="C11" t="inlineStr">
        <is>
          <t>% YoY</t>
        </is>
      </c>
      <c r="E11">
        <f>E10/D10-1</f>
        <v/>
      </c>
      <c r="F11">
        <f>F10/E10-1</f>
        <v/>
      </c>
      <c r="G11">
        <f>G10/F10-1</f>
        <v/>
      </c>
      <c r="H11" s="6">
        <f>H10/G10-1</f>
        <v/>
      </c>
      <c r="I11" s="6">
        <f>I10/H10-1</f>
        <v/>
      </c>
      <c r="J11" s="6">
        <f>J10/I10-1</f>
        <v/>
      </c>
      <c r="K11" s="6">
        <f>K10/J10-1</f>
        <v/>
      </c>
    </row>
    <row r="12">
      <c r="B12" s="5" t="n"/>
    </row>
    <row r="13">
      <c r="B13" s="60" t="inlineStr">
        <is>
          <t>Other Revenue and Income</t>
        </is>
      </c>
      <c r="D13" s="19" t="n"/>
      <c r="E13" s="19" t="n"/>
      <c r="F13" s="19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t="inlineStr">
        <is>
          <t>Rev-Marketing Levy</t>
        </is>
      </c>
      <c r="B14" t="inlineStr">
        <is>
          <t>Franchise Marketing Levy Revenue</t>
        </is>
      </c>
      <c r="C14" t="inlineStr">
        <is>
          <t>A$m</t>
        </is>
      </c>
      <c r="D14" s="61" t="n">
        <v>10.3</v>
      </c>
      <c r="E14" s="61" t="n">
        <v>13.3</v>
      </c>
      <c r="F14" s="61" t="n">
        <v>16.382</v>
      </c>
      <c r="G14" s="61" t="n">
        <v>19.688</v>
      </c>
      <c r="H14" s="4">
        <f>H18*0.6</f>
        <v/>
      </c>
      <c r="I14" s="4">
        <f>I18*0.6</f>
        <v/>
      </c>
      <c r="J14" s="4">
        <f>J18*0.6</f>
        <v/>
      </c>
      <c r="K14" s="4">
        <f>K18*0.6</f>
        <v/>
      </c>
      <c r="L14" s="4" t="n"/>
      <c r="M14" s="4" t="n"/>
      <c r="N14" s="4" t="n"/>
      <c r="O14" s="4" t="n"/>
      <c r="P14" s="4" t="n"/>
    </row>
    <row r="15">
      <c r="A15" t="inlineStr">
        <is>
          <t>Rev-Other Franchise Rev</t>
        </is>
      </c>
      <c r="B15" t="inlineStr">
        <is>
          <t>Other Franchise Related Revenue</t>
        </is>
      </c>
      <c r="C15" t="inlineStr">
        <is>
          <t>A$m</t>
        </is>
      </c>
      <c r="D15" s="61" t="n">
        <v>3</v>
      </c>
      <c r="E15" s="61" t="n">
        <v>4.197</v>
      </c>
      <c r="F15" s="61" t="n">
        <v>6.164</v>
      </c>
      <c r="G15" s="61" t="n">
        <v>8.942</v>
      </c>
      <c r="H15" s="4">
        <f>H18-H14-H16-H17</f>
        <v/>
      </c>
      <c r="I15" s="4">
        <f>I18-I14-I16-I17</f>
        <v/>
      </c>
      <c r="J15" s="4">
        <f>J18-J14-J16-J17</f>
        <v/>
      </c>
      <c r="K15" s="4">
        <f>K18-K14-K16-K17</f>
        <v/>
      </c>
      <c r="L15" s="4" t="n"/>
      <c r="M15" s="4" t="n"/>
      <c r="N15" s="4" t="n"/>
      <c r="O15" s="4" t="n"/>
      <c r="P15" s="4" t="n"/>
    </row>
    <row r="16">
      <c r="A16" t="inlineStr">
        <is>
          <t>Rev-Gain on Disposal</t>
        </is>
      </c>
      <c r="B16" s="20" t="inlineStr">
        <is>
          <t>Gain on Disposal of Restaurants</t>
        </is>
      </c>
      <c r="C16" s="20" t="inlineStr">
        <is>
          <t>A$m</t>
        </is>
      </c>
      <c r="D16" s="62" t="n">
        <v>0</v>
      </c>
      <c r="E16" s="62" t="n">
        <v>0</v>
      </c>
      <c r="F16" s="62" t="n">
        <v>0</v>
      </c>
      <c r="G16" s="62" t="n">
        <v>2.97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/>
      <c r="M16" s="21" t="n"/>
      <c r="N16" s="21" t="n"/>
      <c r="O16" s="21" t="n"/>
      <c r="P16" s="21" t="n"/>
    </row>
    <row r="17">
      <c r="A17" t="inlineStr">
        <is>
          <t>Rev-Other Income</t>
        </is>
      </c>
      <c r="B17" t="inlineStr">
        <is>
          <t>Other Income</t>
        </is>
      </c>
      <c r="C17" t="inlineStr">
        <is>
          <t>A$m</t>
        </is>
      </c>
      <c r="D17" s="61" t="n">
        <v>0.6</v>
      </c>
      <c r="E17" s="61" t="n">
        <v>0.228</v>
      </c>
      <c r="F17" s="61" t="n">
        <v>0.228</v>
      </c>
      <c r="G17" s="61" t="n">
        <v>0.424</v>
      </c>
      <c r="H17" s="4" t="n">
        <v>0.5</v>
      </c>
      <c r="I17" s="4" t="n">
        <v>0.5</v>
      </c>
      <c r="J17" s="4" t="n">
        <v>0.5</v>
      </c>
      <c r="K17" s="4" t="n">
        <v>0.5</v>
      </c>
    </row>
    <row r="18">
      <c r="A18" t="inlineStr">
        <is>
          <t>Rev-Total Other Rev</t>
        </is>
      </c>
      <c r="B18" s="5" t="inlineStr">
        <is>
          <t>Total Other Revenue and Income</t>
        </is>
      </c>
      <c r="C18" t="inlineStr">
        <is>
          <t>A$m</t>
        </is>
      </c>
      <c r="D18" s="61" t="n">
        <v>13.9</v>
      </c>
      <c r="E18" s="61" t="n">
        <v>17.725</v>
      </c>
      <c r="F18" s="61" t="n">
        <v>22.774</v>
      </c>
      <c r="G18" s="61" t="n">
        <v>32.024</v>
      </c>
      <c r="H18" s="4">
        <f>INDEX('HY &amp; Segments'!J:J,MATCH("Rev-Total Other Rev",'HY &amp; Segments'!$A:$A,0))+INDEX('HY &amp; Segments'!K:K,MATCH("Rev-Total Other Rev",'HY &amp; Segments'!$A:$A,0))</f>
        <v/>
      </c>
      <c r="I18" s="4">
        <f>INDEX('HY &amp; Segments'!L:L,MATCH("Rev-Total Other Rev",'HY &amp; Segments'!$A:$A,0))+INDEX('HY &amp; Segments'!M:M,MATCH("Rev-Total Other Rev",'HY &amp; Segments'!$A:$A,0))</f>
        <v/>
      </c>
      <c r="J18" s="4">
        <f>INDEX('HY &amp; Segments'!N:N,MATCH("Rev-Total Other Rev",'HY &amp; Segments'!$A:$A,0))+INDEX('HY &amp; Segments'!O:O,MATCH("Rev-Total Other Rev",'HY &amp; Segments'!$A:$A,0))</f>
        <v/>
      </c>
      <c r="K18" s="4">
        <f>INDEX('HY &amp; Segments'!P:P,MATCH("Rev-Total Other Rev",'HY &amp; Segments'!$A:$A,0))+INDEX('HY &amp; Segments'!Q:Q,MATCH("Rev-Total Other Rev",'HY &amp; Segments'!$A:$A,0))</f>
        <v/>
      </c>
    </row>
    <row r="19"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B20" s="60" t="inlineStr">
        <is>
          <t>Expenses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t="inlineStr">
        <is>
          <t>COGS-Food Packaging</t>
        </is>
      </c>
      <c r="B21" t="inlineStr">
        <is>
          <t>Cost of Food and Packaging</t>
        </is>
      </c>
      <c r="C21" t="inlineStr">
        <is>
          <t>A$m</t>
        </is>
      </c>
      <c r="D21" s="61" t="n">
        <v>-44.2</v>
      </c>
      <c r="E21" s="61" t="n">
        <v>-70.428</v>
      </c>
      <c r="F21" s="61" t="n">
        <v>-87.58</v>
      </c>
      <c r="G21" s="61" t="n">
        <v>-113.948</v>
      </c>
      <c r="H21" s="4">
        <f>INDEX('HY &amp; Segments'!J:J,MATCH("COGS-Food Packaging",'HY &amp; Segments'!$A:$A,0))+INDEX('HY &amp; Segments'!K:K,MATCH("COGS-Food Packaging",'HY &amp; Segments'!$A:$A,0))</f>
        <v/>
      </c>
      <c r="I21" s="4">
        <f>INDEX('HY &amp; Segments'!L:L,MATCH("COGS-Food Packaging",'HY &amp; Segments'!$A:$A,0))+INDEX('HY &amp; Segments'!M:M,MATCH("COGS-Food Packaging",'HY &amp; Segments'!$A:$A,0))</f>
        <v/>
      </c>
      <c r="J21" s="4">
        <f>INDEX('HY &amp; Segments'!N:N,MATCH("COGS-Food Packaging",'HY &amp; Segments'!$A:$A,0))+INDEX('HY &amp; Segments'!O:O,MATCH("COGS-Food Packaging",'HY &amp; Segments'!$A:$A,0))</f>
        <v/>
      </c>
      <c r="K21" s="4">
        <f>INDEX('HY &amp; Segments'!P:P,MATCH("COGS-Food Packaging",'HY &amp; Segments'!$A:$A,0))+INDEX('HY &amp; Segments'!Q:Q,MATCH("COGS-Food Packaging",'HY &amp; Segments'!$A:$A,0))</f>
        <v/>
      </c>
      <c r="L21" s="4" t="n"/>
      <c r="M21" s="4" t="n"/>
      <c r="N21" s="4" t="n"/>
      <c r="O21" s="4" t="n"/>
      <c r="P21" s="4" t="n"/>
    </row>
    <row r="22">
      <c r="A22" t="inlineStr">
        <is>
          <t>OPEX-Employee Benefits</t>
        </is>
      </c>
      <c r="B22" s="20" t="inlineStr">
        <is>
          <t>Employee Benefit Expenses</t>
        </is>
      </c>
      <c r="C22" s="20" t="inlineStr">
        <is>
          <t>A$m</t>
        </is>
      </c>
      <c r="D22" s="62" t="n">
        <v>-71.90000000000001</v>
      </c>
      <c r="E22" s="62" t="n">
        <v>-113.725</v>
      </c>
      <c r="F22" s="62" t="n">
        <v>-153.733</v>
      </c>
      <c r="G22" s="62" t="n">
        <v>-184.656</v>
      </c>
      <c r="H22" s="21">
        <f>INDEX('HY &amp; Segments'!J:J,MATCH("OPEX-Employee Benefits",'HY &amp; Segments'!$A:$A,0))+INDEX('HY &amp; Segments'!K:K,MATCH("OPEX-Employee Benefits",'HY &amp; Segments'!$A:$A,0))</f>
        <v/>
      </c>
      <c r="I22" s="21">
        <f>INDEX('HY &amp; Segments'!L:L,MATCH("OPEX-Employee Benefits",'HY &amp; Segments'!$A:$A,0))+INDEX('HY &amp; Segments'!M:M,MATCH("OPEX-Employee Benefits",'HY &amp; Segments'!$A:$A,0))</f>
        <v/>
      </c>
      <c r="J22" s="21">
        <f>INDEX('HY &amp; Segments'!N:N,MATCH("OPEX-Employee Benefits",'HY &amp; Segments'!$A:$A,0))+INDEX('HY &amp; Segments'!O:O,MATCH("OPEX-Employee Benefits",'HY &amp; Segments'!$A:$A,0))</f>
        <v/>
      </c>
      <c r="K22" s="21">
        <f>INDEX('HY &amp; Segments'!P:P,MATCH("OPEX-Employee Benefits",'HY &amp; Segments'!$A:$A,0))+INDEX('HY &amp; Segments'!Q:Q,MATCH("OPEX-Employee Benefits",'HY &amp; Segments'!$A:$A,0))</f>
        <v/>
      </c>
      <c r="L22" s="21" t="n"/>
      <c r="M22" s="21" t="n"/>
      <c r="N22" s="21" t="n"/>
      <c r="O22" s="21" t="n"/>
      <c r="P22" s="21" t="n"/>
    </row>
    <row r="23">
      <c r="A23" t="inlineStr">
        <is>
          <t>OPEX-Admin</t>
        </is>
      </c>
      <c r="B23" t="inlineStr">
        <is>
          <t>Administrative Expenses</t>
        </is>
      </c>
      <c r="C23" t="inlineStr">
        <is>
          <t>A$m</t>
        </is>
      </c>
      <c r="D23" s="61" t="n">
        <v>-24.4</v>
      </c>
      <c r="E23" s="61" t="n">
        <v>-35.282</v>
      </c>
      <c r="F23" s="61" t="n">
        <v>-60.595</v>
      </c>
      <c r="G23" s="61" t="n">
        <v>-53.615</v>
      </c>
      <c r="H23" s="6">
        <f>INDEX('HY &amp; Segments'!J:J,MATCH("OPEX-Admin",'HY &amp; Segments'!$A:$A,0))+INDEX('HY &amp; Segments'!K:K,MATCH("OPEX-Admin",'HY &amp; Segments'!$A:$A,0))</f>
        <v/>
      </c>
      <c r="I23" s="6">
        <f>INDEX('HY &amp; Segments'!L:L,MATCH("OPEX-Admin",'HY &amp; Segments'!$A:$A,0))+INDEX('HY &amp; Segments'!M:M,MATCH("OPEX-Admin",'HY &amp; Segments'!$A:$A,0))</f>
        <v/>
      </c>
      <c r="J23" s="6">
        <f>INDEX('HY &amp; Segments'!N:N,MATCH("OPEX-Admin",'HY &amp; Segments'!$A:$A,0))+INDEX('HY &amp; Segments'!O:O,MATCH("OPEX-Admin",'HY &amp; Segments'!$A:$A,0))</f>
        <v/>
      </c>
      <c r="K23" s="6">
        <f>INDEX('HY &amp; Segments'!P:P,MATCH("OPEX-Admin",'HY &amp; Segments'!$A:$A,0))+INDEX('HY &amp; Segments'!Q:Q,MATCH("OPEX-Admin",'HY &amp; Segments'!$A:$A,0))</f>
        <v/>
      </c>
      <c r="L23" s="6" t="n"/>
      <c r="M23" s="6" t="n"/>
      <c r="N23" s="6" t="n"/>
      <c r="O23" s="6" t="n"/>
      <c r="P23" s="6" t="n"/>
    </row>
    <row r="24">
      <c r="A24" t="inlineStr">
        <is>
          <t>OPEX-Marketing</t>
        </is>
      </c>
      <c r="B24" t="inlineStr">
        <is>
          <t>Marketing Expenses</t>
        </is>
      </c>
      <c r="C24" t="inlineStr">
        <is>
          <t>A$m</t>
        </is>
      </c>
      <c r="D24" s="61" t="n">
        <v>-11.3</v>
      </c>
      <c r="E24" s="61" t="n">
        <v>-13.718</v>
      </c>
      <c r="F24" s="61" t="n">
        <v>-17.938</v>
      </c>
      <c r="G24" s="61" t="n">
        <v>-21.287</v>
      </c>
      <c r="H24" s="6">
        <f>INDEX('HY &amp; Segments'!J:J,MATCH("OPEX-Marketing",'HY &amp; Segments'!$A:$A,0))+INDEX('HY &amp; Segments'!K:K,MATCH("OPEX-Marketing",'HY &amp; Segments'!$A:$A,0))</f>
        <v/>
      </c>
      <c r="I24" s="6">
        <f>INDEX('HY &amp; Segments'!L:L,MATCH("OPEX-Marketing",'HY &amp; Segments'!$A:$A,0))+INDEX('HY &amp; Segments'!M:M,MATCH("OPEX-Marketing",'HY &amp; Segments'!$A:$A,0))</f>
        <v/>
      </c>
      <c r="J24" s="6">
        <f>INDEX('HY &amp; Segments'!N:N,MATCH("OPEX-Marketing",'HY &amp; Segments'!$A:$A,0))+INDEX('HY &amp; Segments'!O:O,MATCH("OPEX-Marketing",'HY &amp; Segments'!$A:$A,0))</f>
        <v/>
      </c>
      <c r="K24" s="6">
        <f>INDEX('HY &amp; Segments'!P:P,MATCH("OPEX-Marketing",'HY &amp; Segments'!$A:$A,0))+INDEX('HY &amp; Segments'!Q:Q,MATCH("OPEX-Marketing",'HY &amp; Segments'!$A:$A,0))</f>
        <v/>
      </c>
      <c r="L24" s="6" t="n"/>
      <c r="M24" s="6" t="n"/>
      <c r="N24" s="6" t="n"/>
      <c r="O24" s="6" t="n"/>
      <c r="P24" s="6" t="n"/>
    </row>
    <row r="25">
      <c r="A25" t="inlineStr">
        <is>
          <t>OPEX-Other Expenses</t>
        </is>
      </c>
      <c r="B25" t="inlineStr">
        <is>
          <t>Other Expenses</t>
        </is>
      </c>
      <c r="C25" t="inlineStr">
        <is>
          <t>A$m</t>
        </is>
      </c>
      <c r="D25" s="61" t="n">
        <v>-10</v>
      </c>
      <c r="E25" s="61" t="n">
        <v>-13.995</v>
      </c>
      <c r="F25" s="61" t="n">
        <v>-17.868</v>
      </c>
      <c r="G25" s="61" t="n">
        <v>-29.381</v>
      </c>
      <c r="H25" s="4">
        <f>INDEX('HY &amp; Segments'!J:J,MATCH("OPEX-Other Expenses",'HY &amp; Segments'!$A:$A,0))+INDEX('HY &amp; Segments'!K:K,MATCH("OPEX-Other Expenses",'HY &amp; Segments'!$A:$A,0))</f>
        <v/>
      </c>
      <c r="I25" s="4">
        <f>INDEX('HY &amp; Segments'!L:L,MATCH("OPEX-Other Expenses",'HY &amp; Segments'!$A:$A,0))+INDEX('HY &amp; Segments'!M:M,MATCH("OPEX-Other Expenses",'HY &amp; Segments'!$A:$A,0))</f>
        <v/>
      </c>
      <c r="J25" s="4">
        <f>INDEX('HY &amp; Segments'!N:N,MATCH("OPEX-Other Expenses",'HY &amp; Segments'!$A:$A,0))+INDEX('HY &amp; Segments'!O:O,MATCH("OPEX-Other Expenses",'HY &amp; Segments'!$A:$A,0))</f>
        <v/>
      </c>
      <c r="K25" s="4">
        <f>INDEX('HY &amp; Segments'!P:P,MATCH("OPEX-Other Expenses",'HY &amp; Segments'!$A:$A,0))+INDEX('HY &amp; Segments'!Q:Q,MATCH("OPEX-Other Expenses",'HY &amp; Segments'!$A:$A,0))</f>
        <v/>
      </c>
    </row>
    <row r="26">
      <c r="B26" s="5" t="n"/>
    </row>
    <row r="27">
      <c r="B27" s="60" t="inlineStr">
        <is>
          <t>EBITDA</t>
        </is>
      </c>
      <c r="D27" s="19" t="n"/>
      <c r="E27" s="19" t="n"/>
      <c r="F27" s="19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t="inlineStr">
        <is>
          <t>EBITDA-Statutory EBITDA</t>
        </is>
      </c>
      <c r="B28" t="inlineStr">
        <is>
          <t>Statutory EBITDA</t>
        </is>
      </c>
      <c r="C28" t="inlineStr">
        <is>
          <t>A$m</t>
        </is>
      </c>
      <c r="D28" s="61" t="n">
        <v>23.9</v>
      </c>
      <c r="E28" s="61" t="n">
        <v>29.621</v>
      </c>
      <c r="F28" s="61" t="n">
        <v>27.274</v>
      </c>
      <c r="G28" s="61" t="n">
        <v>65.119</v>
      </c>
      <c r="H28" s="4">
        <f>H10+H18+H21+H22+H23+H24+H25</f>
        <v/>
      </c>
      <c r="I28" s="4">
        <f>I10+I18+I21+I22+I23+I24+I25</f>
        <v/>
      </c>
      <c r="J28" s="4">
        <f>J10+J18+J21+J22+J23+J24+J25</f>
        <v/>
      </c>
      <c r="K28" s="4">
        <f>K10+K18+K21+K22+K23+K24+K25</f>
        <v/>
      </c>
      <c r="L28" s="4" t="n"/>
      <c r="M28" s="4" t="n"/>
      <c r="N28" s="4" t="n"/>
      <c r="O28" s="4" t="n"/>
      <c r="P28" s="4" t="n"/>
    </row>
    <row r="29">
      <c r="B29" t="inlineStr">
        <is>
          <t>EBITDA Growth</t>
        </is>
      </c>
      <c r="C29" t="inlineStr">
        <is>
          <t>% YoY</t>
        </is>
      </c>
      <c r="D29" s="19" t="n"/>
      <c r="E29" s="19">
        <f>E28/D28-1</f>
        <v/>
      </c>
      <c r="F29" s="19">
        <f>F28/E28-1</f>
        <v/>
      </c>
      <c r="G29" s="4">
        <f>G28/F28-1</f>
        <v/>
      </c>
      <c r="H29" s="4">
        <f>H28/G28-1</f>
        <v/>
      </c>
      <c r="I29" s="4">
        <f>I28/H28-1</f>
        <v/>
      </c>
      <c r="J29" s="4">
        <f>J28/I28-1</f>
        <v/>
      </c>
      <c r="K29" s="4">
        <f>K28/J28-1</f>
        <v/>
      </c>
      <c r="L29" s="4" t="n"/>
      <c r="M29" s="4" t="n"/>
      <c r="N29" s="4" t="n"/>
      <c r="O29" s="4" t="n"/>
      <c r="P29" s="4" t="n"/>
    </row>
    <row r="30">
      <c r="B30" t="inlineStr">
        <is>
          <t>EBITDA Margin</t>
        </is>
      </c>
      <c r="C30" t="inlineStr">
        <is>
          <t>%</t>
        </is>
      </c>
      <c r="D30" s="19" t="n"/>
      <c r="E30" s="19">
        <f>E28/E10</f>
        <v/>
      </c>
      <c r="F30" s="19">
        <f>F28/F10</f>
        <v/>
      </c>
      <c r="G30" s="4">
        <f>G28/G10</f>
        <v/>
      </c>
      <c r="H30" s="4">
        <f>H28/H10</f>
        <v/>
      </c>
      <c r="I30" s="4">
        <f>I28/I10</f>
        <v/>
      </c>
      <c r="J30" s="4">
        <f>J28/J10</f>
        <v/>
      </c>
      <c r="K30" s="4">
        <f>K28/K10</f>
        <v/>
      </c>
      <c r="L30" s="4" t="n"/>
      <c r="M30" s="4" t="n"/>
      <c r="N30" s="4" t="n"/>
      <c r="O30" s="4" t="n"/>
      <c r="P30" s="4" t="n"/>
    </row>
    <row r="31">
      <c r="B31" s="20" t="n"/>
      <c r="C31" s="20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</row>
    <row r="32">
      <c r="B32" s="60" t="inlineStr">
        <is>
          <t>Segment Underlying EBITDA</t>
        </is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t="inlineStr">
        <is>
          <t>EBITDA-Aus Seg EBITDA</t>
        </is>
      </c>
      <c r="B33" t="inlineStr">
        <is>
          <t>Australia Segment Underlying EBITDA</t>
        </is>
      </c>
      <c r="C33" t="inlineStr">
        <is>
          <t>A$m</t>
        </is>
      </c>
      <c r="D33" s="61" t="n">
        <v>18.3</v>
      </c>
      <c r="E33" s="61" t="n">
        <v>33.306</v>
      </c>
      <c r="F33" s="61" t="n">
        <v>47.536</v>
      </c>
      <c r="G33" s="61" t="n">
        <v>66.029</v>
      </c>
      <c r="H33" s="4">
        <f>INDEX('HY &amp; Segments'!J:J,MATCH("Seg-Aus Seg EBITDA",'HY &amp; Segments'!$A:$A,0))+INDEX('HY &amp; Segments'!K:K,MATCH("Seg-Aus Seg EBITDA",'HY &amp; Segments'!$A:$A,0))</f>
        <v/>
      </c>
      <c r="I33" s="4">
        <f>INDEX('HY &amp; Segments'!L:L,MATCH("Seg-Aus Seg EBITDA",'HY &amp; Segments'!$A:$A,0))+INDEX('HY &amp; Segments'!M:M,MATCH("Seg-Aus Seg EBITDA",'HY &amp; Segments'!$A:$A,0))</f>
        <v/>
      </c>
      <c r="J33" s="4">
        <f>INDEX('HY &amp; Segments'!N:N,MATCH("Seg-Aus Seg EBITDA",'HY &amp; Segments'!$A:$A,0))+INDEX('HY &amp; Segments'!O:O,MATCH("Seg-Aus Seg EBITDA",'HY &amp; Segments'!$A:$A,0))</f>
        <v/>
      </c>
      <c r="K33" s="4">
        <f>INDEX('HY &amp; Segments'!P:P,MATCH("Seg-Aus Seg EBITDA",'HY &amp; Segments'!$A:$A,0))+INDEX('HY &amp; Segments'!Q:Q,MATCH("Seg-Aus Seg EBITDA",'HY &amp; Segments'!$A:$A,0))</f>
        <v/>
      </c>
    </row>
    <row r="34">
      <c r="A34" t="inlineStr">
        <is>
          <t>EBITDA-US Seg EBITDA</t>
        </is>
      </c>
      <c r="B34" s="5" t="inlineStr">
        <is>
          <t>US Segment Underlying EBITDA</t>
        </is>
      </c>
      <c r="C34" t="inlineStr">
        <is>
          <t>A$m</t>
        </is>
      </c>
      <c r="D34" s="61" t="n">
        <v>-2.9</v>
      </c>
      <c r="E34" s="61" t="n">
        <v>-4.296</v>
      </c>
      <c r="F34" s="61" t="n">
        <v>-6.544</v>
      </c>
      <c r="G34" s="61" t="n">
        <v>-13.223</v>
      </c>
      <c r="H34" s="4">
        <f>INDEX('HY &amp; Segments'!J:J,MATCH("Seg-US Seg EBITDA",'HY &amp; Segments'!$A:$A,0))+INDEX('HY &amp; Segments'!K:K,MATCH("Seg-US Seg EBITDA",'HY &amp; Segments'!$A:$A,0))</f>
        <v/>
      </c>
      <c r="I34" s="4">
        <f>INDEX('HY &amp; Segments'!L:L,MATCH("Seg-US Seg EBITDA",'HY &amp; Segments'!$A:$A,0))+INDEX('HY &amp; Segments'!M:M,MATCH("Seg-US Seg EBITDA",'HY &amp; Segments'!$A:$A,0))</f>
        <v/>
      </c>
      <c r="J34" s="4">
        <f>INDEX('HY &amp; Segments'!N:N,MATCH("Seg-US Seg EBITDA",'HY &amp; Segments'!$A:$A,0))+INDEX('HY &amp; Segments'!O:O,MATCH("Seg-US Seg EBITDA",'HY &amp; Segments'!$A:$A,0))</f>
        <v/>
      </c>
      <c r="K34" s="4">
        <f>INDEX('HY &amp; Segments'!P:P,MATCH("Seg-US Seg EBITDA",'HY &amp; Segments'!$A:$A,0))+INDEX('HY &amp; Segments'!Q:Q,MATCH("Seg-US Seg EBITDA",'HY &amp; Segments'!$A:$A,0))</f>
        <v/>
      </c>
    </row>
    <row r="35">
      <c r="A35" t="inlineStr">
        <is>
          <t>EBITDA-Group Seg EBITDA</t>
        </is>
      </c>
      <c r="B35" t="inlineStr">
        <is>
          <t>Group Segment Underlying EBITDA</t>
        </is>
      </c>
      <c r="C35" t="inlineStr">
        <is>
          <t>A$m</t>
        </is>
      </c>
      <c r="D35" s="61" t="n">
        <v>15.4</v>
      </c>
      <c r="E35" s="61" t="n">
        <v>29.01</v>
      </c>
      <c r="F35" s="61" t="n">
        <v>40.992</v>
      </c>
      <c r="G35" s="61" t="n">
        <v>52.806</v>
      </c>
      <c r="H35" s="4">
        <f>H33+H34</f>
        <v/>
      </c>
      <c r="I35" s="4">
        <f>I33+I34</f>
        <v/>
      </c>
      <c r="J35" s="4">
        <f>J33+J34</f>
        <v/>
      </c>
      <c r="K35" s="4">
        <f>K33+K34</f>
        <v/>
      </c>
      <c r="L35" s="4" t="n"/>
      <c r="M35" s="4" t="n"/>
      <c r="N35" s="4" t="n"/>
      <c r="O35" s="4" t="n"/>
      <c r="P35" s="4" t="n"/>
    </row>
    <row r="36">
      <c r="B36" t="inlineStr">
        <is>
          <t>Seg EBITDA / Global Network Sales</t>
        </is>
      </c>
      <c r="C36" t="inlineStr">
        <is>
          <t>%</t>
        </is>
      </c>
      <c r="D36" s="19" t="n"/>
      <c r="E36" s="31">
        <f>E35/E98</f>
        <v/>
      </c>
      <c r="F36" s="31">
        <f>F35/F98</f>
        <v/>
      </c>
      <c r="G36" s="6">
        <f>G35/G98</f>
        <v/>
      </c>
      <c r="H36" s="4">
        <f>H35/H98</f>
        <v/>
      </c>
      <c r="I36" s="4">
        <f>I35/I98</f>
        <v/>
      </c>
      <c r="J36" s="4">
        <f>J35/J98</f>
        <v/>
      </c>
      <c r="K36" s="4">
        <f>K35/K98</f>
        <v/>
      </c>
      <c r="L36" s="4" t="n"/>
      <c r="M36" s="4" t="n"/>
      <c r="N36" s="4" t="n"/>
      <c r="O36" s="4" t="n"/>
      <c r="P36" s="4" t="n"/>
    </row>
    <row r="37">
      <c r="D37" s="19" t="n"/>
      <c r="E37" s="19" t="n"/>
      <c r="F37" s="19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B38" s="63" t="inlineStr">
        <is>
          <t>Statutory EBITDA Bridge</t>
        </is>
      </c>
      <c r="C38" s="20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</row>
    <row r="39">
      <c r="A39" t="inlineStr">
        <is>
          <t>Stat-SBP</t>
        </is>
      </c>
      <c r="B39" t="inlineStr">
        <is>
          <t>Share-Based Payments</t>
        </is>
      </c>
      <c r="C39" t="inlineStr">
        <is>
          <t>A$m</t>
        </is>
      </c>
      <c r="D39" s="61" t="n">
        <v>-1.3</v>
      </c>
      <c r="E39" s="61" t="n">
        <v>-3.675</v>
      </c>
      <c r="F39" s="61" t="n">
        <v>-11.142</v>
      </c>
      <c r="G39" s="61" t="n">
        <v>-9.018000000000001</v>
      </c>
      <c r="H39" s="6">
        <f>INDEX('HY &amp; Segments'!J:J,MATCH("Seg-SBP",'HY &amp; Segments'!$A:$A,0))+INDEX('HY &amp; Segments'!K:K,MATCH("Seg-SBP",'HY &amp; Segments'!$A:$A,0))</f>
        <v/>
      </c>
      <c r="I39" s="6">
        <f>INDEX('HY &amp; Segments'!L:L,MATCH("Seg-SBP",'HY &amp; Segments'!$A:$A,0))+INDEX('HY &amp; Segments'!M:M,MATCH("Seg-SBP",'HY &amp; Segments'!$A:$A,0))</f>
        <v/>
      </c>
      <c r="J39" s="6">
        <f>INDEX('HY &amp; Segments'!N:N,MATCH("Seg-SBP",'HY &amp; Segments'!$A:$A,0))+INDEX('HY &amp; Segments'!O:O,MATCH("Seg-SBP",'HY &amp; Segments'!$A:$A,0))</f>
        <v/>
      </c>
      <c r="K39" s="6">
        <f>INDEX('HY &amp; Segments'!P:P,MATCH("Seg-SBP",'HY &amp; Segments'!$A:$A,0))+INDEX('HY &amp; Segments'!Q:Q,MATCH("Seg-SBP",'HY &amp; Segments'!$A:$A,0))</f>
        <v/>
      </c>
      <c r="L39" s="6" t="n"/>
      <c r="M39" s="6" t="n"/>
      <c r="N39" s="6" t="n"/>
      <c r="O39" s="6" t="n"/>
      <c r="P39" s="6" t="n"/>
    </row>
    <row r="40">
      <c r="A40" t="inlineStr">
        <is>
          <t>Stat-Other Items</t>
        </is>
      </c>
      <c r="B40" t="inlineStr">
        <is>
          <t>Other Income/(Costs)</t>
        </is>
      </c>
      <c r="C40" t="inlineStr">
        <is>
          <t>A$m</t>
        </is>
      </c>
      <c r="D40" s="61" t="n">
        <v>0.5</v>
      </c>
      <c r="E40" s="61" t="n">
        <v>-6.362</v>
      </c>
      <c r="F40" s="61" t="n">
        <v>-19.66</v>
      </c>
      <c r="G40" s="61" t="n">
        <v>2.858</v>
      </c>
      <c r="H40" s="6">
        <f>INDEX('HY &amp; Segments'!J:J,MATCH("Seg-Other",'HY &amp; Segments'!$A:$A,0))+INDEX('HY &amp; Segments'!K:K,MATCH("Seg-Other",'HY &amp; Segments'!$A:$A,0))</f>
        <v/>
      </c>
      <c r="I40" s="6">
        <f>INDEX('HY &amp; Segments'!L:L,MATCH("Seg-Other",'HY &amp; Segments'!$A:$A,0))+INDEX('HY &amp; Segments'!M:M,MATCH("Seg-Other",'HY &amp; Segments'!$A:$A,0))</f>
        <v/>
      </c>
      <c r="J40" s="6">
        <f>INDEX('HY &amp; Segments'!N:N,MATCH("Seg-Other",'HY &amp; Segments'!$A:$A,0))+INDEX('HY &amp; Segments'!O:O,MATCH("Seg-Other",'HY &amp; Segments'!$A:$A,0))</f>
        <v/>
      </c>
      <c r="K40" s="6">
        <f>INDEX('HY &amp; Segments'!P:P,MATCH("Seg-Other",'HY &amp; Segments'!$A:$A,0))+INDEX('HY &amp; Segments'!Q:Q,MATCH("Seg-Other",'HY &amp; Segments'!$A:$A,0))</f>
        <v/>
      </c>
      <c r="L40" s="6" t="n"/>
      <c r="M40" s="6" t="n"/>
      <c r="N40" s="6" t="n"/>
      <c r="O40" s="6" t="n"/>
      <c r="P40" s="6" t="n"/>
    </row>
    <row r="41">
      <c r="A41" t="inlineStr">
        <is>
          <t>Stat-Cash Rent</t>
        </is>
      </c>
      <c r="B41" t="inlineStr">
        <is>
          <t>Cash Rent Add-back</t>
        </is>
      </c>
      <c r="C41" t="inlineStr">
        <is>
          <t>A$m</t>
        </is>
      </c>
      <c r="D41" s="61" t="n">
        <v>8</v>
      </c>
      <c r="E41" s="61" t="n">
        <v>11.213</v>
      </c>
      <c r="F41" s="61" t="n">
        <v>17.084</v>
      </c>
      <c r="G41" s="61" t="n">
        <v>18.473</v>
      </c>
      <c r="H41" s="4">
        <f>INDEX('HY &amp; Segments'!J:J,MATCH("Seg-Cash Rent",'HY &amp; Segments'!$A:$A,0))+INDEX('HY &amp; Segments'!K:K,MATCH("Seg-Cash Rent",'HY &amp; Segments'!$A:$A,0))</f>
        <v/>
      </c>
      <c r="I41" s="4">
        <f>INDEX('HY &amp; Segments'!L:L,MATCH("Seg-Cash Rent",'HY &amp; Segments'!$A:$A,0))+INDEX('HY &amp; Segments'!M:M,MATCH("Seg-Cash Rent",'HY &amp; Segments'!$A:$A,0))</f>
        <v/>
      </c>
      <c r="J41" s="4">
        <f>INDEX('HY &amp; Segments'!N:N,MATCH("Seg-Cash Rent",'HY &amp; Segments'!$A:$A,0))+INDEX('HY &amp; Segments'!O:O,MATCH("Seg-Cash Rent",'HY &amp; Segments'!$A:$A,0))</f>
        <v/>
      </c>
      <c r="K41" s="4">
        <f>INDEX('HY &amp; Segments'!P:P,MATCH("Seg-Cash Rent",'HY &amp; Segments'!$A:$A,0))+INDEX('HY &amp; Segments'!Q:Q,MATCH("Seg-Cash Rent",'HY &amp; Segments'!$A:$A,0))</f>
        <v/>
      </c>
    </row>
    <row r="42">
      <c r="A42" t="inlineStr">
        <is>
          <t>Stat-Statutory EBITDA Check</t>
        </is>
      </c>
      <c r="B42" s="5" t="inlineStr">
        <is>
          <t>Statutory EBITDA (check)</t>
        </is>
      </c>
      <c r="C42" t="inlineStr">
        <is>
          <t>A$m</t>
        </is>
      </c>
      <c r="H42" s="4">
        <f>H35+H39+H40+H41</f>
        <v/>
      </c>
      <c r="I42" s="4">
        <f>I35+I39+I40+I41</f>
        <v/>
      </c>
      <c r="J42" s="4">
        <f>J35+J39+J40+J41</f>
        <v/>
      </c>
      <c r="K42" s="4">
        <f>K35+K39+K40+K41</f>
        <v/>
      </c>
    </row>
    <row r="43">
      <c r="D43" s="19" t="n"/>
      <c r="E43" s="19" t="n"/>
      <c r="F43" s="19" t="n"/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</row>
    <row r="44">
      <c r="B44" s="60" t="inlineStr">
        <is>
          <t>D&amp;A</t>
        </is>
      </c>
      <c r="D44" s="19" t="n"/>
      <c r="E44" s="19" t="n"/>
      <c r="F44" s="19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t="inlineStr">
        <is>
          <t>DA-ROU Depreciation</t>
        </is>
      </c>
      <c r="B45" s="20" t="inlineStr">
        <is>
          <t>ROU Assets Depreciation</t>
        </is>
      </c>
      <c r="C45" s="20" t="inlineStr">
        <is>
          <t>A$m</t>
        </is>
      </c>
      <c r="D45" s="62" t="n">
        <v>-6.7</v>
      </c>
      <c r="E45" s="62" t="n">
        <v>-10.332</v>
      </c>
      <c r="F45" s="62" t="n">
        <v>-11.247</v>
      </c>
      <c r="G45" s="62" t="n">
        <v>-13.874</v>
      </c>
      <c r="H45" s="21">
        <f>H50*0.35</f>
        <v/>
      </c>
      <c r="I45" s="21">
        <f>I50*0.35</f>
        <v/>
      </c>
      <c r="J45" s="21">
        <f>J50*0.35</f>
        <v/>
      </c>
      <c r="K45" s="21">
        <f>K50*0.35</f>
        <v/>
      </c>
      <c r="L45" s="21" t="n"/>
      <c r="M45" s="21" t="n"/>
      <c r="N45" s="21" t="n"/>
      <c r="O45" s="21" t="n"/>
      <c r="P45" s="21" t="n"/>
    </row>
    <row r="46">
      <c r="A46" t="inlineStr">
        <is>
          <t>DA-PPE Depreciation</t>
        </is>
      </c>
      <c r="B46" t="inlineStr">
        <is>
          <t>PPE Depreciation</t>
        </is>
      </c>
      <c r="C46" t="inlineStr">
        <is>
          <t>A$m</t>
        </is>
      </c>
      <c r="D46" s="61" t="n">
        <v>-5.3</v>
      </c>
      <c r="E46" s="61" t="n">
        <v>-8.4</v>
      </c>
      <c r="F46" s="61" t="n">
        <v>-12.96</v>
      </c>
      <c r="G46" s="61" t="n">
        <v>-19.296</v>
      </c>
      <c r="H46" s="4">
        <f>H50*0.50</f>
        <v/>
      </c>
      <c r="I46" s="4">
        <f>I50*0.50</f>
        <v/>
      </c>
      <c r="J46" s="4">
        <f>J50*0.50</f>
        <v/>
      </c>
      <c r="K46" s="4">
        <f>K50*0.50</f>
        <v/>
      </c>
    </row>
    <row r="47">
      <c r="A47" t="inlineStr">
        <is>
          <t>DA-Amort Reacq Rights</t>
        </is>
      </c>
      <c r="B47" s="5" t="inlineStr">
        <is>
          <t>Amortisation of Reacquired Rights</t>
        </is>
      </c>
      <c r="C47" t="inlineStr">
        <is>
          <t>A$m</t>
        </is>
      </c>
      <c r="D47" s="61" t="n">
        <v>-0.9</v>
      </c>
      <c r="E47" s="61" t="n">
        <v>-2.935</v>
      </c>
      <c r="F47" s="61" t="n">
        <v>-2.935</v>
      </c>
      <c r="G47" s="61" t="n">
        <v>-3.668</v>
      </c>
      <c r="H47" s="4">
        <f>H50*0.10</f>
        <v/>
      </c>
      <c r="I47" s="4">
        <f>I50*0.10</f>
        <v/>
      </c>
      <c r="J47" s="4">
        <f>J50*0.10</f>
        <v/>
      </c>
      <c r="K47" s="4">
        <f>K50*0.10</f>
        <v/>
      </c>
    </row>
    <row r="48">
      <c r="A48" t="inlineStr">
        <is>
          <t>DA-Amort Other</t>
        </is>
      </c>
      <c r="B48" t="inlineStr">
        <is>
          <t>Amortisation of Other Intangibles</t>
        </is>
      </c>
      <c r="C48" t="inlineStr">
        <is>
          <t>A$m</t>
        </is>
      </c>
      <c r="D48" s="61" t="n">
        <v>-1.5</v>
      </c>
      <c r="E48" s="61" t="n">
        <v>-4.1</v>
      </c>
      <c r="F48" s="61" t="n">
        <v>-3.981</v>
      </c>
      <c r="G48" s="61" t="n">
        <v>-2.843</v>
      </c>
      <c r="H48" s="4">
        <f>H50*0.05</f>
        <v/>
      </c>
      <c r="I48" s="4">
        <f>I50*0.05</f>
        <v/>
      </c>
      <c r="J48" s="4">
        <f>J50*0.05</f>
        <v/>
      </c>
      <c r="K48" s="4">
        <f>K50*0.05</f>
        <v/>
      </c>
      <c r="L48" s="4" t="n"/>
      <c r="M48" s="4" t="n"/>
      <c r="N48" s="4" t="n"/>
      <c r="O48" s="4" t="n"/>
      <c r="P48" s="4" t="n"/>
    </row>
    <row r="49">
      <c r="A49" t="inlineStr">
        <is>
          <t>DA-Impairment</t>
        </is>
      </c>
      <c r="B49" t="inlineStr">
        <is>
          <t>Impairment</t>
        </is>
      </c>
      <c r="C49" t="inlineStr">
        <is>
          <t>A$m</t>
        </is>
      </c>
      <c r="D49" s="61" t="n">
        <v>0</v>
      </c>
      <c r="E49" s="61" t="n">
        <v>0</v>
      </c>
      <c r="F49" s="61" t="n">
        <v>0</v>
      </c>
      <c r="G49" s="61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/>
      <c r="M49" s="4" t="n"/>
      <c r="N49" s="4" t="n"/>
      <c r="O49" s="4" t="n"/>
      <c r="P49" s="4" t="n"/>
    </row>
    <row r="50">
      <c r="A50" t="inlineStr">
        <is>
          <t>DA-Total DA</t>
        </is>
      </c>
      <c r="B50" s="20" t="inlineStr">
        <is>
          <t>Total D&amp;A</t>
        </is>
      </c>
      <c r="C50" s="20" t="inlineStr">
        <is>
          <t>A$m</t>
        </is>
      </c>
      <c r="D50" s="62" t="n">
        <v>-14.4</v>
      </c>
      <c r="E50" s="62" t="n">
        <v>-25.555</v>
      </c>
      <c r="F50" s="62" t="n">
        <v>-31.123</v>
      </c>
      <c r="G50" s="62" t="n">
        <v>-39.681</v>
      </c>
      <c r="H50" s="21">
        <f>INDEX('HY &amp; Segments'!J:J,MATCH("DA-Total DA",'HY &amp; Segments'!$A:$A,0))+INDEX('HY &amp; Segments'!K:K,MATCH("DA-Total DA",'HY &amp; Segments'!$A:$A,0))</f>
        <v/>
      </c>
      <c r="I50" s="21">
        <f>INDEX('HY &amp; Segments'!L:L,MATCH("DA-Total DA",'HY &amp; Segments'!$A:$A,0))+INDEX('HY &amp; Segments'!M:M,MATCH("DA-Total DA",'HY &amp; Segments'!$A:$A,0))</f>
        <v/>
      </c>
      <c r="J50" s="21">
        <f>INDEX('HY &amp; Segments'!N:N,MATCH("DA-Total DA",'HY &amp; Segments'!$A:$A,0))+INDEX('HY &amp; Segments'!O:O,MATCH("DA-Total DA",'HY &amp; Segments'!$A:$A,0))</f>
        <v/>
      </c>
      <c r="K50" s="21">
        <f>INDEX('HY &amp; Segments'!P:P,MATCH("DA-Total DA",'HY &amp; Segments'!$A:$A,0))+INDEX('HY &amp; Segments'!Q:Q,MATCH("DA-Total DA",'HY &amp; Segments'!$A:$A,0))</f>
        <v/>
      </c>
      <c r="L50" s="21" t="n"/>
      <c r="M50" s="21" t="n"/>
      <c r="N50" s="21" t="n"/>
      <c r="O50" s="21" t="n"/>
      <c r="P50" s="21" t="n"/>
    </row>
    <row r="51">
      <c r="B51" t="inlineStr">
        <is>
          <t>D&amp;A / Revenue</t>
        </is>
      </c>
      <c r="C51" t="inlineStr">
        <is>
          <t>%</t>
        </is>
      </c>
      <c r="D51" s="6" t="n"/>
      <c r="E51" s="6">
        <f>E50/E10</f>
        <v/>
      </c>
      <c r="F51" s="6">
        <f>F50/F10</f>
        <v/>
      </c>
      <c r="G51" s="6">
        <f>G50/G10</f>
        <v/>
      </c>
      <c r="H51" s="6">
        <f>H50/H10</f>
        <v/>
      </c>
      <c r="I51" s="6">
        <f>I50/I10</f>
        <v/>
      </c>
      <c r="J51" s="6">
        <f>J50/J10</f>
        <v/>
      </c>
      <c r="K51" s="6">
        <f>K50/K10</f>
        <v/>
      </c>
      <c r="L51" s="6" t="n"/>
      <c r="M51" s="6" t="n"/>
      <c r="N51" s="6" t="n"/>
      <c r="O51" s="6" t="n"/>
      <c r="P51" s="6" t="n"/>
    </row>
    <row r="52">
      <c r="B52" s="49" t="n"/>
      <c r="C52" s="49" t="n"/>
      <c r="D52" s="49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</row>
    <row r="53">
      <c r="B53" s="60" t="inlineStr">
        <is>
          <t>EBIT</t>
        </is>
      </c>
    </row>
    <row r="54">
      <c r="A54" t="inlineStr">
        <is>
          <t>EBIT-Operating Profit</t>
        </is>
      </c>
      <c r="B54" s="20" t="inlineStr">
        <is>
          <t>Operating Profit/(Loss)</t>
        </is>
      </c>
      <c r="C54" s="20" t="inlineStr">
        <is>
          <t>A$m</t>
        </is>
      </c>
      <c r="D54" s="62" t="n">
        <v>9.4</v>
      </c>
      <c r="E54" s="62" t="n">
        <v>4.066</v>
      </c>
      <c r="F54" s="62" t="n">
        <v>-3.849</v>
      </c>
      <c r="G54" s="62" t="n">
        <v>25.438</v>
      </c>
      <c r="H54" s="21">
        <f>H28+H50</f>
        <v/>
      </c>
      <c r="I54" s="21">
        <f>I28+I50</f>
        <v/>
      </c>
      <c r="J54" s="21">
        <f>J28+J50</f>
        <v/>
      </c>
      <c r="K54" s="21">
        <f>K28+K50</f>
        <v/>
      </c>
      <c r="L54" s="21" t="n"/>
      <c r="M54" s="21" t="n"/>
      <c r="N54" s="21" t="n"/>
      <c r="O54" s="21" t="n"/>
      <c r="P54" s="21" t="n"/>
    </row>
    <row r="55">
      <c r="B55" t="inlineStr">
        <is>
          <t>EBIT Growth</t>
        </is>
      </c>
      <c r="C55" t="inlineStr">
        <is>
          <t>% YoY</t>
        </is>
      </c>
      <c r="D55" s="6" t="n"/>
      <c r="E55" s="6" t="n"/>
      <c r="F55" s="6" t="n"/>
      <c r="G55" s="6" t="n"/>
      <c r="H55" s="6">
        <f>IF(G54&lt;&gt;0,H54/G54-1,"")</f>
        <v/>
      </c>
      <c r="I55" s="6">
        <f>IF(H54&lt;&gt;0,I54/H54-1,"")</f>
        <v/>
      </c>
      <c r="J55" s="6">
        <f>IF(I54&lt;&gt;0,J54/I54-1,"")</f>
        <v/>
      </c>
      <c r="K55" s="6">
        <f>IF(J54&lt;&gt;0,K54/J54-1,"")</f>
        <v/>
      </c>
      <c r="L55" s="6" t="n"/>
      <c r="M55" s="6" t="n"/>
      <c r="N55" s="6" t="n"/>
      <c r="O55" s="6" t="n"/>
      <c r="P55" s="6" t="n"/>
    </row>
    <row r="56">
      <c r="B56" t="inlineStr">
        <is>
          <t>EBIT Margin</t>
        </is>
      </c>
      <c r="C56" t="inlineStr">
        <is>
          <t>%</t>
        </is>
      </c>
      <c r="D56" s="6" t="n"/>
      <c r="E56" s="6" t="n"/>
      <c r="F56" s="6" t="n"/>
      <c r="G56" s="6" t="n"/>
      <c r="H56" s="6">
        <f>H54/H10</f>
        <v/>
      </c>
      <c r="I56" s="6">
        <f>I54/I10</f>
        <v/>
      </c>
      <c r="J56" s="6">
        <f>J54/J10</f>
        <v/>
      </c>
      <c r="K56" s="6">
        <f>K54/K10</f>
        <v/>
      </c>
      <c r="L56" s="6" t="n"/>
      <c r="M56" s="6" t="n"/>
      <c r="N56" s="6" t="n"/>
      <c r="O56" s="6" t="n"/>
      <c r="P56" s="6" t="n"/>
    </row>
    <row r="58">
      <c r="B58" s="60" t="inlineStr">
        <is>
          <t>Finance Income</t>
        </is>
      </c>
    </row>
    <row r="59">
      <c r="A59" t="inlineStr">
        <is>
          <t>Int-Term Deposit Int</t>
        </is>
      </c>
      <c r="B59" t="inlineStr">
        <is>
          <t>Interest on Term Deposits</t>
        </is>
      </c>
      <c r="C59" t="inlineStr">
        <is>
          <t>A$m</t>
        </is>
      </c>
      <c r="D59" s="61" t="n">
        <v>0.2</v>
      </c>
      <c r="E59" s="61" t="n">
        <v>1</v>
      </c>
      <c r="F59" s="61" t="n">
        <v>1.096</v>
      </c>
      <c r="G59" s="61" t="n">
        <v>12.53</v>
      </c>
      <c r="H59" s="4">
        <f>INDEX('HY &amp; Segments'!J:J,MATCH("Int-Term Deposit Int",'HY &amp; Segments'!$A:$A,0))+INDEX('HY &amp; Segments'!K:K,MATCH("Int-Term Deposit Int",'HY &amp; Segments'!$A:$A,0))</f>
        <v/>
      </c>
      <c r="I59" s="4">
        <f>INDEX('HY &amp; Segments'!L:L,MATCH("Int-Term Deposit Int",'HY &amp; Segments'!$A:$A,0))+INDEX('HY &amp; Segments'!M:M,MATCH("Int-Term Deposit Int",'HY &amp; Segments'!$A:$A,0))</f>
        <v/>
      </c>
      <c r="J59" s="4">
        <f>INDEX('HY &amp; Segments'!N:N,MATCH("Int-Term Deposit Int",'HY &amp; Segments'!$A:$A,0))+INDEX('HY &amp; Segments'!O:O,MATCH("Int-Term Deposit Int",'HY &amp; Segments'!$A:$A,0))</f>
        <v/>
      </c>
      <c r="K59" s="4">
        <f>INDEX('HY &amp; Segments'!P:P,MATCH("Int-Term Deposit Int",'HY &amp; Segments'!$A:$A,0))+INDEX('HY &amp; Segments'!Q:Q,MATCH("Int-Term Deposit Int",'HY &amp; Segments'!$A:$A,0))</f>
        <v/>
      </c>
      <c r="L59" s="4" t="n"/>
      <c r="M59" s="4" t="n"/>
      <c r="N59" s="4" t="n"/>
      <c r="O59" s="4" t="n"/>
      <c r="P59" s="4" t="n"/>
    </row>
    <row r="60">
      <c r="A60" t="inlineStr">
        <is>
          <t>Int-Lease Rec Int</t>
        </is>
      </c>
      <c r="B60" t="inlineStr">
        <is>
          <t>Interest on Lease Receivables</t>
        </is>
      </c>
      <c r="C60" t="inlineStr">
        <is>
          <t>A$m</t>
        </is>
      </c>
      <c r="D60" s="61" t="n">
        <v>3</v>
      </c>
      <c r="E60" s="61" t="n">
        <v>3.63</v>
      </c>
      <c r="F60" s="61" t="n">
        <v>4.841</v>
      </c>
      <c r="G60" s="61" t="n">
        <v>10.042</v>
      </c>
      <c r="H60" s="4">
        <f>INDEX('HY &amp; Segments'!J:J,MATCH("Int-Lease Rec Int",'HY &amp; Segments'!$A:$A,0))+INDEX('HY &amp; Segments'!K:K,MATCH("Int-Lease Rec Int",'HY &amp; Segments'!$A:$A,0))</f>
        <v/>
      </c>
      <c r="I60" s="4">
        <f>INDEX('HY &amp; Segments'!L:L,MATCH("Int-Lease Rec Int",'HY &amp; Segments'!$A:$A,0))+INDEX('HY &amp; Segments'!M:M,MATCH("Int-Lease Rec Int",'HY &amp; Segments'!$A:$A,0))</f>
        <v/>
      </c>
      <c r="J60" s="4">
        <f>INDEX('HY &amp; Segments'!N:N,MATCH("Int-Lease Rec Int",'HY &amp; Segments'!$A:$A,0))+INDEX('HY &amp; Segments'!O:O,MATCH("Int-Lease Rec Int",'HY &amp; Segments'!$A:$A,0))</f>
        <v/>
      </c>
      <c r="K60" s="4">
        <f>INDEX('HY &amp; Segments'!P:P,MATCH("Int-Lease Rec Int",'HY &amp; Segments'!$A:$A,0))+INDEX('HY &amp; Segments'!Q:Q,MATCH("Int-Lease Rec Int",'HY &amp; Segments'!$A:$A,0))</f>
        <v/>
      </c>
      <c r="L60" s="4" t="n"/>
      <c r="M60" s="4" t="n"/>
      <c r="N60" s="4" t="n"/>
      <c r="O60" s="4" t="n"/>
      <c r="P60" s="4" t="n"/>
    </row>
    <row r="61">
      <c r="A61" t="inlineStr">
        <is>
          <t>Int-Other Fin Inc</t>
        </is>
      </c>
      <c r="B61" t="inlineStr">
        <is>
          <t>Other Finance Income</t>
        </is>
      </c>
      <c r="C61" t="inlineStr">
        <is>
          <t>A$m</t>
        </is>
      </c>
      <c r="D61" s="61" t="n">
        <v>0</v>
      </c>
      <c r="E61" s="61" t="n">
        <v>0</v>
      </c>
      <c r="F61" s="61" t="n">
        <v>0.075</v>
      </c>
      <c r="G61" s="61" t="n">
        <v>0.102</v>
      </c>
      <c r="H61" s="4" t="n">
        <v>0</v>
      </c>
      <c r="I61" s="4" t="n">
        <v>0</v>
      </c>
      <c r="J61" s="4" t="n">
        <v>0</v>
      </c>
      <c r="K61" s="4" t="n">
        <v>0</v>
      </c>
      <c r="L61" s="4" t="n"/>
      <c r="M61" s="4" t="n"/>
      <c r="N61" s="4" t="n"/>
      <c r="O61" s="4" t="n"/>
      <c r="P61" s="4" t="n"/>
    </row>
    <row r="62">
      <c r="A62" t="inlineStr">
        <is>
          <t>Int-Total Fin Inc</t>
        </is>
      </c>
      <c r="B62" s="20" t="inlineStr">
        <is>
          <t>Total Finance Income</t>
        </is>
      </c>
      <c r="C62" s="20" t="inlineStr">
        <is>
          <t>A$m</t>
        </is>
      </c>
      <c r="D62" s="62" t="n">
        <v>3.2</v>
      </c>
      <c r="E62" s="62" t="n">
        <v>4.593</v>
      </c>
      <c r="F62" s="62" t="n">
        <v>6.012</v>
      </c>
      <c r="G62" s="62" t="n">
        <v>22.674</v>
      </c>
      <c r="H62" s="21">
        <f>H59+H60+H61</f>
        <v/>
      </c>
      <c r="I62" s="21">
        <f>I59+I60+I61</f>
        <v/>
      </c>
      <c r="J62" s="21">
        <f>J59+J60+J61</f>
        <v/>
      </c>
      <c r="K62" s="21">
        <f>K59+K60+K61</f>
        <v/>
      </c>
      <c r="L62" s="21" t="n"/>
      <c r="M62" s="21" t="n"/>
      <c r="N62" s="21" t="n"/>
      <c r="O62" s="21" t="n"/>
      <c r="P62" s="21" t="n"/>
    </row>
    <row r="63"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B64" s="60" t="inlineStr">
        <is>
          <t>Finance Costs</t>
        </is>
      </c>
      <c r="C64" s="49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</row>
    <row r="65">
      <c r="A65" t="inlineStr">
        <is>
          <t>Int-Lease Liab Int</t>
        </is>
      </c>
      <c r="B65" t="inlineStr">
        <is>
          <t>Interest on Lease Liabilities</t>
        </is>
      </c>
      <c r="C65" t="inlineStr">
        <is>
          <t>A$m</t>
        </is>
      </c>
      <c r="D65" s="61" t="n">
        <v>-5.8</v>
      </c>
      <c r="E65" s="61" t="n">
        <v>-8.199999999999999</v>
      </c>
      <c r="F65" s="61" t="n">
        <v>-13.394</v>
      </c>
      <c r="G65" s="61" t="n">
        <v>-18.771</v>
      </c>
      <c r="H65" s="6">
        <f>INDEX('HY &amp; Segments'!J:J,MATCH("Int-Lease Liab Int",'HY &amp; Segments'!$A:$A,0))+INDEX('HY &amp; Segments'!K:K,MATCH("Int-Lease Liab Int",'HY &amp; Segments'!$A:$A,0))</f>
        <v/>
      </c>
      <c r="I65" s="6">
        <f>INDEX('HY &amp; Segments'!L:L,MATCH("Int-Lease Liab Int",'HY &amp; Segments'!$A:$A,0))+INDEX('HY &amp; Segments'!M:M,MATCH("Int-Lease Liab Int",'HY &amp; Segments'!$A:$A,0))</f>
        <v/>
      </c>
      <c r="J65" s="6">
        <f>INDEX('HY &amp; Segments'!N:N,MATCH("Int-Lease Liab Int",'HY &amp; Segments'!$A:$A,0))+INDEX('HY &amp; Segments'!O:O,MATCH("Int-Lease Liab Int",'HY &amp; Segments'!$A:$A,0))</f>
        <v/>
      </c>
      <c r="K65" s="6">
        <f>INDEX('HY &amp; Segments'!P:P,MATCH("Int-Lease Liab Int",'HY &amp; Segments'!$A:$A,0))+INDEX('HY &amp; Segments'!Q:Q,MATCH("Int-Lease Liab Int",'HY &amp; Segments'!$A:$A,0))</f>
        <v/>
      </c>
      <c r="L65" s="6" t="n"/>
      <c r="M65" s="6" t="n"/>
      <c r="N65" s="6" t="n"/>
      <c r="O65" s="6" t="n"/>
      <c r="P65" s="6" t="n"/>
    </row>
    <row r="66">
      <c r="A66" t="inlineStr">
        <is>
          <t>Int-Other Fin Cost</t>
        </is>
      </c>
      <c r="B66" t="inlineStr">
        <is>
          <t>Other Finance Costs</t>
        </is>
      </c>
      <c r="C66" t="inlineStr">
        <is>
          <t>A$m</t>
        </is>
      </c>
      <c r="D66" s="61" t="n">
        <v>-0.2</v>
      </c>
      <c r="E66" s="61" t="n">
        <v>-0.3</v>
      </c>
      <c r="F66" s="61" t="n">
        <v>-0.33</v>
      </c>
      <c r="G66" s="61" t="n">
        <v>-0.131</v>
      </c>
      <c r="H66" s="6" t="n">
        <v>-0.2</v>
      </c>
      <c r="I66" s="6" t="n">
        <v>-0.2</v>
      </c>
      <c r="J66" s="6" t="n">
        <v>-0.2</v>
      </c>
      <c r="K66" s="6" t="n">
        <v>-0.2</v>
      </c>
      <c r="L66" s="6" t="n"/>
      <c r="M66" s="6" t="n"/>
      <c r="N66" s="6" t="n"/>
      <c r="O66" s="6" t="n"/>
      <c r="P66" s="6" t="n"/>
    </row>
    <row r="67">
      <c r="A67" t="inlineStr">
        <is>
          <t>Int-Total Fin Cost</t>
        </is>
      </c>
      <c r="B67" s="5" t="inlineStr">
        <is>
          <t>Total Finance Costs</t>
        </is>
      </c>
      <c r="C67" t="inlineStr">
        <is>
          <t>A$m</t>
        </is>
      </c>
      <c r="D67" s="61" t="n">
        <v>-6</v>
      </c>
      <c r="E67" s="61" t="n">
        <v>-8.503</v>
      </c>
      <c r="F67" s="61" t="n">
        <v>-13.724</v>
      </c>
      <c r="G67" s="61" t="n">
        <v>-18.902</v>
      </c>
      <c r="H67" s="4">
        <f>H65+H66</f>
        <v/>
      </c>
      <c r="I67" s="4">
        <f>I65+I66</f>
        <v/>
      </c>
      <c r="J67" s="4">
        <f>J65+J66</f>
        <v/>
      </c>
      <c r="K67" s="4">
        <f>K65+K66</f>
        <v/>
      </c>
    </row>
    <row r="68">
      <c r="A68" t="inlineStr">
        <is>
          <t>Int-Net Finance</t>
        </is>
      </c>
      <c r="B68" s="20" t="inlineStr">
        <is>
          <t>Net Finance Income/(Costs)</t>
        </is>
      </c>
      <c r="C68" s="20" t="inlineStr">
        <is>
          <t>A$m</t>
        </is>
      </c>
      <c r="D68" s="62" t="n">
        <v>-2.8</v>
      </c>
      <c r="E68" s="62" t="n">
        <v>-3.91</v>
      </c>
      <c r="F68" s="62" t="n">
        <v>-7.712</v>
      </c>
      <c r="G68" s="62" t="n">
        <v>3.772</v>
      </c>
      <c r="H68" s="21">
        <f>H62+H67</f>
        <v/>
      </c>
      <c r="I68" s="21">
        <f>I62+I67</f>
        <v/>
      </c>
      <c r="J68" s="21">
        <f>J62+J67</f>
        <v/>
      </c>
      <c r="K68" s="21">
        <f>K62+K67</f>
        <v/>
      </c>
      <c r="L68" s="21" t="n"/>
      <c r="M68" s="21" t="n"/>
      <c r="N68" s="21" t="n"/>
      <c r="O68" s="21" t="n"/>
      <c r="P68" s="21" t="n"/>
    </row>
    <row r="69">
      <c r="D69" s="19" t="n"/>
      <c r="E69" s="19" t="n"/>
      <c r="F69" s="19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</row>
    <row r="70">
      <c r="B70" s="60" t="inlineStr">
        <is>
          <t>PBT, Tax, NPAT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t="inlineStr">
        <is>
          <t>PBT-PBT</t>
        </is>
      </c>
      <c r="B71" t="inlineStr">
        <is>
          <t>PBT</t>
        </is>
      </c>
      <c r="C71" t="inlineStr">
        <is>
          <t>A$m</t>
        </is>
      </c>
      <c r="D71" s="61" t="n">
        <v>6.6</v>
      </c>
      <c r="E71" s="61" t="n">
        <v>0.156</v>
      </c>
      <c r="F71" s="61" t="n">
        <v>-11.561</v>
      </c>
      <c r="G71" s="61" t="n">
        <v>29.21</v>
      </c>
      <c r="H71" s="4">
        <f>H54+H68</f>
        <v/>
      </c>
      <c r="I71" s="4">
        <f>I54+I68</f>
        <v/>
      </c>
      <c r="J71" s="4">
        <f>J54+J68</f>
        <v/>
      </c>
      <c r="K71" s="4">
        <f>K54+K68</f>
        <v/>
      </c>
      <c r="L71" s="4" t="n"/>
      <c r="M71" s="4" t="n"/>
      <c r="N71" s="4" t="n"/>
      <c r="O71" s="4" t="n"/>
      <c r="P71" s="4" t="n"/>
    </row>
    <row r="72">
      <c r="A72" t="inlineStr">
        <is>
          <t>Tax-Tax Expense</t>
        </is>
      </c>
      <c r="B72" s="20" t="inlineStr">
        <is>
          <t>Income Tax Expense</t>
        </is>
      </c>
      <c r="C72" s="20" t="inlineStr">
        <is>
          <t>A$m</t>
        </is>
      </c>
      <c r="D72" s="62" t="n">
        <v>-2.7</v>
      </c>
      <c r="E72" s="62" t="n">
        <v>-2.423</v>
      </c>
      <c r="F72" s="62" t="n">
        <v>-2.187</v>
      </c>
      <c r="G72" s="62" t="n">
        <v>-14.734</v>
      </c>
      <c r="H72" s="21">
        <f>INDEX('HY &amp; Segments'!J:J,MATCH("Tax-Tax Expense",'HY &amp; Segments'!$A:$A,0))+INDEX('HY &amp; Segments'!K:K,MATCH("Tax-Tax Expense",'HY &amp; Segments'!$A:$A,0))</f>
        <v/>
      </c>
      <c r="I72" s="21">
        <f>INDEX('HY &amp; Segments'!L:L,MATCH("Tax-Tax Expense",'HY &amp; Segments'!$A:$A,0))+INDEX('HY &amp; Segments'!M:M,MATCH("Tax-Tax Expense",'HY &amp; Segments'!$A:$A,0))</f>
        <v/>
      </c>
      <c r="J72" s="21">
        <f>INDEX('HY &amp; Segments'!N:N,MATCH("Tax-Tax Expense",'HY &amp; Segments'!$A:$A,0))+INDEX('HY &amp; Segments'!O:O,MATCH("Tax-Tax Expense",'HY &amp; Segments'!$A:$A,0))</f>
        <v/>
      </c>
      <c r="K72" s="21">
        <f>INDEX('HY &amp; Segments'!P:P,MATCH("Tax-Tax Expense",'HY &amp; Segments'!$A:$A,0))+INDEX('HY &amp; Segments'!Q:Q,MATCH("Tax-Tax Expense",'HY &amp; Segments'!$A:$A,0))</f>
        <v/>
      </c>
      <c r="L72" s="21" t="n"/>
      <c r="M72" s="21" t="n"/>
      <c r="N72" s="21" t="n"/>
      <c r="O72" s="21" t="n"/>
      <c r="P72" s="21" t="n"/>
    </row>
    <row r="73">
      <c r="B73" t="inlineStr">
        <is>
          <t>Effective Tax Rate</t>
        </is>
      </c>
      <c r="C73" t="inlineStr">
        <is>
          <t>%</t>
        </is>
      </c>
      <c r="D73" s="19" t="n"/>
      <c r="E73" s="19">
        <f>IF(E71&lt;&gt;0,-E72/E71,"")</f>
        <v/>
      </c>
      <c r="F73" s="19">
        <f>IF(F71&lt;&gt;0,-F72/F71,"")</f>
        <v/>
      </c>
      <c r="G73" s="4">
        <f>IF(G71&lt;&gt;0,-G72/G71,"")</f>
        <v/>
      </c>
      <c r="H73" s="4">
        <f>IF(H71&lt;&gt;0,-H72/H71,"")</f>
        <v/>
      </c>
      <c r="I73" s="4">
        <f>IF(I71&lt;&gt;0,-I72/I71,"")</f>
        <v/>
      </c>
      <c r="J73" s="4">
        <f>IF(J71&lt;&gt;0,-J72/J71,"")</f>
        <v/>
      </c>
      <c r="K73" s="4">
        <f>IF(K71&lt;&gt;0,-K72/K71,"")</f>
        <v/>
      </c>
      <c r="L73" s="4" t="n"/>
      <c r="M73" s="4" t="n"/>
      <c r="N73" s="4" t="n"/>
      <c r="O73" s="4" t="n"/>
      <c r="P73" s="4" t="n"/>
    </row>
    <row r="74">
      <c r="A74" t="inlineStr">
        <is>
          <t>NPAT-NPAT</t>
        </is>
      </c>
      <c r="B74" s="20" t="inlineStr">
        <is>
          <t>NPAT</t>
        </is>
      </c>
      <c r="C74" s="20" t="inlineStr">
        <is>
          <t>A$m</t>
        </is>
      </c>
      <c r="D74" s="62" t="n">
        <v>3.9</v>
      </c>
      <c r="E74" s="62" t="n">
        <v>-2.267</v>
      </c>
      <c r="F74" s="62" t="n">
        <v>-13.748</v>
      </c>
      <c r="G74" s="62" t="n">
        <v>14.476</v>
      </c>
      <c r="H74" s="21">
        <f>H71+H72</f>
        <v/>
      </c>
      <c r="I74" s="21">
        <f>I71+I72</f>
        <v/>
      </c>
      <c r="J74" s="21">
        <f>J71+J72</f>
        <v/>
      </c>
      <c r="K74" s="21">
        <f>K71+K72</f>
        <v/>
      </c>
      <c r="L74" s="21" t="n"/>
      <c r="M74" s="21" t="n"/>
      <c r="N74" s="21" t="n"/>
      <c r="O74" s="21" t="n"/>
      <c r="P74" s="21" t="n"/>
    </row>
    <row r="75">
      <c r="B75" t="inlineStr">
        <is>
          <t>NPAT Growth</t>
        </is>
      </c>
      <c r="C75" t="inlineStr">
        <is>
          <t>% YoY</t>
        </is>
      </c>
      <c r="D75" s="6" t="n"/>
      <c r="E75" s="6" t="n"/>
      <c r="F75" s="6" t="n"/>
      <c r="G75" s="6" t="n"/>
      <c r="H75" s="6">
        <f>IF(G74&lt;&gt;0,H74/G74-1,"")</f>
        <v/>
      </c>
      <c r="I75" s="6">
        <f>IF(H74&lt;&gt;0,I74/H74-1,"")</f>
        <v/>
      </c>
      <c r="J75" s="6">
        <f>IF(I74&lt;&gt;0,J74/I74-1,"")</f>
        <v/>
      </c>
      <c r="K75" s="6">
        <f>IF(J74&lt;&gt;0,K74/J74-1,"")</f>
        <v/>
      </c>
      <c r="L75" s="6" t="n"/>
      <c r="M75" s="6" t="n"/>
      <c r="N75" s="6" t="n"/>
      <c r="O75" s="6" t="n"/>
      <c r="P75" s="6" t="n"/>
    </row>
    <row r="76">
      <c r="B76" t="inlineStr">
        <is>
          <t>NPAT Margin</t>
        </is>
      </c>
      <c r="C76" t="inlineStr">
        <is>
          <t>%</t>
        </is>
      </c>
      <c r="D76" s="6" t="n"/>
      <c r="E76" s="6" t="n"/>
      <c r="F76" s="6" t="n"/>
      <c r="G76" s="6" t="n"/>
      <c r="H76" s="6">
        <f>H74/H10</f>
        <v/>
      </c>
      <c r="I76" s="6">
        <f>I74/I10</f>
        <v/>
      </c>
      <c r="J76" s="6">
        <f>J74/J10</f>
        <v/>
      </c>
      <c r="K76" s="6">
        <f>K74/K10</f>
        <v/>
      </c>
      <c r="L76" s="6" t="n"/>
      <c r="M76" s="6" t="n"/>
      <c r="N76" s="6" t="n"/>
      <c r="O76" s="6" t="n"/>
      <c r="P76" s="6" t="n"/>
    </row>
    <row r="77">
      <c r="A77" t="inlineStr">
        <is>
          <t>NPAT-OCI</t>
        </is>
      </c>
      <c r="B77" t="inlineStr">
        <is>
          <t>Other Comprehensive Income</t>
        </is>
      </c>
      <c r="C77" t="inlineStr">
        <is>
          <t>A$m</t>
        </is>
      </c>
      <c r="D77" s="61" t="n">
        <v>0</v>
      </c>
      <c r="E77" s="61" t="n">
        <v>0.399</v>
      </c>
      <c r="F77" s="61" t="n">
        <v>0.07000000000000001</v>
      </c>
      <c r="G77" s="61" t="n">
        <v>-0.405</v>
      </c>
      <c r="H77" s="4" t="n">
        <v>0</v>
      </c>
      <c r="I77" s="4" t="n">
        <v>0</v>
      </c>
      <c r="J77" s="4" t="n">
        <v>0</v>
      </c>
      <c r="K77" s="4" t="n">
        <v>0</v>
      </c>
    </row>
    <row r="78">
      <c r="A78" t="inlineStr">
        <is>
          <t>NPAT-Total Comp Income</t>
        </is>
      </c>
      <c r="B78" s="5" t="inlineStr">
        <is>
          <t>Total Comprehensive Income</t>
        </is>
      </c>
      <c r="C78" t="inlineStr">
        <is>
          <t>A$m</t>
        </is>
      </c>
      <c r="D78" s="61" t="n">
        <v>3.9</v>
      </c>
      <c r="E78" s="61" t="n">
        <v>-1.868</v>
      </c>
      <c r="F78" s="61" t="n">
        <v>-13.678</v>
      </c>
      <c r="G78" s="61" t="n">
        <v>14.071</v>
      </c>
      <c r="H78" s="4">
        <f>H74+H77</f>
        <v/>
      </c>
      <c r="I78" s="4">
        <f>I74+I77</f>
        <v/>
      </c>
      <c r="J78" s="4">
        <f>J74+J77</f>
        <v/>
      </c>
      <c r="K78" s="4">
        <f>K74+K77</f>
        <v/>
      </c>
    </row>
    <row r="79">
      <c r="D79" s="22" t="n"/>
      <c r="E79" s="22" t="n"/>
      <c r="F79" s="22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B80" s="60" t="inlineStr">
        <is>
          <t>EPS &amp; Dividends</t>
        </is>
      </c>
      <c r="D80" s="22" t="n"/>
      <c r="E80" s="22" t="n"/>
      <c r="F80" s="22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t="inlineStr">
        <is>
          <t>EPS-YE Shares</t>
        </is>
      </c>
      <c r="B81" s="8" t="inlineStr">
        <is>
          <t>YE Basic Shares Outstanding</t>
        </is>
      </c>
      <c r="C81" t="inlineStr">
        <is>
          <t>#m</t>
        </is>
      </c>
      <c r="D81" s="3" t="n"/>
      <c r="E81" s="3" t="n"/>
      <c r="F81" s="3" t="n"/>
      <c r="G81" s="77" t="n">
        <v>101</v>
      </c>
      <c r="H81" s="78" t="n">
        <v>99</v>
      </c>
      <c r="I81" s="78" t="n">
        <v>97</v>
      </c>
      <c r="J81" s="78" t="n">
        <v>95</v>
      </c>
      <c r="K81" s="78" t="n">
        <v>93</v>
      </c>
      <c r="L81" s="3" t="n"/>
      <c r="M81" s="3" t="n"/>
      <c r="N81" s="3" t="n"/>
      <c r="O81" s="3" t="n"/>
      <c r="P81" s="3" t="n"/>
    </row>
    <row r="82">
      <c r="A82" t="inlineStr">
        <is>
          <t>EPS-WASO Basic</t>
        </is>
      </c>
      <c r="B82" t="inlineStr">
        <is>
          <t>WASO Basic</t>
        </is>
      </c>
      <c r="C82" t="inlineStr">
        <is>
          <t>#m</t>
        </is>
      </c>
      <c r="D82" s="22" t="n"/>
      <c r="E82" s="61" t="n">
        <v>85.40000000000001</v>
      </c>
      <c r="F82" s="61" t="n">
        <v>85.40000000000001</v>
      </c>
      <c r="G82" s="61" t="n">
        <v>101.4</v>
      </c>
      <c r="H82" s="3">
        <f>(H81+G81)/2</f>
        <v/>
      </c>
      <c r="I82" s="3">
        <f>(I81+H81)/2</f>
        <v/>
      </c>
      <c r="J82" s="3">
        <f>(J81+I81)/2</f>
        <v/>
      </c>
      <c r="K82" s="3">
        <f>(K81+J81)/2</f>
        <v/>
      </c>
      <c r="L82" s="3" t="n"/>
      <c r="M82" s="3" t="n"/>
      <c r="N82" s="3" t="n"/>
      <c r="O82" s="3" t="n"/>
      <c r="P82" s="3" t="n"/>
    </row>
    <row r="83">
      <c r="A83" t="inlineStr">
        <is>
          <t>EPS-WASO Diluted</t>
        </is>
      </c>
      <c r="B83" t="inlineStr">
        <is>
          <t>WASO Diluted</t>
        </is>
      </c>
      <c r="C83" t="inlineStr">
        <is>
          <t>#m</t>
        </is>
      </c>
      <c r="H83" s="4">
        <f>H82*1.05</f>
        <v/>
      </c>
      <c r="I83" s="4">
        <f>I82*1.05</f>
        <v/>
      </c>
      <c r="J83" s="4">
        <f>J82*1.05</f>
        <v/>
      </c>
      <c r="K83" s="4">
        <f>K82*1.05</f>
        <v/>
      </c>
    </row>
    <row r="84">
      <c r="B84" s="20" t="n"/>
      <c r="C84" s="20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</row>
    <row r="85">
      <c r="A85" t="inlineStr">
        <is>
          <t>EPS-Basic EPS</t>
        </is>
      </c>
      <c r="B85" s="8" t="inlineStr">
        <is>
          <t>Basic EPS</t>
        </is>
      </c>
      <c r="C85" t="inlineStr">
        <is>
          <t>Acps</t>
        </is>
      </c>
      <c r="D85" s="9" t="n"/>
      <c r="E85" s="61" t="n">
        <v>-2.7</v>
      </c>
      <c r="F85" s="61" t="n">
        <v>-16.1</v>
      </c>
      <c r="G85" s="61" t="n">
        <v>14.3</v>
      </c>
      <c r="H85" s="9">
        <f>H74/H82*100</f>
        <v/>
      </c>
      <c r="I85" s="9">
        <f>I74/I82*100</f>
        <v/>
      </c>
      <c r="J85" s="9">
        <f>J74/J82*100</f>
        <v/>
      </c>
      <c r="K85" s="9">
        <f>K74/K82*100</f>
        <v/>
      </c>
      <c r="L85" s="9" t="n"/>
      <c r="M85" s="9" t="n"/>
      <c r="N85" s="9" t="n"/>
      <c r="O85" s="9" t="n"/>
      <c r="P85" s="9" t="n"/>
    </row>
    <row r="86">
      <c r="A86" t="inlineStr">
        <is>
          <t>EPS-Diluted EPS</t>
        </is>
      </c>
      <c r="B86" t="inlineStr">
        <is>
          <t>Diluted EPS</t>
        </is>
      </c>
      <c r="C86" t="inlineStr">
        <is>
          <t>Acps</t>
        </is>
      </c>
      <c r="D86" s="6" t="n"/>
      <c r="E86" s="61" t="n">
        <v>-2.7</v>
      </c>
      <c r="F86" s="61" t="n">
        <v>-16.1</v>
      </c>
      <c r="G86" s="61" t="n">
        <v>13.7</v>
      </c>
      <c r="H86" s="6">
        <f>H74/H83*100</f>
        <v/>
      </c>
      <c r="I86" s="6">
        <f>I74/I83*100</f>
        <v/>
      </c>
      <c r="J86" s="6">
        <f>J74/J83*100</f>
        <v/>
      </c>
      <c r="K86" s="6">
        <f>K74/K83*100</f>
        <v/>
      </c>
      <c r="L86" s="6" t="n"/>
      <c r="M86" s="6" t="n"/>
      <c r="N86" s="6" t="n"/>
      <c r="O86" s="6" t="n"/>
      <c r="P86" s="6" t="n"/>
    </row>
    <row r="87">
      <c r="B87" t="inlineStr">
        <is>
          <t>EPS Growth</t>
        </is>
      </c>
      <c r="C87" t="inlineStr">
        <is>
          <t>% YoY</t>
        </is>
      </c>
      <c r="H87" s="6">
        <f>IF(G85&lt;&gt;0,H85/G85-1,"")</f>
        <v/>
      </c>
      <c r="I87" s="6">
        <f>IF(H85&lt;&gt;0,I85/H85-1,"")</f>
        <v/>
      </c>
      <c r="J87" s="6">
        <f>IF(I85&lt;&gt;0,J85/I85-1,"")</f>
        <v/>
      </c>
      <c r="K87" s="6">
        <f>IF(J85&lt;&gt;0,K85/J85-1,"")</f>
        <v/>
      </c>
    </row>
    <row r="88">
      <c r="D88" s="24" t="n"/>
      <c r="E88" s="24" t="n"/>
      <c r="F88" s="24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</row>
    <row r="89">
      <c r="A89" t="inlineStr">
        <is>
          <t>Div-DPS</t>
        </is>
      </c>
      <c r="B89" s="8" t="inlineStr">
        <is>
          <t>DPS</t>
        </is>
      </c>
      <c r="C89" t="inlineStr">
        <is>
          <t>Acps</t>
        </is>
      </c>
      <c r="D89" s="4" t="n"/>
      <c r="E89" s="4" t="n"/>
      <c r="F89" s="4" t="n"/>
      <c r="G89" s="61" t="n">
        <v>12.6</v>
      </c>
      <c r="H89" s="72">
        <f>H85*0.75</f>
        <v/>
      </c>
      <c r="I89" s="72">
        <f>I85*0.75</f>
        <v/>
      </c>
      <c r="J89" s="72">
        <f>J85*0.75</f>
        <v/>
      </c>
      <c r="K89" s="72">
        <f>K85*0.75</f>
        <v/>
      </c>
      <c r="L89" s="4" t="n"/>
      <c r="M89" s="4" t="n"/>
      <c r="N89" s="4" t="n"/>
      <c r="O89" s="4" t="n"/>
      <c r="P89" s="4" t="n"/>
    </row>
    <row r="90">
      <c r="A90" t="inlineStr">
        <is>
          <t>Div-Total Dividends</t>
        </is>
      </c>
      <c r="B90" s="25" t="inlineStr">
        <is>
          <t>Total Dividends Paid</t>
        </is>
      </c>
      <c r="C90" t="inlineStr">
        <is>
          <t>A$m</t>
        </is>
      </c>
      <c r="D90" s="6" t="n"/>
      <c r="E90" s="6" t="n"/>
      <c r="F90" s="6" t="n"/>
      <c r="G90" s="26" t="n"/>
      <c r="H90" s="26">
        <f>H89*H82/100</f>
        <v/>
      </c>
      <c r="I90" s="26">
        <f>I89*I82/100</f>
        <v/>
      </c>
      <c r="J90" s="26">
        <f>J89*J82/100</f>
        <v/>
      </c>
      <c r="K90" s="26">
        <f>K89*K82/100</f>
        <v/>
      </c>
      <c r="L90" s="26" t="n"/>
      <c r="M90" s="26" t="n"/>
      <c r="N90" s="26" t="n"/>
      <c r="O90" s="26" t="n"/>
      <c r="P90" s="26" t="n"/>
    </row>
    <row r="91">
      <c r="B91" t="inlineStr">
        <is>
          <t>Payout Ratio</t>
        </is>
      </c>
      <c r="C91" t="inlineStr">
        <is>
          <t>%</t>
        </is>
      </c>
      <c r="D91" s="6" t="n"/>
      <c r="E91" s="6" t="n"/>
      <c r="F91" s="6" t="n"/>
      <c r="G91" s="6" t="n"/>
      <c r="H91" s="6">
        <f>IF(H85&lt;&gt;0,H89/H85,"")</f>
        <v/>
      </c>
      <c r="I91" s="6">
        <f>IF(I85&lt;&gt;0,I89/I85,"")</f>
        <v/>
      </c>
      <c r="J91" s="6">
        <f>IF(J85&lt;&gt;0,J89/J85,"")</f>
        <v/>
      </c>
      <c r="K91" s="6">
        <f>IF(K85&lt;&gt;0,K89/K85,"")</f>
        <v/>
      </c>
      <c r="L91" s="6" t="n"/>
      <c r="M91" s="6" t="n"/>
      <c r="N91" s="6" t="n"/>
      <c r="O91" s="6" t="n"/>
      <c r="P91" s="6" t="n"/>
    </row>
    <row r="92"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B93" s="60" t="inlineStr">
        <is>
          <t>Operating Metrics</t>
        </is>
      </c>
    </row>
    <row r="94">
      <c r="A94" s="27" t="inlineStr">
        <is>
          <t>KPI-Net Sales Aus</t>
        </is>
      </c>
      <c r="B94" s="28" t="inlineStr">
        <is>
          <t>Network Sales - Australia</t>
        </is>
      </c>
      <c r="C94" s="27" t="inlineStr">
        <is>
          <t>A$m</t>
        </is>
      </c>
      <c r="D94" s="64" t="n">
        <v>535.4</v>
      </c>
      <c r="E94" s="64" t="n">
        <v>702.9</v>
      </c>
      <c r="F94" s="64" t="n">
        <v>894.6</v>
      </c>
      <c r="G94" s="64" t="n">
        <v>1094.6</v>
      </c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</row>
    <row r="95">
      <c r="A95" t="inlineStr">
        <is>
          <t>KPI-Net Sales Sing</t>
        </is>
      </c>
      <c r="B95" t="inlineStr">
        <is>
          <t>Network Sales - Singapore</t>
        </is>
      </c>
      <c r="C95" t="inlineStr">
        <is>
          <t>A$m</t>
        </is>
      </c>
      <c r="D95" s="61" t="n">
        <v>31.4</v>
      </c>
      <c r="E95" s="61" t="n">
        <v>43.1</v>
      </c>
      <c r="F95" s="61" t="n">
        <v>46.4</v>
      </c>
      <c r="G95" s="61" t="n">
        <v>64.7</v>
      </c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</row>
    <row r="96">
      <c r="A96" t="inlineStr">
        <is>
          <t>KPI-Net Sales Japan</t>
        </is>
      </c>
      <c r="B96" t="inlineStr">
        <is>
          <t>Network Sales - Japan</t>
        </is>
      </c>
      <c r="C96" t="inlineStr">
        <is>
          <t>A$m</t>
        </is>
      </c>
      <c r="D96" s="61" t="n">
        <v>5.8</v>
      </c>
      <c r="E96" s="61" t="n">
        <v>7</v>
      </c>
      <c r="F96" s="61" t="n">
        <v>7.9</v>
      </c>
      <c r="G96" s="61" t="n">
        <v>9.1</v>
      </c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</row>
    <row r="97">
      <c r="A97" t="inlineStr">
        <is>
          <t>KPI-Net Sales US</t>
        </is>
      </c>
      <c r="B97" s="8" t="inlineStr">
        <is>
          <t>Network Sales - US</t>
        </is>
      </c>
      <c r="C97" t="inlineStr">
        <is>
          <t>A$m</t>
        </is>
      </c>
      <c r="D97" s="61" t="n">
        <v>2.5</v>
      </c>
      <c r="E97" s="61" t="n">
        <v>6</v>
      </c>
      <c r="F97" s="61" t="n">
        <v>10.8</v>
      </c>
      <c r="G97" s="61" t="n">
        <v>12.2</v>
      </c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</row>
    <row r="98">
      <c r="A98" t="inlineStr">
        <is>
          <t>KPI-Global Net Sales</t>
        </is>
      </c>
      <c r="B98" s="8" t="inlineStr">
        <is>
          <t>Global Network Sales</t>
        </is>
      </c>
      <c r="C98" t="inlineStr">
        <is>
          <t>A$m</t>
        </is>
      </c>
      <c r="D98" s="61" t="n">
        <v>575</v>
      </c>
      <c r="E98" s="61" t="n">
        <v>759</v>
      </c>
      <c r="F98" s="61" t="n">
        <v>959.7</v>
      </c>
      <c r="G98" s="61" t="n">
        <v>1180.7</v>
      </c>
      <c r="H98" s="29">
        <f>G98*(1+H11*0.9)</f>
        <v/>
      </c>
      <c r="I98" s="29">
        <f>H98*(1+I11*0.9)</f>
        <v/>
      </c>
      <c r="J98" s="29">
        <f>I98*(1+J11*0.9)</f>
        <v/>
      </c>
      <c r="K98" s="29">
        <f>J98*(1+K11*0.9)</f>
        <v/>
      </c>
      <c r="L98" s="29" t="n"/>
      <c r="M98" s="29" t="n"/>
      <c r="N98" s="29" t="n"/>
      <c r="O98" s="29" t="n"/>
      <c r="P98" s="29" t="n"/>
    </row>
    <row r="99">
      <c r="B99" s="8" t="inlineStr">
        <is>
          <t>Network Sales Growth</t>
        </is>
      </c>
      <c r="C99" t="inlineStr">
        <is>
          <t>% YoY</t>
        </is>
      </c>
      <c r="D99" s="29" t="n"/>
      <c r="E99" s="29" t="n"/>
      <c r="F99" s="29" t="n"/>
      <c r="G99" s="29" t="n"/>
      <c r="H99" s="29">
        <f>H98/G98-1</f>
        <v/>
      </c>
      <c r="I99" s="29">
        <f>I98/H98-1</f>
        <v/>
      </c>
      <c r="J99" s="29">
        <f>J98/I98-1</f>
        <v/>
      </c>
      <c r="K99" s="29">
        <f>K98/J98-1</f>
        <v/>
      </c>
      <c r="L99" s="29" t="n"/>
      <c r="M99" s="29" t="n"/>
      <c r="N99" s="29" t="n"/>
      <c r="O99" s="29" t="n"/>
      <c r="P99" s="29" t="n"/>
    </row>
    <row r="100">
      <c r="A100" t="inlineStr">
        <is>
          <t>KPI-Corp Rest Aus</t>
        </is>
      </c>
      <c r="B100" s="8" t="inlineStr">
        <is>
          <t>Corporate Restaurants - Australia</t>
        </is>
      </c>
      <c r="C100" t="inlineStr">
        <is>
          <t>#</t>
        </is>
      </c>
      <c r="D100" s="65" t="n">
        <v>46</v>
      </c>
      <c r="E100" s="65" t="n">
        <v>55</v>
      </c>
      <c r="F100" s="65" t="n">
        <v>64</v>
      </c>
      <c r="G100" s="65" t="n">
        <v>81</v>
      </c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</row>
    <row r="101">
      <c r="A101" t="inlineStr">
        <is>
          <t>KPI-Fran Rest Aus</t>
        </is>
      </c>
      <c r="B101" s="8" t="inlineStr">
        <is>
          <t>Franchise Restaurants - Australia</t>
        </is>
      </c>
      <c r="C101" t="inlineStr">
        <is>
          <t>#</t>
        </is>
      </c>
      <c r="D101" s="65" t="n">
        <v>104</v>
      </c>
      <c r="E101" s="65" t="n">
        <v>116</v>
      </c>
      <c r="F101" s="65" t="n">
        <v>130</v>
      </c>
      <c r="G101" s="65" t="n">
        <v>143</v>
      </c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</row>
    <row r="102">
      <c r="A102" t="inlineStr">
        <is>
          <t>KPI-Fran Rest Sing</t>
        </is>
      </c>
      <c r="B102" t="inlineStr">
        <is>
          <t>Franchise Restaurants - Singapore</t>
        </is>
      </c>
      <c r="C102" t="inlineStr">
        <is>
          <t>#</t>
        </is>
      </c>
      <c r="D102" s="30" t="n"/>
      <c r="E102" s="29" t="n"/>
      <c r="F102" s="65" t="n">
        <v>17</v>
      </c>
      <c r="G102" s="65" t="n">
        <v>21</v>
      </c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</row>
    <row r="103">
      <c r="A103" t="inlineStr">
        <is>
          <t>KPI-Fran Rest Japan</t>
        </is>
      </c>
      <c r="B103" t="inlineStr">
        <is>
          <t>Franchise Restaurants - Japan</t>
        </is>
      </c>
      <c r="C103" t="inlineStr">
        <is>
          <t>#</t>
        </is>
      </c>
      <c r="D103" s="30" t="n"/>
      <c r="E103" s="30" t="n"/>
      <c r="F103" s="65" t="n">
        <v>5</v>
      </c>
      <c r="G103" s="65" t="n">
        <v>5</v>
      </c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</row>
    <row r="104">
      <c r="A104" t="inlineStr">
        <is>
          <t>KPI-Total Rest Aus Seg</t>
        </is>
      </c>
      <c r="B104" t="inlineStr">
        <is>
          <t>Total Restaurants - Aus Segment</t>
        </is>
      </c>
      <c r="C104" t="inlineStr">
        <is>
          <t>#</t>
        </is>
      </c>
      <c r="D104" s="6" t="n"/>
      <c r="E104" s="6" t="n"/>
      <c r="F104" s="31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t="inlineStr">
        <is>
          <t>KPI-Rest US</t>
        </is>
      </c>
      <c r="B105" s="8" t="inlineStr">
        <is>
          <t>Restaurants - US</t>
        </is>
      </c>
      <c r="C105" t="inlineStr">
        <is>
          <t>#</t>
        </is>
      </c>
      <c r="D105" s="65" t="n">
        <v>1</v>
      </c>
      <c r="E105" s="65" t="n">
        <v>3</v>
      </c>
      <c r="F105" s="65" t="n">
        <v>4</v>
      </c>
      <c r="G105" s="65" t="n">
        <v>6</v>
      </c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</row>
    <row r="106">
      <c r="A106" t="inlineStr">
        <is>
          <t>KPI-Global Rest Count</t>
        </is>
      </c>
      <c r="B106" s="8" t="inlineStr">
        <is>
          <t>Global Restaurant Count</t>
        </is>
      </c>
      <c r="C106" t="inlineStr">
        <is>
          <t>#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</row>
    <row r="107">
      <c r="A107" t="inlineStr">
        <is>
          <t>KPI-New Opens Aus</t>
        </is>
      </c>
      <c r="B107" t="inlineStr">
        <is>
          <t>New Openings - Australia</t>
        </is>
      </c>
      <c r="C107" t="inlineStr">
        <is>
          <t>#</t>
        </is>
      </c>
    </row>
    <row r="108">
      <c r="A108" s="2" t="inlineStr">
        <is>
          <t>KPI-DT Count</t>
        </is>
      </c>
      <c r="B108" s="18" t="inlineStr">
        <is>
          <t>Drive Thru Restaurants - Australia</t>
        </is>
      </c>
      <c r="C108" s="2" t="inlineStr">
        <is>
          <t>#</t>
        </is>
      </c>
      <c r="D108" s="2" t="n"/>
      <c r="E108" s="2" t="n"/>
      <c r="F108" s="2" t="n"/>
      <c r="G108" s="66" t="n">
        <v>117</v>
      </c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t="inlineStr">
        <is>
          <t>KPI-Strip Count</t>
        </is>
      </c>
      <c r="B109" s="5" t="inlineStr">
        <is>
          <t>Strip Restaurants - Australia</t>
        </is>
      </c>
      <c r="C109" t="inlineStr">
        <is>
          <t>#</t>
        </is>
      </c>
      <c r="G109" s="65" t="n">
        <v>68</v>
      </c>
    </row>
    <row r="110">
      <c r="A110" t="inlineStr">
        <is>
          <t>KPI-Other Count</t>
        </is>
      </c>
      <c r="B110" t="inlineStr">
        <is>
          <t>Other Format Restaurants - Australia</t>
        </is>
      </c>
      <c r="C110" t="inlineStr">
        <is>
          <t>#</t>
        </is>
      </c>
      <c r="D110" s="19" t="n"/>
      <c r="E110" s="19" t="n"/>
      <c r="F110" s="19" t="n"/>
      <c r="G110" s="65" t="n">
        <v>39</v>
      </c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</row>
    <row r="111">
      <c r="A111" t="inlineStr">
        <is>
          <t>KPI-DT AUV</t>
        </is>
      </c>
      <c r="B111" t="inlineStr">
        <is>
          <t>Drive Thru AUV</t>
        </is>
      </c>
      <c r="C111" t="inlineStr">
        <is>
          <t>A$m</t>
        </is>
      </c>
      <c r="D111" s="19" t="n"/>
      <c r="E111" s="19" t="n"/>
      <c r="F111" s="19" t="n"/>
      <c r="G111" s="61" t="n">
        <v>6.7</v>
      </c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</row>
    <row r="112">
      <c r="A112" t="inlineStr">
        <is>
          <t>KPI-Strip AUV</t>
        </is>
      </c>
      <c r="B112" t="inlineStr">
        <is>
          <t>Strip AUV</t>
        </is>
      </c>
      <c r="C112" t="inlineStr">
        <is>
          <t>A$m</t>
        </is>
      </c>
      <c r="D112" s="19" t="n"/>
      <c r="E112" s="19" t="n"/>
      <c r="F112" s="19" t="n"/>
      <c r="G112" s="61" t="n">
        <v>5</v>
      </c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</row>
    <row r="113">
      <c r="A113" t="inlineStr">
        <is>
          <t>KPI-Other AUV</t>
        </is>
      </c>
      <c r="B113" t="inlineStr">
        <is>
          <t>Other Format AUV</t>
        </is>
      </c>
      <c r="C113" t="inlineStr">
        <is>
          <t>A$m</t>
        </is>
      </c>
      <c r="D113" s="19" t="n"/>
      <c r="E113" s="19" t="n"/>
      <c r="F113" s="19" t="n"/>
      <c r="G113" s="61" t="n">
        <v>4</v>
      </c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</row>
    <row r="114">
      <c r="A114" t="inlineStr">
        <is>
          <t>KPI-DT Margin</t>
        </is>
      </c>
      <c r="B114" t="inlineStr">
        <is>
          <t>Drive Thru Network Margin</t>
        </is>
      </c>
      <c r="C114" t="inlineStr">
        <is>
          <t>%</t>
        </is>
      </c>
      <c r="D114" s="19" t="n"/>
      <c r="E114" s="19" t="n"/>
      <c r="F114" s="19" t="n"/>
      <c r="G114" s="67" t="n">
        <v>0.215</v>
      </c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</row>
    <row r="115">
      <c r="A115" t="inlineStr">
        <is>
          <t>KPI-Strip Margin</t>
        </is>
      </c>
      <c r="B115" t="inlineStr">
        <is>
          <t>Strip Network Margin</t>
        </is>
      </c>
      <c r="C115" t="inlineStr">
        <is>
          <t>%</t>
        </is>
      </c>
      <c r="D115" s="19" t="n"/>
      <c r="E115" s="19" t="n"/>
      <c r="F115" s="19" t="n"/>
      <c r="G115" s="67" t="n">
        <v>0.184</v>
      </c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</row>
    <row r="116">
      <c r="A116" t="inlineStr">
        <is>
          <t>KPI-Comp Sales Growth</t>
        </is>
      </c>
      <c r="B116" t="inlineStr">
        <is>
          <t>Comp Sales Growth (Aus Segment)</t>
        </is>
      </c>
      <c r="C116" t="inlineStr">
        <is>
          <t>%</t>
        </is>
      </c>
      <c r="D116" s="67" t="n">
        <v>0.182</v>
      </c>
      <c r="E116" s="67" t="n">
        <v>0.15</v>
      </c>
      <c r="F116" s="67" t="n">
        <v>0.081</v>
      </c>
      <c r="G116" s="67" t="n">
        <v>0.096</v>
      </c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  <row r="117">
      <c r="A117" t="inlineStr">
        <is>
          <t>KPI-Corp Margin Pct Aus</t>
        </is>
      </c>
      <c r="B117" s="20" t="inlineStr">
        <is>
          <t>Corporate Restaurant Margin % - Aus</t>
        </is>
      </c>
      <c r="C117" s="20" t="inlineStr">
        <is>
          <t>%</t>
        </is>
      </c>
      <c r="D117" s="68" t="n">
        <v>0.141</v>
      </c>
      <c r="E117" s="68" t="n">
        <v>0.144</v>
      </c>
      <c r="F117" s="68" t="n">
        <v>0.174</v>
      </c>
      <c r="G117" s="68" t="n">
        <v>0.179</v>
      </c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</row>
    <row r="118">
      <c r="A118" t="inlineStr">
        <is>
          <t>KPI-Corp Margin Pct US</t>
        </is>
      </c>
      <c r="B118" s="25" t="inlineStr">
        <is>
          <t>Corporate Restaurant Margin % - US</t>
        </is>
      </c>
      <c r="C118" t="inlineStr">
        <is>
          <t>%</t>
        </is>
      </c>
      <c r="D118" s="67" t="n">
        <v>-0.158</v>
      </c>
      <c r="E118" s="67" t="n">
        <v>-0.128</v>
      </c>
      <c r="F118" s="67" t="n">
        <v>-0.092</v>
      </c>
      <c r="G118" s="67" t="n">
        <v>-0.575</v>
      </c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</row>
    <row r="119">
      <c r="A119" t="inlineStr">
        <is>
          <t>KPI-Implied Royalty Rate</t>
        </is>
      </c>
      <c r="B119" s="25" t="inlineStr">
        <is>
          <t>Implied Franchise Royalty Rate</t>
        </is>
      </c>
      <c r="C119" t="inlineStr">
        <is>
          <t>%</t>
        </is>
      </c>
      <c r="D119" s="67" t="n">
        <v>0.06900000000000001</v>
      </c>
      <c r="E119" s="67" t="n">
        <v>0.076</v>
      </c>
      <c r="F119" s="67" t="n">
        <v>0.078</v>
      </c>
      <c r="G119" s="67" t="n">
        <v>0.083</v>
      </c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</row>
    <row r="120">
      <c r="A120" t="inlineStr">
        <is>
          <t>KPI-Franchise Net Sales</t>
        </is>
      </c>
      <c r="B120" s="20" t="inlineStr">
        <is>
          <t>Franchise Network Sales</t>
        </is>
      </c>
      <c r="C120" s="20" t="inlineStr">
        <is>
          <t>A$m</t>
        </is>
      </c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</row>
    <row r="121">
      <c r="B121" s="25" t="n"/>
      <c r="D121" s="6" t="n"/>
      <c r="E121" s="6" t="n"/>
      <c r="F121" s="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</row>
    <row r="122">
      <c r="B122" s="60" t="inlineStr">
        <is>
          <t>Balance Sheet</t>
        </is>
      </c>
      <c r="G122" s="48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</row>
    <row r="123">
      <c r="B123" s="60" t="inlineStr">
        <is>
          <t>Assets</t>
        </is>
      </c>
      <c r="G123" s="48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</row>
    <row r="124">
      <c r="A124" t="inlineStr">
        <is>
          <t>BS-Cash</t>
        </is>
      </c>
      <c r="B124" s="5" t="inlineStr">
        <is>
          <t>Cash and Cash Equivalents</t>
        </is>
      </c>
      <c r="C124" t="inlineStr">
        <is>
          <t>A$m</t>
        </is>
      </c>
      <c r="E124" s="61" t="n">
        <v>36.504</v>
      </c>
      <c r="F124" s="61" t="n">
        <v>16.385</v>
      </c>
      <c r="G124" s="61" t="n">
        <v>39.675</v>
      </c>
      <c r="H124" s="4">
        <f>G124+H186</f>
        <v/>
      </c>
      <c r="I124" s="4">
        <f>H124+I186</f>
        <v/>
      </c>
      <c r="J124" s="4">
        <f>I124+J186</f>
        <v/>
      </c>
      <c r="K124" s="4">
        <f>J124+K186</f>
        <v/>
      </c>
    </row>
    <row r="125">
      <c r="A125" t="inlineStr">
        <is>
          <t>BS-Term Deposits</t>
        </is>
      </c>
      <c r="B125" t="inlineStr">
        <is>
          <t>Funds in Term Deposits</t>
        </is>
      </c>
      <c r="C125" t="inlineStr">
        <is>
          <t>A$m</t>
        </is>
      </c>
      <c r="D125" s="19" t="n"/>
      <c r="E125" s="61" t="n">
        <v>0</v>
      </c>
      <c r="F125" s="61" t="n">
        <v>278.095</v>
      </c>
      <c r="G125" s="61" t="n">
        <v>242.068</v>
      </c>
      <c r="H125" s="4">
        <f>G125+H168</f>
        <v/>
      </c>
      <c r="I125" s="4">
        <f>H125+I168</f>
        <v/>
      </c>
      <c r="J125" s="4">
        <f>I125+J168</f>
        <v/>
      </c>
      <c r="K125" s="4">
        <f>J125+K168</f>
        <v/>
      </c>
      <c r="L125" s="4" t="n"/>
      <c r="M125" s="4" t="n"/>
      <c r="N125" s="4" t="n"/>
      <c r="O125" s="4" t="n"/>
      <c r="P125" s="4" t="n"/>
    </row>
    <row r="126">
      <c r="A126" t="inlineStr">
        <is>
          <t>BS-Trade Receivables</t>
        </is>
      </c>
      <c r="B126" t="inlineStr">
        <is>
          <t>Trade and Other Receivables</t>
        </is>
      </c>
      <c r="C126" t="inlineStr">
        <is>
          <t>A$m</t>
        </is>
      </c>
      <c r="D126" s="19" t="n"/>
      <c r="E126" s="61" t="n">
        <v>25.087</v>
      </c>
      <c r="F126" s="61" t="n">
        <v>26.499</v>
      </c>
      <c r="G126" s="61" t="n">
        <v>24.84</v>
      </c>
      <c r="H126" s="4">
        <f>H10*0.057</f>
        <v/>
      </c>
      <c r="I126" s="4">
        <f>I10*0.057</f>
        <v/>
      </c>
      <c r="J126" s="4">
        <f>J10*0.057</f>
        <v/>
      </c>
      <c r="K126" s="4">
        <f>K10*0.057</f>
        <v/>
      </c>
      <c r="L126" s="4" t="n"/>
      <c r="M126" s="4" t="n"/>
      <c r="N126" s="4" t="n"/>
      <c r="O126" s="4" t="n"/>
      <c r="P126" s="4" t="n"/>
    </row>
    <row r="127">
      <c r="A127" t="inlineStr">
        <is>
          <t>BS-Inventories</t>
        </is>
      </c>
      <c r="B127" t="inlineStr">
        <is>
          <t>Inventories</t>
        </is>
      </c>
      <c r="C127" t="inlineStr">
        <is>
          <t>A$m</t>
        </is>
      </c>
      <c r="D127" s="19" t="n"/>
      <c r="E127" s="61" t="n">
        <v>2.153</v>
      </c>
      <c r="F127" s="61" t="n">
        <v>2.825</v>
      </c>
      <c r="G127" s="61" t="n">
        <v>3.761</v>
      </c>
      <c r="H127" s="4">
        <f>H10*0.009</f>
        <v/>
      </c>
      <c r="I127" s="4">
        <f>I10*0.009</f>
        <v/>
      </c>
      <c r="J127" s="4">
        <f>J10*0.009</f>
        <v/>
      </c>
      <c r="K127" s="4">
        <f>K10*0.009</f>
        <v/>
      </c>
      <c r="L127" s="4" t="n"/>
      <c r="M127" s="4" t="n"/>
      <c r="N127" s="4" t="n"/>
      <c r="O127" s="4" t="n"/>
      <c r="P127" s="4" t="n"/>
    </row>
    <row r="128">
      <c r="A128" t="inlineStr">
        <is>
          <t>BS-Fin Lease Rec</t>
        </is>
      </c>
      <c r="B128" t="inlineStr">
        <is>
          <t>Finance Lease Receivables</t>
        </is>
      </c>
      <c r="C128" t="inlineStr">
        <is>
          <t>A$m</t>
        </is>
      </c>
      <c r="D128" s="19" t="n"/>
      <c r="E128" s="61" t="n">
        <v>69.333</v>
      </c>
      <c r="F128" s="61" t="n">
        <v>126.403</v>
      </c>
      <c r="G128" s="61" t="n">
        <v>174.844</v>
      </c>
      <c r="H128" s="4">
        <f>G128*1.12</f>
        <v/>
      </c>
      <c r="I128" s="4">
        <f>H128*1.12</f>
        <v/>
      </c>
      <c r="J128" s="4">
        <f>I128*1.12</f>
        <v/>
      </c>
      <c r="K128" s="4">
        <f>J128*1.12</f>
        <v/>
      </c>
      <c r="L128" s="4" t="n"/>
      <c r="M128" s="4" t="n"/>
      <c r="N128" s="4" t="n"/>
      <c r="O128" s="4" t="n"/>
      <c r="P128" s="4" t="n"/>
    </row>
    <row r="129">
      <c r="A129" t="inlineStr">
        <is>
          <t>BS-Prepayments</t>
        </is>
      </c>
      <c r="B129" s="20" t="inlineStr">
        <is>
          <t>Prepayments and Other Assets</t>
        </is>
      </c>
      <c r="C129" s="20" t="inlineStr">
        <is>
          <t>A$m</t>
        </is>
      </c>
      <c r="D129" s="21" t="n"/>
      <c r="E129" s="62" t="n">
        <v>3.56</v>
      </c>
      <c r="F129" s="62" t="n">
        <v>3.302</v>
      </c>
      <c r="G129" s="62" t="n">
        <v>4.51</v>
      </c>
      <c r="H129" s="21">
        <f>H10*0.010</f>
        <v/>
      </c>
      <c r="I129" s="21">
        <f>I10*0.010</f>
        <v/>
      </c>
      <c r="J129" s="21">
        <f>J10*0.010</f>
        <v/>
      </c>
      <c r="K129" s="21">
        <f>K10*0.010</f>
        <v/>
      </c>
      <c r="L129" s="21" t="n"/>
      <c r="M129" s="21" t="n"/>
      <c r="N129" s="21" t="n"/>
      <c r="O129" s="21" t="n"/>
      <c r="P129" s="21" t="n"/>
    </row>
    <row r="130">
      <c r="A130" t="inlineStr">
        <is>
          <t>BS-ROU Assets</t>
        </is>
      </c>
      <c r="B130" t="inlineStr">
        <is>
          <t>Right-of-Use Assets</t>
        </is>
      </c>
      <c r="C130" t="inlineStr">
        <is>
          <t>A$m</t>
        </is>
      </c>
      <c r="E130" s="61" t="n">
        <v>98.93899999999999</v>
      </c>
      <c r="F130" s="61" t="n">
        <v>93.79600000000001</v>
      </c>
      <c r="G130" s="61" t="n">
        <v>125.43</v>
      </c>
      <c r="H130" s="4">
        <f>G130+H149+H45</f>
        <v/>
      </c>
      <c r="I130" s="4">
        <f>H130+I149+I45</f>
        <v/>
      </c>
      <c r="J130" s="4">
        <f>I130+J149+J45</f>
        <v/>
      </c>
      <c r="K130" s="4">
        <f>J130+K149+K45</f>
        <v/>
      </c>
    </row>
    <row r="131">
      <c r="A131" t="inlineStr">
        <is>
          <t>BS-PPE</t>
        </is>
      </c>
      <c r="B131" s="20" t="inlineStr">
        <is>
          <t>Property, Plant &amp; Equipment</t>
        </is>
      </c>
      <c r="C131" s="20" t="inlineStr">
        <is>
          <t>A$m</t>
        </is>
      </c>
      <c r="D131" s="21" t="n"/>
      <c r="E131" s="62" t="n">
        <v>69.486</v>
      </c>
      <c r="F131" s="62" t="n">
        <v>87.63</v>
      </c>
      <c r="G131" s="62" t="n">
        <v>130.056</v>
      </c>
      <c r="H131" s="21">
        <f>G131-H169+H46</f>
        <v/>
      </c>
      <c r="I131" s="21">
        <f>H131-I169+I46</f>
        <v/>
      </c>
      <c r="J131" s="21">
        <f>I131-J169+J46</f>
        <v/>
      </c>
      <c r="K131" s="21">
        <f>J131-K169+K46</f>
        <v/>
      </c>
      <c r="L131" s="21" t="n"/>
      <c r="M131" s="21" t="n"/>
      <c r="N131" s="21" t="n"/>
      <c r="O131" s="21" t="n"/>
      <c r="P131" s="21" t="n"/>
    </row>
    <row r="132">
      <c r="A132" t="inlineStr">
        <is>
          <t>BS-Intangibles</t>
        </is>
      </c>
      <c r="B132" s="20" t="inlineStr">
        <is>
          <t>Intangible Assets</t>
        </is>
      </c>
      <c r="C132" s="20" t="inlineStr">
        <is>
          <t>A$m</t>
        </is>
      </c>
      <c r="D132" s="21" t="n"/>
      <c r="E132" s="62" t="n">
        <v>15.202</v>
      </c>
      <c r="F132" s="62" t="n">
        <v>10.586</v>
      </c>
      <c r="G132" s="62" t="n">
        <v>18.305</v>
      </c>
      <c r="H132" s="21">
        <f>G132-H170+H47+H48</f>
        <v/>
      </c>
      <c r="I132" s="21">
        <f>H132-I170+I47+I48</f>
        <v/>
      </c>
      <c r="J132" s="21">
        <f>I132-J170+J47+J48</f>
        <v/>
      </c>
      <c r="K132" s="21">
        <f>J132-K170+K47+K48</f>
        <v/>
      </c>
      <c r="L132" s="21" t="n"/>
      <c r="M132" s="21" t="n"/>
      <c r="N132" s="21" t="n"/>
      <c r="O132" s="21" t="n"/>
      <c r="P132" s="21" t="n"/>
    </row>
    <row r="133">
      <c r="A133" t="inlineStr">
        <is>
          <t>BS-DTA</t>
        </is>
      </c>
      <c r="B133" s="8" t="inlineStr">
        <is>
          <t>Deferred Tax Assets</t>
        </is>
      </c>
      <c r="C133" t="inlineStr">
        <is>
          <t>A$m</t>
        </is>
      </c>
      <c r="D133" s="13" t="n"/>
      <c r="E133" s="61" t="n">
        <v>4.243</v>
      </c>
      <c r="F133" s="61" t="n">
        <v>16.276</v>
      </c>
      <c r="G133" s="61" t="n">
        <v>19.709</v>
      </c>
      <c r="H133" s="13">
        <f>G133*1.05</f>
        <v/>
      </c>
      <c r="I133" s="13">
        <f>H133*1.05</f>
        <v/>
      </c>
      <c r="J133" s="13">
        <f>I133*1.05</f>
        <v/>
      </c>
      <c r="K133" s="13">
        <f>J133*1.05</f>
        <v/>
      </c>
      <c r="L133" s="13" t="n"/>
      <c r="M133" s="13" t="n"/>
      <c r="N133" s="13" t="n"/>
      <c r="O133" s="13" t="n"/>
      <c r="P133" s="13" t="n"/>
    </row>
    <row r="134">
      <c r="A134" t="inlineStr">
        <is>
          <t>BS-Other Assets</t>
        </is>
      </c>
      <c r="B134" s="8" t="inlineStr">
        <is>
          <t>Other Assets</t>
        </is>
      </c>
      <c r="C134" t="inlineStr">
        <is>
          <t>A$m</t>
        </is>
      </c>
      <c r="D134" s="6" t="n"/>
      <c r="E134" s="61" t="n">
        <v>0</v>
      </c>
      <c r="F134" s="61" t="n">
        <v>0</v>
      </c>
      <c r="G134" s="61" t="n">
        <v>0</v>
      </c>
      <c r="H134" s="6" t="n">
        <v>0</v>
      </c>
      <c r="I134" s="6" t="n">
        <v>0</v>
      </c>
      <c r="J134" s="6" t="n">
        <v>0</v>
      </c>
      <c r="K134" s="6" t="n">
        <v>0</v>
      </c>
      <c r="L134" s="6" t="n"/>
      <c r="M134" s="6" t="n"/>
      <c r="N134" s="6" t="n"/>
      <c r="O134" s="6" t="n"/>
      <c r="P134" s="6" t="n"/>
    </row>
    <row r="135">
      <c r="B135" t="inlineStr">
        <is>
          <t>Total Assets</t>
        </is>
      </c>
      <c r="C135" t="inlineStr">
        <is>
          <t>A$m</t>
        </is>
      </c>
      <c r="E135">
        <f>SUM(E124:E134)</f>
        <v/>
      </c>
      <c r="F135">
        <f>SUM(F124:F134)</f>
        <v/>
      </c>
      <c r="G135">
        <f>SUM(G124:G134)</f>
        <v/>
      </c>
      <c r="H135" s="4">
        <f>SUM(H124:H134)</f>
        <v/>
      </c>
      <c r="I135" s="4">
        <f>SUM(I124:I134)</f>
        <v/>
      </c>
      <c r="J135" s="4">
        <f>SUM(J124:J134)</f>
        <v/>
      </c>
      <c r="K135" s="4">
        <f>SUM(K124:K134)</f>
        <v/>
      </c>
    </row>
    <row r="136">
      <c r="B136" s="5" t="n"/>
    </row>
    <row r="137">
      <c r="B137" s="60" t="inlineStr">
        <is>
          <t>Liabilities</t>
        </is>
      </c>
      <c r="D137" s="19" t="n"/>
      <c r="E137" s="19" t="n"/>
      <c r="F137" s="19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</row>
    <row r="138">
      <c r="A138" t="inlineStr">
        <is>
          <t>BS-Trade Payables</t>
        </is>
      </c>
      <c r="B138" t="inlineStr">
        <is>
          <t>Trade and Other Payables</t>
        </is>
      </c>
      <c r="C138" t="inlineStr">
        <is>
          <t>A$m</t>
        </is>
      </c>
      <c r="D138" s="19" t="n"/>
      <c r="E138" s="61" t="n">
        <v>32.635</v>
      </c>
      <c r="F138" s="61" t="n">
        <v>39.387</v>
      </c>
      <c r="G138" s="61" t="n">
        <v>40.439</v>
      </c>
      <c r="H138" s="4">
        <f>-(H21+H22)*0.105</f>
        <v/>
      </c>
      <c r="I138" s="4">
        <f>-(I21+I22)*0.105</f>
        <v/>
      </c>
      <c r="J138" s="4">
        <f>-(J21+J22)*0.105</f>
        <v/>
      </c>
      <c r="K138" s="4">
        <f>-(K21+K22)*0.105</f>
        <v/>
      </c>
      <c r="L138" s="4" t="n"/>
      <c r="M138" s="4" t="n"/>
      <c r="N138" s="4" t="n"/>
      <c r="O138" s="4" t="n"/>
      <c r="P138" s="4" t="n"/>
    </row>
    <row r="139">
      <c r="A139" t="inlineStr">
        <is>
          <t>BS-Contract Liabilities</t>
        </is>
      </c>
      <c r="B139" t="inlineStr">
        <is>
          <t>Contract Liabilities</t>
        </is>
      </c>
      <c r="C139" t="inlineStr">
        <is>
          <t>A$m</t>
        </is>
      </c>
      <c r="D139" s="19" t="n"/>
      <c r="E139" s="61" t="n">
        <v>3.858</v>
      </c>
      <c r="F139" s="61" t="n">
        <v>4.483</v>
      </c>
      <c r="G139" s="61" t="n">
        <v>5.203</v>
      </c>
      <c r="H139" s="4">
        <f>G139*1.05</f>
        <v/>
      </c>
      <c r="I139" s="4">
        <f>H139*1.05</f>
        <v/>
      </c>
      <c r="J139" s="4">
        <f>I139*1.05</f>
        <v/>
      </c>
      <c r="K139" s="4">
        <f>J139*1.05</f>
        <v/>
      </c>
      <c r="L139" s="4" t="n"/>
      <c r="M139" s="4" t="n"/>
      <c r="N139" s="4" t="n"/>
      <c r="O139" s="4" t="n"/>
      <c r="P139" s="4" t="n"/>
    </row>
    <row r="140">
      <c r="A140" t="inlineStr">
        <is>
          <t>BS-Lease Liabilities</t>
        </is>
      </c>
      <c r="B140" t="inlineStr">
        <is>
          <t>Lease Liabilities</t>
        </is>
      </c>
      <c r="C140" t="inlineStr">
        <is>
          <t>A$m</t>
        </is>
      </c>
      <c r="D140" s="19" t="n"/>
      <c r="E140" s="61" t="n">
        <v>181.717</v>
      </c>
      <c r="F140" s="61" t="n">
        <v>239.498</v>
      </c>
      <c r="G140" s="61" t="n">
        <v>331.311</v>
      </c>
      <c r="H140" s="4">
        <f>G140+H149+H179</f>
        <v/>
      </c>
      <c r="I140" s="4">
        <f>H140+I149+I179</f>
        <v/>
      </c>
      <c r="J140" s="4">
        <f>I140+J149+J179</f>
        <v/>
      </c>
      <c r="K140" s="4">
        <f>J140+K149+K179</f>
        <v/>
      </c>
      <c r="L140" s="4" t="n"/>
      <c r="M140" s="4" t="n"/>
      <c r="N140" s="4" t="n"/>
      <c r="O140" s="4" t="n"/>
      <c r="P140" s="4" t="n"/>
    </row>
    <row r="141">
      <c r="A141" t="inlineStr">
        <is>
          <t>BS-Income Tax Payable</t>
        </is>
      </c>
      <c r="B141" s="20" t="inlineStr">
        <is>
          <t>Income Tax Payable</t>
        </is>
      </c>
      <c r="C141" s="20" t="inlineStr">
        <is>
          <t>A$m</t>
        </is>
      </c>
      <c r="D141" s="21" t="n"/>
      <c r="E141" s="62" t="n">
        <v>3.636</v>
      </c>
      <c r="F141" s="62" t="n">
        <v>10.138</v>
      </c>
      <c r="G141" s="62" t="n">
        <v>8.916</v>
      </c>
      <c r="H141" s="21">
        <f>G141+(-H72)+H164</f>
        <v/>
      </c>
      <c r="I141" s="21">
        <f>H141+(-I72)+I164</f>
        <v/>
      </c>
      <c r="J141" s="21">
        <f>I141+(-J72)+J164</f>
        <v/>
      </c>
      <c r="K141" s="21">
        <f>J141+(-K72)+K164</f>
        <v/>
      </c>
      <c r="L141" s="21" t="n"/>
      <c r="M141" s="21" t="n"/>
      <c r="N141" s="21" t="n"/>
      <c r="O141" s="21" t="n"/>
      <c r="P141" s="21" t="n"/>
    </row>
    <row r="142">
      <c r="A142" t="inlineStr">
        <is>
          <t>BS-Provisions</t>
        </is>
      </c>
      <c r="B142" s="8" t="inlineStr">
        <is>
          <t>Provisions</t>
        </is>
      </c>
      <c r="C142" t="inlineStr">
        <is>
          <t>A$m</t>
        </is>
      </c>
      <c r="D142" s="6" t="n"/>
      <c r="E142" s="61" t="n">
        <v>11.696</v>
      </c>
      <c r="F142" s="61" t="n">
        <v>14.312</v>
      </c>
      <c r="G142" s="61" t="n">
        <v>17.205</v>
      </c>
      <c r="H142" s="6">
        <f>G142*1.10</f>
        <v/>
      </c>
      <c r="I142" s="6">
        <f>H142*1.10</f>
        <v/>
      </c>
      <c r="J142" s="6">
        <f>I142*1.10</f>
        <v/>
      </c>
      <c r="K142" s="6">
        <f>J142*1.10</f>
        <v/>
      </c>
      <c r="L142" s="6" t="n"/>
      <c r="M142" s="6" t="n"/>
      <c r="N142" s="6" t="n"/>
      <c r="O142" s="6" t="n"/>
      <c r="P142" s="6" t="n"/>
    </row>
    <row r="143">
      <c r="A143" t="inlineStr">
        <is>
          <t>BS-Borrowings</t>
        </is>
      </c>
      <c r="B143" s="8" t="inlineStr">
        <is>
          <t>Borrowings</t>
        </is>
      </c>
      <c r="C143" t="inlineStr">
        <is>
          <t>A$m</t>
        </is>
      </c>
      <c r="D143" s="13" t="n"/>
      <c r="E143" s="61" t="n">
        <v>3</v>
      </c>
      <c r="F143" s="61" t="n">
        <v>0</v>
      </c>
      <c r="G143" s="61" t="n">
        <v>0</v>
      </c>
      <c r="H143" s="13" t="n">
        <v>0</v>
      </c>
      <c r="I143" s="13" t="n">
        <v>0</v>
      </c>
      <c r="J143" s="13" t="n">
        <v>0</v>
      </c>
      <c r="K143" s="13" t="n">
        <v>0</v>
      </c>
      <c r="L143" s="13" t="n"/>
      <c r="M143" s="13" t="n"/>
      <c r="N143" s="13" t="n"/>
      <c r="O143" s="13" t="n"/>
      <c r="P143" s="13" t="n"/>
    </row>
    <row r="144">
      <c r="A144" t="inlineStr">
        <is>
          <t>BS-Other Liabilities</t>
        </is>
      </c>
      <c r="B144" s="8" t="inlineStr">
        <is>
          <t>Other Liabilities</t>
        </is>
      </c>
      <c r="C144" t="inlineStr">
        <is>
          <t>A$m</t>
        </is>
      </c>
      <c r="D144" s="4" t="n"/>
      <c r="E144" s="61" t="n">
        <v>0</v>
      </c>
      <c r="F144" s="61" t="n">
        <v>0</v>
      </c>
      <c r="G144" s="61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/>
      <c r="M144" s="4" t="n"/>
      <c r="N144" s="4" t="n"/>
      <c r="O144" s="4" t="n"/>
      <c r="P144" s="4" t="n"/>
    </row>
    <row r="145">
      <c r="B145" s="8" t="inlineStr">
        <is>
          <t>Total Liabilities</t>
        </is>
      </c>
      <c r="C145" t="inlineStr">
        <is>
          <t>A$m</t>
        </is>
      </c>
      <c r="D145" s="4" t="n"/>
      <c r="E145" s="4">
        <f>SUM(E138:E144)</f>
        <v/>
      </c>
      <c r="F145" s="4">
        <f>SUM(F138:F144)</f>
        <v/>
      </c>
      <c r="G145" s="4">
        <f>SUM(G138:G144)</f>
        <v/>
      </c>
      <c r="H145" s="4">
        <f>SUM(H138:H144)</f>
        <v/>
      </c>
      <c r="I145" s="4">
        <f>SUM(I138:I144)</f>
        <v/>
      </c>
      <c r="J145" s="4">
        <f>SUM(J138:J144)</f>
        <v/>
      </c>
      <c r="K145" s="4">
        <f>SUM(K138:K144)</f>
        <v/>
      </c>
      <c r="L145" s="4" t="n"/>
      <c r="M145" s="4" t="n"/>
      <c r="N145" s="4" t="n"/>
      <c r="O145" s="4" t="n"/>
      <c r="P145" s="4" t="n"/>
    </row>
    <row r="146">
      <c r="A146" s="2" t="n"/>
      <c r="B146" s="18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B147" s="5" t="inlineStr">
        <is>
          <t>Net Cash / (Debt)</t>
        </is>
      </c>
      <c r="C147" t="inlineStr">
        <is>
          <t>A$m</t>
        </is>
      </c>
      <c r="H147" s="4">
        <f>H124-H143</f>
        <v/>
      </c>
      <c r="I147" s="4">
        <f>I124-I143</f>
        <v/>
      </c>
      <c r="J147" s="4">
        <f>J124-J143</f>
        <v/>
      </c>
      <c r="K147" s="4">
        <f>K124-K143</f>
        <v/>
      </c>
    </row>
    <row r="148">
      <c r="B148" s="8" t="inlineStr">
        <is>
          <t>Net Cash incl Term Deposits</t>
        </is>
      </c>
      <c r="C148" t="inlineStr">
        <is>
          <t>A$m</t>
        </is>
      </c>
      <c r="D148" s="4" t="n"/>
      <c r="E148" s="4" t="n"/>
      <c r="F148" s="4" t="n"/>
      <c r="G148" s="4" t="n"/>
      <c r="H148" s="4">
        <f>H124+H125-H143</f>
        <v/>
      </c>
      <c r="I148" s="4">
        <f>I124+I125-I143</f>
        <v/>
      </c>
      <c r="J148" s="4">
        <f>J124+J125-J143</f>
        <v/>
      </c>
      <c r="K148" s="4">
        <f>K124+K125-K143</f>
        <v/>
      </c>
      <c r="L148" s="4" t="n"/>
      <c r="M148" s="4" t="n"/>
      <c r="N148" s="4" t="n"/>
      <c r="O148" s="4" t="n"/>
      <c r="P148" s="4" t="n"/>
    </row>
    <row r="149">
      <c r="B149" t="inlineStr">
        <is>
          <t>New Lease Additions</t>
        </is>
      </c>
      <c r="C149" t="inlineStr">
        <is>
          <t>A$m</t>
        </is>
      </c>
      <c r="D149" s="4" t="n"/>
      <c r="E149" s="4" t="n"/>
      <c r="F149" s="4" t="n"/>
      <c r="G149" s="4" t="n"/>
      <c r="H149" s="74" t="n">
        <v>40</v>
      </c>
      <c r="I149" s="74" t="n">
        <v>42</v>
      </c>
      <c r="J149" s="74" t="n">
        <v>45</v>
      </c>
      <c r="K149" s="74" t="n">
        <v>48</v>
      </c>
      <c r="L149" s="4" t="n"/>
      <c r="M149" s="4" t="n"/>
      <c r="N149" s="4" t="n"/>
      <c r="O149" s="4" t="n"/>
      <c r="P149" s="4" t="n"/>
    </row>
    <row r="150"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</row>
    <row r="151">
      <c r="B151" s="63" t="inlineStr">
        <is>
          <t>Equity</t>
        </is>
      </c>
      <c r="C151" s="20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</row>
    <row r="152">
      <c r="A152" t="inlineStr">
        <is>
          <t>BS-Issued Capital</t>
        </is>
      </c>
      <c r="B152" t="inlineStr">
        <is>
          <t>Issued Capital</t>
        </is>
      </c>
      <c r="C152" t="inlineStr">
        <is>
          <t>A$m</t>
        </is>
      </c>
      <c r="D152" s="19" t="n"/>
      <c r="E152" s="61" t="n">
        <v>104.046</v>
      </c>
      <c r="F152" s="61" t="n">
        <v>372.708</v>
      </c>
      <c r="G152" s="61" t="n">
        <v>374.988</v>
      </c>
      <c r="H152" s="4">
        <f>G152+H176+H177</f>
        <v/>
      </c>
      <c r="I152" s="4">
        <f>H152+I176+I177</f>
        <v/>
      </c>
      <c r="J152" s="4">
        <f>I152+J176+J177</f>
        <v/>
      </c>
      <c r="K152" s="4">
        <f>J152+K176+K177</f>
        <v/>
      </c>
      <c r="L152" s="4" t="n"/>
      <c r="M152" s="4" t="n"/>
      <c r="N152" s="4" t="n"/>
      <c r="O152" s="4" t="n"/>
      <c r="P152" s="4" t="n"/>
    </row>
    <row r="153">
      <c r="A153" t="inlineStr">
        <is>
          <t>BS-SBP Reserve</t>
        </is>
      </c>
      <c r="B153" t="inlineStr">
        <is>
          <t>Share-Based Payments Reserve</t>
        </is>
      </c>
      <c r="C153" t="inlineStr">
        <is>
          <t>A$m</t>
        </is>
      </c>
      <c r="D153" s="19" t="n"/>
      <c r="E153" s="61" t="n">
        <v>10.776</v>
      </c>
      <c r="F153" s="61" t="n">
        <v>16.943</v>
      </c>
      <c r="G153" s="61" t="n">
        <v>26.737</v>
      </c>
      <c r="H153" s="4">
        <f>G153-H39</f>
        <v/>
      </c>
      <c r="I153" s="4">
        <f>H153-I39</f>
        <v/>
      </c>
      <c r="J153" s="4">
        <f>I153-J39</f>
        <v/>
      </c>
      <c r="K153" s="4">
        <f>J153-K39</f>
        <v/>
      </c>
      <c r="L153" s="4" t="n"/>
      <c r="M153" s="4" t="n"/>
      <c r="N153" s="4" t="n"/>
      <c r="O153" s="4" t="n"/>
      <c r="P153" s="4" t="n"/>
    </row>
    <row r="154">
      <c r="A154" t="inlineStr">
        <is>
          <t>BS-FX Reserve</t>
        </is>
      </c>
      <c r="B154" t="inlineStr">
        <is>
          <t>Currency Translation Reserve</t>
        </is>
      </c>
      <c r="C154" t="inlineStr">
        <is>
          <t>A$m</t>
        </is>
      </c>
      <c r="D154" s="19" t="n"/>
      <c r="E154" s="61" t="n">
        <v>0.405</v>
      </c>
      <c r="F154" s="61" t="n">
        <v>0.475</v>
      </c>
      <c r="G154" s="61" t="n">
        <v>0.07000000000000001</v>
      </c>
      <c r="H154" s="4">
        <f>G154</f>
        <v/>
      </c>
      <c r="I154" s="4">
        <f>H154</f>
        <v/>
      </c>
      <c r="J154" s="4">
        <f>I154</f>
        <v/>
      </c>
      <c r="K154" s="4">
        <f>J154</f>
        <v/>
      </c>
      <c r="L154" s="4" t="n"/>
      <c r="M154" s="4" t="n"/>
      <c r="N154" s="4" t="n"/>
      <c r="O154" s="4" t="n"/>
      <c r="P154" s="4" t="n"/>
    </row>
    <row r="155">
      <c r="A155" t="inlineStr">
        <is>
          <t>BS-Acc Losses</t>
        </is>
      </c>
      <c r="B155" t="inlineStr">
        <is>
          <t>Accumulated Losses</t>
        </is>
      </c>
      <c r="C155" t="inlineStr">
        <is>
          <t>A$m</t>
        </is>
      </c>
      <c r="D155" s="19" t="n"/>
      <c r="E155" s="61" t="n">
        <v>-26.857</v>
      </c>
      <c r="F155" s="61" t="n">
        <v>-36.147</v>
      </c>
      <c r="G155" s="61" t="n">
        <v>-21.671</v>
      </c>
      <c r="H155" s="4">
        <f>G155+H74-H90</f>
        <v/>
      </c>
      <c r="I155" s="4">
        <f>H155+I74-I90</f>
        <v/>
      </c>
      <c r="J155" s="4">
        <f>I155+J74-J90</f>
        <v/>
      </c>
      <c r="K155" s="4">
        <f>J155+K74-K90</f>
        <v/>
      </c>
      <c r="L155" s="4" t="n"/>
      <c r="M155" s="4" t="n"/>
      <c r="N155" s="4" t="n"/>
      <c r="O155" s="4" t="n"/>
      <c r="P155" s="4" t="n"/>
    </row>
    <row r="156">
      <c r="B156" s="20" t="inlineStr">
        <is>
          <t>Total Equity</t>
        </is>
      </c>
      <c r="C156" s="20" t="inlineStr">
        <is>
          <t>A$m</t>
        </is>
      </c>
      <c r="D156" s="32" t="n"/>
      <c r="E156" s="32">
        <f>E152+E153+E154+E155</f>
        <v/>
      </c>
      <c r="F156" s="32">
        <f>F152+F153+F154+F155</f>
        <v/>
      </c>
      <c r="G156" s="21">
        <f>G152+G153+G154+G155</f>
        <v/>
      </c>
      <c r="H156" s="21">
        <f>H152+H153+H154+H155</f>
        <v/>
      </c>
      <c r="I156" s="21">
        <f>I152+I153+I154+I155</f>
        <v/>
      </c>
      <c r="J156" s="21">
        <f>J152+J153+J154+J155</f>
        <v/>
      </c>
      <c r="K156" s="21">
        <f>K152+K153+K154+K155</f>
        <v/>
      </c>
      <c r="L156" s="21" t="n"/>
      <c r="M156" s="21" t="n"/>
      <c r="N156" s="21" t="n"/>
      <c r="O156" s="21" t="n"/>
      <c r="P156" s="21" t="n"/>
    </row>
    <row r="157">
      <c r="B157" t="inlineStr">
        <is>
          <t>ROE</t>
        </is>
      </c>
      <c r="C157" t="inlineStr">
        <is>
          <t>%</t>
        </is>
      </c>
      <c r="D157" s="6" t="n"/>
      <c r="E157" s="6" t="n"/>
      <c r="F157" s="6" t="n"/>
      <c r="G157" s="6" t="n"/>
      <c r="H157" s="6">
        <f>H74/H156</f>
        <v/>
      </c>
      <c r="I157" s="6">
        <f>I74/I156</f>
        <v/>
      </c>
      <c r="J157" s="6">
        <f>J74/J156</f>
        <v/>
      </c>
      <c r="K157" s="6">
        <f>K74/K156</f>
        <v/>
      </c>
      <c r="L157" s="6" t="n"/>
      <c r="M157" s="6" t="n"/>
      <c r="N157" s="6" t="n"/>
      <c r="O157" s="6" t="n"/>
      <c r="P157" s="6" t="n"/>
    </row>
    <row r="158">
      <c r="B158" t="inlineStr">
        <is>
          <t>BS Check (should be 0)</t>
        </is>
      </c>
      <c r="C158" t="inlineStr">
        <is>
          <t>A$m</t>
        </is>
      </c>
      <c r="D158" s="6" t="n"/>
      <c r="E158" s="6">
        <f>E135-E145-E156</f>
        <v/>
      </c>
      <c r="F158" s="6">
        <f>F135-F145-F156</f>
        <v/>
      </c>
      <c r="G158" s="6">
        <f>G135-G145-G156</f>
        <v/>
      </c>
      <c r="H158" s="6">
        <f>H135-H145-H156</f>
        <v/>
      </c>
      <c r="I158" s="6">
        <f>I135-I145-I156</f>
        <v/>
      </c>
      <c r="J158" s="6">
        <f>J135-J145-J156</f>
        <v/>
      </c>
      <c r="K158" s="6">
        <f>K135-K145-K156</f>
        <v/>
      </c>
      <c r="L158" s="6" t="n"/>
      <c r="M158" s="6" t="n"/>
      <c r="N158" s="6" t="n"/>
      <c r="O158" s="6" t="n"/>
      <c r="P158" s="6" t="n"/>
    </row>
    <row r="160">
      <c r="B160" s="60" t="inlineStr">
        <is>
          <t>Cash Flow</t>
        </is>
      </c>
    </row>
    <row r="161">
      <c r="B161" s="60" t="inlineStr">
        <is>
          <t>CFO</t>
        </is>
      </c>
      <c r="D161" s="19" t="n"/>
      <c r="E161" s="19" t="n"/>
      <c r="F161" s="19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</row>
    <row r="162">
      <c r="A162" t="inlineStr">
        <is>
          <t>CF-Receipts</t>
        </is>
      </c>
      <c r="B162" s="25" t="inlineStr">
        <is>
          <t>Receipts from Customers</t>
        </is>
      </c>
      <c r="C162" t="inlineStr">
        <is>
          <t>A$m</t>
        </is>
      </c>
      <c r="D162" s="6" t="n"/>
      <c r="E162" s="61" t="n">
        <v>295.589</v>
      </c>
      <c r="F162" s="61" t="n">
        <v>400.578</v>
      </c>
      <c r="G162" s="61" t="n">
        <v>514.877</v>
      </c>
      <c r="H162" s="26">
        <f>H10*1.1</f>
        <v/>
      </c>
      <c r="I162" s="26">
        <f>I10*1.1</f>
        <v/>
      </c>
      <c r="J162" s="26">
        <f>J10*1.1</f>
        <v/>
      </c>
      <c r="K162" s="26">
        <f>K10*1.1</f>
        <v/>
      </c>
      <c r="L162" s="26" t="n"/>
      <c r="M162" s="26" t="n"/>
      <c r="N162" s="26" t="n"/>
      <c r="O162" s="26" t="n"/>
      <c r="P162" s="26" t="n"/>
    </row>
    <row r="163">
      <c r="A163" t="inlineStr">
        <is>
          <t>CF-Payments</t>
        </is>
      </c>
      <c r="B163" t="inlineStr">
        <is>
          <t>Payments to Suppliers and Employees</t>
        </is>
      </c>
      <c r="C163" t="inlineStr">
        <is>
          <t>A$m</t>
        </is>
      </c>
      <c r="D163" s="41" t="n"/>
      <c r="E163" s="61" t="n">
        <v>-260.344</v>
      </c>
      <c r="F163" s="61" t="n">
        <v>-359.324</v>
      </c>
      <c r="G163" s="61" t="n">
        <v>-438.161</v>
      </c>
      <c r="H163" s="42">
        <f>(H21+H22+H23+H24+H25)*1.1</f>
        <v/>
      </c>
      <c r="I163" s="42">
        <f>(I21+I22+I23+I24+I25)*1.1</f>
        <v/>
      </c>
      <c r="J163" s="42">
        <f>(J21+J22+J23+J24+J25)*1.1</f>
        <v/>
      </c>
      <c r="K163" s="42">
        <f>(K21+K22+K23+K24+K25)*1.1</f>
        <v/>
      </c>
      <c r="L163" s="42" t="n"/>
      <c r="M163" s="42" t="n"/>
      <c r="N163" s="42" t="n"/>
      <c r="O163" s="42" t="n"/>
      <c r="P163" s="42" t="n"/>
    </row>
    <row r="164">
      <c r="A164" t="inlineStr">
        <is>
          <t>CF-Tax Paid</t>
        </is>
      </c>
      <c r="B164" t="inlineStr">
        <is>
          <t>Income Taxes Paid</t>
        </is>
      </c>
      <c r="C164" t="inlineStr">
        <is>
          <t>A$m</t>
        </is>
      </c>
      <c r="D164" s="19" t="n"/>
      <c r="E164" s="61" t="n">
        <v>-0.298</v>
      </c>
      <c r="F164" s="61" t="n">
        <v>-4.489</v>
      </c>
      <c r="G164" s="61" t="n">
        <v>-19.389</v>
      </c>
      <c r="H164" s="42">
        <f>H72*0.95</f>
        <v/>
      </c>
      <c r="I164" s="42">
        <f>I72*0.95</f>
        <v/>
      </c>
      <c r="J164" s="42">
        <f>J72*0.95</f>
        <v/>
      </c>
      <c r="K164" s="42">
        <f>K72*0.95</f>
        <v/>
      </c>
      <c r="L164" s="42" t="n"/>
      <c r="M164" s="42" t="n"/>
      <c r="N164" s="42" t="n"/>
      <c r="O164" s="42" t="n"/>
      <c r="P164" s="42" t="n"/>
    </row>
    <row r="165">
      <c r="A165" t="inlineStr">
        <is>
          <t>CF-Net OCF</t>
        </is>
      </c>
      <c r="B165" t="inlineStr">
        <is>
          <t>Net Operating Cash Flow</t>
        </is>
      </c>
      <c r="C165" t="inlineStr">
        <is>
          <t>A$m</t>
        </is>
      </c>
      <c r="D165" s="19" t="n"/>
      <c r="E165" s="61" t="n">
        <v>34.947</v>
      </c>
      <c r="F165" s="61" t="n">
        <v>36.765</v>
      </c>
      <c r="G165" s="61" t="n">
        <v>57.327</v>
      </c>
      <c r="H165" s="42">
        <f>H162+H163+H164</f>
        <v/>
      </c>
      <c r="I165" s="42">
        <f>I162+I163+I164</f>
        <v/>
      </c>
      <c r="J165" s="42">
        <f>J162+J163+J164</f>
        <v/>
      </c>
      <c r="K165" s="42">
        <f>K162+K163+K164</f>
        <v/>
      </c>
      <c r="L165" s="42" t="n"/>
      <c r="M165" s="42" t="n"/>
      <c r="N165" s="42" t="n"/>
      <c r="O165" s="42" t="n"/>
      <c r="P165" s="42" t="n"/>
    </row>
    <row r="166">
      <c r="D166" s="4" t="n"/>
      <c r="E166" s="4" t="n"/>
      <c r="F166" s="4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</row>
    <row r="167">
      <c r="B167" s="63" t="inlineStr">
        <is>
          <t>CFI</t>
        </is>
      </c>
      <c r="C167" s="20" t="n"/>
      <c r="D167" s="32" t="n"/>
      <c r="E167" s="32" t="n"/>
      <c r="F167" s="32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</row>
    <row r="168">
      <c r="A168" t="inlineStr">
        <is>
          <t>CF-Term Deposits</t>
        </is>
      </c>
      <c r="B168" t="inlineStr">
        <is>
          <t>Funds in/(from) Term Deposits</t>
        </is>
      </c>
      <c r="C168" t="inlineStr">
        <is>
          <t>A$m</t>
        </is>
      </c>
      <c r="E168" s="61" t="n">
        <v>0</v>
      </c>
      <c r="F168" s="61" t="n">
        <v>-278.095</v>
      </c>
      <c r="G168" s="61" t="n">
        <v>38.406</v>
      </c>
      <c r="H168" s="72" t="n">
        <v>30</v>
      </c>
      <c r="I168" s="72" t="n">
        <v>25</v>
      </c>
      <c r="J168" s="72" t="n">
        <v>20</v>
      </c>
      <c r="K168" s="72" t="n">
        <v>15</v>
      </c>
    </row>
    <row r="169">
      <c r="A169" t="inlineStr">
        <is>
          <t>CF-Capex PPE</t>
        </is>
      </c>
      <c r="B169" s="5" t="inlineStr">
        <is>
          <t>Payments for PPE</t>
        </is>
      </c>
      <c r="C169" t="inlineStr">
        <is>
          <t>A$m</t>
        </is>
      </c>
      <c r="E169" s="61" t="n">
        <v>-39.713</v>
      </c>
      <c r="F169" s="61" t="n">
        <v>-33.496</v>
      </c>
      <c r="G169" s="61" t="n">
        <v>-61.326</v>
      </c>
      <c r="H169" s="72" t="n">
        <v>-70</v>
      </c>
      <c r="I169" s="72" t="n">
        <v>-75</v>
      </c>
      <c r="J169" s="72" t="n">
        <v>-80</v>
      </c>
      <c r="K169" s="72" t="n">
        <v>-85</v>
      </c>
    </row>
    <row r="170">
      <c r="A170" t="inlineStr">
        <is>
          <t>CF-Capex Intang</t>
        </is>
      </c>
      <c r="B170" t="inlineStr">
        <is>
          <t>Payments for Intangibles</t>
        </is>
      </c>
      <c r="C170" t="inlineStr">
        <is>
          <t>A$m</t>
        </is>
      </c>
      <c r="D170" s="19" t="n"/>
      <c r="E170" s="61" t="n">
        <v>-2.944</v>
      </c>
      <c r="F170" s="61" t="n">
        <v>-0.063</v>
      </c>
      <c r="G170" s="61" t="n">
        <v>-0.037</v>
      </c>
      <c r="H170" s="72" t="n">
        <v>-0.5</v>
      </c>
      <c r="I170" s="72" t="n">
        <v>-0.5</v>
      </c>
      <c r="J170" s="72" t="n">
        <v>-0.5</v>
      </c>
      <c r="K170" s="72" t="n">
        <v>-0.5</v>
      </c>
      <c r="L170" s="4" t="n"/>
      <c r="M170" s="4" t="n"/>
      <c r="N170" s="4" t="n"/>
      <c r="O170" s="4" t="n"/>
      <c r="P170" s="4" t="n"/>
    </row>
    <row r="171">
      <c r="A171" t="inlineStr">
        <is>
          <t>CF-Biz Combos</t>
        </is>
      </c>
      <c r="B171" t="inlineStr">
        <is>
          <t>Business Combinations (net)</t>
        </is>
      </c>
      <c r="C171" t="inlineStr">
        <is>
          <t>A$m</t>
        </is>
      </c>
      <c r="D171" s="4" t="n"/>
      <c r="E171" s="61" t="n">
        <v>-5.746</v>
      </c>
      <c r="F171" s="61" t="n">
        <v>-0.164</v>
      </c>
      <c r="G171" s="61" t="n">
        <v>-11.594</v>
      </c>
      <c r="H171" s="72" t="n">
        <v>-5</v>
      </c>
      <c r="I171" s="72" t="n">
        <v>-5</v>
      </c>
      <c r="J171" s="72" t="n">
        <v>-5</v>
      </c>
      <c r="K171" s="72" t="n">
        <v>-5</v>
      </c>
      <c r="L171" s="42" t="n"/>
      <c r="M171" s="42" t="n"/>
      <c r="N171" s="42" t="n"/>
      <c r="O171" s="42" t="n"/>
      <c r="P171" s="42" t="n"/>
    </row>
    <row r="172">
      <c r="A172" t="inlineStr">
        <is>
          <t>CF-Other CFI</t>
        </is>
      </c>
      <c r="B172" t="inlineStr">
        <is>
          <t>Other CFI</t>
        </is>
      </c>
      <c r="C172" t="inlineStr">
        <is>
          <t>A$m</t>
        </is>
      </c>
      <c r="D172" s="19" t="n"/>
      <c r="E172" s="61" t="n">
        <v>0</v>
      </c>
      <c r="F172" s="61" t="n">
        <v>0</v>
      </c>
      <c r="G172" s="61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/>
      <c r="M172" s="4" t="n"/>
      <c r="N172" s="4" t="n"/>
      <c r="O172" s="4" t="n"/>
      <c r="P172" s="4" t="n"/>
    </row>
    <row r="173">
      <c r="B173" t="inlineStr">
        <is>
          <t>Total Investing Cash Flow</t>
        </is>
      </c>
      <c r="C173" t="inlineStr">
        <is>
          <t>A$m</t>
        </is>
      </c>
      <c r="D173" s="4" t="n"/>
      <c r="E173" s="4" t="n"/>
      <c r="F173" s="4" t="n"/>
      <c r="G173" s="42" t="n"/>
      <c r="H173" s="42">
        <f>SUM(H168:H172)</f>
        <v/>
      </c>
      <c r="I173" s="42">
        <f>SUM(I168:I172)</f>
        <v/>
      </c>
      <c r="J173" s="42">
        <f>SUM(J168:J172)</f>
        <v/>
      </c>
      <c r="K173" s="42">
        <f>SUM(K168:K172)</f>
        <v/>
      </c>
      <c r="L173" s="42" t="n"/>
      <c r="M173" s="42" t="n"/>
      <c r="N173" s="42" t="n"/>
      <c r="O173" s="42" t="n"/>
      <c r="P173" s="42" t="n"/>
    </row>
    <row r="174">
      <c r="D174" s="4" t="n"/>
      <c r="E174" s="4" t="n"/>
      <c r="F174" s="4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</row>
    <row r="175">
      <c r="B175" s="63" t="inlineStr">
        <is>
          <t>CFF</t>
        </is>
      </c>
      <c r="C175" s="20" t="n"/>
      <c r="D175" s="32" t="n"/>
      <c r="E175" s="32" t="n"/>
      <c r="F175" s="32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</row>
    <row r="176">
      <c r="A176" t="inlineStr">
        <is>
          <t>CF-Share Issues</t>
        </is>
      </c>
      <c r="B176" t="inlineStr">
        <is>
          <t>Share Issues / Buybacks (net)</t>
        </is>
      </c>
      <c r="C176" t="inlineStr">
        <is>
          <t>A$m</t>
        </is>
      </c>
      <c r="E176" s="61" t="n">
        <v>4.883</v>
      </c>
      <c r="F176" s="61" t="n">
        <v>268.432</v>
      </c>
      <c r="G176" s="61" t="n">
        <v>1.547</v>
      </c>
      <c r="H176" s="72" t="n">
        <v>-15</v>
      </c>
      <c r="I176" s="72" t="n">
        <v>-15</v>
      </c>
      <c r="J176" s="72" t="n">
        <v>-15</v>
      </c>
      <c r="K176" s="72" t="n">
        <v>-15</v>
      </c>
    </row>
    <row r="177">
      <c r="A177" t="inlineStr">
        <is>
          <t>CF-Option Exercise</t>
        </is>
      </c>
      <c r="B177" s="20" t="inlineStr">
        <is>
          <t>Option Exercise Proceeds</t>
        </is>
      </c>
      <c r="C177" s="20" t="inlineStr">
        <is>
          <t>A$m</t>
        </is>
      </c>
      <c r="D177" s="21" t="n"/>
      <c r="E177" s="62" t="n">
        <v>0.245</v>
      </c>
      <c r="F177" s="62" t="n">
        <v>7.791</v>
      </c>
      <c r="G177" s="62" t="n">
        <v>0</v>
      </c>
      <c r="H177" s="79" t="n">
        <v>2</v>
      </c>
      <c r="I177" s="79" t="n">
        <v>2</v>
      </c>
      <c r="J177" s="79" t="n">
        <v>2</v>
      </c>
      <c r="K177" s="79" t="n">
        <v>2</v>
      </c>
      <c r="L177" s="21" t="n"/>
      <c r="M177" s="21" t="n"/>
      <c r="N177" s="21" t="n"/>
      <c r="O177" s="21" t="n"/>
      <c r="P177" s="21" t="n"/>
    </row>
    <row r="178">
      <c r="A178" t="inlineStr">
        <is>
          <t>CF-Dividends</t>
        </is>
      </c>
      <c r="B178" t="inlineStr">
        <is>
          <t>Dividends Paid</t>
        </is>
      </c>
      <c r="C178" t="inlineStr">
        <is>
          <t>A$m</t>
        </is>
      </c>
      <c r="E178" s="61" t="n">
        <v>0</v>
      </c>
      <c r="F178" s="61" t="n">
        <v>0</v>
      </c>
      <c r="G178" s="61" t="n">
        <v>0</v>
      </c>
      <c r="H178" s="4">
        <f>-G90</f>
        <v/>
      </c>
      <c r="I178" s="4">
        <f>-H90</f>
        <v/>
      </c>
      <c r="J178" s="4">
        <f>-I90</f>
        <v/>
      </c>
      <c r="K178" s="4">
        <f>-J90</f>
        <v/>
      </c>
    </row>
    <row r="179">
      <c r="A179" s="2" t="inlineStr">
        <is>
          <t>CF-Lease Principal</t>
        </is>
      </c>
      <c r="B179" s="18" t="inlineStr">
        <is>
          <t>Lease Principal Payments</t>
        </is>
      </c>
      <c r="C179" s="2" t="inlineStr">
        <is>
          <t>A$m</t>
        </is>
      </c>
      <c r="D179" s="2" t="n"/>
      <c r="E179" s="69" t="n">
        <v>-6.72</v>
      </c>
      <c r="F179" s="69" t="n">
        <v>-9.912000000000001</v>
      </c>
      <c r="G179" s="69" t="n">
        <v>-10.83</v>
      </c>
      <c r="H179" s="80">
        <f>G179*1.10</f>
        <v/>
      </c>
      <c r="I179" s="80">
        <f>H179*1.10</f>
        <v/>
      </c>
      <c r="J179" s="80">
        <f>I179*1.10</f>
        <v/>
      </c>
      <c r="K179" s="80">
        <f>J179*1.10</f>
        <v/>
      </c>
      <c r="L179" s="2" t="n"/>
      <c r="M179" s="2" t="n"/>
      <c r="N179" s="2" t="n"/>
      <c r="O179" s="2" t="n"/>
      <c r="P179" s="2" t="n"/>
    </row>
    <row r="180">
      <c r="A180" t="inlineStr">
        <is>
          <t>CF-Lease Interest</t>
        </is>
      </c>
      <c r="B180" s="8" t="inlineStr">
        <is>
          <t>Lease Interest Paid</t>
        </is>
      </c>
      <c r="C180" t="inlineStr">
        <is>
          <t>A$m</t>
        </is>
      </c>
      <c r="D180" s="4" t="n"/>
      <c r="E180" s="61" t="n">
        <v>-4.606</v>
      </c>
      <c r="F180" s="61" t="n">
        <v>-6.32</v>
      </c>
      <c r="G180" s="61" t="n">
        <v>-8.625999999999999</v>
      </c>
      <c r="H180" s="4">
        <f>H65</f>
        <v/>
      </c>
      <c r="I180" s="4">
        <f>I65</f>
        <v/>
      </c>
      <c r="J180" s="4">
        <f>J65</f>
        <v/>
      </c>
      <c r="K180" s="4">
        <f>K65</f>
        <v/>
      </c>
      <c r="L180" s="4" t="n"/>
      <c r="M180" s="4" t="n"/>
      <c r="N180" s="4" t="n"/>
      <c r="O180" s="4" t="n"/>
      <c r="P180" s="4" t="n"/>
    </row>
    <row r="181">
      <c r="A181" t="inlineStr">
        <is>
          <t>CF-Lease Incentives</t>
        </is>
      </c>
      <c r="B181" s="8" t="inlineStr">
        <is>
          <t>Lease Incentives Received</t>
        </is>
      </c>
      <c r="C181" t="inlineStr">
        <is>
          <t>A$m</t>
        </is>
      </c>
      <c r="D181" s="4" t="n"/>
      <c r="E181" s="61" t="n">
        <v>1.429</v>
      </c>
      <c r="F181" s="61" t="n">
        <v>1.172</v>
      </c>
      <c r="G181" s="61" t="n">
        <v>8.534000000000001</v>
      </c>
      <c r="H181" s="72" t="n">
        <v>8</v>
      </c>
      <c r="I181" s="72" t="n">
        <v>8</v>
      </c>
      <c r="J181" s="72" t="n">
        <v>8</v>
      </c>
      <c r="K181" s="72" t="n">
        <v>8</v>
      </c>
      <c r="L181" s="4" t="n"/>
      <c r="M181" s="4" t="n"/>
      <c r="N181" s="4" t="n"/>
      <c r="O181" s="4" t="n"/>
      <c r="P181" s="4" t="n"/>
    </row>
    <row r="182">
      <c r="A182" t="inlineStr">
        <is>
          <t>CF-Borrowings</t>
        </is>
      </c>
      <c r="B182" s="8" t="inlineStr">
        <is>
          <t>Repayment of Borrowings</t>
        </is>
      </c>
      <c r="C182" t="inlineStr">
        <is>
          <t>A$m</t>
        </is>
      </c>
      <c r="D182" s="4" t="n"/>
      <c r="E182" s="61" t="n">
        <v>-0.358</v>
      </c>
      <c r="F182" s="61" t="n">
        <v>-3</v>
      </c>
      <c r="G182" s="61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/>
      <c r="M182" s="4" t="n"/>
      <c r="N182" s="4" t="n"/>
      <c r="O182" s="4" t="n"/>
      <c r="P182" s="4" t="n"/>
    </row>
    <row r="183">
      <c r="A183" t="inlineStr">
        <is>
          <t>CF-Other Fin</t>
        </is>
      </c>
      <c r="B183" s="20" t="inlineStr">
        <is>
          <t>Other Finance Income/(Costs) net</t>
        </is>
      </c>
      <c r="C183" s="20" t="inlineStr">
        <is>
          <t>A$m</t>
        </is>
      </c>
      <c r="D183" s="21" t="n"/>
      <c r="E183" s="62" t="n">
        <v>0.66</v>
      </c>
      <c r="F183" s="62" t="n">
        <v>5.771</v>
      </c>
      <c r="G183" s="62" t="n">
        <v>10.054</v>
      </c>
      <c r="H183" s="21">
        <f>H59-0.1</f>
        <v/>
      </c>
      <c r="I183" s="21">
        <f>I59-0.1</f>
        <v/>
      </c>
      <c r="J183" s="21">
        <f>J59-0.1</f>
        <v/>
      </c>
      <c r="K183" s="21">
        <f>K59-0.1</f>
        <v/>
      </c>
      <c r="L183" s="21" t="n"/>
      <c r="M183" s="21" t="n"/>
      <c r="N183" s="21" t="n"/>
      <c r="O183" s="21" t="n"/>
      <c r="P183" s="21" t="n"/>
    </row>
    <row r="184">
      <c r="B184" s="8" t="inlineStr">
        <is>
          <t>Total Financing Cash Flow</t>
        </is>
      </c>
      <c r="C184" t="inlineStr">
        <is>
          <t>A$m</t>
        </is>
      </c>
      <c r="D184" s="9" t="n"/>
      <c r="E184" s="9" t="n"/>
      <c r="F184" s="9" t="n"/>
      <c r="G184" s="9" t="n"/>
      <c r="H184" s="9">
        <f>SUM(H176:H183)</f>
        <v/>
      </c>
      <c r="I184" s="9">
        <f>SUM(I176:I183)</f>
        <v/>
      </c>
      <c r="J184" s="9">
        <f>SUM(J176:J183)</f>
        <v/>
      </c>
      <c r="K184" s="9">
        <f>SUM(K176:K183)</f>
        <v/>
      </c>
      <c r="L184" s="9" t="n"/>
      <c r="M184" s="9" t="n"/>
      <c r="N184" s="9" t="n"/>
      <c r="O184" s="9" t="n"/>
      <c r="P184" s="9" t="n"/>
    </row>
    <row r="185">
      <c r="B185" s="8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</row>
    <row r="186">
      <c r="B186" s="8" t="inlineStr">
        <is>
          <t>Net Change in Cash</t>
        </is>
      </c>
      <c r="C186" t="inlineStr">
        <is>
          <t>A$m</t>
        </is>
      </c>
      <c r="D186" s="6" t="n"/>
      <c r="E186" s="6" t="n"/>
      <c r="F186" s="6" t="n"/>
      <c r="G186" s="6" t="n"/>
      <c r="H186" s="6">
        <f>H165+H173+H184</f>
        <v/>
      </c>
      <c r="I186" s="6">
        <f>I165+I173+I184</f>
        <v/>
      </c>
      <c r="J186" s="6">
        <f>J165+J173+J184</f>
        <v/>
      </c>
      <c r="K186" s="6">
        <f>K165+K173+K184</f>
        <v/>
      </c>
      <c r="L186" s="6" t="n"/>
      <c r="M186" s="6" t="n"/>
      <c r="N186" s="6" t="n"/>
      <c r="O186" s="6" t="n"/>
      <c r="P186" s="6" t="n"/>
    </row>
    <row r="188">
      <c r="B188" s="60" t="inlineStr">
        <is>
          <t>Operating Free Cash Flow</t>
        </is>
      </c>
    </row>
    <row r="189">
      <c r="A189" s="2" t="n"/>
      <c r="B189" s="18" t="inlineStr">
        <is>
          <t>Net OCF</t>
        </is>
      </c>
      <c r="C189" s="2" t="inlineStr">
        <is>
          <t>A$m</t>
        </is>
      </c>
      <c r="D189" s="2" t="n"/>
      <c r="E189" s="2" t="n"/>
      <c r="F189" s="2" t="n"/>
      <c r="G189" s="2" t="n"/>
      <c r="H189" s="80">
        <f>H165</f>
        <v/>
      </c>
      <c r="I189" s="80">
        <f>I165</f>
        <v/>
      </c>
      <c r="J189" s="80">
        <f>J165</f>
        <v/>
      </c>
      <c r="K189" s="80">
        <f>K165</f>
        <v/>
      </c>
      <c r="L189" s="2" t="n"/>
      <c r="M189" s="2" t="n"/>
      <c r="N189" s="2" t="n"/>
      <c r="O189" s="2" t="n"/>
      <c r="P189" s="2" t="n"/>
    </row>
    <row r="190">
      <c r="B190" s="8" t="inlineStr">
        <is>
          <t>Net Capex</t>
        </is>
      </c>
      <c r="C190" t="inlineStr">
        <is>
          <t>A$m</t>
        </is>
      </c>
      <c r="D190" s="4" t="n"/>
      <c r="E190" s="4" t="n"/>
      <c r="F190" s="4" t="n"/>
      <c r="G190" s="4" t="n"/>
      <c r="H190" s="4">
        <f>H169+H170</f>
        <v/>
      </c>
      <c r="I190" s="4">
        <f>I169+I170</f>
        <v/>
      </c>
      <c r="J190" s="4">
        <f>J169+J170</f>
        <v/>
      </c>
      <c r="K190" s="4">
        <f>K169+K170</f>
        <v/>
      </c>
      <c r="L190" s="4" t="n"/>
      <c r="M190" s="4" t="n"/>
      <c r="N190" s="4" t="n"/>
      <c r="O190" s="4" t="n"/>
      <c r="P190" s="4" t="n"/>
    </row>
    <row r="191">
      <c r="B191" s="8" t="inlineStr">
        <is>
          <t>Lease Principal</t>
        </is>
      </c>
      <c r="C191" t="inlineStr">
        <is>
          <t>A$m</t>
        </is>
      </c>
      <c r="D191" s="4" t="n"/>
      <c r="E191" s="4" t="n"/>
      <c r="F191" s="4" t="n"/>
      <c r="G191" s="4" t="n"/>
      <c r="H191" s="4">
        <f>H179</f>
        <v/>
      </c>
      <c r="I191" s="4">
        <f>I179</f>
        <v/>
      </c>
      <c r="J191" s="4">
        <f>J179</f>
        <v/>
      </c>
      <c r="K191" s="4">
        <f>K179</f>
        <v/>
      </c>
      <c r="L191" s="4" t="n"/>
      <c r="M191" s="4" t="n"/>
      <c r="N191" s="4" t="n"/>
      <c r="O191" s="4" t="n"/>
      <c r="P191" s="4" t="n"/>
    </row>
    <row r="192">
      <c r="B192" s="8" t="inlineStr">
        <is>
          <t>Operating Free Cash Flow</t>
        </is>
      </c>
      <c r="C192" t="inlineStr">
        <is>
          <t>A$m</t>
        </is>
      </c>
      <c r="D192" s="6" t="n"/>
      <c r="E192" s="6" t="n"/>
      <c r="F192" s="6" t="n"/>
      <c r="G192" s="6" t="n"/>
      <c r="H192" s="6">
        <f>H189+H190+H191</f>
        <v/>
      </c>
      <c r="I192" s="6">
        <f>I189+I190+I191</f>
        <v/>
      </c>
      <c r="J192" s="6">
        <f>J189+J190+J191</f>
        <v/>
      </c>
      <c r="K192" s="6">
        <f>K189+K190+K191</f>
        <v/>
      </c>
      <c r="L192" s="6" t="n"/>
      <c r="M192" s="6" t="n"/>
      <c r="N192" s="6" t="n"/>
      <c r="O192" s="6" t="n"/>
      <c r="P192" s="6" t="n"/>
    </row>
    <row r="193">
      <c r="B193" s="8" t="inlineStr">
        <is>
          <t>FCF per Share</t>
        </is>
      </c>
      <c r="C193" t="inlineStr">
        <is>
          <t>Acps</t>
        </is>
      </c>
      <c r="D193" s="4" t="n"/>
      <c r="E193" s="4" t="n"/>
      <c r="F193" s="4" t="n"/>
      <c r="G193" s="4" t="n"/>
      <c r="H193" s="4">
        <f>H192/H82*100</f>
        <v/>
      </c>
      <c r="I193" s="4">
        <f>I192/I82*100</f>
        <v/>
      </c>
      <c r="J193" s="4">
        <f>J192/J82*100</f>
        <v/>
      </c>
      <c r="K193" s="4">
        <f>K192/K82*100</f>
        <v/>
      </c>
      <c r="L193" s="4" t="n"/>
      <c r="M193" s="4" t="n"/>
      <c r="N193" s="4" t="n"/>
      <c r="O193" s="4" t="n"/>
      <c r="P193" s="4" t="n"/>
    </row>
    <row r="194">
      <c r="B194" s="8" t="inlineStr">
        <is>
          <t>FCF Yield</t>
        </is>
      </c>
      <c r="C194" t="inlineStr">
        <is>
          <t>%</t>
        </is>
      </c>
      <c r="D194" s="6" t="n"/>
      <c r="E194" s="6" t="n"/>
      <c r="F194" s="6" t="n"/>
      <c r="G194" s="6" t="n"/>
      <c r="H194" s="6">
        <f>H192/H10</f>
        <v/>
      </c>
      <c r="I194" s="6">
        <f>I192/I10</f>
        <v/>
      </c>
      <c r="J194" s="6">
        <f>J192/J10</f>
        <v/>
      </c>
      <c r="K194" s="6">
        <f>K192/K10</f>
        <v/>
      </c>
      <c r="L194" s="6" t="n"/>
      <c r="M194" s="6" t="n"/>
      <c r="N194" s="6" t="n"/>
      <c r="O194" s="6" t="n"/>
      <c r="P194" s="6" t="n"/>
    </row>
    <row r="197">
      <c r="B197" s="18" t="n"/>
    </row>
    <row r="198">
      <c r="B198" s="25" t="n"/>
      <c r="D198" s="6" t="n"/>
      <c r="E198" s="6" t="n"/>
      <c r="F198" s="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</row>
    <row r="199">
      <c r="B199" s="25" t="n"/>
      <c r="D199" s="3" t="n"/>
      <c r="E199" s="3" t="n"/>
      <c r="F199" s="3" t="n"/>
      <c r="G199" s="48" t="n"/>
      <c r="H199" s="48" t="n"/>
      <c r="I199" s="48" t="n"/>
      <c r="J199" s="48" t="n"/>
      <c r="K199" s="48" t="n"/>
      <c r="L199" s="48" t="n"/>
      <c r="M199" s="48" t="n"/>
      <c r="N199" s="48" t="n"/>
      <c r="O199" s="48" t="n"/>
      <c r="P199" s="48" t="n"/>
    </row>
    <row r="200">
      <c r="B200" s="25" t="n"/>
      <c r="D200" s="3" t="n"/>
      <c r="E200" s="3" t="n"/>
      <c r="F200" s="3" t="n"/>
      <c r="G200" s="48" t="n"/>
      <c r="H200" s="48" t="n"/>
      <c r="I200" s="48" t="n"/>
      <c r="J200" s="48" t="n"/>
      <c r="K200" s="48" t="n"/>
      <c r="L200" s="48" t="n"/>
      <c r="M200" s="48" t="n"/>
      <c r="N200" s="48" t="n"/>
      <c r="O200" s="48" t="n"/>
      <c r="P200" s="48" t="n"/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N114" sqref="N114"/>
    </sheetView>
  </sheetViews>
  <sheetFormatPr baseColWidth="8" defaultRowHeight="14.5"/>
  <cols>
    <col hidden="1" width="28" customWidth="1" min="1" max="1"/>
    <col width="38" customWidth="1" min="2" max="2"/>
    <col width="8" customWidth="1" min="3" max="3"/>
    <col width="14" customWidth="1" min="4" max="33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D1" t="n">
        <v>2023</v>
      </c>
      <c r="E1" t="n">
        <v>2023</v>
      </c>
      <c r="F1" t="n">
        <v>2024</v>
      </c>
      <c r="G1" t="n">
        <v>2024</v>
      </c>
      <c r="H1" t="n">
        <v>2025</v>
      </c>
      <c r="I1" t="n">
        <v>2025</v>
      </c>
      <c r="J1" t="n">
        <v>2026</v>
      </c>
      <c r="K1" t="n">
        <v>2026</v>
      </c>
      <c r="L1" t="n">
        <v>2027</v>
      </c>
      <c r="M1" t="n">
        <v>2027</v>
      </c>
      <c r="N1" t="n">
        <v>2028</v>
      </c>
      <c r="O1" t="n">
        <v>2028</v>
      </c>
      <c r="P1" t="n">
        <v>2029</v>
      </c>
      <c r="Q1" t="n">
        <v>2029</v>
      </c>
    </row>
    <row r="2" ht="18.5" customHeight="1">
      <c r="B2" s="56" t="inlineStr">
        <is>
          <t>GYG Segments (Half-Year)</t>
        </is>
      </c>
      <c r="D2" s="15" t="n"/>
      <c r="E2" s="15" t="n"/>
      <c r="F2" s="15" t="n"/>
      <c r="G2" s="15" t="n"/>
      <c r="H2" s="15" t="n"/>
      <c r="I2" s="15" t="n"/>
      <c r="J2" s="15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  <c r="AA2" s="16" t="n"/>
      <c r="AB2" s="16" t="n"/>
      <c r="AC2" s="16" t="n"/>
    </row>
    <row r="3">
      <c r="B3" t="inlineStr">
        <is>
          <t>Guzman y Gomez (GYG.AX)</t>
        </is>
      </c>
      <c r="C3" t="inlineStr">
        <is>
          <t>Units</t>
        </is>
      </c>
      <c r="D3" s="57" t="inlineStr">
        <is>
          <t>1H23</t>
        </is>
      </c>
      <c r="E3" s="57" t="inlineStr">
        <is>
          <t>2H23</t>
        </is>
      </c>
      <c r="F3" s="57" t="inlineStr">
        <is>
          <t>1H24</t>
        </is>
      </c>
      <c r="G3" s="57" t="inlineStr">
        <is>
          <t>2H24</t>
        </is>
      </c>
      <c r="H3" s="57" t="inlineStr">
        <is>
          <t>1H25</t>
        </is>
      </c>
      <c r="I3" s="57" t="inlineStr">
        <is>
          <t>2H25</t>
        </is>
      </c>
      <c r="J3" s="57" t="inlineStr">
        <is>
          <t>1H26</t>
        </is>
      </c>
      <c r="K3" s="58" t="inlineStr">
        <is>
          <t>2H26E</t>
        </is>
      </c>
      <c r="L3" s="58" t="inlineStr">
        <is>
          <t>1H27E</t>
        </is>
      </c>
      <c r="M3" s="58" t="inlineStr">
        <is>
          <t>2H27E</t>
        </is>
      </c>
      <c r="N3" s="58" t="inlineStr">
        <is>
          <t>1H28E</t>
        </is>
      </c>
      <c r="O3" s="58" t="inlineStr">
        <is>
          <t>2H28E</t>
        </is>
      </c>
      <c r="P3" s="58" t="inlineStr">
        <is>
          <t>1H29E</t>
        </is>
      </c>
      <c r="Q3" s="58" t="inlineStr">
        <is>
          <t>2H29E</t>
        </is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  <c r="AC3" s="7" t="n"/>
    </row>
    <row r="4">
      <c r="D4" s="59" t="n">
        <v>44926</v>
      </c>
      <c r="E4" s="59" t="n">
        <v>45107</v>
      </c>
      <c r="F4" s="59" t="n">
        <v>45291</v>
      </c>
      <c r="G4" s="59" t="n">
        <v>45473</v>
      </c>
      <c r="H4" s="59" t="n">
        <v>45657</v>
      </c>
      <c r="I4" s="59" t="n">
        <v>45838</v>
      </c>
      <c r="J4" s="59" t="n">
        <v>46022</v>
      </c>
      <c r="K4" s="59" t="n">
        <v>46203</v>
      </c>
      <c r="L4" s="59" t="n">
        <v>46387</v>
      </c>
      <c r="M4" s="59" t="n">
        <v>46568</v>
      </c>
      <c r="N4" s="59" t="n">
        <v>46752</v>
      </c>
      <c r="O4" s="59" t="n">
        <v>46934</v>
      </c>
      <c r="P4" s="59" t="n">
        <v>47118</v>
      </c>
      <c r="Q4" s="59" t="n">
        <v>47299</v>
      </c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</row>
    <row r="5">
      <c r="A5" s="2" t="n"/>
      <c r="B5" s="60" t="inlineStr">
        <is>
          <t>Segment P&amp;L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>
      <c r="B6" s="60" t="inlineStr">
        <is>
          <t>Australia Segment</t>
        </is>
      </c>
    </row>
    <row r="7">
      <c r="A7" t="inlineStr">
        <is>
          <t>Seg-Aus Corp Sales</t>
        </is>
      </c>
      <c r="B7" t="inlineStr">
        <is>
          <t>Corporate Restaurant Sales - Aus</t>
        </is>
      </c>
      <c r="C7" t="inlineStr">
        <is>
          <t>A$m</t>
        </is>
      </c>
      <c r="D7" s="61" t="n">
        <v>100.6</v>
      </c>
      <c r="E7" s="61" t="n">
        <v>111.375</v>
      </c>
      <c r="F7" s="61" t="n">
        <v>136.155</v>
      </c>
      <c r="G7" s="61" t="n">
        <v>142.722</v>
      </c>
      <c r="H7" s="61" t="n">
        <v>176.051</v>
      </c>
      <c r="I7" s="61" t="n">
        <v>183.671</v>
      </c>
      <c r="J7" s="61" t="n"/>
      <c r="K7" s="4">
        <f>I7*(1+K90)</f>
        <v/>
      </c>
      <c r="L7" s="4">
        <f>J7*(1+L90)</f>
        <v/>
      </c>
      <c r="M7" s="4">
        <f>K7*(1+M90)</f>
        <v/>
      </c>
      <c r="N7" s="4">
        <f>L7*(1+N90)</f>
        <v/>
      </c>
      <c r="O7" s="4">
        <f>M7*(1+O90)</f>
        <v/>
      </c>
      <c r="P7" s="4">
        <f>N7*(1+P90)</f>
        <v/>
      </c>
      <c r="Q7" s="4">
        <f>O7*(1+Q90)</f>
        <v/>
      </c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>
      <c r="A8" t="inlineStr">
        <is>
          <t>Seg-Aus Corp Margin</t>
        </is>
      </c>
      <c r="B8" t="inlineStr">
        <is>
          <t>Corporate Restaurant Margin - Aus</t>
        </is>
      </c>
      <c r="C8" t="inlineStr">
        <is>
          <t>A$m</t>
        </is>
      </c>
      <c r="D8" s="61" t="n">
        <v>13.8</v>
      </c>
      <c r="E8" s="61" t="n">
        <v>16.634</v>
      </c>
      <c r="F8" s="61" t="n">
        <v>23.9</v>
      </c>
      <c r="G8" s="61" t="n">
        <v>24.651</v>
      </c>
      <c r="H8" s="61" t="n">
        <v>31.721</v>
      </c>
      <c r="I8" s="61" t="n">
        <v>32.618</v>
      </c>
      <c r="J8" s="61" t="n"/>
      <c r="K8" s="4">
        <f>K7*K91</f>
        <v/>
      </c>
      <c r="L8" s="4">
        <f>L7*L91</f>
        <v/>
      </c>
      <c r="M8" s="4">
        <f>M7*M91</f>
        <v/>
      </c>
      <c r="N8" s="4">
        <f>N7*N91</f>
        <v/>
      </c>
      <c r="O8" s="4">
        <f>O7*O91</f>
        <v/>
      </c>
      <c r="P8" s="4">
        <f>P7*P91</f>
        <v/>
      </c>
      <c r="Q8" s="4">
        <f>Q7*Q91</f>
        <v/>
      </c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>
      <c r="B9" s="20" t="inlineStr">
        <is>
          <t>Corporate Restaurant Margin % - Aus</t>
        </is>
      </c>
      <c r="C9" s="20" t="inlineStr">
        <is>
          <t>%</t>
        </is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</row>
    <row r="10">
      <c r="A10" t="inlineStr">
        <is>
          <t>Seg-Aus Franchise Rev</t>
        </is>
      </c>
      <c r="B10" t="inlineStr">
        <is>
          <t>Franchise and Other Revenue - Aus</t>
        </is>
      </c>
      <c r="C10" t="inlineStr">
        <is>
          <t>A$m</t>
        </is>
      </c>
      <c r="D10" s="61" t="n">
        <v>21</v>
      </c>
      <c r="E10" s="61" t="n">
        <v>23.746</v>
      </c>
      <c r="F10" s="61" t="n">
        <v>29.477</v>
      </c>
      <c r="G10" s="61" t="n">
        <v>31.268</v>
      </c>
      <c r="H10" s="61" t="n">
        <v>38.197</v>
      </c>
      <c r="I10" s="61" t="n">
        <v>40.463</v>
      </c>
      <c r="J10" s="61" t="n"/>
      <c r="K10" s="4">
        <f>I10*(1+K92)</f>
        <v/>
      </c>
      <c r="L10" s="4">
        <f>J10*(1+L92)</f>
        <v/>
      </c>
      <c r="M10" s="4">
        <f>K10*(1+M92)</f>
        <v/>
      </c>
      <c r="N10" s="4">
        <f>L10*(1+N92)</f>
        <v/>
      </c>
      <c r="O10" s="4">
        <f>M10*(1+O92)</f>
        <v/>
      </c>
      <c r="P10" s="4">
        <f>N10*(1+P92)</f>
        <v/>
      </c>
      <c r="Q10" s="4">
        <f>O10*(1+Q92)</f>
        <v/>
      </c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</row>
    <row r="11">
      <c r="A11" t="inlineStr">
        <is>
          <t>Seg-Aus GA</t>
        </is>
      </c>
      <c r="B11" t="inlineStr">
        <is>
          <t>G&amp;A Costs - Aus</t>
        </is>
      </c>
      <c r="C11" t="inlineStr">
        <is>
          <t>A$m</t>
        </is>
      </c>
      <c r="D11" s="61" t="n">
        <v>-21.4</v>
      </c>
      <c r="E11" s="61" t="n">
        <v>-20.474</v>
      </c>
      <c r="F11" s="61" t="n">
        <v>-29.128</v>
      </c>
      <c r="G11" s="61" t="n">
        <v>-32.632</v>
      </c>
      <c r="H11" s="61" t="n">
        <v>-38.137</v>
      </c>
      <c r="I11" s="61" t="n">
        <v>-38.833</v>
      </c>
      <c r="J11" s="61" t="n"/>
      <c r="K11" s="4">
        <f>I11*(1+K90*K93)</f>
        <v/>
      </c>
      <c r="L11" s="4">
        <f>J11*(1+L90*L93)</f>
        <v/>
      </c>
      <c r="M11" s="4">
        <f>K11*(1+M90*M93)</f>
        <v/>
      </c>
      <c r="N11" s="4">
        <f>L11*(1+N90*N93)</f>
        <v/>
      </c>
      <c r="O11" s="4">
        <f>M11*(1+O90*O93)</f>
        <v/>
      </c>
      <c r="P11" s="4">
        <f>N11*(1+P90*P93)</f>
        <v/>
      </c>
      <c r="Q11" s="4">
        <f>O11*(1+Q90*Q93)</f>
        <v/>
      </c>
    </row>
    <row r="12">
      <c r="A12" t="inlineStr">
        <is>
          <t>Seg-Aus Seg EBITDA</t>
        </is>
      </c>
      <c r="B12" s="5" t="inlineStr">
        <is>
          <t>Segment Underlying EBITDA - Aus</t>
        </is>
      </c>
      <c r="C12" t="inlineStr">
        <is>
          <t>A$m</t>
        </is>
      </c>
      <c r="D12" s="61" t="n">
        <v>13.4</v>
      </c>
      <c r="E12" s="61" t="n">
        <v>19.906</v>
      </c>
      <c r="F12" s="61" t="n">
        <v>24.249</v>
      </c>
      <c r="G12" s="61" t="n">
        <v>23.287</v>
      </c>
      <c r="H12" s="61" t="n">
        <v>31.781</v>
      </c>
      <c r="I12" s="61" t="n">
        <v>34.248</v>
      </c>
      <c r="J12" s="61" t="n"/>
      <c r="K12" s="4">
        <f>K8+K10+K11</f>
        <v/>
      </c>
      <c r="L12" s="4">
        <f>L8+L10+L11</f>
        <v/>
      </c>
      <c r="M12" s="4">
        <f>M8+M10+M11</f>
        <v/>
      </c>
      <c r="N12" s="4">
        <f>N8+N10+N11</f>
        <v/>
      </c>
      <c r="O12" s="4">
        <f>O8+O10+O11</f>
        <v/>
      </c>
      <c r="P12" s="4">
        <f>P8+P10+P11</f>
        <v/>
      </c>
      <c r="Q12" s="4">
        <f>Q8+Q10+Q11</f>
        <v/>
      </c>
    </row>
    <row r="13">
      <c r="B13" t="inlineStr">
        <is>
          <t>Seg EBITDA / Aus Network Sales</t>
        </is>
      </c>
      <c r="C13" t="inlineStr">
        <is>
          <t>%</t>
        </is>
      </c>
      <c r="D13" s="54" t="n"/>
      <c r="E13" s="4" t="n"/>
      <c r="F13" s="54" t="n"/>
      <c r="G13" s="4" t="n"/>
      <c r="H13" s="54" t="n"/>
      <c r="I13" s="4" t="n"/>
      <c r="J13" s="5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</row>
    <row r="14">
      <c r="D14" s="54" t="n"/>
      <c r="E14" s="4" t="n"/>
      <c r="F14" s="54" t="n"/>
      <c r="G14" s="4" t="n"/>
      <c r="H14" s="54" t="n"/>
      <c r="I14" s="4" t="n"/>
      <c r="J14" s="5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>
      <c r="B15" s="60" t="inlineStr">
        <is>
          <t>US Segment</t>
        </is>
      </c>
      <c r="D15" s="19" t="n"/>
      <c r="E15" s="4" t="n"/>
      <c r="F15" s="19" t="n"/>
      <c r="G15" s="4" t="n"/>
      <c r="H15" s="19" t="n"/>
      <c r="I15" s="4" t="n"/>
      <c r="J15" s="19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t="inlineStr">
        <is>
          <t>Seg-US Corp Sales</t>
        </is>
      </c>
      <c r="B16" s="20" t="inlineStr">
        <is>
          <t>Corporate Restaurant Sales - US</t>
        </is>
      </c>
      <c r="C16" s="20" t="inlineStr">
        <is>
          <t>A$m</t>
        </is>
      </c>
      <c r="D16" s="62" t="n">
        <v>1.4</v>
      </c>
      <c r="E16" s="62" t="n">
        <v>4.558999999999999</v>
      </c>
      <c r="F16" s="62" t="n">
        <v>5.618</v>
      </c>
      <c r="G16" s="62" t="n">
        <v>5.216</v>
      </c>
      <c r="H16" s="62" t="n">
        <v>3.232</v>
      </c>
      <c r="I16" s="62" t="n">
        <v>5.637</v>
      </c>
      <c r="J16" s="62" t="n"/>
      <c r="K16" s="21">
        <f>I16*(1+K95)</f>
        <v/>
      </c>
      <c r="L16" s="21">
        <f>J16*(1+L95)</f>
        <v/>
      </c>
      <c r="M16" s="21">
        <f>K16*(1+M95)</f>
        <v/>
      </c>
      <c r="N16" s="21">
        <f>L16*(1+N95)</f>
        <v/>
      </c>
      <c r="O16" s="21">
        <f>M16*(1+O95)</f>
        <v/>
      </c>
      <c r="P16" s="21">
        <f>N16*(1+P95)</f>
        <v/>
      </c>
      <c r="Q16" s="21">
        <f>O16*(1+Q95)</f>
        <v/>
      </c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</row>
    <row r="17">
      <c r="A17" t="inlineStr">
        <is>
          <t>Seg-US Corp Margin</t>
        </is>
      </c>
      <c r="B17" t="inlineStr">
        <is>
          <t>Corporate Restaurant Margin - US</t>
        </is>
      </c>
      <c r="C17" t="inlineStr">
        <is>
          <t>A$m</t>
        </is>
      </c>
      <c r="D17" s="61" t="n">
        <v>-0.2</v>
      </c>
      <c r="E17" s="61" t="n">
        <v>-0.5600000000000001</v>
      </c>
      <c r="F17" s="61" t="n">
        <v>-0.507</v>
      </c>
      <c r="G17" s="61" t="n">
        <v>-0.488</v>
      </c>
      <c r="H17" s="61" t="n">
        <v>-1.319</v>
      </c>
      <c r="I17" s="61" t="n">
        <v>-3.783</v>
      </c>
      <c r="J17" s="61" t="n"/>
      <c r="K17" s="4">
        <f>K16*K96</f>
        <v/>
      </c>
      <c r="L17" s="4">
        <f>L16*L96</f>
        <v/>
      </c>
      <c r="M17" s="4">
        <f>M16*M96</f>
        <v/>
      </c>
      <c r="N17" s="4">
        <f>N16*N96</f>
        <v/>
      </c>
      <c r="O17" s="4">
        <f>O16*O96</f>
        <v/>
      </c>
      <c r="P17" s="4">
        <f>P16*P96</f>
        <v/>
      </c>
      <c r="Q17" s="4">
        <f>Q16*Q96</f>
        <v/>
      </c>
    </row>
    <row r="18">
      <c r="B18" s="5" t="inlineStr">
        <is>
          <t>Corporate Restaurant Margin % - US</t>
        </is>
      </c>
      <c r="C18" t="inlineStr">
        <is>
          <t>%</t>
        </is>
      </c>
    </row>
    <row r="19">
      <c r="A19" t="inlineStr">
        <is>
          <t>Seg-US Franchise Rev</t>
        </is>
      </c>
      <c r="B19" t="inlineStr">
        <is>
          <t>Franchise and Other Revenue - US</t>
        </is>
      </c>
      <c r="C19" t="inlineStr">
        <is>
          <t>A$m</t>
        </is>
      </c>
      <c r="D19" s="61" t="n">
        <v>0</v>
      </c>
      <c r="E19" s="61" t="n">
        <v>0</v>
      </c>
      <c r="F19" s="61" t="n">
        <v>0</v>
      </c>
      <c r="G19" s="61" t="n">
        <v>0</v>
      </c>
      <c r="H19" s="61" t="n">
        <v>0.136</v>
      </c>
      <c r="I19" s="61" t="n">
        <v>0.128</v>
      </c>
      <c r="J19" s="61" t="n"/>
      <c r="K19" s="72" t="n">
        <v>0.1</v>
      </c>
      <c r="L19" s="72" t="n">
        <v>0.1</v>
      </c>
      <c r="M19" s="72" t="n">
        <v>0.1</v>
      </c>
      <c r="N19" s="72" t="n">
        <v>0.1</v>
      </c>
      <c r="O19" s="72" t="n">
        <v>0.1</v>
      </c>
      <c r="P19" s="72" t="n">
        <v>0.1</v>
      </c>
      <c r="Q19" s="72" t="n">
        <v>0.1</v>
      </c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>
      <c r="A20" t="inlineStr">
        <is>
          <t>Seg-US GA</t>
        </is>
      </c>
      <c r="B20" t="inlineStr">
        <is>
          <t>G&amp;A Costs - US</t>
        </is>
      </c>
      <c r="C20" t="inlineStr">
        <is>
          <t>A$m</t>
        </is>
      </c>
      <c r="D20" s="61" t="n">
        <v>-1.5</v>
      </c>
      <c r="E20" s="61" t="n">
        <v>-2.036</v>
      </c>
      <c r="F20" s="61" t="n">
        <v>-2.588</v>
      </c>
      <c r="G20" s="61" t="n">
        <v>-2.961</v>
      </c>
      <c r="H20" s="61" t="n">
        <v>-3.831</v>
      </c>
      <c r="I20" s="61" t="n">
        <v>-4.554</v>
      </c>
      <c r="J20" s="61" t="n"/>
      <c r="K20" s="4">
        <f>K97</f>
        <v/>
      </c>
      <c r="L20" s="4">
        <f>L97</f>
        <v/>
      </c>
      <c r="M20" s="4">
        <f>M97</f>
        <v/>
      </c>
      <c r="N20" s="4">
        <f>N97</f>
        <v/>
      </c>
      <c r="O20" s="4">
        <f>O97</f>
        <v/>
      </c>
      <c r="P20" s="4">
        <f>P97</f>
        <v/>
      </c>
      <c r="Q20" s="4">
        <f>Q97</f>
        <v/>
      </c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>
      <c r="A21" t="inlineStr">
        <is>
          <t>Seg-US Seg EBITDA</t>
        </is>
      </c>
      <c r="B21" t="inlineStr">
        <is>
          <t>Segment Underlying EBITDA - US</t>
        </is>
      </c>
      <c r="C21" t="inlineStr">
        <is>
          <t>A$m</t>
        </is>
      </c>
      <c r="D21" s="61" t="n">
        <v>-1.7</v>
      </c>
      <c r="E21" s="61" t="n">
        <v>-2.596</v>
      </c>
      <c r="F21" s="61" t="n">
        <v>-3.095</v>
      </c>
      <c r="G21" s="61" t="n">
        <v>-3.449</v>
      </c>
      <c r="H21" s="61" t="n">
        <v>-5.014</v>
      </c>
      <c r="I21" s="61" t="n">
        <v>-8.209</v>
      </c>
      <c r="J21" s="61" t="n"/>
      <c r="K21" s="4">
        <f>K17+K19+K20</f>
        <v/>
      </c>
      <c r="L21" s="4">
        <f>L17+L19+L20</f>
        <v/>
      </c>
      <c r="M21" s="4">
        <f>M17+M19+M20</f>
        <v/>
      </c>
      <c r="N21" s="4">
        <f>N17+N19+N20</f>
        <v/>
      </c>
      <c r="O21" s="4">
        <f>O17+O19+O20</f>
        <v/>
      </c>
      <c r="P21" s="4">
        <f>P17+P19+P20</f>
        <v/>
      </c>
      <c r="Q21" s="4">
        <f>Q17+Q19+Q20</f>
        <v/>
      </c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>
      <c r="B22" s="20" t="n"/>
      <c r="C22" s="20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</row>
    <row r="23">
      <c r="B23" s="60" t="inlineStr">
        <is>
          <t>Group</t>
        </is>
      </c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</row>
    <row r="24">
      <c r="A24" t="inlineStr">
        <is>
          <t>Seg-Group Seg EBITDA</t>
        </is>
      </c>
      <c r="B24" t="inlineStr">
        <is>
          <t>Group Segment Underlying EBITDA</t>
        </is>
      </c>
      <c r="C24" t="inlineStr">
        <is>
          <t>A$m</t>
        </is>
      </c>
      <c r="D24" s="61" t="n">
        <v>11.6</v>
      </c>
      <c r="E24" s="61" t="n">
        <v>17.41</v>
      </c>
      <c r="F24" s="61" t="n">
        <v>21.154</v>
      </c>
      <c r="G24" s="61" t="n">
        <v>19.838</v>
      </c>
      <c r="H24" s="61" t="n">
        <v>26.767</v>
      </c>
      <c r="I24" s="61" t="n">
        <v>26.039</v>
      </c>
      <c r="J24" s="61" t="n"/>
      <c r="K24" s="4">
        <f>K12+K21</f>
        <v/>
      </c>
      <c r="L24" s="4">
        <f>L12+L21</f>
        <v/>
      </c>
      <c r="M24" s="4">
        <f>M12+M21</f>
        <v/>
      </c>
      <c r="N24" s="4">
        <f>N12+N21</f>
        <v/>
      </c>
      <c r="O24" s="4">
        <f>O12+O21</f>
        <v/>
      </c>
      <c r="P24" s="4">
        <f>P12+P21</f>
        <v/>
      </c>
      <c r="Q24" s="4">
        <f>Q12+Q21</f>
        <v/>
      </c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</row>
    <row r="25">
      <c r="A25" t="inlineStr">
        <is>
          <t>Seg-SBP</t>
        </is>
      </c>
      <c r="B25" t="inlineStr">
        <is>
          <t>Share-Based Payments</t>
        </is>
      </c>
      <c r="C25" t="inlineStr">
        <is>
          <t>A$m</t>
        </is>
      </c>
      <c r="D25" s="61" t="n">
        <v>-2.8</v>
      </c>
      <c r="E25" s="61" t="n"/>
      <c r="F25" s="61" t="n">
        <v>-4.587</v>
      </c>
      <c r="G25" s="61" t="n">
        <v>-6.555</v>
      </c>
      <c r="H25" s="61" t="n">
        <v>-4.587</v>
      </c>
      <c r="I25" s="61" t="n">
        <v>-4.431</v>
      </c>
      <c r="J25" s="61" t="n"/>
      <c r="K25" s="4">
        <f>K99</f>
        <v/>
      </c>
      <c r="L25" s="4">
        <f>L99</f>
        <v/>
      </c>
      <c r="M25" s="4">
        <f>M99</f>
        <v/>
      </c>
      <c r="N25" s="4">
        <f>N99</f>
        <v/>
      </c>
      <c r="O25" s="4">
        <f>O99</f>
        <v/>
      </c>
      <c r="P25" s="4">
        <f>P99</f>
        <v/>
      </c>
      <c r="Q25" s="4">
        <f>Q99</f>
        <v/>
      </c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t="inlineStr">
        <is>
          <t>Seg-Other</t>
        </is>
      </c>
      <c r="B26" t="inlineStr">
        <is>
          <t>Other Income/(Costs)</t>
        </is>
      </c>
      <c r="C26" t="inlineStr">
        <is>
          <t>A$m</t>
        </is>
      </c>
      <c r="D26" s="61" t="n">
        <v>-0.4</v>
      </c>
      <c r="E26" s="6" t="n"/>
      <c r="F26" s="61" t="n">
        <v>0</v>
      </c>
      <c r="G26" s="61" t="n">
        <v>-19.66</v>
      </c>
      <c r="H26" s="61" t="n">
        <v>0</v>
      </c>
      <c r="I26" s="61" t="n">
        <v>2.858</v>
      </c>
      <c r="J26" s="61" t="n"/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t="inlineStr">
        <is>
          <t>Seg-Cash Rent</t>
        </is>
      </c>
      <c r="B27" t="inlineStr">
        <is>
          <t>Cash Rent Add-back</t>
        </is>
      </c>
      <c r="C27" t="inlineStr">
        <is>
          <t>A$m</t>
        </is>
      </c>
      <c r="D27" s="61" t="n">
        <v>5.7</v>
      </c>
      <c r="E27" s="61" t="n"/>
      <c r="F27" s="61" t="n">
        <v>8.217000000000001</v>
      </c>
      <c r="G27" s="61" t="n">
        <v>8.867000000000001</v>
      </c>
      <c r="H27" s="61" t="n">
        <v>9.398</v>
      </c>
      <c r="I27" s="61" t="n">
        <v>9.074999999999999</v>
      </c>
      <c r="J27" s="61" t="n"/>
      <c r="K27" s="4">
        <f>I27*(1+K100)</f>
        <v/>
      </c>
      <c r="L27" s="4">
        <f>J27*(1+L100)</f>
        <v/>
      </c>
      <c r="M27" s="4">
        <f>K27*(1+M100)</f>
        <v/>
      </c>
      <c r="N27" s="4">
        <f>L27*(1+N100)</f>
        <v/>
      </c>
      <c r="O27" s="4">
        <f>M27*(1+O100)</f>
        <v/>
      </c>
      <c r="P27" s="4">
        <f>N27*(1+P100)</f>
        <v/>
      </c>
      <c r="Q27" s="4">
        <f>O27*(1+Q100)</f>
        <v/>
      </c>
    </row>
    <row r="28">
      <c r="A28" t="inlineStr">
        <is>
          <t>EBITDA-Statutory EBITDA</t>
        </is>
      </c>
      <c r="B28" s="5" t="inlineStr">
        <is>
          <t>Statutory EBITDA</t>
        </is>
      </c>
      <c r="C28" t="inlineStr">
        <is>
          <t>A$m</t>
        </is>
      </c>
      <c r="D28" s="61" t="n">
        <v>14.5</v>
      </c>
      <c r="E28" s="61" t="n">
        <v>15.121</v>
      </c>
      <c r="F28" s="61" t="n"/>
      <c r="G28" s="61" t="n">
        <v>8.369999999999999</v>
      </c>
      <c r="H28" s="61" t="n">
        <v>31.578</v>
      </c>
      <c r="I28" s="61" t="n">
        <v>33.541</v>
      </c>
      <c r="J28" s="61" t="n"/>
      <c r="K28" s="4">
        <f>K24+K25+K26+K27</f>
        <v/>
      </c>
      <c r="L28" s="4">
        <f>L24+L25+L26+L27</f>
        <v/>
      </c>
      <c r="M28" s="4">
        <f>M24+M25+M26+M27</f>
        <v/>
      </c>
      <c r="N28" s="4">
        <f>N24+N25+N26+N27</f>
        <v/>
      </c>
      <c r="O28" s="4">
        <f>O24+O25+O26+O27</f>
        <v/>
      </c>
      <c r="P28" s="4">
        <f>P24+P25+P26+P27</f>
        <v/>
      </c>
      <c r="Q28" s="4">
        <f>Q24+Q25+Q26+Q27</f>
        <v/>
      </c>
    </row>
    <row r="29">
      <c r="D29" s="19" t="n"/>
      <c r="E29" s="4" t="n"/>
      <c r="F29" s="19" t="n"/>
      <c r="G29" s="4" t="n"/>
      <c r="H29" s="19" t="n"/>
      <c r="I29" s="4" t="n"/>
      <c r="J29" s="19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</row>
    <row r="30">
      <c r="B30" s="60" t="inlineStr">
        <is>
          <t>Statutory P&amp;L</t>
        </is>
      </c>
      <c r="D30" s="19" t="n"/>
      <c r="E30" s="4" t="n"/>
      <c r="F30" s="19" t="n"/>
      <c r="G30" s="4" t="n"/>
      <c r="H30" s="19" t="n"/>
      <c r="I30" s="4" t="n"/>
      <c r="J30" s="19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</row>
    <row r="31">
      <c r="B31" s="60" t="inlineStr">
        <is>
          <t>Revenue</t>
        </is>
      </c>
      <c r="D31" s="19" t="n"/>
      <c r="E31" s="4" t="n"/>
      <c r="F31" s="19" t="n"/>
      <c r="G31" s="4" t="n"/>
      <c r="H31" s="19" t="n"/>
      <c r="I31" s="4" t="n"/>
      <c r="J31" s="19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>
      <c r="A32" t="inlineStr">
        <is>
          <t>Rev-Corp Restaurant Sales</t>
        </is>
      </c>
      <c r="B32" t="inlineStr">
        <is>
          <t>Corporate Restaurant Sales</t>
        </is>
      </c>
      <c r="C32" t="inlineStr">
        <is>
          <t>A$m</t>
        </is>
      </c>
      <c r="D32" s="61" t="n">
        <v>102</v>
      </c>
      <c r="E32" s="61" t="n"/>
      <c r="F32" s="61" t="n">
        <v>141.773</v>
      </c>
      <c r="G32" s="61" t="n">
        <v>147.938</v>
      </c>
      <c r="H32" s="61" t="n">
        <v>179.283</v>
      </c>
      <c r="I32" s="61" t="n">
        <v>223.563</v>
      </c>
      <c r="J32" s="61" t="n"/>
      <c r="K32" s="4">
        <f>K7+K16</f>
        <v/>
      </c>
      <c r="L32" s="4">
        <f>L7+L16</f>
        <v/>
      </c>
      <c r="M32" s="4">
        <f>M7+M16</f>
        <v/>
      </c>
      <c r="N32" s="4">
        <f>N7+N16</f>
        <v/>
      </c>
      <c r="O32" s="4">
        <f>O7+O16</f>
        <v/>
      </c>
      <c r="P32" s="4">
        <f>P7+P16</f>
        <v/>
      </c>
      <c r="Q32" s="4">
        <f>Q7+Q16</f>
        <v/>
      </c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</row>
    <row r="33">
      <c r="A33" t="inlineStr">
        <is>
          <t>Rev-Franchise Royalty</t>
        </is>
      </c>
      <c r="B33" s="20" t="inlineStr">
        <is>
          <t>Franchise Royalty Revenue</t>
        </is>
      </c>
      <c r="C33" s="20" t="inlineStr">
        <is>
          <t>A$m</t>
        </is>
      </c>
      <c r="D33" s="62" t="n">
        <v>19.2</v>
      </c>
      <c r="E33" s="62" t="n"/>
      <c r="F33" s="62" t="n">
        <v>25.063</v>
      </c>
      <c r="G33" s="62" t="n">
        <v>26.795</v>
      </c>
      <c r="H33" s="62" t="n">
        <v>32.187</v>
      </c>
      <c r="I33" s="21" t="n"/>
      <c r="J33" s="62" t="n"/>
      <c r="K33" s="21">
        <f>(K10+K19)*0.85</f>
        <v/>
      </c>
      <c r="L33" s="21">
        <f>(L10+L19)*0.85</f>
        <v/>
      </c>
      <c r="M33" s="21">
        <f>(M10+M19)*0.85</f>
        <v/>
      </c>
      <c r="N33" s="21">
        <f>(N10+N19)*0.85</f>
        <v/>
      </c>
      <c r="O33" s="21">
        <f>(O10+O19)*0.85</f>
        <v/>
      </c>
      <c r="P33" s="21">
        <f>(P10+P19)*0.85</f>
        <v/>
      </c>
      <c r="Q33" s="21">
        <f>(Q10+Q19)*0.85</f>
        <v/>
      </c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</row>
    <row r="34">
      <c r="A34" t="inlineStr">
        <is>
          <t>Rev-Franchise Fee</t>
        </is>
      </c>
      <c r="B34" t="inlineStr">
        <is>
          <t>Franchise Fee Revenue</t>
        </is>
      </c>
      <c r="C34" t="inlineStr">
        <is>
          <t>A$m</t>
        </is>
      </c>
      <c r="D34" s="61" t="n"/>
      <c r="E34" s="61" t="n"/>
      <c r="F34" s="61" t="n">
        <v>0.451</v>
      </c>
      <c r="G34" s="61" t="n">
        <v>0.194</v>
      </c>
      <c r="H34" s="61" t="n">
        <v>0.949</v>
      </c>
      <c r="I34" s="6" t="n"/>
      <c r="J34" s="61" t="n"/>
      <c r="K34" s="72" t="n">
        <v>0.3</v>
      </c>
      <c r="L34" s="72" t="n">
        <v>0.3</v>
      </c>
      <c r="M34" s="72" t="n">
        <v>0.3</v>
      </c>
      <c r="N34" s="72" t="n">
        <v>0.3</v>
      </c>
      <c r="O34" s="72" t="n">
        <v>0.3</v>
      </c>
      <c r="P34" s="72" t="n">
        <v>0.3</v>
      </c>
      <c r="Q34" s="72" t="n">
        <v>0.3</v>
      </c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t="inlineStr">
        <is>
          <t>Rev-Total Revenue</t>
        </is>
      </c>
      <c r="B35" t="inlineStr">
        <is>
          <t>Total Revenue</t>
        </is>
      </c>
      <c r="C35" t="inlineStr">
        <is>
          <t>A$m</t>
        </is>
      </c>
      <c r="D35" s="61" t="n">
        <v>121.2</v>
      </c>
      <c r="E35" s="61" t="n">
        <v>137.844</v>
      </c>
      <c r="F35" s="61" t="n">
        <v>167.287</v>
      </c>
      <c r="G35" s="61" t="n">
        <v>174.927</v>
      </c>
      <c r="H35" s="61" t="n">
        <v>212.419</v>
      </c>
      <c r="I35" s="61" t="n">
        <v>223.563</v>
      </c>
      <c r="J35" s="61" t="n"/>
      <c r="K35" s="4">
        <f>K32+K33+K34</f>
        <v/>
      </c>
      <c r="L35" s="4">
        <f>L32+L33+L34</f>
        <v/>
      </c>
      <c r="M35" s="4">
        <f>M32+M33+M34</f>
        <v/>
      </c>
      <c r="N35" s="4">
        <f>N32+N33+N34</f>
        <v/>
      </c>
      <c r="O35" s="4">
        <f>O32+O33+O34</f>
        <v/>
      </c>
      <c r="P35" s="4">
        <f>P32+P33+P34</f>
        <v/>
      </c>
      <c r="Q35" s="4">
        <f>Q32+Q33+Q34</f>
        <v/>
      </c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t="inlineStr">
        <is>
          <t>Rev-Total Other Rev</t>
        </is>
      </c>
      <c r="B36" t="inlineStr">
        <is>
          <t>Total Other Revenue and Income</t>
        </is>
      </c>
      <c r="C36" t="inlineStr">
        <is>
          <t>A$m</t>
        </is>
      </c>
      <c r="D36" s="61" t="n">
        <v>10.7</v>
      </c>
      <c r="E36" s="61" t="n">
        <v>7.025000000000002</v>
      </c>
      <c r="F36" s="61" t="n">
        <v>11.568</v>
      </c>
      <c r="G36" s="61" t="n">
        <v>11.206</v>
      </c>
      <c r="H36" s="61" t="n">
        <v>14.711</v>
      </c>
      <c r="I36" s="61" t="n">
        <v>17.313</v>
      </c>
      <c r="J36" s="61" t="n"/>
      <c r="K36" s="4">
        <f>K35*K107</f>
        <v/>
      </c>
      <c r="L36" s="4">
        <f>L35*L107</f>
        <v/>
      </c>
      <c r="M36" s="4">
        <f>M35*M107</f>
        <v/>
      </c>
      <c r="N36" s="4">
        <f>N35*N107</f>
        <v/>
      </c>
      <c r="O36" s="4">
        <f>O35*O107</f>
        <v/>
      </c>
      <c r="P36" s="4">
        <f>P35*P107</f>
        <v/>
      </c>
      <c r="Q36" s="4">
        <f>Q35*Q107</f>
        <v/>
      </c>
    </row>
    <row r="37">
      <c r="B37" s="5" t="n"/>
    </row>
    <row r="38">
      <c r="B38" s="60" t="inlineStr">
        <is>
          <t>Expenses</t>
        </is>
      </c>
      <c r="D38" s="19" t="n"/>
      <c r="E38" s="4" t="n"/>
      <c r="F38" s="19" t="n"/>
      <c r="G38" s="4" t="n"/>
      <c r="H38" s="19" t="n"/>
      <c r="I38" s="4" t="n"/>
      <c r="J38" s="19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</row>
    <row r="39">
      <c r="A39" t="inlineStr">
        <is>
          <t>COGS-Food Packaging</t>
        </is>
      </c>
      <c r="B39" t="inlineStr">
        <is>
          <t>Cost of Food and Packaging</t>
        </is>
      </c>
      <c r="C39" t="inlineStr">
        <is>
          <t>A$m</t>
        </is>
      </c>
      <c r="D39" s="61" t="n">
        <v>-32.9</v>
      </c>
      <c r="E39" s="61" t="n">
        <v>-37.528</v>
      </c>
      <c r="F39" s="61" t="n">
        <v>-43.192</v>
      </c>
      <c r="G39" s="61" t="n">
        <v>-44.388</v>
      </c>
      <c r="H39" s="61" t="n">
        <v>-55.071</v>
      </c>
      <c r="I39" s="61" t="n">
        <v>-58.877</v>
      </c>
      <c r="J39" s="61" t="n"/>
      <c r="K39" s="4">
        <f>-K32*K102</f>
        <v/>
      </c>
      <c r="L39" s="4">
        <f>-L32*L102</f>
        <v/>
      </c>
      <c r="M39" s="4">
        <f>-M32*M102</f>
        <v/>
      </c>
      <c r="N39" s="4">
        <f>-N32*N102</f>
        <v/>
      </c>
      <c r="O39" s="4">
        <f>-O32*O102</f>
        <v/>
      </c>
      <c r="P39" s="4">
        <f>-P32*P102</f>
        <v/>
      </c>
      <c r="Q39" s="4">
        <f>-Q32*Q102</f>
        <v/>
      </c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</row>
    <row r="40">
      <c r="A40" t="inlineStr">
        <is>
          <t>OPEX-Employee Benefits</t>
        </is>
      </c>
      <c r="B40" t="inlineStr">
        <is>
          <t>Employee Benefit Expenses</t>
        </is>
      </c>
      <c r="C40" t="inlineStr">
        <is>
          <t>A$m</t>
        </is>
      </c>
      <c r="D40" s="61" t="n">
        <v>-51.3</v>
      </c>
      <c r="E40" s="61" t="n">
        <v>-62.425</v>
      </c>
      <c r="F40" s="61" t="n">
        <v>-73.32599999999999</v>
      </c>
      <c r="G40" s="61" t="n">
        <v>-80.407</v>
      </c>
      <c r="H40" s="61" t="n">
        <v>-89.003</v>
      </c>
      <c r="I40" s="61" t="n">
        <v>-95.65300000000001</v>
      </c>
      <c r="J40" s="61" t="n"/>
      <c r="K40" s="4">
        <f>-K35*K103</f>
        <v/>
      </c>
      <c r="L40" s="4">
        <f>-L35*L103</f>
        <v/>
      </c>
      <c r="M40" s="4">
        <f>-M35*M103</f>
        <v/>
      </c>
      <c r="N40" s="4">
        <f>-N35*N103</f>
        <v/>
      </c>
      <c r="O40" s="4">
        <f>-O35*O103</f>
        <v/>
      </c>
      <c r="P40" s="4">
        <f>-P35*P103</f>
        <v/>
      </c>
      <c r="Q40" s="4">
        <f>-Q35*Q103</f>
        <v/>
      </c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</row>
    <row r="41">
      <c r="A41" t="inlineStr">
        <is>
          <t>OPEX-Admin</t>
        </is>
      </c>
      <c r="B41" s="25" t="inlineStr">
        <is>
          <t>Administrative Expenses</t>
        </is>
      </c>
      <c r="C41" t="inlineStr">
        <is>
          <t>A$m</t>
        </is>
      </c>
      <c r="D41" s="61" t="n">
        <v>-19.9</v>
      </c>
      <c r="E41" s="61" t="n">
        <v>-15.382</v>
      </c>
      <c r="F41" s="61" t="n">
        <v>-25.346</v>
      </c>
      <c r="G41" s="61" t="n">
        <v>-35.249</v>
      </c>
      <c r="H41" s="61" t="n">
        <v>-25.865</v>
      </c>
      <c r="I41" s="61" t="n">
        <v>-27.75</v>
      </c>
      <c r="J41" s="61" t="n"/>
      <c r="K41" s="43">
        <f>-K35*K104</f>
        <v/>
      </c>
      <c r="L41" s="43">
        <f>-L35*L104</f>
        <v/>
      </c>
      <c r="M41" s="43">
        <f>-M35*M104</f>
        <v/>
      </c>
      <c r="N41" s="43">
        <f>-N35*N104</f>
        <v/>
      </c>
      <c r="O41" s="43">
        <f>-O35*O104</f>
        <v/>
      </c>
      <c r="P41" s="43">
        <f>-P35*P104</f>
        <v/>
      </c>
      <c r="Q41" s="43">
        <f>-Q35*Q104</f>
        <v/>
      </c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</row>
    <row r="42">
      <c r="A42" t="inlineStr">
        <is>
          <t>OPEX-Marketing</t>
        </is>
      </c>
      <c r="B42" s="20" t="inlineStr">
        <is>
          <t>Marketing Expenses</t>
        </is>
      </c>
      <c r="C42" s="20" t="inlineStr">
        <is>
          <t>A$m</t>
        </is>
      </c>
      <c r="D42" s="62" t="n">
        <v>-6.9</v>
      </c>
      <c r="E42" s="62" t="n">
        <v>-6.818</v>
      </c>
      <c r="F42" s="62" t="n">
        <v>-8.537000000000001</v>
      </c>
      <c r="G42" s="62" t="n">
        <v>-9.401</v>
      </c>
      <c r="H42" s="62" t="n">
        <v>-11.302</v>
      </c>
      <c r="I42" s="62" t="n">
        <v>-9.984999999999999</v>
      </c>
      <c r="J42" s="62" t="n"/>
      <c r="K42" s="21">
        <f>-K35*K105</f>
        <v/>
      </c>
      <c r="L42" s="21">
        <f>-L35*L105</f>
        <v/>
      </c>
      <c r="M42" s="21">
        <f>-M35*M105</f>
        <v/>
      </c>
      <c r="N42" s="21">
        <f>-N35*N105</f>
        <v/>
      </c>
      <c r="O42" s="21">
        <f>-O35*O105</f>
        <v/>
      </c>
      <c r="P42" s="21">
        <f>-P35*P105</f>
        <v/>
      </c>
      <c r="Q42" s="21">
        <f>-Q35*Q105</f>
        <v/>
      </c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</row>
    <row r="43">
      <c r="A43" t="inlineStr">
        <is>
          <t>OPEX-Other Expenses</t>
        </is>
      </c>
      <c r="B43" t="inlineStr">
        <is>
          <t>Other Expenses</t>
        </is>
      </c>
      <c r="C43" t="inlineStr">
        <is>
          <t>A$m</t>
        </is>
      </c>
      <c r="D43" s="61" t="n">
        <v>-6.3</v>
      </c>
      <c r="E43" s="61" t="n">
        <v>-7.694999999999999</v>
      </c>
      <c r="F43" s="61" t="n">
        <v>-9.550000000000001</v>
      </c>
      <c r="G43" s="61" t="n">
        <v>-8.318</v>
      </c>
      <c r="H43" s="61" t="n">
        <v>-14.311</v>
      </c>
      <c r="I43" s="61" t="n">
        <v>-15.07</v>
      </c>
      <c r="J43" s="61" t="n"/>
      <c r="K43" s="4">
        <f>-K35*K106</f>
        <v/>
      </c>
      <c r="L43" s="4">
        <f>-L35*L106</f>
        <v/>
      </c>
      <c r="M43" s="4">
        <f>-M35*M106</f>
        <v/>
      </c>
      <c r="N43" s="4">
        <f>-N35*N106</f>
        <v/>
      </c>
      <c r="O43" s="4">
        <f>-O35*O106</f>
        <v/>
      </c>
      <c r="P43" s="4">
        <f>-P35*P106</f>
        <v/>
      </c>
      <c r="Q43" s="4">
        <f>-Q35*Q106</f>
        <v/>
      </c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</row>
    <row r="45">
      <c r="A45" t="inlineStr">
        <is>
          <t>EBITDA-Statutory EBITDA2</t>
        </is>
      </c>
      <c r="B45" t="inlineStr">
        <is>
          <t>Statutory EBITDA</t>
        </is>
      </c>
      <c r="C45" t="inlineStr">
        <is>
          <t>A$m</t>
        </is>
      </c>
      <c r="D45" s="61" t="n">
        <v>14.5</v>
      </c>
      <c r="E45" s="61" t="n">
        <v>15.121</v>
      </c>
      <c r="F45" s="61" t="n">
        <v>18.904</v>
      </c>
      <c r="G45" s="61" t="n">
        <v>8.369999999999999</v>
      </c>
      <c r="H45" s="61" t="n">
        <v>31.578</v>
      </c>
      <c r="I45" s="61" t="n">
        <v>33.541</v>
      </c>
      <c r="J45" s="61" t="n"/>
      <c r="K45" s="4">
        <f>K35+K36+K39+K40+K41+K42+K43</f>
        <v/>
      </c>
      <c r="L45" s="4">
        <f>L35+L36+L39+L40+L41+L42+L43</f>
        <v/>
      </c>
      <c r="M45" s="4">
        <f>M35+M36+M39+M40+M41+M42+M43</f>
        <v/>
      </c>
      <c r="N45" s="4">
        <f>N35+N36+N39+N40+N41+N42+N43</f>
        <v/>
      </c>
      <c r="O45" s="4">
        <f>O35+O36+O39+O40+O41+O42+O43</f>
        <v/>
      </c>
      <c r="P45" s="4">
        <f>P35+P36+P39+P40+P41+P42+P43</f>
        <v/>
      </c>
      <c r="Q45" s="4">
        <f>Q35+Q36+Q39+Q40+Q41+Q42+Q43</f>
        <v/>
      </c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B46" t="inlineStr">
        <is>
          <t>EBITDA Margin</t>
        </is>
      </c>
      <c r="C46" t="inlineStr">
        <is>
          <t>%</t>
        </is>
      </c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8">
      <c r="B48" s="60" t="inlineStr">
        <is>
          <t>D&amp;A</t>
        </is>
      </c>
      <c r="D48" s="19" t="n"/>
      <c r="E48" s="4" t="n"/>
      <c r="F48" s="19" t="n"/>
      <c r="G48" s="4" t="n"/>
      <c r="H48" s="19" t="n"/>
      <c r="I48" s="4" t="n"/>
      <c r="J48" s="19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</row>
    <row r="49">
      <c r="A49" t="inlineStr">
        <is>
          <t>DA-ROU Depreciation</t>
        </is>
      </c>
      <c r="B49" s="20" t="inlineStr">
        <is>
          <t>ROU Assets Depreciation</t>
        </is>
      </c>
      <c r="C49" s="20" t="inlineStr">
        <is>
          <t>A$m</t>
        </is>
      </c>
      <c r="D49" s="62" t="n"/>
      <c r="E49" s="21" t="n"/>
      <c r="F49" s="62" t="n"/>
      <c r="G49" s="21" t="n"/>
      <c r="H49" s="62" t="n">
        <v>-7.743</v>
      </c>
      <c r="I49" s="62" t="n">
        <v>-6.131</v>
      </c>
      <c r="J49" s="62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</row>
    <row r="50">
      <c r="A50" t="inlineStr">
        <is>
          <t>DA-PPE Depreciation</t>
        </is>
      </c>
      <c r="B50" t="inlineStr">
        <is>
          <t>PPE Depreciation</t>
        </is>
      </c>
      <c r="C50" t="inlineStr">
        <is>
          <t>A$m</t>
        </is>
      </c>
      <c r="D50" s="61" t="n"/>
      <c r="F50" s="61" t="n"/>
      <c r="H50" s="61" t="n">
        <v>-7.832</v>
      </c>
      <c r="I50" s="61" t="n">
        <v>-11.464</v>
      </c>
      <c r="J50" s="61" t="n"/>
    </row>
    <row r="51">
      <c r="A51" t="inlineStr">
        <is>
          <t>DA-Amort Reacq Rights</t>
        </is>
      </c>
      <c r="B51" s="5" t="inlineStr">
        <is>
          <t>Amortisation of Reacquired Rights</t>
        </is>
      </c>
      <c r="C51" t="inlineStr">
        <is>
          <t>A$m</t>
        </is>
      </c>
      <c r="D51" s="61" t="n"/>
      <c r="F51" s="61" t="n"/>
      <c r="H51" s="61" t="n">
        <v>-1.89</v>
      </c>
      <c r="I51" s="61" t="n">
        <v>-1.778</v>
      </c>
      <c r="J51" s="61" t="n"/>
    </row>
    <row r="52">
      <c r="A52" t="inlineStr">
        <is>
          <t>DA-Amort Other</t>
        </is>
      </c>
      <c r="B52" t="inlineStr">
        <is>
          <t>Amortisation of Other Intangibles</t>
        </is>
      </c>
      <c r="C52" t="inlineStr">
        <is>
          <t>A$m</t>
        </is>
      </c>
      <c r="D52" s="61" t="n"/>
      <c r="E52" s="4" t="n"/>
      <c r="F52" s="61" t="n"/>
      <c r="G52" s="4" t="n"/>
      <c r="H52" s="61" t="n">
        <v>-1.615</v>
      </c>
      <c r="I52" s="61" t="n">
        <v>-1.228</v>
      </c>
      <c r="J52" s="61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t="inlineStr">
        <is>
          <t>DA-Impairment</t>
        </is>
      </c>
      <c r="B53" t="inlineStr">
        <is>
          <t>Impairment</t>
        </is>
      </c>
      <c r="C53" t="inlineStr">
        <is>
          <t>A$m</t>
        </is>
      </c>
      <c r="D53" s="61" t="n"/>
      <c r="E53" s="4" t="n"/>
      <c r="F53" s="61" t="n"/>
      <c r="G53" s="4" t="n"/>
      <c r="H53" s="61" t="n">
        <v>0</v>
      </c>
      <c r="I53" s="61" t="n">
        <v>0</v>
      </c>
      <c r="J53" s="61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</row>
    <row r="54">
      <c r="A54" t="inlineStr">
        <is>
          <t>DA-Total DA</t>
        </is>
      </c>
      <c r="B54" s="20" t="inlineStr">
        <is>
          <t>Total D&amp;A</t>
        </is>
      </c>
      <c r="C54" s="20" t="inlineStr">
        <is>
          <t>A$m</t>
        </is>
      </c>
      <c r="D54" s="62" t="n">
        <v>-12.6</v>
      </c>
      <c r="E54" s="62" t="n">
        <v>-12.955</v>
      </c>
      <c r="F54" s="62" t="n">
        <v>-15.9</v>
      </c>
      <c r="G54" s="62" t="n">
        <v>-15.223</v>
      </c>
      <c r="H54" s="62" t="n">
        <v>-19.08</v>
      </c>
      <c r="I54" s="62" t="n">
        <v>-20.601</v>
      </c>
      <c r="J54" s="62" t="n"/>
      <c r="K54" s="21">
        <f>-K35*K109</f>
        <v/>
      </c>
      <c r="L54" s="21">
        <f>-L35*L109</f>
        <v/>
      </c>
      <c r="M54" s="21">
        <f>-M35*M109</f>
        <v/>
      </c>
      <c r="N54" s="21">
        <f>-N35*N109</f>
        <v/>
      </c>
      <c r="O54" s="21">
        <f>-O35*O109</f>
        <v/>
      </c>
      <c r="P54" s="21">
        <f>-P35*P109</f>
        <v/>
      </c>
      <c r="Q54" s="21">
        <f>-Q35*Q109</f>
        <v/>
      </c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</row>
    <row r="55">
      <c r="B55" s="25" t="n"/>
      <c r="D55" s="6" t="n"/>
      <c r="E55" s="6" t="n"/>
      <c r="F55" s="6" t="n"/>
      <c r="G55" s="6" t="n"/>
      <c r="H55" s="6" t="n"/>
      <c r="I55" s="6" t="n"/>
      <c r="J55" s="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  <c r="AA55" s="26" t="n"/>
      <c r="AB55" s="26" t="n"/>
      <c r="AC55" s="26" t="n"/>
    </row>
    <row r="56">
      <c r="A56" t="inlineStr">
        <is>
          <t>EBIT-Operating Profit</t>
        </is>
      </c>
      <c r="B56" t="inlineStr">
        <is>
          <t>Operating Profit/(Loss)</t>
        </is>
      </c>
      <c r="C56" t="inlineStr">
        <is>
          <t>A$m</t>
        </is>
      </c>
      <c r="D56" s="61" t="n">
        <v>2</v>
      </c>
      <c r="F56" s="61" t="n">
        <v>3.004</v>
      </c>
      <c r="G56" s="61" t="n">
        <v>-6.853</v>
      </c>
      <c r="H56" s="61" t="n">
        <v>12.498</v>
      </c>
      <c r="I56" s="61" t="n">
        <v>12.94</v>
      </c>
      <c r="J56" s="61" t="n"/>
      <c r="K56" s="4">
        <f>K45+K54</f>
        <v/>
      </c>
      <c r="L56" s="4">
        <f>L45+L54</f>
        <v/>
      </c>
      <c r="M56" s="4">
        <f>M45+M54</f>
        <v/>
      </c>
      <c r="N56" s="4">
        <f>N45+N54</f>
        <v/>
      </c>
      <c r="O56" s="4">
        <f>O45+O54</f>
        <v/>
      </c>
      <c r="P56" s="4">
        <f>P45+P54</f>
        <v/>
      </c>
      <c r="Q56" s="4">
        <f>Q45+Q54</f>
        <v/>
      </c>
    </row>
    <row r="57">
      <c r="B57" s="5" t="n"/>
    </row>
    <row r="58">
      <c r="B58" s="63" t="inlineStr">
        <is>
          <t>Finance</t>
        </is>
      </c>
      <c r="C58" s="20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</row>
    <row r="59">
      <c r="A59" t="inlineStr">
        <is>
          <t>Int-Term Deposit Int</t>
        </is>
      </c>
      <c r="B59" t="inlineStr">
        <is>
          <t>Interest on Term Deposits</t>
        </is>
      </c>
      <c r="C59" t="inlineStr">
        <is>
          <t>A$m</t>
        </is>
      </c>
      <c r="D59" s="6" t="n"/>
      <c r="E59" s="6" t="n"/>
      <c r="F59" s="61" t="n"/>
      <c r="G59" s="6" t="n"/>
      <c r="H59" s="61" t="n">
        <v>6.632</v>
      </c>
      <c r="I59" s="6" t="n"/>
      <c r="J59" s="61" t="n"/>
      <c r="K59" s="4">
        <f>J59*0.85</f>
        <v/>
      </c>
      <c r="L59" s="4">
        <f>K59*0.85</f>
        <v/>
      </c>
      <c r="M59" s="4">
        <f>L59*0.85</f>
        <v/>
      </c>
      <c r="N59" s="4">
        <f>M59*0.85</f>
        <v/>
      </c>
      <c r="O59" s="4">
        <f>N59*0.85</f>
        <v/>
      </c>
      <c r="P59" s="4">
        <f>O59*0.85</f>
        <v/>
      </c>
      <c r="Q59" s="4">
        <f>P59*0.85</f>
        <v/>
      </c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</row>
    <row r="60">
      <c r="A60" t="inlineStr">
        <is>
          <t>Int-Lease Rec Int</t>
        </is>
      </c>
      <c r="B60" t="inlineStr">
        <is>
          <t>Interest on Lease Receivables</t>
        </is>
      </c>
      <c r="C60" t="inlineStr">
        <is>
          <t>A$m</t>
        </is>
      </c>
      <c r="D60" s="6" t="n"/>
      <c r="E60" s="6" t="n"/>
      <c r="F60" s="61" t="n"/>
      <c r="G60" s="6" t="n"/>
      <c r="H60" s="61" t="n">
        <v>4.752</v>
      </c>
      <c r="I60" s="6" t="n"/>
      <c r="J60" s="61" t="n"/>
      <c r="K60" s="4">
        <f>I60*(1+K100*0.7)</f>
        <v/>
      </c>
      <c r="L60" s="4">
        <f>J60*(1+L100*0.7)</f>
        <v/>
      </c>
      <c r="M60" s="4">
        <f>K60*(1+M100*0.7)</f>
        <v/>
      </c>
      <c r="N60" s="4">
        <f>L60*(1+N100*0.7)</f>
        <v/>
      </c>
      <c r="O60" s="4">
        <f>M60*(1+O100*0.7)</f>
        <v/>
      </c>
      <c r="P60" s="4">
        <f>N60*(1+P100*0.7)</f>
        <v/>
      </c>
      <c r="Q60" s="4">
        <f>O60*(1+Q100*0.7)</f>
        <v/>
      </c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</row>
    <row r="61">
      <c r="A61" t="inlineStr">
        <is>
          <t>Int-Other Fin Inc</t>
        </is>
      </c>
      <c r="B61" t="inlineStr">
        <is>
          <t>Other Finance Income</t>
        </is>
      </c>
      <c r="C61" t="inlineStr">
        <is>
          <t>A$m</t>
        </is>
      </c>
      <c r="F61" s="61" t="n"/>
      <c r="H61" s="61" t="n">
        <v>0.061</v>
      </c>
      <c r="J61" s="61" t="n"/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</row>
    <row r="62">
      <c r="A62" t="inlineStr">
        <is>
          <t>Int-Total Fin Inc</t>
        </is>
      </c>
      <c r="B62" s="5" t="inlineStr">
        <is>
          <t>Total Finance Income</t>
        </is>
      </c>
      <c r="C62" t="inlineStr">
        <is>
          <t>A$m</t>
        </is>
      </c>
      <c r="D62" s="61" t="n">
        <v>2.1</v>
      </c>
      <c r="F62" s="61" t="n">
        <v>2.327</v>
      </c>
      <c r="H62" s="61" t="n">
        <v>11.445</v>
      </c>
      <c r="I62" s="61" t="n">
        <v>11.229</v>
      </c>
      <c r="J62" s="61" t="n"/>
      <c r="K62" s="4">
        <f>K59+K60+K61</f>
        <v/>
      </c>
      <c r="L62" s="4">
        <f>L59+L60+L61</f>
        <v/>
      </c>
      <c r="M62" s="4">
        <f>M59+M60+M61</f>
        <v/>
      </c>
      <c r="N62" s="4">
        <f>N59+N60+N61</f>
        <v/>
      </c>
      <c r="O62" s="4">
        <f>O59+O60+O61</f>
        <v/>
      </c>
      <c r="P62" s="4">
        <f>P59+P60+P61</f>
        <v/>
      </c>
      <c r="Q62" s="4">
        <f>Q59+Q60+Q61</f>
        <v/>
      </c>
    </row>
    <row r="63">
      <c r="A63" t="inlineStr">
        <is>
          <t>Int-Lease Liab Int</t>
        </is>
      </c>
      <c r="B63" t="inlineStr">
        <is>
          <t>Interest on Lease Liabilities</t>
        </is>
      </c>
      <c r="C63" t="inlineStr">
        <is>
          <t>A$m</t>
        </is>
      </c>
      <c r="D63" s="19" t="n"/>
      <c r="E63" s="4" t="n"/>
      <c r="F63" s="61" t="n"/>
      <c r="G63" s="4" t="n"/>
      <c r="H63" s="61" t="n">
        <v>-8.686</v>
      </c>
      <c r="I63" s="4" t="n"/>
      <c r="J63" s="61" t="n"/>
      <c r="K63" s="4">
        <f>I63*(1+K100*0.7)</f>
        <v/>
      </c>
      <c r="L63" s="4">
        <f>J63*(1+L100*0.7)</f>
        <v/>
      </c>
      <c r="M63" s="4">
        <f>K63*(1+M100*0.7)</f>
        <v/>
      </c>
      <c r="N63" s="4">
        <f>L63*(1+N100*0.7)</f>
        <v/>
      </c>
      <c r="O63" s="4">
        <f>M63*(1+O100*0.7)</f>
        <v/>
      </c>
      <c r="P63" s="4">
        <f>N63*(1+P100*0.7)</f>
        <v/>
      </c>
      <c r="Q63" s="4">
        <f>O63*(1+Q100*0.7)</f>
        <v/>
      </c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</row>
    <row r="64">
      <c r="A64" t="inlineStr">
        <is>
          <t>Int-Other Fin Cost</t>
        </is>
      </c>
      <c r="B64" t="inlineStr">
        <is>
          <t>Other Finance Costs</t>
        </is>
      </c>
      <c r="C64" t="inlineStr">
        <is>
          <t>A$m</t>
        </is>
      </c>
      <c r="D64" s="46" t="n"/>
      <c r="E64" s="4" t="n"/>
      <c r="F64" s="61" t="n"/>
      <c r="G64" s="4" t="n"/>
      <c r="H64" s="61" t="n">
        <v>-0.066</v>
      </c>
      <c r="I64" s="4" t="n"/>
      <c r="J64" s="61" t="n"/>
      <c r="K64" s="4" t="n">
        <v>-0.1</v>
      </c>
      <c r="L64" s="4" t="n">
        <v>-0.1</v>
      </c>
      <c r="M64" s="4" t="n">
        <v>-0.1</v>
      </c>
      <c r="N64" s="4" t="n">
        <v>-0.1</v>
      </c>
      <c r="O64" s="4" t="n">
        <v>-0.1</v>
      </c>
      <c r="P64" s="4" t="n">
        <v>-0.1</v>
      </c>
      <c r="Q64" s="4" t="n">
        <v>-0.1</v>
      </c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</row>
    <row r="65">
      <c r="A65" t="inlineStr">
        <is>
          <t>Int-Total Fin Cost</t>
        </is>
      </c>
      <c r="B65" t="inlineStr">
        <is>
          <t>Total Finance Costs</t>
        </is>
      </c>
      <c r="C65" t="inlineStr">
        <is>
          <t>A$m</t>
        </is>
      </c>
      <c r="D65" s="61" t="n">
        <v>-3.8</v>
      </c>
      <c r="E65" s="4" t="n"/>
      <c r="F65" s="61" t="n">
        <v>-6.41</v>
      </c>
      <c r="G65" s="4" t="n"/>
      <c r="H65" s="61" t="n">
        <v>-8.752000000000001</v>
      </c>
      <c r="I65" s="61" t="n">
        <v>-10.15</v>
      </c>
      <c r="J65" s="61" t="n"/>
      <c r="K65" s="4">
        <f>K63+K64</f>
        <v/>
      </c>
      <c r="L65" s="4">
        <f>L63+L64</f>
        <v/>
      </c>
      <c r="M65" s="4">
        <f>M63+M64</f>
        <v/>
      </c>
      <c r="N65" s="4">
        <f>N63+N64</f>
        <v/>
      </c>
      <c r="O65" s="4">
        <f>O63+O64</f>
        <v/>
      </c>
      <c r="P65" s="4">
        <f>P63+P64</f>
        <v/>
      </c>
      <c r="Q65" s="4">
        <f>Q63+Q64</f>
        <v/>
      </c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</row>
    <row r="66">
      <c r="B66" s="20" t="n"/>
      <c r="C66" s="20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</row>
    <row r="67">
      <c r="A67" t="inlineStr">
        <is>
          <t>PBT-PBT</t>
        </is>
      </c>
      <c r="B67" s="25" t="inlineStr">
        <is>
          <t>PBT</t>
        </is>
      </c>
      <c r="C67" t="inlineStr">
        <is>
          <t>A$m</t>
        </is>
      </c>
      <c r="D67" s="61" t="n">
        <v>0.3</v>
      </c>
      <c r="E67" s="6" t="n"/>
      <c r="F67" s="61" t="n">
        <v>-1.079</v>
      </c>
      <c r="G67" s="61" t="n">
        <v>-10.482</v>
      </c>
      <c r="H67" s="61" t="n">
        <v>15.191</v>
      </c>
      <c r="I67" s="61" t="n">
        <v>14.019</v>
      </c>
      <c r="J67" s="61" t="n"/>
      <c r="K67" s="43">
        <f>K56+K62+K65</f>
        <v/>
      </c>
      <c r="L67" s="43">
        <f>L56+L62+L65</f>
        <v/>
      </c>
      <c r="M67" s="43">
        <f>M56+M62+M65</f>
        <v/>
      </c>
      <c r="N67" s="43">
        <f>N56+N62+N65</f>
        <v/>
      </c>
      <c r="O67" s="43">
        <f>O56+O62+O65</f>
        <v/>
      </c>
      <c r="P67" s="43">
        <f>P56+P62+P65</f>
        <v/>
      </c>
      <c r="Q67" s="43">
        <f>Q56+Q62+Q65</f>
        <v/>
      </c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  <c r="AA67" s="26" t="n"/>
      <c r="AB67" s="26" t="n"/>
      <c r="AC67" s="26" t="n"/>
    </row>
    <row r="68">
      <c r="A68" t="inlineStr">
        <is>
          <t>Tax-Tax Expense</t>
        </is>
      </c>
      <c r="B68" s="25" t="inlineStr">
        <is>
          <t>Income Tax Expense</t>
        </is>
      </c>
      <c r="C68" t="inlineStr">
        <is>
          <t>A$m</t>
        </is>
      </c>
      <c r="D68" s="61" t="n">
        <v>-1.5</v>
      </c>
      <c r="E68" s="6" t="n"/>
      <c r="F68" s="61" t="n">
        <v>-2.881</v>
      </c>
      <c r="G68" s="61" t="n">
        <v>0.694</v>
      </c>
      <c r="H68" s="61" t="n">
        <v>-7.89</v>
      </c>
      <c r="I68" s="61" t="n">
        <v>-6.844</v>
      </c>
      <c r="J68" s="61" t="n"/>
      <c r="K68" s="43">
        <f>-MAX(K67,0)*K111</f>
        <v/>
      </c>
      <c r="L68" s="43">
        <f>-MAX(L67,0)*L111</f>
        <v/>
      </c>
      <c r="M68" s="43">
        <f>-MAX(M67,0)*M111</f>
        <v/>
      </c>
      <c r="N68" s="43">
        <f>-MAX(N67,0)*N111</f>
        <v/>
      </c>
      <c r="O68" s="43">
        <f>-MAX(O67,0)*O111</f>
        <v/>
      </c>
      <c r="P68" s="43">
        <f>-MAX(P67,0)*P111</f>
        <v/>
      </c>
      <c r="Q68" s="43">
        <f>-MAX(Q67,0)*Q111</f>
        <v/>
      </c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  <c r="AA68" s="26" t="n"/>
      <c r="AB68" s="26" t="n"/>
      <c r="AC68" s="26" t="n"/>
    </row>
    <row r="69">
      <c r="B69" s="25" t="inlineStr">
        <is>
          <t>Tax Rate</t>
        </is>
      </c>
      <c r="C69" t="inlineStr">
        <is>
          <t>%</t>
        </is>
      </c>
      <c r="D69" s="6" t="n"/>
      <c r="E69" s="6" t="n"/>
      <c r="F69" s="6" t="n"/>
      <c r="G69" s="6" t="n"/>
      <c r="H69" s="6" t="n"/>
      <c r="I69" s="6" t="n"/>
      <c r="J69" s="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  <c r="AA69" s="26" t="n"/>
      <c r="AB69" s="26" t="n"/>
      <c r="AC69" s="26" t="n"/>
    </row>
    <row r="70">
      <c r="A70" t="inlineStr">
        <is>
          <t>NPAT-NPAT</t>
        </is>
      </c>
      <c r="B70" t="inlineStr">
        <is>
          <t>NPAT</t>
        </is>
      </c>
      <c r="C70" t="inlineStr">
        <is>
          <t>A$m</t>
        </is>
      </c>
      <c r="D70" s="61" t="n">
        <v>-1.1</v>
      </c>
      <c r="F70" s="61" t="n">
        <v>-3.96</v>
      </c>
      <c r="G70" s="61" t="n">
        <v>-9.788</v>
      </c>
      <c r="H70" s="61" t="n">
        <v>7.301</v>
      </c>
      <c r="I70" s="61" t="n">
        <v>7.175</v>
      </c>
      <c r="J70" s="61" t="n"/>
      <c r="K70" s="4">
        <f>K67+K68</f>
        <v/>
      </c>
      <c r="L70" s="4">
        <f>L67+L68</f>
        <v/>
      </c>
      <c r="M70" s="4">
        <f>M67+M68</f>
        <v/>
      </c>
      <c r="N70" s="4">
        <f>N67+N68</f>
        <v/>
      </c>
      <c r="O70" s="4">
        <f>O67+O68</f>
        <v/>
      </c>
      <c r="P70" s="4">
        <f>P67+P68</f>
        <v/>
      </c>
      <c r="Q70" s="4">
        <f>Q67+Q68</f>
        <v/>
      </c>
    </row>
    <row r="71">
      <c r="B71" s="20" t="inlineStr">
        <is>
          <t>NPAT Growth (YoY)</t>
        </is>
      </c>
      <c r="C71" s="20" t="inlineStr">
        <is>
          <t>% YoY</t>
        </is>
      </c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</row>
    <row r="72">
      <c r="D72" s="19" t="n"/>
      <c r="E72" s="4" t="n"/>
      <c r="F72" s="19" t="n"/>
      <c r="G72" s="4" t="n"/>
      <c r="H72" s="19" t="n"/>
      <c r="I72" s="4" t="n"/>
      <c r="J72" s="19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</row>
    <row r="73">
      <c r="B73" s="60" t="inlineStr">
        <is>
          <t>Operating Metrics</t>
        </is>
      </c>
      <c r="D73" s="6" t="n"/>
      <c r="E73" s="6" t="n"/>
      <c r="F73" s="6" t="n"/>
      <c r="G73" s="6" t="n"/>
      <c r="H73" s="6" t="n"/>
      <c r="I73" s="6" t="n"/>
      <c r="J73" s="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  <c r="AA73" s="26" t="n"/>
      <c r="AB73" s="26" t="n"/>
      <c r="AC73" s="26" t="n"/>
    </row>
    <row r="74">
      <c r="A74" t="inlineStr">
        <is>
          <t>KPI-Net Sales Aus</t>
        </is>
      </c>
      <c r="B74" s="49" t="inlineStr">
        <is>
          <t>Network Sales - Australia</t>
        </is>
      </c>
      <c r="C74" t="inlineStr">
        <is>
          <t>A$m</t>
        </is>
      </c>
      <c r="D74" s="61" t="n">
        <v>334.9</v>
      </c>
      <c r="E74" s="61" t="n">
        <v>368</v>
      </c>
      <c r="F74" s="61" t="n">
        <v>438.6</v>
      </c>
      <c r="G74" s="61" t="n">
        <v>456</v>
      </c>
      <c r="H74" s="61" t="n">
        <v>538</v>
      </c>
      <c r="I74" s="61" t="n">
        <v>556.5999999999999</v>
      </c>
      <c r="J74" s="61" t="n">
        <v>632</v>
      </c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</row>
    <row r="75">
      <c r="A75" t="inlineStr">
        <is>
          <t>KPI-Net Sales Sing</t>
        </is>
      </c>
      <c r="B75" s="20" t="inlineStr">
        <is>
          <t>Network Sales - Singapore</t>
        </is>
      </c>
      <c r="C75" s="20" t="inlineStr">
        <is>
          <t>A$m</t>
        </is>
      </c>
      <c r="D75" s="62" t="n">
        <v>21.5</v>
      </c>
      <c r="E75" s="62" t="n">
        <v>21.6</v>
      </c>
      <c r="F75" s="62" t="n">
        <v>22.2</v>
      </c>
      <c r="G75" s="62" t="n">
        <v>24.2</v>
      </c>
      <c r="H75" s="62" t="n">
        <v>35</v>
      </c>
      <c r="I75" s="21" t="n"/>
      <c r="J75" s="62" t="n">
        <v>42</v>
      </c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</row>
    <row r="76">
      <c r="A76" t="inlineStr">
        <is>
          <t>KPI-Net Sales Japan</t>
        </is>
      </c>
      <c r="B76" t="inlineStr">
        <is>
          <t>Network Sales - Japan</t>
        </is>
      </c>
      <c r="C76" t="inlineStr">
        <is>
          <t>A$m</t>
        </is>
      </c>
      <c r="D76" s="61" t="n">
        <v>3.2</v>
      </c>
      <c r="E76" s="61" t="n">
        <v>3.8</v>
      </c>
      <c r="F76" s="61" t="n">
        <v>4.2</v>
      </c>
      <c r="G76" s="61" t="n">
        <v>3.7</v>
      </c>
      <c r="H76" s="19" t="n"/>
      <c r="I76" s="4" t="n"/>
      <c r="J76" s="61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</row>
    <row r="77">
      <c r="A77" t="inlineStr">
        <is>
          <t>KPI-Net Sales US</t>
        </is>
      </c>
      <c r="B77" s="20" t="inlineStr">
        <is>
          <t>Network Sales - US</t>
        </is>
      </c>
      <c r="C77" s="20" t="inlineStr">
        <is>
          <t>A$m</t>
        </is>
      </c>
      <c r="D77" s="62" t="n">
        <v>1.5</v>
      </c>
      <c r="E77" s="62" t="n">
        <v>4.5</v>
      </c>
      <c r="F77" s="62" t="n">
        <v>5.6</v>
      </c>
      <c r="G77" s="62" t="n">
        <v>5.200000000000001</v>
      </c>
      <c r="H77" s="62" t="n">
        <v>4.9</v>
      </c>
      <c r="I77" s="62" t="n">
        <v>7.299999999999999</v>
      </c>
      <c r="J77" s="62" t="n">
        <v>8.199999999999999</v>
      </c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</row>
    <row r="78">
      <c r="A78" t="inlineStr">
        <is>
          <t>KPI-Global Net Sales</t>
        </is>
      </c>
      <c r="B78" t="inlineStr">
        <is>
          <t>Global Network Sales</t>
        </is>
      </c>
      <c r="C78" t="inlineStr">
        <is>
          <t>A$m</t>
        </is>
      </c>
      <c r="D78" s="61" t="n">
        <v>361</v>
      </c>
      <c r="E78" s="61" t="n">
        <v>398</v>
      </c>
      <c r="F78" s="61" t="n">
        <v>470.8</v>
      </c>
      <c r="G78" s="61" t="n">
        <v>488.9</v>
      </c>
      <c r="H78" s="61" t="n">
        <v>577.9</v>
      </c>
      <c r="I78" s="61" t="n">
        <v>602.8000000000001</v>
      </c>
      <c r="J78" s="61" t="n">
        <v>682.2</v>
      </c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</row>
    <row r="79">
      <c r="A79" t="inlineStr">
        <is>
          <t>KPI-Comp Sales Growth</t>
        </is>
      </c>
      <c r="B79" t="inlineStr">
        <is>
          <t>Comp Sales Growth (Aus Segment)</t>
        </is>
      </c>
      <c r="C79" t="inlineStr">
        <is>
          <t>%</t>
        </is>
      </c>
    </row>
    <row r="80">
      <c r="A80" s="27" t="inlineStr">
        <is>
          <t>KPI-Corp Rest Aus</t>
        </is>
      </c>
      <c r="B80" s="28" t="inlineStr">
        <is>
          <t>Corporate Restaurants - Australia</t>
        </is>
      </c>
      <c r="C80" s="27" t="inlineStr">
        <is>
          <t>#</t>
        </is>
      </c>
      <c r="D80" s="27" t="n"/>
      <c r="E80" s="27" t="n"/>
      <c r="F80" s="70" t="n">
        <v>62</v>
      </c>
      <c r="G80" s="70" t="n">
        <v>64</v>
      </c>
      <c r="H80" s="70" t="n">
        <v>74</v>
      </c>
      <c r="I80" s="70" t="n">
        <v>81</v>
      </c>
      <c r="J80" s="70" t="n">
        <v>86</v>
      </c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</row>
    <row r="81">
      <c r="A81" t="inlineStr">
        <is>
          <t>KPI-Fran Rest Aus</t>
        </is>
      </c>
      <c r="B81" t="inlineStr">
        <is>
          <t>Franchise Restaurants - Australia</t>
        </is>
      </c>
      <c r="C81" t="inlineStr">
        <is>
          <t>#</t>
        </is>
      </c>
      <c r="D81" s="19" t="n"/>
      <c r="E81" s="4" t="n"/>
      <c r="F81" s="65" t="n">
        <v>121</v>
      </c>
      <c r="G81" s="65" t="n">
        <v>130</v>
      </c>
      <c r="H81" s="65" t="n">
        <v>136</v>
      </c>
      <c r="I81" s="65" t="n">
        <v>143</v>
      </c>
      <c r="J81" s="65" t="n">
        <v>148</v>
      </c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</row>
    <row r="82">
      <c r="A82" t="inlineStr">
        <is>
          <t>KPI-Rest US</t>
        </is>
      </c>
      <c r="B82" t="inlineStr">
        <is>
          <t>Restaurants - US</t>
        </is>
      </c>
      <c r="C82" t="inlineStr">
        <is>
          <t>#</t>
        </is>
      </c>
      <c r="D82" s="19" t="n"/>
      <c r="E82" s="4" t="n"/>
      <c r="F82" s="65" t="n">
        <v>4</v>
      </c>
      <c r="G82" s="65" t="n">
        <v>4</v>
      </c>
      <c r="H82" s="65" t="n">
        <v>4</v>
      </c>
      <c r="I82" s="65" t="n">
        <v>6</v>
      </c>
      <c r="J82" s="65" t="n">
        <v>8</v>
      </c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</row>
    <row r="83">
      <c r="A83" t="inlineStr">
        <is>
          <t>KPI-Global Rest Count</t>
        </is>
      </c>
      <c r="B83" s="20" t="inlineStr">
        <is>
          <t>Global Restaurant Count</t>
        </is>
      </c>
      <c r="C83" s="20" t="inlineStr">
        <is>
          <t>#</t>
        </is>
      </c>
      <c r="D83" s="21" t="n"/>
      <c r="E83" s="21" t="n"/>
      <c r="F83" s="21" t="n"/>
      <c r="G83" s="21" t="n"/>
      <c r="H83" s="21" t="n"/>
      <c r="I83" s="21" t="n"/>
      <c r="J83" s="7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</row>
    <row r="84">
      <c r="A84" t="inlineStr">
        <is>
          <t>KPI-DT AUV</t>
        </is>
      </c>
      <c r="B84" s="8" t="inlineStr">
        <is>
          <t>Drive Thru AUV (annualised)</t>
        </is>
      </c>
      <c r="C84" t="inlineStr">
        <is>
          <t>A$m</t>
        </is>
      </c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  <c r="AB84" s="29" t="n"/>
      <c r="AC84" s="29" t="n"/>
    </row>
    <row r="85">
      <c r="A85" t="inlineStr">
        <is>
          <t>KPI-Strip AUV</t>
        </is>
      </c>
      <c r="B85" s="8" t="inlineStr">
        <is>
          <t>Strip AUV (annualised)</t>
        </is>
      </c>
      <c r="C85" t="inlineStr">
        <is>
          <t>A$m</t>
        </is>
      </c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  <c r="AB85" s="29" t="n"/>
      <c r="AC85" s="29" t="n"/>
    </row>
    <row r="86">
      <c r="A86" t="inlineStr">
        <is>
          <t>KPI-Implied Royalty Rate</t>
        </is>
      </c>
      <c r="B86" s="8" t="inlineStr">
        <is>
          <t>Implied Franchise Royalty Rate</t>
        </is>
      </c>
      <c r="C86" t="inlineStr">
        <is>
          <t>%</t>
        </is>
      </c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  <c r="AB86" s="29" t="n"/>
      <c r="AC86" s="29" t="n"/>
    </row>
    <row r="87">
      <c r="B87" s="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  <c r="AB87" s="29" t="n"/>
      <c r="AC87" s="29" t="n"/>
    </row>
    <row r="88">
      <c r="B88" s="60" t="inlineStr">
        <is>
          <t>Forecast Assumptions</t>
        </is>
      </c>
      <c r="D88" s="30" t="n"/>
      <c r="E88" s="29" t="n"/>
      <c r="F88" s="30" t="n"/>
      <c r="G88" s="29" t="n"/>
      <c r="H88" s="30" t="n"/>
      <c r="I88" s="29" t="n"/>
      <c r="J88" s="30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</row>
    <row r="89">
      <c r="B89" s="60" t="inlineStr">
        <is>
          <t>Australia Segment</t>
        </is>
      </c>
      <c r="D89" s="30" t="n"/>
      <c r="E89" s="29" t="n"/>
      <c r="F89" s="30" t="n"/>
      <c r="G89" s="29" t="n"/>
      <c r="H89" s="30" t="n"/>
      <c r="I89" s="29" t="n"/>
      <c r="J89" s="30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</row>
    <row r="90">
      <c r="A90" t="inlineStr">
        <is>
          <t>Asn-Aus Corp Sales Gr</t>
        </is>
      </c>
      <c r="B90" t="inlineStr">
        <is>
          <t>Aus Corp Sales Growth (YoY)</t>
        </is>
      </c>
      <c r="C90" t="inlineStr">
        <is>
          <t>%</t>
        </is>
      </c>
      <c r="D90" s="6" t="n"/>
      <c r="E90" s="6" t="n"/>
      <c r="F90" s="6" t="n"/>
      <c r="G90" s="6" t="n"/>
      <c r="H90" s="6" t="n"/>
      <c r="I90" s="6" t="n"/>
      <c r="J90" s="31" t="n"/>
      <c r="K90" s="73" t="n">
        <v>0.15</v>
      </c>
      <c r="L90" s="73" t="n">
        <v>0.15</v>
      </c>
      <c r="M90" s="73" t="n">
        <v>0.13</v>
      </c>
      <c r="N90" s="73" t="n">
        <v>0.13</v>
      </c>
      <c r="O90" s="73" t="n">
        <v>0.12</v>
      </c>
      <c r="P90" s="73" t="n">
        <v>0.12</v>
      </c>
      <c r="Q90" s="73" t="n">
        <v>0.12</v>
      </c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</row>
    <row r="91">
      <c r="A91" t="inlineStr">
        <is>
          <t>Asn-Aus Corp Margin</t>
        </is>
      </c>
      <c r="B91" t="inlineStr">
        <is>
          <t>Aus Corporate Restaurant Margin %</t>
        </is>
      </c>
      <c r="C91" t="inlineStr">
        <is>
          <t>%</t>
        </is>
      </c>
      <c r="K91" s="73" t="n">
        <v>0.178</v>
      </c>
      <c r="L91" s="73" t="n">
        <v>0.178</v>
      </c>
      <c r="M91" s="73" t="n">
        <v>0.178</v>
      </c>
      <c r="N91" s="73" t="n">
        <v>0.178</v>
      </c>
      <c r="O91" s="73" t="n">
        <v>0.178</v>
      </c>
      <c r="P91" s="73" t="n">
        <v>0.178</v>
      </c>
      <c r="Q91" s="73" t="n">
        <v>0.178</v>
      </c>
    </row>
    <row r="92">
      <c r="A92" s="27" t="inlineStr">
        <is>
          <t>Asn-Aus Franchise Gr</t>
        </is>
      </c>
      <c r="B92" s="28" t="inlineStr">
        <is>
          <t>Aus Franchise Rev Growth (YoY)</t>
        </is>
      </c>
      <c r="C92" s="27" t="inlineStr">
        <is>
          <t>%</t>
        </is>
      </c>
      <c r="D92" s="27" t="n"/>
      <c r="E92" s="27" t="n"/>
      <c r="F92" s="27" t="n"/>
      <c r="G92" s="27" t="n"/>
      <c r="H92" s="27" t="n"/>
      <c r="I92" s="27" t="n"/>
      <c r="J92" s="27" t="n"/>
      <c r="K92" s="73" t="n">
        <v>0.15</v>
      </c>
      <c r="L92" s="73" t="n">
        <v>0.15</v>
      </c>
      <c r="M92" s="73" t="n">
        <v>0.12</v>
      </c>
      <c r="N92" s="73" t="n">
        <v>0.12</v>
      </c>
      <c r="O92" s="73" t="n">
        <v>0.12</v>
      </c>
      <c r="P92" s="73" t="n">
        <v>0.12</v>
      </c>
      <c r="Q92" s="73" t="n">
        <v>0.12</v>
      </c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</row>
    <row r="93">
      <c r="A93" t="inlineStr">
        <is>
          <t>Asn-Aus GA Gr</t>
        </is>
      </c>
      <c r="B93" s="8" t="inlineStr">
        <is>
          <t>Aus G&amp;A Growth Factor</t>
        </is>
      </c>
      <c r="C93" t="inlineStr">
        <is>
          <t>%</t>
        </is>
      </c>
      <c r="D93" s="4" t="n"/>
      <c r="E93" s="4" t="n"/>
      <c r="F93" s="4" t="n"/>
      <c r="G93" s="4" t="n"/>
      <c r="H93" s="4" t="n"/>
      <c r="I93" s="4" t="n"/>
      <c r="J93" s="4" t="n"/>
      <c r="K93" s="73" t="n">
        <v>0.6</v>
      </c>
      <c r="L93" s="73" t="n">
        <v>0.6</v>
      </c>
      <c r="M93" s="73" t="n">
        <v>0.6</v>
      </c>
      <c r="N93" s="73" t="n">
        <v>0.6</v>
      </c>
      <c r="O93" s="73" t="n">
        <v>0.6</v>
      </c>
      <c r="P93" s="73" t="n">
        <v>0.6</v>
      </c>
      <c r="Q93" s="73" t="n">
        <v>0.6</v>
      </c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</row>
    <row r="94">
      <c r="B94" s="60" t="inlineStr">
        <is>
          <t>US Segment</t>
        </is>
      </c>
      <c r="D94" s="6" t="n"/>
      <c r="E94" s="6" t="n"/>
      <c r="F94" s="6" t="n"/>
      <c r="G94" s="6" t="n"/>
      <c r="H94" s="6" t="n"/>
      <c r="I94" s="6" t="n"/>
      <c r="J94" s="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  <c r="AA94" s="26" t="n"/>
      <c r="AB94" s="26" t="n"/>
      <c r="AC94" s="26" t="n"/>
    </row>
    <row r="95">
      <c r="A95" t="inlineStr">
        <is>
          <t>Asn-US Corp Sales Gr</t>
        </is>
      </c>
      <c r="B95" s="8" t="inlineStr">
        <is>
          <t>US Corp Sales Growth (YoY)</t>
        </is>
      </c>
      <c r="C95" t="inlineStr">
        <is>
          <t>%</t>
        </is>
      </c>
      <c r="D95" s="29" t="n"/>
      <c r="E95" s="29" t="n"/>
      <c r="F95" s="29" t="n"/>
      <c r="G95" s="29" t="n"/>
      <c r="H95" s="29" t="n"/>
      <c r="I95" s="29" t="n"/>
      <c r="J95" s="29" t="n"/>
      <c r="K95" s="73" t="n">
        <v>0.3</v>
      </c>
      <c r="L95" s="73" t="n">
        <v>0.3</v>
      </c>
      <c r="M95" s="73" t="n">
        <v>0.3</v>
      </c>
      <c r="N95" s="73" t="n">
        <v>0.3</v>
      </c>
      <c r="O95" s="73" t="n">
        <v>0.3</v>
      </c>
      <c r="P95" s="73" t="n">
        <v>0.3</v>
      </c>
      <c r="Q95" s="73" t="n">
        <v>0.3</v>
      </c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  <c r="AB95" s="29" t="n"/>
      <c r="AC95" s="29" t="n"/>
    </row>
    <row r="96">
      <c r="A96" t="inlineStr">
        <is>
          <t>Asn-US Corp Margin</t>
        </is>
      </c>
      <c r="B96" s="25" t="inlineStr">
        <is>
          <t>US Corporate Restaurant Margin %</t>
        </is>
      </c>
      <c r="C96" t="inlineStr">
        <is>
          <t>%</t>
        </is>
      </c>
      <c r="D96" s="6" t="n"/>
      <c r="E96" s="6" t="n"/>
      <c r="F96" s="6" t="n"/>
      <c r="G96" s="6" t="n"/>
      <c r="H96" s="6" t="n"/>
      <c r="I96" s="6" t="n"/>
      <c r="J96" s="6" t="n"/>
      <c r="K96" s="73" t="n">
        <v>-0.4</v>
      </c>
      <c r="L96" s="73" t="n">
        <v>-0.4</v>
      </c>
      <c r="M96" s="73" t="n">
        <v>-0.25</v>
      </c>
      <c r="N96" s="73" t="n">
        <v>-0.25</v>
      </c>
      <c r="O96" s="73" t="n">
        <v>-0.15</v>
      </c>
      <c r="P96" s="73" t="n">
        <v>-0.15</v>
      </c>
      <c r="Q96" s="73" t="n">
        <v>-0.15</v>
      </c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  <c r="AA96" s="26" t="n"/>
      <c r="AB96" s="26" t="n"/>
      <c r="AC96" s="26" t="n"/>
    </row>
    <row r="97">
      <c r="A97" t="inlineStr">
        <is>
          <t>Asn-US GA</t>
        </is>
      </c>
      <c r="B97" s="8" t="inlineStr">
        <is>
          <t>US G&amp;A Costs</t>
        </is>
      </c>
      <c r="C97" t="inlineStr">
        <is>
          <t>A$m</t>
        </is>
      </c>
      <c r="D97" s="4" t="n"/>
      <c r="E97" s="4" t="n"/>
      <c r="F97" s="4" t="n"/>
      <c r="G97" s="4" t="n"/>
      <c r="H97" s="4" t="n"/>
      <c r="I97" s="4" t="n"/>
      <c r="J97" s="4" t="n"/>
      <c r="K97" s="74" t="n">
        <v>-4.5</v>
      </c>
      <c r="L97" s="74" t="n">
        <v>-4.5</v>
      </c>
      <c r="M97" s="74" t="n">
        <v>-4.5</v>
      </c>
      <c r="N97" s="74" t="n">
        <v>-4.5</v>
      </c>
      <c r="O97" s="74" t="n">
        <v>-4.5</v>
      </c>
      <c r="P97" s="74" t="n">
        <v>-4.5</v>
      </c>
      <c r="Q97" s="74" t="n">
        <v>-4.5</v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</row>
    <row r="98">
      <c r="B98" s="60" t="inlineStr">
        <is>
          <t>Group</t>
        </is>
      </c>
      <c r="D98" s="31" t="n"/>
      <c r="E98" s="6" t="n"/>
      <c r="F98" s="31" t="n"/>
      <c r="G98" s="6" t="n"/>
      <c r="H98" s="31" t="n"/>
      <c r="I98" s="6" t="n"/>
      <c r="J98" s="31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  <c r="AA98" s="26" t="n"/>
      <c r="AB98" s="26" t="n"/>
      <c r="AC98" s="26" t="n"/>
    </row>
    <row r="99">
      <c r="A99" t="inlineStr">
        <is>
          <t>Asn-SBP</t>
        </is>
      </c>
      <c r="B99" s="8" t="inlineStr">
        <is>
          <t>Share-Based Payments</t>
        </is>
      </c>
      <c r="C99" t="inlineStr">
        <is>
          <t>A$m</t>
        </is>
      </c>
      <c r="D99" s="4" t="n"/>
      <c r="E99" s="4" t="n"/>
      <c r="F99" s="4" t="n"/>
      <c r="G99" s="4" t="n"/>
      <c r="H99" s="4" t="n"/>
      <c r="I99" s="4" t="n"/>
      <c r="J99" s="4" t="n"/>
      <c r="K99" s="74" t="n">
        <v>-5</v>
      </c>
      <c r="L99" s="74" t="n">
        <v>-5</v>
      </c>
      <c r="M99" s="74" t="n">
        <v>-5</v>
      </c>
      <c r="N99" s="74" t="n">
        <v>-5</v>
      </c>
      <c r="O99" s="74" t="n">
        <v>-5</v>
      </c>
      <c r="P99" s="74" t="n">
        <v>-5</v>
      </c>
      <c r="Q99" s="74" t="n">
        <v>-5</v>
      </c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</row>
    <row r="100">
      <c r="A100" t="inlineStr">
        <is>
          <t>Asn-Cash Rent Gr</t>
        </is>
      </c>
      <c r="B100" s="8" t="inlineStr">
        <is>
          <t>Cash Rent Growth (YoY)</t>
        </is>
      </c>
      <c r="C100" t="inlineStr">
        <is>
          <t>%</t>
        </is>
      </c>
      <c r="D100" s="4" t="n"/>
      <c r="E100" s="4" t="n"/>
      <c r="F100" s="4" t="n"/>
      <c r="G100" s="4" t="n"/>
      <c r="H100" s="4" t="n"/>
      <c r="I100" s="4" t="n"/>
      <c r="J100" s="4" t="n"/>
      <c r="K100" s="73" t="n">
        <v>0.15</v>
      </c>
      <c r="L100" s="73" t="n">
        <v>0.15</v>
      </c>
      <c r="M100" s="73" t="n">
        <v>0.15</v>
      </c>
      <c r="N100" s="73" t="n">
        <v>0.15</v>
      </c>
      <c r="O100" s="73" t="n">
        <v>0.15</v>
      </c>
      <c r="P100" s="73" t="n">
        <v>0.15</v>
      </c>
      <c r="Q100" s="73" t="n">
        <v>0.15</v>
      </c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</row>
    <row r="101">
      <c r="B101" s="60" t="inlineStr">
        <is>
          <t>P&amp;L Ratios</t>
        </is>
      </c>
      <c r="D101" s="6" t="n"/>
      <c r="E101" s="6" t="n"/>
      <c r="F101" s="6" t="n"/>
      <c r="G101" s="6" t="n"/>
      <c r="H101" s="6" t="n"/>
      <c r="I101" s="6" t="n"/>
      <c r="J101" s="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  <c r="AA101" s="26" t="n"/>
      <c r="AB101" s="26" t="n"/>
      <c r="AC101" s="26" t="n"/>
    </row>
    <row r="102">
      <c r="A102" t="inlineStr">
        <is>
          <t>Asn-COGS Pct</t>
        </is>
      </c>
      <c r="B102" s="8" t="inlineStr">
        <is>
          <t>COGS % of Corp Restaurant Sales</t>
        </is>
      </c>
      <c r="C102" t="inlineStr">
        <is>
          <t>%</t>
        </is>
      </c>
      <c r="D102" s="29" t="n"/>
      <c r="E102" s="29" t="n"/>
      <c r="F102" s="29" t="n"/>
      <c r="G102" s="29" t="n"/>
      <c r="H102" s="29" t="n"/>
      <c r="I102" s="29" t="n"/>
      <c r="J102" s="29" t="n"/>
      <c r="K102" s="73" t="n">
        <v>0.257</v>
      </c>
      <c r="L102" s="73" t="n">
        <v>0.257</v>
      </c>
      <c r="M102" s="73" t="n">
        <v>0.257</v>
      </c>
      <c r="N102" s="73" t="n">
        <v>0.257</v>
      </c>
      <c r="O102" s="73" t="n">
        <v>0.257</v>
      </c>
      <c r="P102" s="73" t="n">
        <v>0.257</v>
      </c>
      <c r="Q102" s="73" t="n">
        <v>0.257</v>
      </c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  <c r="AB102" s="29" t="n"/>
      <c r="AC102" s="29" t="n"/>
    </row>
    <row r="103">
      <c r="A103" t="inlineStr">
        <is>
          <t>Asn-Employee Pct</t>
        </is>
      </c>
      <c r="B103" s="20" t="inlineStr">
        <is>
          <t>Employee Benefits % of Revenue</t>
        </is>
      </c>
      <c r="C103" s="20" t="inlineStr">
        <is>
          <t>%</t>
        </is>
      </c>
      <c r="D103" s="21" t="n"/>
      <c r="E103" s="21" t="n"/>
      <c r="F103" s="21" t="n"/>
      <c r="G103" s="21" t="n"/>
      <c r="H103" s="21" t="n"/>
      <c r="I103" s="21" t="n"/>
      <c r="J103" s="21" t="n"/>
      <c r="K103" s="75" t="n">
        <v>0.415</v>
      </c>
      <c r="L103" s="75" t="n">
        <v>0.415</v>
      </c>
      <c r="M103" s="75" t="n">
        <v>0.415</v>
      </c>
      <c r="N103" s="75" t="n">
        <v>0.415</v>
      </c>
      <c r="O103" s="75" t="n">
        <v>0.415</v>
      </c>
      <c r="P103" s="75" t="n">
        <v>0.415</v>
      </c>
      <c r="Q103" s="75" t="n">
        <v>0.415</v>
      </c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</row>
    <row r="104">
      <c r="A104" t="inlineStr">
        <is>
          <t>Asn-Admin Pct</t>
        </is>
      </c>
      <c r="B104" t="inlineStr">
        <is>
          <t>Admin Expenses % of Revenue</t>
        </is>
      </c>
      <c r="C104" t="inlineStr">
        <is>
          <t>%</t>
        </is>
      </c>
      <c r="K104" s="73" t="n">
        <v>0.11</v>
      </c>
      <c r="L104" s="73" t="n">
        <v>0.11</v>
      </c>
      <c r="M104" s="73" t="n">
        <v>0.11</v>
      </c>
      <c r="N104" s="73" t="n">
        <v>0.11</v>
      </c>
      <c r="O104" s="73" t="n">
        <v>0.11</v>
      </c>
      <c r="P104" s="73" t="n">
        <v>0.11</v>
      </c>
      <c r="Q104" s="73" t="n">
        <v>0.11</v>
      </c>
    </row>
    <row r="105">
      <c r="A105" s="27" t="inlineStr">
        <is>
          <t>Asn-Marketing Pct</t>
        </is>
      </c>
      <c r="B105" s="28" t="inlineStr">
        <is>
          <t>Marketing Expenses % of Revenue</t>
        </is>
      </c>
      <c r="C105" s="27" t="inlineStr">
        <is>
          <t>%</t>
        </is>
      </c>
      <c r="D105" s="27" t="n"/>
      <c r="E105" s="27" t="n"/>
      <c r="F105" s="27" t="n"/>
      <c r="G105" s="27" t="n"/>
      <c r="H105" s="27" t="n"/>
      <c r="I105" s="27" t="n"/>
      <c r="J105" s="27" t="n"/>
      <c r="K105" s="73" t="n">
        <v>0.05</v>
      </c>
      <c r="L105" s="73" t="n">
        <v>0.05</v>
      </c>
      <c r="M105" s="73" t="n">
        <v>0.05</v>
      </c>
      <c r="N105" s="73" t="n">
        <v>0.05</v>
      </c>
      <c r="O105" s="73" t="n">
        <v>0.05</v>
      </c>
      <c r="P105" s="73" t="n">
        <v>0.05</v>
      </c>
      <c r="Q105" s="73" t="n">
        <v>0.05</v>
      </c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  <c r="AA105" s="27" t="n"/>
      <c r="AB105" s="27" t="n"/>
      <c r="AC105" s="27" t="n"/>
    </row>
    <row r="106">
      <c r="A106" t="inlineStr">
        <is>
          <t>Asn-Other Exp Pct</t>
        </is>
      </c>
      <c r="B106" s="8" t="inlineStr">
        <is>
          <t>Other Expenses % of Revenue</t>
        </is>
      </c>
      <c r="C106" t="inlineStr">
        <is>
          <t>%</t>
        </is>
      </c>
      <c r="D106" s="4" t="n"/>
      <c r="E106" s="4" t="n"/>
      <c r="F106" s="4" t="n"/>
      <c r="G106" s="4" t="n"/>
      <c r="H106" s="4" t="n"/>
      <c r="I106" s="4" t="n"/>
      <c r="J106" s="4" t="n"/>
      <c r="K106" s="73" t="n">
        <v>0.065</v>
      </c>
      <c r="L106" s="73" t="n">
        <v>0.065</v>
      </c>
      <c r="M106" s="73" t="n">
        <v>0.065</v>
      </c>
      <c r="N106" s="73" t="n">
        <v>0.065</v>
      </c>
      <c r="O106" s="73" t="n">
        <v>0.065</v>
      </c>
      <c r="P106" s="73" t="n">
        <v>0.065</v>
      </c>
      <c r="Q106" s="73" t="n">
        <v>0.065</v>
      </c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</row>
    <row r="107">
      <c r="A107" t="inlineStr">
        <is>
          <t>Asn-Other Rev Pct</t>
        </is>
      </c>
      <c r="B107" s="25" t="inlineStr">
        <is>
          <t>Other Rev % of Revenue</t>
        </is>
      </c>
      <c r="C107" t="inlineStr">
        <is>
          <t>%</t>
        </is>
      </c>
      <c r="D107" s="6" t="n"/>
      <c r="E107" s="6" t="n"/>
      <c r="F107" s="6" t="n"/>
      <c r="G107" s="6" t="n"/>
      <c r="H107" s="6" t="n"/>
      <c r="I107" s="6" t="n"/>
      <c r="J107" s="6" t="n"/>
      <c r="K107" s="73" t="n">
        <v>0.065</v>
      </c>
      <c r="L107" s="73" t="n">
        <v>0.065</v>
      </c>
      <c r="M107" s="73" t="n">
        <v>0.065</v>
      </c>
      <c r="N107" s="73" t="n">
        <v>0.065</v>
      </c>
      <c r="O107" s="73" t="n">
        <v>0.065</v>
      </c>
      <c r="P107" s="73" t="n">
        <v>0.065</v>
      </c>
      <c r="Q107" s="73" t="n">
        <v>0.065</v>
      </c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  <c r="AA107" s="26" t="n"/>
      <c r="AB107" s="26" t="n"/>
      <c r="AC107" s="26" t="n"/>
    </row>
    <row r="108">
      <c r="B108" s="60" t="inlineStr">
        <is>
          <t>D&amp;A and Finance</t>
        </is>
      </c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  <c r="AB108" s="29" t="n"/>
      <c r="AC108" s="29" t="n"/>
    </row>
    <row r="109">
      <c r="A109" t="inlineStr">
        <is>
          <t>Asn-DA Pct Rev</t>
        </is>
      </c>
      <c r="B109" s="25" t="inlineStr">
        <is>
          <t>D&amp;A % of Revenue</t>
        </is>
      </c>
      <c r="C109" t="inlineStr">
        <is>
          <t>%</t>
        </is>
      </c>
      <c r="D109" s="6" t="n"/>
      <c r="E109" s="6" t="n"/>
      <c r="F109" s="6" t="n"/>
      <c r="G109" s="6" t="n"/>
      <c r="H109" s="6" t="n"/>
      <c r="I109" s="6" t="n"/>
      <c r="J109" s="6" t="n"/>
      <c r="K109" s="73" t="n">
        <v>0.08500000000000001</v>
      </c>
      <c r="L109" s="73" t="n">
        <v>0.08500000000000001</v>
      </c>
      <c r="M109" s="73" t="n">
        <v>0.08500000000000001</v>
      </c>
      <c r="N109" s="73" t="n">
        <v>0.08500000000000001</v>
      </c>
      <c r="O109" s="73" t="n">
        <v>0.08500000000000001</v>
      </c>
      <c r="P109" s="73" t="n">
        <v>0.08500000000000001</v>
      </c>
      <c r="Q109" s="73" t="n">
        <v>0.08500000000000001</v>
      </c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  <c r="AA109" s="26" t="n"/>
      <c r="AB109" s="26" t="n"/>
      <c r="AC109" s="26" t="n"/>
    </row>
    <row r="110">
      <c r="A110" t="inlineStr">
        <is>
          <t>Asn-Term Dep Rate</t>
        </is>
      </c>
      <c r="B110" s="8" t="inlineStr">
        <is>
          <t>Term Deposit Interest Rate</t>
        </is>
      </c>
      <c r="C110" t="inlineStr">
        <is>
          <t>%</t>
        </is>
      </c>
      <c r="D110" s="4" t="n"/>
      <c r="E110" s="4" t="n"/>
      <c r="F110" s="4" t="n"/>
      <c r="G110" s="4" t="n"/>
      <c r="H110" s="4" t="n"/>
      <c r="I110" s="4" t="n"/>
      <c r="J110" s="4" t="n"/>
      <c r="K110" s="73" t="n">
        <v>0.035</v>
      </c>
      <c r="L110" s="73" t="n">
        <v>0.035</v>
      </c>
      <c r="M110" s="73" t="n">
        <v>0.035</v>
      </c>
      <c r="N110" s="73" t="n">
        <v>0.035</v>
      </c>
      <c r="O110" s="73" t="n">
        <v>0.035</v>
      </c>
      <c r="P110" s="73" t="n">
        <v>0.035</v>
      </c>
      <c r="Q110" s="73" t="n">
        <v>0.035</v>
      </c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</row>
    <row r="111">
      <c r="A111" t="inlineStr">
        <is>
          <t>Asn-Tax Rate</t>
        </is>
      </c>
      <c r="B111" s="25" t="inlineStr">
        <is>
          <t>Effective Tax Rate</t>
        </is>
      </c>
      <c r="C111" t="inlineStr">
        <is>
          <t>%</t>
        </is>
      </c>
      <c r="D111" s="31" t="n"/>
      <c r="E111" s="6" t="n"/>
      <c r="F111" s="31" t="n"/>
      <c r="G111" s="6" t="n"/>
      <c r="H111" s="31" t="n"/>
      <c r="I111" s="6" t="n"/>
      <c r="J111" s="31" t="n"/>
      <c r="K111" s="73" t="n">
        <v>0.45</v>
      </c>
      <c r="L111" s="73" t="n">
        <v>0.45</v>
      </c>
      <c r="M111" s="73" t="n">
        <v>0.45</v>
      </c>
      <c r="N111" s="73" t="n">
        <v>0.45</v>
      </c>
      <c r="O111" s="73" t="n">
        <v>0.45</v>
      </c>
      <c r="P111" s="73" t="n">
        <v>0.45</v>
      </c>
      <c r="Q111" s="73" t="n">
        <v>0.45</v>
      </c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  <c r="AA111" s="26" t="n"/>
      <c r="AB111" s="26" t="n"/>
      <c r="AC111" s="26" t="n"/>
    </row>
    <row r="112">
      <c r="B112" s="60" t="inlineStr">
        <is>
          <t>KPIs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</row>
    <row r="113">
      <c r="A113" t="inlineStr">
        <is>
          <t>Asn-Aus Net Opens</t>
        </is>
      </c>
      <c r="B113" s="8" t="inlineStr">
        <is>
          <t>New Net Openings - Australia</t>
        </is>
      </c>
      <c r="C113" t="inlineStr">
        <is>
          <t>#</t>
        </is>
      </c>
      <c r="D113" s="4" t="n"/>
      <c r="E113" s="4" t="n"/>
      <c r="F113" s="4" t="n"/>
      <c r="G113" s="4" t="n"/>
      <c r="H113" s="4" t="n"/>
      <c r="I113" s="4" t="n"/>
      <c r="J113" s="4" t="n"/>
      <c r="K113" s="76" t="n">
        <v>20</v>
      </c>
      <c r="L113" s="76" t="n">
        <v>20</v>
      </c>
      <c r="M113" s="76" t="n">
        <v>20</v>
      </c>
      <c r="N113" s="76" t="n">
        <v>20</v>
      </c>
      <c r="O113" s="76" t="n">
        <v>20</v>
      </c>
      <c r="P113" s="76" t="n">
        <v>20</v>
      </c>
      <c r="Q113" s="76" t="n">
        <v>20</v>
      </c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</row>
    <row r="114">
      <c r="A114" t="inlineStr">
        <is>
          <t>Asn-US Net Opens</t>
        </is>
      </c>
      <c r="B114" s="25" t="inlineStr">
        <is>
          <t>New Net Openings - US</t>
        </is>
      </c>
      <c r="C114" t="inlineStr">
        <is>
          <t>#</t>
        </is>
      </c>
      <c r="D114" s="6" t="n"/>
      <c r="E114" s="6" t="n"/>
      <c r="F114" s="6" t="n"/>
      <c r="G114" s="6" t="n"/>
      <c r="H114" s="6" t="n"/>
      <c r="I114" s="6" t="n"/>
      <c r="J114" s="6" t="n"/>
      <c r="K114" s="76" t="n">
        <v>1</v>
      </c>
      <c r="L114" s="76" t="n">
        <v>1</v>
      </c>
      <c r="M114" s="76" t="n">
        <v>1</v>
      </c>
      <c r="N114" s="76" t="n">
        <v>1</v>
      </c>
      <c r="O114" s="76" t="n">
        <v>1</v>
      </c>
      <c r="P114" s="76" t="n">
        <v>1</v>
      </c>
      <c r="Q114" s="76" t="n">
        <v>1</v>
      </c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  <c r="AA114" s="26" t="n"/>
      <c r="AB114" s="26" t="n"/>
      <c r="AC114" s="26" t="n"/>
    </row>
    <row r="115">
      <c r="A115" t="inlineStr">
        <is>
          <t>Asn-Comp Sales Gr</t>
        </is>
      </c>
      <c r="B115" s="8" t="inlineStr">
        <is>
          <t>Comp Sales Growth (Aus Segment)</t>
        </is>
      </c>
      <c r="C115" t="inlineStr">
        <is>
          <t>%</t>
        </is>
      </c>
      <c r="D115" s="29" t="n"/>
      <c r="E115" s="29" t="n"/>
      <c r="F115" s="29" t="n"/>
      <c r="G115" s="29" t="n"/>
      <c r="H115" s="29" t="n"/>
      <c r="I115" s="29" t="n"/>
      <c r="J115" s="29" t="n"/>
      <c r="K115" s="73" t="n">
        <v>0.05</v>
      </c>
      <c r="L115" s="73" t="n">
        <v>0.05</v>
      </c>
      <c r="M115" s="73" t="n">
        <v>0.05</v>
      </c>
      <c r="N115" s="73" t="n">
        <v>0.05</v>
      </c>
      <c r="O115" s="73" t="n">
        <v>0.05</v>
      </c>
      <c r="P115" s="73" t="n">
        <v>0.05</v>
      </c>
      <c r="Q115" s="73" t="n">
        <v>0.05</v>
      </c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  <c r="AB115" s="29" t="n"/>
      <c r="AC115" s="29" t="n"/>
    </row>
    <row r="116">
      <c r="A116" t="inlineStr">
        <is>
          <t>Asn-Royalty Rate</t>
        </is>
      </c>
      <c r="B116" s="20" t="inlineStr">
        <is>
          <t>Implied Franchise Royalty Rate</t>
        </is>
      </c>
      <c r="C116" s="20" t="inlineStr">
        <is>
          <t>%</t>
        </is>
      </c>
      <c r="D116" s="21" t="n"/>
      <c r="E116" s="21" t="n"/>
      <c r="F116" s="21" t="n"/>
      <c r="G116" s="21" t="n"/>
      <c r="H116" s="21" t="n"/>
      <c r="I116" s="21" t="n"/>
      <c r="J116" s="21" t="n"/>
      <c r="K116" s="75" t="n">
        <v>0.08799999999999999</v>
      </c>
      <c r="L116" s="75" t="n">
        <v>0.08799999999999999</v>
      </c>
      <c r="M116" s="75" t="n">
        <v>0.08799999999999999</v>
      </c>
      <c r="N116" s="75" t="n">
        <v>0.08799999999999999</v>
      </c>
      <c r="O116" s="75" t="n">
        <v>0.08799999999999999</v>
      </c>
      <c r="P116" s="75" t="n">
        <v>0.08799999999999999</v>
      </c>
      <c r="Q116" s="75" t="n">
        <v>0.08799999999999999</v>
      </c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2026-03-02T02:03:35Z</dcterms:created>
  <dcterms:modified xsi:type="dcterms:W3CDTF">2026-03-15T02:47:25Z</dcterms:modified>
  <cp:lastModifiedBy>Peter Wilson</cp:lastModifiedBy>
</cp:coreProperties>
</file>