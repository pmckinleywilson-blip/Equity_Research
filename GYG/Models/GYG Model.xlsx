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name="Value" sheetId="1" state="visible" r:id="rId1"/>
    <sheet name="Annual" sheetId="2" state="visible" r:id="rId2"/>
    <sheet name="HY &amp; Segment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#,##0.0"/>
    <numFmt numFmtId="166" formatCode="0.0%"/>
    <numFmt numFmtId="167" formatCode="0.000"/>
    <numFmt numFmtId="168" formatCode="0.0\x"/>
    <numFmt numFmtId="169" formatCode="d/mm/yy"/>
    <numFmt numFmtId="170" formatCode="dd\-mmm\-yy"/>
    <numFmt numFmtId="171" formatCode="#,##0.000"/>
    <numFmt numFmtId="172" formatCode="YYYY-MM-DD"/>
  </numFmts>
  <fonts count="24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1"/>
      <u val="single"/>
    </font>
    <font>
      <name val="Calibri"/>
      <family val="2"/>
      <color rgb="FFC00000"/>
      <sz val="11"/>
    </font>
    <font>
      <name val="Calibri"/>
      <family val="2"/>
      <b val="1"/>
      <sz val="12"/>
    </font>
    <font>
      <name val="Calibri"/>
      <family val="2"/>
      <color rgb="FF0000CC"/>
      <sz val="11"/>
    </font>
    <font>
      <name val="Calibri"/>
      <family val="2"/>
      <b val="1"/>
      <color rgb="FF0000CC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C00000"/>
      <sz val="11"/>
      <scheme val="minor"/>
    </font>
    <font>
      <name val="Calibri"/>
      <color rgb="FF0000CC"/>
      <sz val="11"/>
    </font>
    <font>
      <name val="Calibri"/>
      <color rgb="FFC00000"/>
      <sz val="11"/>
    </font>
    <font>
      <name val="Calibri"/>
      <color rgb="FF0000CC"/>
      <sz val="11"/>
    </font>
    <font>
      <name val="Calibri"/>
      <color rgb="FF0000CC"/>
      <sz val="11"/>
    </font>
    <font>
      <name val="Calibri"/>
      <family val="2"/>
      <color rgb="FFFF0000"/>
      <sz val="11"/>
      <scheme val="minor"/>
    </font>
    <font>
      <name val="Calibri"/>
      <family val="2"/>
      <sz val="11"/>
    </font>
    <font>
      <name val="Calibri"/>
      <family val="2"/>
      <b val="1"/>
      <color theme="1"/>
      <sz val="11"/>
    </font>
    <font>
      <name val="Calibri"/>
      <color rgb="FF0000CC"/>
      <sz val="10"/>
    </font>
    <font>
      <name val="Calibri"/>
      <b val="1"/>
      <sz val="10"/>
    </font>
    <font>
      <name val="Calibri"/>
      <color rgb="FF000000"/>
      <sz val="11"/>
    </font>
    <font>
      <name val="Calibri"/>
      <b val="1"/>
      <color rgb="FFC00000"/>
      <sz val="11"/>
    </font>
    <font>
      <name val="Calibri"/>
      <b val="1"/>
      <color rgb="FF000000"/>
      <sz val="11"/>
    </font>
    <font>
      <name val="Calibri"/>
      <color rgb="FFFF0000"/>
      <sz val="11"/>
    </font>
  </fonts>
  <fills count="9">
    <fill>
      <patternFill/>
    </fill>
    <fill>
      <patternFill patternType="gray125"/>
    </fill>
    <fill>
      <patternFill patternType="solid">
        <fgColor rgb="FF002060"/>
      </patternFill>
    </fill>
    <fill>
      <patternFill patternType="solid">
        <fgColor rgb="FF0070C0"/>
      </patternFill>
    </fill>
    <fill>
      <patternFill patternType="solid">
        <fgColor rgb="FFC5D9F1"/>
      </patternFill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D9D9D9"/>
      </patternFill>
    </fill>
  </fills>
  <borders count="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 style="thin"/>
      <diagonal/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4" borderId="0" pivotButton="0" quotePrefix="0" xfId="0"/>
    <xf numFmtId="0" fontId="0" fillId="4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166" fontId="0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167" fontId="0" fillId="0" borderId="0" pivotButton="0" quotePrefix="0" xfId="0"/>
    <xf numFmtId="165" fontId="3" fillId="0" borderId="0" pivotButton="0" quotePrefix="0" xfId="0"/>
    <xf numFmtId="2" fontId="6" fillId="0" borderId="0" pivotButton="0" quotePrefix="0" xfId="0"/>
    <xf numFmtId="168" fontId="5" fillId="6" borderId="0" pivotButton="0" quotePrefix="0" xfId="0"/>
    <xf numFmtId="168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169" fontId="0" fillId="0" borderId="0" pivotButton="0" quotePrefix="0" xfId="0"/>
    <xf numFmtId="0" fontId="3" fillId="4" borderId="0" pivotButton="0" quotePrefix="0" xfId="0"/>
    <xf numFmtId="165" fontId="7" fillId="0" borderId="0" pivotButton="0" quotePrefix="0" xfId="0"/>
    <xf numFmtId="0" fontId="3" fillId="0" borderId="1" pivotButton="0" quotePrefix="0" xfId="0"/>
    <xf numFmtId="165" fontId="3" fillId="0" borderId="1" pivotButton="0" quotePrefix="0" xfId="0"/>
    <xf numFmtId="164" fontId="7" fillId="0" borderId="0" pivotButton="0" quotePrefix="0" xfId="0"/>
    <xf numFmtId="167" fontId="3" fillId="0" borderId="1" pivotButton="0" quotePrefix="0" xfId="0"/>
    <xf numFmtId="167" fontId="7" fillId="0" borderId="0" pivotButton="0" quotePrefix="0" xfId="0"/>
    <xf numFmtId="0" fontId="5" fillId="0" borderId="0" pivotButton="0" quotePrefix="0" xfId="0"/>
    <xf numFmtId="166" fontId="5" fillId="0" borderId="0" pivotButton="0" quotePrefix="0" xfId="0"/>
    <xf numFmtId="0" fontId="0" fillId="5" borderId="0" pivotButton="0" quotePrefix="0" xfId="0"/>
    <xf numFmtId="0" fontId="3" fillId="5" borderId="0" pivotButton="0" quotePrefix="0" xfId="0"/>
    <xf numFmtId="3" fontId="0" fillId="0" borderId="0" pivotButton="0" quotePrefix="0" xfId="0"/>
    <xf numFmtId="3" fontId="7" fillId="0" borderId="0" pivotButton="0" quotePrefix="0" xfId="0"/>
    <xf numFmtId="166" fontId="7" fillId="0" borderId="0" pivotButton="0" quotePrefix="0" xfId="0"/>
    <xf numFmtId="165" fontId="8" fillId="0" borderId="1" pivotButton="0" quotePrefix="0" xfId="0"/>
    <xf numFmtId="0" fontId="9" fillId="0" borderId="1" pivotButton="0" quotePrefix="0" xfId="0"/>
    <xf numFmtId="165" fontId="9" fillId="0" borderId="1" pivotButton="0" quotePrefix="0" xfId="0"/>
    <xf numFmtId="165" fontId="0" fillId="0" borderId="2" pivotButton="0" quotePrefix="0" xfId="0"/>
    <xf numFmtId="0" fontId="0" fillId="0" borderId="3" pivotButton="0" quotePrefix="0" xfId="0"/>
    <xf numFmtId="165" fontId="0" fillId="0" borderId="3" pivotButton="0" quotePrefix="0" xfId="0"/>
    <xf numFmtId="0" fontId="0" fillId="0" borderId="2" pivotButton="0" quotePrefix="0" xfId="0"/>
    <xf numFmtId="165" fontId="3" fillId="0" borderId="2" pivotButton="0" quotePrefix="0" xfId="0"/>
    <xf numFmtId="165" fontId="10" fillId="0" borderId="0" pivotButton="0" quotePrefix="0" xfId="0"/>
    <xf numFmtId="165" fontId="11" fillId="0" borderId="0" pivotButton="0" quotePrefix="0" xfId="0"/>
    <xf numFmtId="165" fontId="12" fillId="0" borderId="0" pivotButton="0" quotePrefix="0" xfId="0"/>
    <xf numFmtId="165" fontId="5" fillId="0" borderId="0" pivotButton="0" quotePrefix="0" xfId="0"/>
    <xf numFmtId="2" fontId="5" fillId="0" borderId="0" pivotButton="0" quotePrefix="0" xfId="0"/>
    <xf numFmtId="166" fontId="5" fillId="0" borderId="3" pivotButton="0" quotePrefix="0" xfId="0"/>
    <xf numFmtId="165" fontId="13" fillId="0" borderId="0" pivotButton="0" quotePrefix="0" xfId="0"/>
    <xf numFmtId="165" fontId="14" fillId="0" borderId="0" pivotButton="0" quotePrefix="0" xfId="0"/>
    <xf numFmtId="164" fontId="5" fillId="0" borderId="0" pivotButton="0" quotePrefix="0" xfId="0"/>
    <xf numFmtId="0" fontId="10" fillId="0" borderId="0" pivotButton="0" quotePrefix="0" xfId="0"/>
    <xf numFmtId="164" fontId="10" fillId="0" borderId="0" pivotButton="0" quotePrefix="0" xfId="0"/>
    <xf numFmtId="166" fontId="10" fillId="0" borderId="0" pivotButton="0" quotePrefix="0" xfId="0"/>
    <xf numFmtId="170" fontId="15" fillId="7" borderId="0" pivotButton="0" quotePrefix="0" xfId="0"/>
    <xf numFmtId="2" fontId="0" fillId="0" borderId="0" pivotButton="0" quotePrefix="0" xfId="0"/>
    <xf numFmtId="165" fontId="16" fillId="0" borderId="0" pivotButton="0" quotePrefix="0" xfId="0"/>
    <xf numFmtId="0" fontId="0" fillId="7" borderId="0" applyAlignment="1" pivotButton="0" quotePrefix="0" xfId="0">
      <alignment horizontal="right"/>
    </xf>
    <xf numFmtId="165" fontId="3" fillId="0" borderId="4" pivotButton="0" quotePrefix="0" xfId="0"/>
    <xf numFmtId="0" fontId="0" fillId="8" borderId="0" pivotButton="0" quotePrefix="0" xfId="0"/>
    <xf numFmtId="0" fontId="3" fillId="8" borderId="0" pivotButton="0" quotePrefix="0" xfId="0"/>
    <xf numFmtId="3" fontId="3" fillId="0" borderId="4" pivotButton="0" quotePrefix="0" xfId="0"/>
    <xf numFmtId="165" fontId="18" fillId="0" borderId="0" pivotButton="0" quotePrefix="0" xfId="0"/>
    <xf numFmtId="165" fontId="18" fillId="0" borderId="4" pivotButton="0" quotePrefix="0" xfId="0"/>
    <xf numFmtId="165" fontId="18" fillId="0" borderId="1" pivotButton="0" quotePrefix="0" xfId="0"/>
    <xf numFmtId="167" fontId="18" fillId="0" borderId="0" pivotButton="0" quotePrefix="0" xfId="0"/>
    <xf numFmtId="3" fontId="18" fillId="0" borderId="0" pivotButton="0" quotePrefix="0" xfId="0"/>
    <xf numFmtId="166" fontId="18" fillId="0" borderId="0" pivotButton="0" quotePrefix="0" xfId="0"/>
    <xf numFmtId="164" fontId="18" fillId="0" borderId="0" pivotButton="0" quotePrefix="0" xfId="0"/>
    <xf numFmtId="0" fontId="19" fillId="0" borderId="0" pivotButton="0" quotePrefix="0" xfId="0"/>
    <xf numFmtId="0" fontId="18" fillId="0" borderId="0" pivotButton="0" quotePrefix="0" xfId="0"/>
    <xf numFmtId="171" fontId="18" fillId="0" borderId="0" pivotButton="0" quotePrefix="0" xfId="0"/>
    <xf numFmtId="2" fontId="12" fillId="0" borderId="0" pivotButton="0" quotePrefix="0" xfId="0"/>
    <xf numFmtId="164" fontId="20" fillId="0" borderId="0" pivotButton="0" quotePrefix="0" xfId="0"/>
    <xf numFmtId="165" fontId="20" fillId="0" borderId="0" pivotButton="0" quotePrefix="0" xfId="0"/>
    <xf numFmtId="172" fontId="23" fillId="7" borderId="0" pivotButton="0" quotePrefix="0" xfId="0"/>
    <xf numFmtId="166" fontId="12" fillId="0" borderId="0" pivotButton="0" quotePrefix="0" xfId="0"/>
    <xf numFmtId="166" fontId="12" fillId="0" borderId="3" pivotButton="0" quotePrefix="0" xfId="0"/>
    <xf numFmtId="2" fontId="20" fillId="0" borderId="0" pivotButton="0" quotePrefix="0" xfId="0"/>
    <xf numFmtId="165" fontId="20" fillId="0" borderId="2" pivotButton="0" quotePrefix="0" xfId="0"/>
    <xf numFmtId="165" fontId="20" fillId="0" borderId="3" pivotButton="0" quotePrefix="0" xfId="0"/>
    <xf numFmtId="168" fontId="12" fillId="6" borderId="0" pivotButton="0" quotePrefix="0" xfId="0"/>
    <xf numFmtId="168" fontId="20" fillId="6" borderId="0" pivotButton="0" quotePrefix="0" xfId="0"/>
    <xf numFmtId="168" fontId="20" fillId="0" borderId="0" pivotButton="0" quotePrefix="0" xfId="0"/>
    <xf numFmtId="165" fontId="22" fillId="0" borderId="1" pivotButton="0" quotePrefix="0" xfId="0"/>
    <xf numFmtId="166" fontId="20" fillId="0" borderId="0" pivotButton="0" quotePrefix="0" xfId="0"/>
    <xf numFmtId="165" fontId="22" fillId="0" borderId="4" pivotButton="0" quotePrefix="0" xfId="0"/>
    <xf numFmtId="164" fontId="12" fillId="0" borderId="0" pivotButton="0" quotePrefix="0" xfId="0"/>
    <xf numFmtId="167" fontId="22" fillId="0" borderId="1" pivotButton="0" quotePrefix="0" xfId="0"/>
    <xf numFmtId="167" fontId="20" fillId="0" borderId="0" pivotButton="0" quotePrefix="0" xfId="0"/>
    <xf numFmtId="167" fontId="12" fillId="0" borderId="0" pivotButton="0" quotePrefix="0" xfId="0"/>
    <xf numFmtId="3" fontId="20" fillId="0" borderId="0" pivotButton="0" quotePrefix="0" xfId="0"/>
    <xf numFmtId="3" fontId="12" fillId="0" borderId="0" pivotButton="0" quotePrefix="0" xfId="0"/>
    <xf numFmtId="3" fontId="22" fillId="0" borderId="4" pivotButton="0" quotePrefix="0" xfId="0"/>
    <xf numFmtId="0" fontId="20" fillId="0" borderId="0" pivotButton="0" quotePrefix="0" xfId="0"/>
    <xf numFmtId="0" fontId="12" fillId="0" borderId="0" pivotButton="0" quotePrefix="0" xfId="0"/>
    <xf numFmtId="165" fontId="21" fillId="0" borderId="1" pivotButton="0" quotePrefix="0" xfId="0"/>
    <xf numFmtId="0" fontId="20" fillId="5" borderId="0" pivotButton="0" quotePrefix="0" xfId="0"/>
    <xf numFmtId="0" fontId="12" fillId="5" borderId="0" pivotButton="0" quotePrefix="0" xfId="0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68"/>
  <sheetViews>
    <sheetView workbookViewId="0">
      <selection activeCell="C7" sqref="C7"/>
    </sheetView>
  </sheetViews>
  <sheetFormatPr baseColWidth="8" defaultRowHeight="14.5"/>
  <cols>
    <col width="3" customWidth="1" min="1" max="1"/>
    <col width="30" customWidth="1" min="2" max="2"/>
    <col width="12" customWidth="1" min="3" max="18"/>
  </cols>
  <sheetData>
    <row r="2" ht="18.5" customHeight="1">
      <c r="B2" s="1" t="inlineStr">
        <is>
          <t>DCF Valuation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4">
      <c r="B4" t="inlineStr">
        <is>
          <t>Current Share Price (AUD)</t>
        </is>
      </c>
      <c r="C4" s="70" t="n">
        <v>35</v>
      </c>
    </row>
    <row r="5">
      <c r="B5" t="inlineStr">
        <is>
          <t>Shares Outstanding (#m)</t>
        </is>
      </c>
      <c r="C5" s="71">
        <f>INDEX(Annual!$D:$Q,MATCH("EPS-YE Shares",Annual!$A:$A,0),MATCH($D$24,Annual!$D$3:$Q$3,0)-1)</f>
        <v/>
      </c>
    </row>
    <row r="6">
      <c r="B6" t="inlineStr">
        <is>
          <t>Market Cap (AUDm)</t>
        </is>
      </c>
      <c r="C6" s="4">
        <f>C4*C5</f>
        <v/>
      </c>
    </row>
    <row r="7">
      <c r="B7" t="inlineStr">
        <is>
          <t>Net Debt (AUDm)</t>
        </is>
      </c>
      <c r="C7" s="72">
        <f>INDEX(Annual!$D:$Q,MATCH("BS-Total Banking Debt",Annual!$A:$A,0),MATCH($D$24,Annual!$D$3:$Q$3,0)-1)-INDEX(Annual!$D:$Q,MATCH("BS-Cash",Annual!$A:$A,0),MATCH($D$24,Annual!$D$3:$Q$3,0)-1)</f>
        <v/>
      </c>
    </row>
    <row r="8">
      <c r="B8" t="inlineStr">
        <is>
          <t>Market EV (AUDm)</t>
        </is>
      </c>
      <c r="C8" s="4">
        <f>C6+C7</f>
        <v/>
      </c>
    </row>
    <row r="9">
      <c r="B9" t="inlineStr">
        <is>
          <t>Valuation Date</t>
        </is>
      </c>
      <c r="C9" s="73" t="n">
        <v>46096</v>
      </c>
    </row>
    <row r="11">
      <c r="B11" s="5" t="inlineStr">
        <is>
          <t>WACC Inputs</t>
        </is>
      </c>
    </row>
    <row r="12">
      <c r="B12" t="inlineStr">
        <is>
          <t>Risk-free Rate</t>
        </is>
      </c>
      <c r="C12" s="74" t="n">
        <v>0.042</v>
      </c>
    </row>
    <row r="13">
      <c r="B13" t="inlineStr">
        <is>
          <t>Equity Risk Premium</t>
        </is>
      </c>
      <c r="C13" s="74" t="n">
        <v>0.06</v>
      </c>
    </row>
    <row r="14">
      <c r="B14" t="inlineStr">
        <is>
          <t>Beta</t>
        </is>
      </c>
      <c r="C14" s="70" t="n">
        <v>1</v>
      </c>
    </row>
    <row r="15">
      <c r="B15" t="inlineStr">
        <is>
          <t>Cost of Equity</t>
        </is>
      </c>
      <c r="C15" s="6">
        <f>C12+C13*C14</f>
        <v/>
      </c>
    </row>
    <row r="16">
      <c r="B16" t="inlineStr">
        <is>
          <t>Pre-tax Cost of Debt</t>
        </is>
      </c>
      <c r="C16" s="74" t="n">
        <v>0</v>
      </c>
    </row>
    <row r="17">
      <c r="B17" t="inlineStr">
        <is>
          <t>Tax Rate</t>
        </is>
      </c>
      <c r="C17" s="74" t="n">
        <v>0.3</v>
      </c>
    </row>
    <row r="18">
      <c r="B18" t="inlineStr">
        <is>
          <t>After-tax Cost of Debt</t>
        </is>
      </c>
      <c r="C18" s="6">
        <f>C16*(1-C17)</f>
        <v/>
      </c>
    </row>
    <row r="19">
      <c r="B19" s="36" t="inlineStr">
        <is>
          <t>Debt Weight (D/(D+E))</t>
        </is>
      </c>
      <c r="C19" s="75" t="n">
        <v>0</v>
      </c>
    </row>
    <row r="20">
      <c r="B20" t="inlineStr">
        <is>
          <t>WACC</t>
        </is>
      </c>
      <c r="C20" s="6">
        <f>C15*(1-C19)+C18*C19</f>
        <v/>
      </c>
    </row>
    <row r="21">
      <c r="B21" t="inlineStr">
        <is>
          <t>Terminal Growth Rate</t>
        </is>
      </c>
      <c r="C21" s="74" t="n">
        <v>0.025</v>
      </c>
    </row>
    <row r="22">
      <c r="B22" t="inlineStr">
        <is>
          <t>Stub Period</t>
        </is>
      </c>
      <c r="C22" s="76">
        <f>(INDEX(Annual!$D:$Q,4,MATCH($D$24,Annual!$D$3:$Q$3,0))-C9)/365.25</f>
        <v/>
      </c>
    </row>
    <row r="23">
      <c r="C23" s="9" t="n"/>
    </row>
    <row r="24">
      <c r="B24" s="5" t="inlineStr">
        <is>
          <t>FCF Projection</t>
        </is>
      </c>
      <c r="D24" s="7" t="inlineStr">
        <is>
          <t>FY26E</t>
        </is>
      </c>
      <c r="E24" s="7" t="inlineStr">
        <is>
          <t>FY27E</t>
        </is>
      </c>
      <c r="F24" s="7" t="inlineStr">
        <is>
          <t>FY28E</t>
        </is>
      </c>
      <c r="G24" s="7" t="inlineStr">
        <is>
          <t>FY29E</t>
        </is>
      </c>
      <c r="H24" s="7" t="inlineStr">
        <is>
          <t>FY30E</t>
        </is>
      </c>
      <c r="I24" s="7" t="inlineStr">
        <is>
          <t>FY31E</t>
        </is>
      </c>
      <c r="J24" s="7" t="inlineStr">
        <is>
          <t>FY32E</t>
        </is>
      </c>
      <c r="K24" s="7" t="inlineStr">
        <is>
          <t>FY33E</t>
        </is>
      </c>
      <c r="L24" s="7" t="inlineStr">
        <is>
          <t>FY34E</t>
        </is>
      </c>
      <c r="M24" s="7" t="inlineStr">
        <is>
          <t>FY35E</t>
        </is>
      </c>
    </row>
    <row r="25">
      <c r="B25" t="inlineStr">
        <is>
          <t>EBITDA</t>
        </is>
      </c>
      <c r="C25" t="inlineStr">
        <is>
          <t>AUDm</t>
        </is>
      </c>
      <c r="D25" s="72">
        <f>INDEX(Annual!$D:$Q,MATCH("EBITDA-Statutory EBITDA",Annual!$A:$A,0),MATCH(D$24,Annual!$D$3:$Q$3,0))</f>
        <v/>
      </c>
      <c r="E25" s="72">
        <f>INDEX(Annual!$D:$Q,MATCH("EBITDA-Statutory EBITDA",Annual!$A:$A,0),MATCH(E$24,Annual!$D$3:$Q$3,0))</f>
        <v/>
      </c>
      <c r="F25" s="72">
        <f>INDEX(Annual!$D:$Q,MATCH("EBITDA-Statutory EBITDA",Annual!$A:$A,0),MATCH(F$24,Annual!$D$3:$Q$3,0))</f>
        <v/>
      </c>
      <c r="G25" s="72">
        <f>INDEX(Annual!$D:$Q,MATCH("EBITDA-Statutory EBITDA",Annual!$A:$A,0),MATCH(G$24,Annual!$D$3:$Q$3,0))</f>
        <v/>
      </c>
      <c r="H25" s="72">
        <f>INDEX(Annual!$D:$Q,MATCH("EBITDA-Statutory EBITDA",Annual!$A:$A,0),MATCH(H$24,Annual!$D$3:$Q$3,0))</f>
        <v/>
      </c>
      <c r="I25" s="72">
        <f>INDEX(Annual!$D:$Q,MATCH("EBITDA-Statutory EBITDA",Annual!$A:$A,0),MATCH(I$24,Annual!$D$3:$Q$3,0))</f>
        <v/>
      </c>
      <c r="J25" s="72">
        <f>INDEX(Annual!$D:$Q,MATCH("EBITDA-Statutory EBITDA",Annual!$A:$A,0),MATCH(J$24,Annual!$D$3:$Q$3,0))</f>
        <v/>
      </c>
      <c r="K25" s="72">
        <f>INDEX(Annual!$D:$Q,MATCH("EBITDA-Statutory EBITDA",Annual!$A:$A,0),MATCH(K$24,Annual!$D$3:$Q$3,0))</f>
        <v/>
      </c>
      <c r="L25" s="72">
        <f>INDEX(Annual!$D:$Q,MATCH("EBITDA-Statutory EBITDA",Annual!$A:$A,0),MATCH(L$24,Annual!$D$3:$Q$3,0))</f>
        <v/>
      </c>
      <c r="M25" s="72">
        <f>INDEX(Annual!$D:$Q,MATCH("EBITDA-Statutory EBITDA",Annual!$A:$A,0),MATCH(M$24,Annual!$D$3:$Q$3,0))</f>
        <v/>
      </c>
    </row>
    <row r="26">
      <c r="B26" t="inlineStr">
        <is>
          <t>less D&amp;A</t>
        </is>
      </c>
      <c r="C26" t="inlineStr">
        <is>
          <t>AUDm</t>
        </is>
      </c>
      <c r="D26" s="72">
        <f>INDEX(Annual!$D:$Q,MATCH("DA-Total DA",Annual!$A:$A,0),MATCH(D$24,Annual!$D$3:$Q$3,0))</f>
        <v/>
      </c>
      <c r="E26" s="72">
        <f>INDEX(Annual!$D:$Q,MATCH("DA-Total DA",Annual!$A:$A,0),MATCH(E$24,Annual!$D$3:$Q$3,0))</f>
        <v/>
      </c>
      <c r="F26" s="72">
        <f>INDEX(Annual!$D:$Q,MATCH("DA-Total DA",Annual!$A:$A,0),MATCH(F$24,Annual!$D$3:$Q$3,0))</f>
        <v/>
      </c>
      <c r="G26" s="72">
        <f>INDEX(Annual!$D:$Q,MATCH("DA-Total DA",Annual!$A:$A,0),MATCH(G$24,Annual!$D$3:$Q$3,0))</f>
        <v/>
      </c>
      <c r="H26" s="72">
        <f>INDEX(Annual!$D:$Q,MATCH("DA-Total DA",Annual!$A:$A,0),MATCH(H$24,Annual!$D$3:$Q$3,0))</f>
        <v/>
      </c>
      <c r="I26" s="72">
        <f>INDEX(Annual!$D:$Q,MATCH("DA-Total DA",Annual!$A:$A,0),MATCH(I$24,Annual!$D$3:$Q$3,0))</f>
        <v/>
      </c>
      <c r="J26" s="72">
        <f>INDEX(Annual!$D:$Q,MATCH("DA-Total DA",Annual!$A:$A,0),MATCH(J$24,Annual!$D$3:$Q$3,0))</f>
        <v/>
      </c>
      <c r="K26" s="72">
        <f>INDEX(Annual!$D:$Q,MATCH("DA-Total DA",Annual!$A:$A,0),MATCH(K$24,Annual!$D$3:$Q$3,0))</f>
        <v/>
      </c>
      <c r="L26" s="72">
        <f>INDEX(Annual!$D:$Q,MATCH("DA-Total DA",Annual!$A:$A,0),MATCH(L$24,Annual!$D$3:$Q$3,0))</f>
        <v/>
      </c>
      <c r="M26" s="72">
        <f>INDEX(Annual!$D:$Q,MATCH("DA-Total DA",Annual!$A:$A,0),MATCH(M$24,Annual!$D$3:$Q$3,0))</f>
        <v/>
      </c>
    </row>
    <row r="27">
      <c r="B27" t="inlineStr">
        <is>
          <t>EBIT</t>
        </is>
      </c>
      <c r="C27" t="inlineStr">
        <is>
          <t>AUDm</t>
        </is>
      </c>
      <c r="D27" s="72">
        <f>INDEX(Annual!$D:$Q,MATCH("EBIT-Underlying EBIT",Annual!$A:$A,0),MATCH(D$24,Annual!$D$3:$Q$3,0))</f>
        <v/>
      </c>
      <c r="E27" s="72">
        <f>INDEX(Annual!$D:$Q,MATCH("EBIT-Underlying EBIT",Annual!$A:$A,0),MATCH(E$24,Annual!$D$3:$Q$3,0))</f>
        <v/>
      </c>
      <c r="F27" s="72">
        <f>INDEX(Annual!$D:$Q,MATCH("EBIT-Underlying EBIT",Annual!$A:$A,0),MATCH(F$24,Annual!$D$3:$Q$3,0))</f>
        <v/>
      </c>
      <c r="G27" s="72">
        <f>INDEX(Annual!$D:$Q,MATCH("EBIT-Underlying EBIT",Annual!$A:$A,0),MATCH(G$24,Annual!$D$3:$Q$3,0))</f>
        <v/>
      </c>
      <c r="H27" s="72">
        <f>INDEX(Annual!$D:$Q,MATCH("EBIT-Underlying EBIT",Annual!$A:$A,0),MATCH(H$24,Annual!$D$3:$Q$3,0))</f>
        <v/>
      </c>
      <c r="I27" s="72">
        <f>INDEX(Annual!$D:$Q,MATCH("EBIT-Underlying EBIT",Annual!$A:$A,0),MATCH(I$24,Annual!$D$3:$Q$3,0))</f>
        <v/>
      </c>
      <c r="J27" s="72">
        <f>INDEX(Annual!$D:$Q,MATCH("EBIT-Underlying EBIT",Annual!$A:$A,0),MATCH(J$24,Annual!$D$3:$Q$3,0))</f>
        <v/>
      </c>
      <c r="K27" s="72">
        <f>INDEX(Annual!$D:$Q,MATCH("EBIT-Underlying EBIT",Annual!$A:$A,0),MATCH(K$24,Annual!$D$3:$Q$3,0))</f>
        <v/>
      </c>
      <c r="L27" s="72">
        <f>INDEX(Annual!$D:$Q,MATCH("EBIT-Underlying EBIT",Annual!$A:$A,0),MATCH(L$24,Annual!$D$3:$Q$3,0))</f>
        <v/>
      </c>
      <c r="M27" s="72">
        <f>INDEX(Annual!$D:$Q,MATCH("EBIT-Underlying EBIT",Annual!$A:$A,0),MATCH(M$24,Annual!$D$3:$Q$3,0))</f>
        <v/>
      </c>
    </row>
    <row r="28">
      <c r="B28" t="inlineStr">
        <is>
          <t>less Tax on EBIT</t>
        </is>
      </c>
      <c r="C28" t="inlineStr">
        <is>
          <t>AUDm</t>
        </is>
      </c>
      <c r="D28" s="4">
        <f>-D27*$C$17</f>
        <v/>
      </c>
      <c r="E28" s="4">
        <f>-E27*$C$17</f>
        <v/>
      </c>
      <c r="F28" s="4">
        <f>-F27*$C$17</f>
        <v/>
      </c>
      <c r="G28" s="4">
        <f>-G27*$C$17</f>
        <v/>
      </c>
      <c r="H28" s="4">
        <f>-H27*$C$17</f>
        <v/>
      </c>
      <c r="I28" s="4">
        <f>-I27*$C$17</f>
        <v/>
      </c>
      <c r="J28" s="4">
        <f>-J27*$C$17</f>
        <v/>
      </c>
      <c r="K28" s="4">
        <f>-K27*$C$17</f>
        <v/>
      </c>
      <c r="L28" s="4">
        <f>-L27*$C$17</f>
        <v/>
      </c>
      <c r="M28" s="4">
        <f>-M27*$C$17</f>
        <v/>
      </c>
    </row>
    <row r="29">
      <c r="B29" t="inlineStr">
        <is>
          <t>NOPAT</t>
        </is>
      </c>
      <c r="C29" t="inlineStr">
        <is>
          <t>AUDm</t>
        </is>
      </c>
      <c r="D29" s="4">
        <f>D27+D28</f>
        <v/>
      </c>
      <c r="E29" s="4">
        <f>E27+E28</f>
        <v/>
      </c>
      <c r="F29" s="4">
        <f>F27+F28</f>
        <v/>
      </c>
      <c r="G29" s="4">
        <f>G27+G28</f>
        <v/>
      </c>
      <c r="H29" s="4">
        <f>H27+H28</f>
        <v/>
      </c>
      <c r="I29" s="4">
        <f>I27+I28</f>
        <v/>
      </c>
      <c r="J29" s="4">
        <f>J27+J28</f>
        <v/>
      </c>
      <c r="K29" s="4">
        <f>K27+K28</f>
        <v/>
      </c>
      <c r="L29" s="4">
        <f>L27+L28</f>
        <v/>
      </c>
      <c r="M29" s="4">
        <f>M27+M28</f>
        <v/>
      </c>
    </row>
    <row r="30">
      <c r="B30" t="inlineStr">
        <is>
          <t>plus D&amp;A</t>
        </is>
      </c>
      <c r="C30" t="inlineStr">
        <is>
          <t>AUDm</t>
        </is>
      </c>
      <c r="D30" s="4">
        <f>-D26</f>
        <v/>
      </c>
      <c r="E30" s="4">
        <f>-E26</f>
        <v/>
      </c>
      <c r="F30" s="4">
        <f>-F26</f>
        <v/>
      </c>
      <c r="G30" s="4">
        <f>-G26</f>
        <v/>
      </c>
      <c r="H30" s="4">
        <f>-H26</f>
        <v/>
      </c>
      <c r="I30" s="4">
        <f>-I26</f>
        <v/>
      </c>
      <c r="J30" s="4">
        <f>-J26</f>
        <v/>
      </c>
      <c r="K30" s="4">
        <f>-K26</f>
        <v/>
      </c>
      <c r="L30" s="4">
        <f>-L26</f>
        <v/>
      </c>
      <c r="M30" s="4">
        <f>-M26</f>
        <v/>
      </c>
    </row>
    <row r="31">
      <c r="B31" t="inlineStr">
        <is>
          <t>less Capex</t>
        </is>
      </c>
      <c r="C31" t="inlineStr">
        <is>
          <t>AUDm</t>
        </is>
      </c>
      <c r="D31" s="72">
        <f>INDEX(Annual!$D:$Q,MATCH("CF-Capex PPE",Annual!$A:$A,0),MATCH(D$24,Annual!$D$3:$Q$3,0))+INDEX(Annual!$D:$Q,MATCH("CF-Capex Intang",Annual!$A:$A,0),MATCH(D$24,Annual!$D$3:$Q$3,0))</f>
        <v/>
      </c>
      <c r="E31" s="72">
        <f>INDEX(Annual!$D:$Q,MATCH("CF-Capex PPE",Annual!$A:$A,0),MATCH(E$24,Annual!$D$3:$Q$3,0))+INDEX(Annual!$D:$Q,MATCH("CF-Capex Intang",Annual!$A:$A,0),MATCH(E$24,Annual!$D$3:$Q$3,0))</f>
        <v/>
      </c>
      <c r="F31" s="72">
        <f>INDEX(Annual!$D:$Q,MATCH("CF-Capex PPE",Annual!$A:$A,0),MATCH(F$24,Annual!$D$3:$Q$3,0))+INDEX(Annual!$D:$Q,MATCH("CF-Capex Intang",Annual!$A:$A,0),MATCH(F$24,Annual!$D$3:$Q$3,0))</f>
        <v/>
      </c>
      <c r="G31" s="72">
        <f>INDEX(Annual!$D:$Q,MATCH("CF-Capex PPE",Annual!$A:$A,0),MATCH(G$24,Annual!$D$3:$Q$3,0))+INDEX(Annual!$D:$Q,MATCH("CF-Capex Intang",Annual!$A:$A,0),MATCH(G$24,Annual!$D$3:$Q$3,0))</f>
        <v/>
      </c>
      <c r="H31" s="72">
        <f>INDEX(Annual!$D:$Q,MATCH("CF-Capex PPE",Annual!$A:$A,0),MATCH(H$24,Annual!$D$3:$Q$3,0))+INDEX(Annual!$D:$Q,MATCH("CF-Capex Intang",Annual!$A:$A,0),MATCH(H$24,Annual!$D$3:$Q$3,0))</f>
        <v/>
      </c>
      <c r="I31" s="72">
        <f>INDEX(Annual!$D:$Q,MATCH("CF-Capex PPE",Annual!$A:$A,0),MATCH(I$24,Annual!$D$3:$Q$3,0))+INDEX(Annual!$D:$Q,MATCH("CF-Capex Intang",Annual!$A:$A,0),MATCH(I$24,Annual!$D$3:$Q$3,0))</f>
        <v/>
      </c>
      <c r="J31" s="72">
        <f>INDEX(Annual!$D:$Q,MATCH("CF-Capex PPE",Annual!$A:$A,0),MATCH(J$24,Annual!$D$3:$Q$3,0))+INDEX(Annual!$D:$Q,MATCH("CF-Capex Intang",Annual!$A:$A,0),MATCH(J$24,Annual!$D$3:$Q$3,0))</f>
        <v/>
      </c>
      <c r="K31" s="72">
        <f>INDEX(Annual!$D:$Q,MATCH("CF-Capex PPE",Annual!$A:$A,0),MATCH(K$24,Annual!$D$3:$Q$3,0))+INDEX(Annual!$D:$Q,MATCH("CF-Capex Intang",Annual!$A:$A,0),MATCH(K$24,Annual!$D$3:$Q$3,0))</f>
        <v/>
      </c>
      <c r="L31" s="72">
        <f>INDEX(Annual!$D:$Q,MATCH("CF-Capex PPE",Annual!$A:$A,0),MATCH(L$24,Annual!$D$3:$Q$3,0))+INDEX(Annual!$D:$Q,MATCH("CF-Capex Intang",Annual!$A:$A,0),MATCH(L$24,Annual!$D$3:$Q$3,0))</f>
        <v/>
      </c>
      <c r="M31" s="72">
        <f>INDEX(Annual!$D:$Q,MATCH("CF-Capex PPE",Annual!$A:$A,0),MATCH(M$24,Annual!$D$3:$Q$3,0))+INDEX(Annual!$D:$Q,MATCH("CF-Capex Intang",Annual!$A:$A,0),MATCH(M$24,Annual!$D$3:$Q$3,0))</f>
        <v/>
      </c>
    </row>
    <row r="32">
      <c r="B32" t="inlineStr">
        <is>
          <t>less WC Change</t>
        </is>
      </c>
      <c r="C32" t="inlineStr">
        <is>
          <t>AUDm</t>
        </is>
      </c>
      <c r="D32" s="72">
        <f>INDEX(Annual!$D:$Q,MATCH("CF-WC Change",Annual!$A:$A,0),MATCH(D$24,Annual!$D$3:$Q$3,0))</f>
        <v/>
      </c>
      <c r="E32" s="72">
        <f>INDEX(Annual!$D:$Q,MATCH("CF-WC Change",Annual!$A:$A,0),MATCH(E$24,Annual!$D$3:$Q$3,0))</f>
        <v/>
      </c>
      <c r="F32" s="72">
        <f>INDEX(Annual!$D:$Q,MATCH("CF-WC Change",Annual!$A:$A,0),MATCH(F$24,Annual!$D$3:$Q$3,0))</f>
        <v/>
      </c>
      <c r="G32" s="72">
        <f>INDEX(Annual!$D:$Q,MATCH("CF-WC Change",Annual!$A:$A,0),MATCH(G$24,Annual!$D$3:$Q$3,0))</f>
        <v/>
      </c>
      <c r="H32" s="72">
        <f>INDEX(Annual!$D:$Q,MATCH("CF-WC Change",Annual!$A:$A,0),MATCH(H$24,Annual!$D$3:$Q$3,0))</f>
        <v/>
      </c>
      <c r="I32" s="72">
        <f>INDEX(Annual!$D:$Q,MATCH("CF-WC Change",Annual!$A:$A,0),MATCH(I$24,Annual!$D$3:$Q$3,0))</f>
        <v/>
      </c>
      <c r="J32" s="72">
        <f>INDEX(Annual!$D:$Q,MATCH("CF-WC Change",Annual!$A:$A,0),MATCH(J$24,Annual!$D$3:$Q$3,0))</f>
        <v/>
      </c>
      <c r="K32" s="72">
        <f>INDEX(Annual!$D:$Q,MATCH("CF-WC Change",Annual!$A:$A,0),MATCH(K$24,Annual!$D$3:$Q$3,0))</f>
        <v/>
      </c>
      <c r="L32" s="72">
        <f>INDEX(Annual!$D:$Q,MATCH("CF-WC Change",Annual!$A:$A,0),MATCH(L$24,Annual!$D$3:$Q$3,0))</f>
        <v/>
      </c>
      <c r="M32" s="72">
        <f>INDEX(Annual!$D:$Q,MATCH("CF-WC Change",Annual!$A:$A,0),MATCH(M$24,Annual!$D$3:$Q$3,0))</f>
        <v/>
      </c>
    </row>
    <row r="33">
      <c r="B33" s="33" t="inlineStr">
        <is>
          <t>FCFF</t>
        </is>
      </c>
      <c r="C33" s="33" t="inlineStr">
        <is>
          <t>AUDm</t>
        </is>
      </c>
      <c r="D33" s="34">
        <f>D29+D30+D31+D32</f>
        <v/>
      </c>
      <c r="E33" s="34">
        <f>E29+E30+E31+E32</f>
        <v/>
      </c>
      <c r="F33" s="34">
        <f>F29+F30+F31+F32</f>
        <v/>
      </c>
      <c r="G33" s="34">
        <f>G29+G30+G31+G32</f>
        <v/>
      </c>
      <c r="H33" s="34">
        <f>H29+H30+H31+H32</f>
        <v/>
      </c>
      <c r="I33" s="34">
        <f>I29+I30+I31+I32</f>
        <v/>
      </c>
      <c r="J33" s="34">
        <f>J29+J30+J31+J32</f>
        <v/>
      </c>
      <c r="K33" s="34">
        <f>K29+K30+K31+K32</f>
        <v/>
      </c>
      <c r="L33" s="34">
        <f>L29+L30+L31+L32</f>
        <v/>
      </c>
      <c r="M33" s="34">
        <f>M29+M30+M31+M32</f>
        <v/>
      </c>
    </row>
    <row r="34" ht="15" customHeight="1" thickBot="1">
      <c r="B34" t="inlineStr">
        <is>
          <t>Normalised FCFF (capex=D&amp;A)</t>
        </is>
      </c>
      <c r="C34" t="inlineStr">
        <is>
          <t>AUDm</t>
        </is>
      </c>
      <c r="M34" s="77">
        <f>M29+M32</f>
        <v/>
      </c>
    </row>
    <row r="35">
      <c r="B35" s="8" t="inlineStr">
        <is>
          <t>Terminal Value</t>
        </is>
      </c>
      <c r="M35" s="72">
        <f>M34*(1+$C$21)/($C$20-$C$21)</f>
        <v/>
      </c>
    </row>
    <row r="37">
      <c r="B37" t="inlineStr">
        <is>
          <t>Discount Factor</t>
        </is>
      </c>
      <c r="D37" s="76">
        <f>1/(1+$C$20)^($C$22+0)</f>
        <v/>
      </c>
      <c r="E37" s="76">
        <f>1/(1+$C$20)^($C$22+1)</f>
        <v/>
      </c>
      <c r="F37" s="76">
        <f>1/(1+$C$20)^($C$22+2)</f>
        <v/>
      </c>
      <c r="G37" s="76">
        <f>1/(1+$C$20)^($C$22+3)</f>
        <v/>
      </c>
      <c r="H37" s="76">
        <f>1/(1+$C$20)^($C$22+4)</f>
        <v/>
      </c>
      <c r="I37" s="76">
        <f>1/(1+$C$20)^($C$22+5)</f>
        <v/>
      </c>
      <c r="J37" s="76">
        <f>1/(1+$C$20)^($C$22+6)</f>
        <v/>
      </c>
      <c r="K37" s="76">
        <f>1/(1+$C$20)^($C$22+7)</f>
        <v/>
      </c>
      <c r="L37" s="76">
        <f>1/(1+$C$20)^($C$22+8)</f>
        <v/>
      </c>
      <c r="M37" s="76">
        <f>1/(1+$C$20)^($C$22+9)</f>
        <v/>
      </c>
    </row>
    <row r="38">
      <c r="B38" s="36" t="inlineStr">
        <is>
          <t>PV of FCFF</t>
        </is>
      </c>
      <c r="C38" s="36" t="n"/>
      <c r="D38" s="78">
        <f>D33*D37</f>
        <v/>
      </c>
      <c r="E38" s="78">
        <f>E33*E37</f>
        <v/>
      </c>
      <c r="F38" s="78">
        <f>F33*F37</f>
        <v/>
      </c>
      <c r="G38" s="78">
        <f>G33*G37</f>
        <v/>
      </c>
      <c r="H38" s="78">
        <f>H33*H37</f>
        <v/>
      </c>
      <c r="I38" s="78">
        <f>I33*I37</f>
        <v/>
      </c>
      <c r="J38" s="78">
        <f>J33*J37</f>
        <v/>
      </c>
      <c r="K38" s="78">
        <f>K33*K37</f>
        <v/>
      </c>
      <c r="L38" s="78">
        <f>L33*L37</f>
        <v/>
      </c>
      <c r="M38" s="78">
        <f>M33*M37</f>
        <v/>
      </c>
    </row>
    <row r="39">
      <c r="B39" t="inlineStr">
        <is>
          <t>PV of Terminal Value</t>
        </is>
      </c>
      <c r="M39" s="72">
        <f>M35*M37</f>
        <v/>
      </c>
    </row>
    <row r="41">
      <c r="B41" t="inlineStr">
        <is>
          <t>Sum of PV of FCFs</t>
        </is>
      </c>
      <c r="C41" s="4">
        <f>SUM(D38:M38)</f>
        <v/>
      </c>
    </row>
    <row r="42">
      <c r="B42" s="36" t="inlineStr">
        <is>
          <t>PV of Terminal Value</t>
        </is>
      </c>
      <c r="C42" s="37">
        <f>M39</f>
        <v/>
      </c>
    </row>
    <row r="43">
      <c r="B43" t="inlineStr">
        <is>
          <t>Enterprise Value</t>
        </is>
      </c>
      <c r="C43" s="10">
        <f>C41+C42</f>
        <v/>
      </c>
    </row>
    <row r="45">
      <c r="B45" t="inlineStr">
        <is>
          <t>less Net Debt</t>
        </is>
      </c>
      <c r="C45" s="4">
        <f>-C7</f>
        <v/>
      </c>
    </row>
    <row r="46">
      <c r="B46" t="inlineStr">
        <is>
          <t>less Lease Liabilities</t>
        </is>
      </c>
      <c r="C46" s="72">
        <f>-INDEX(Annual!$D:$Q,MATCH("BS-Lease Liabilities",Annual!$A:$A,0),MATCH($D$24,Annual!$D$3:$Q$3,0)-1)</f>
        <v/>
      </c>
    </row>
    <row r="47" ht="15" customHeight="1" thickBot="1">
      <c r="B47" s="38" t="inlineStr">
        <is>
          <t>Equity Value</t>
        </is>
      </c>
      <c r="C47" s="39">
        <f>C43+C45+C46</f>
        <v/>
      </c>
    </row>
    <row r="48" ht="15.5" customHeight="1">
      <c r="B48" t="inlineStr">
        <is>
          <t>Per Share Value (AUD)</t>
        </is>
      </c>
      <c r="C48" s="11">
        <f>C47/C5</f>
        <v/>
      </c>
    </row>
    <row r="49">
      <c r="B49" t="inlineStr">
        <is>
          <t>Upside / Downside</t>
        </is>
      </c>
      <c r="C49" s="6">
        <f>IF(C4=0,"",C48/C4-1)</f>
        <v/>
      </c>
    </row>
    <row r="52" ht="18.5" customHeight="1">
      <c r="B52" s="1" t="inlineStr">
        <is>
          <t>EV/EBITDA SOTP</t>
        </is>
      </c>
      <c r="C52" s="2" t="n"/>
      <c r="D52" s="2" t="n"/>
      <c r="E52" s="2" t="n"/>
      <c r="F52" s="2" t="n"/>
      <c r="G52" s="2" t="n"/>
      <c r="H52" s="2" t="n"/>
      <c r="I52" s="2" t="n"/>
    </row>
    <row r="54">
      <c r="B54" t="inlineStr">
        <is>
          <t>Select FY:</t>
        </is>
      </c>
      <c r="C54" s="55" t="inlineStr">
        <is>
          <t>FY27E</t>
        </is>
      </c>
    </row>
    <row r="56">
      <c r="B56" s="8" t="inlineStr">
        <is>
          <t>Segment</t>
        </is>
      </c>
      <c r="C56" s="8">
        <f>$C$54&amp;" EBITDA"</f>
        <v/>
      </c>
      <c r="D56" s="8" t="inlineStr">
        <is>
          <t>Multiple</t>
        </is>
      </c>
      <c r="E56" s="8" t="inlineStr">
        <is>
          <t>Implied EV</t>
        </is>
      </c>
    </row>
    <row r="57">
      <c r="B57" t="inlineStr">
        <is>
          <t>AU Segment</t>
        </is>
      </c>
      <c r="C57" s="72">
        <f>INDEX(Annual!$D:$Q,MATCH("EBITDA-AU Segment EBITDA",Annual!$A:$A,0),MATCH($C$54,Annual!$D$3:$Q$3,0))</f>
        <v/>
      </c>
      <c r="D57" s="79" t="n">
        <v>25</v>
      </c>
      <c r="E57" s="4">
        <f>C57*D57</f>
        <v/>
      </c>
    </row>
    <row r="58">
      <c r="B58" t="inlineStr">
        <is>
          <t>US Segment</t>
        </is>
      </c>
      <c r="C58" s="72">
        <f>INDEX(Annual!$D:$Q,MATCH("EBITDA-US Segment EBITDA",Annual!$A:$A,0),MATCH($C$54,Annual!$D$3:$Q$3,0))</f>
        <v/>
      </c>
      <c r="D58" s="79" t="n">
        <v>0</v>
      </c>
      <c r="E58" s="4">
        <f>C58*D58</f>
        <v/>
      </c>
    </row>
    <row r="59">
      <c r="B59" t="inlineStr">
        <is>
          <t>Corporate</t>
        </is>
      </c>
      <c r="C59" s="72">
        <f>INDEX(Annual!$D:$Q,MATCH("EBITDA-Statutory EBITDA",Annual!$A:$A,0),MATCH($C$54,Annual!$D$3:$Q$3,0))-C57-C58</f>
        <v/>
      </c>
      <c r="D59" s="80">
        <f>IF((C57+C58)=0,"",(C57*D57+C58*D58)/(C57+C58))</f>
        <v/>
      </c>
      <c r="E59" s="4">
        <f>C59*D59</f>
        <v/>
      </c>
    </row>
    <row r="61">
      <c r="B61" s="8" t="inlineStr">
        <is>
          <t>Group EV</t>
        </is>
      </c>
      <c r="E61" s="10">
        <f>SUM(E57:E59)</f>
        <v/>
      </c>
    </row>
    <row r="62">
      <c r="B62" t="inlineStr">
        <is>
          <t>less Net Debt</t>
        </is>
      </c>
      <c r="E62" s="4">
        <f>-C7</f>
        <v/>
      </c>
    </row>
    <row r="63">
      <c r="B63" t="inlineStr">
        <is>
          <t>less Lease Liabilities</t>
        </is>
      </c>
      <c r="E63" s="72">
        <f>-INDEX(Annual!$D:$Q,MATCH("BS-Lease Liabilities",Annual!$A:$A,0),MATCH($D$24,Annual!$D$3:$Q$3,0)-1)</f>
        <v/>
      </c>
    </row>
    <row r="64">
      <c r="B64" t="inlineStr">
        <is>
          <t>Equity Value</t>
        </is>
      </c>
      <c r="E64" s="10">
        <f>E61+E62+E63</f>
        <v/>
      </c>
    </row>
    <row r="65" ht="15.5" customHeight="1">
      <c r="B65" t="inlineStr">
        <is>
          <t>Per Share Value (AUD)</t>
        </is>
      </c>
      <c r="E65" s="11">
        <f>E64/C5</f>
        <v/>
      </c>
    </row>
    <row r="66">
      <c r="B66" t="inlineStr">
        <is>
          <t>Upside / Downside</t>
        </is>
      </c>
      <c r="E66" s="6">
        <f>IF(C4=0,"",E65/C4-1)</f>
        <v/>
      </c>
    </row>
    <row r="68">
      <c r="B68" t="inlineStr">
        <is>
          <t>Implied Group EV/EBITDA</t>
        </is>
      </c>
      <c r="E68" s="81">
        <f>IF(INDEX(Annual!$D:$Q,MATCH("EBITDA-Statutory EBITDA",Annual!$A:$A,0),MATCH($C$54,Annual!$D$3:$Q$3,0))=0,"",E61/INDEX(Annual!$D:$Q,MATCH("EBITDA-Statutory EBITDA",Annual!$A:$A,0),MATCH($C$54,Annual!$D$3:$Q$3,0)))</f>
        <v/>
      </c>
    </row>
  </sheetData>
  <conditionalFormatting sqref="C49">
    <cfRule type="cellIs" priority="3" operator="lessThan" dxfId="1">
      <formula>0</formula>
    </cfRule>
    <cfRule type="cellIs" priority="4" operator="greaterThan" dxfId="0">
      <formula>0</formula>
    </cfRule>
  </conditionalFormatting>
  <conditionalFormatting sqref="E66">
    <cfRule type="cellIs" priority="1" operator="lessThan" dxfId="1">
      <formula>0</formula>
    </cfRule>
    <cfRule type="cellIs" priority="2" operator="greater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30"/>
  <sheetViews>
    <sheetView tabSelected="1" workbookViewId="0">
      <pane xSplit="3" ySplit="4" topLeftCell="D146" activePane="bottomRight" state="frozen"/>
      <selection pane="topRight" activeCell="A1" sqref="A1"/>
      <selection pane="bottomLeft" activeCell="A1" sqref="A1"/>
      <selection pane="bottomRight" activeCell="S165" sqref="S165"/>
    </sheetView>
  </sheetViews>
  <sheetFormatPr baseColWidth="8" defaultRowHeight="14.5"/>
  <cols>
    <col hidden="1" width="30" customWidth="1" min="1" max="1"/>
    <col width="32" customWidth="1" min="2" max="2"/>
    <col width="8" customWidth="1" min="3" max="3"/>
    <col width="12" customWidth="1" min="4" max="18"/>
  </cols>
  <sheetData>
    <row r="1">
      <c r="D1" t="n">
        <v>2022</v>
      </c>
      <c r="E1" t="n">
        <v>2023</v>
      </c>
      <c r="F1" t="n">
        <v>2024</v>
      </c>
      <c r="G1" t="n">
        <v>2025</v>
      </c>
      <c r="H1" t="n">
        <v>2026</v>
      </c>
      <c r="I1" t="n">
        <v>2027</v>
      </c>
      <c r="J1" t="n">
        <v>2028</v>
      </c>
      <c r="K1" t="n">
        <v>2029</v>
      </c>
      <c r="L1" t="n">
        <v>2030</v>
      </c>
      <c r="M1" t="n">
        <v>2031</v>
      </c>
      <c r="N1" t="n">
        <v>2032</v>
      </c>
      <c r="O1" t="n">
        <v>2033</v>
      </c>
      <c r="P1" t="n">
        <v>2034</v>
      </c>
      <c r="Q1" t="n">
        <v>2035</v>
      </c>
    </row>
    <row r="2" ht="18.5" customHeight="1">
      <c r="B2" s="14" t="inlineStr">
        <is>
          <t>GYG Model Summary</t>
        </is>
      </c>
      <c r="D2" s="15" t="inlineStr">
        <is>
          <t>Actual ----------&gt;</t>
        </is>
      </c>
      <c r="E2" s="15" t="n"/>
      <c r="F2" s="15" t="n"/>
      <c r="G2" s="15" t="n"/>
      <c r="H2" s="16" t="inlineStr">
        <is>
          <t>Forecast -----&gt;</t>
        </is>
      </c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</row>
    <row r="3">
      <c r="B3" t="inlineStr">
        <is>
          <t>Guzman y Gomez (GYG.AX)</t>
        </is>
      </c>
      <c r="C3" t="inlineStr">
        <is>
          <t>Units</t>
        </is>
      </c>
      <c r="D3" s="7" t="inlineStr">
        <is>
          <t>FY22A</t>
        </is>
      </c>
      <c r="E3" s="7" t="inlineStr">
        <is>
          <t>FY23A</t>
        </is>
      </c>
      <c r="F3" s="7" t="inlineStr">
        <is>
          <t>FY24A</t>
        </is>
      </c>
      <c r="G3" s="7" t="inlineStr">
        <is>
          <t>FY25A</t>
        </is>
      </c>
      <c r="H3" s="7" t="inlineStr">
        <is>
          <t>FY26E</t>
        </is>
      </c>
      <c r="I3" s="7" t="inlineStr">
        <is>
          <t>FY27E</t>
        </is>
      </c>
      <c r="J3" s="7" t="inlineStr">
        <is>
          <t>FY28E</t>
        </is>
      </c>
      <c r="K3" s="7" t="inlineStr">
        <is>
          <t>FY29E</t>
        </is>
      </c>
      <c r="L3" s="7" t="inlineStr">
        <is>
          <t>FY30E</t>
        </is>
      </c>
      <c r="M3" s="7" t="inlineStr">
        <is>
          <t>FY31E</t>
        </is>
      </c>
      <c r="N3" s="7" t="inlineStr">
        <is>
          <t>FY32E</t>
        </is>
      </c>
      <c r="O3" s="7" t="inlineStr">
        <is>
          <t>FY33E</t>
        </is>
      </c>
      <c r="P3" s="7" t="inlineStr">
        <is>
          <t>FY34E</t>
        </is>
      </c>
      <c r="Q3" s="7" t="inlineStr">
        <is>
          <t>FY35E</t>
        </is>
      </c>
    </row>
    <row r="4">
      <c r="D4" s="17" t="n">
        <v>44742</v>
      </c>
      <c r="E4" s="17" t="n">
        <v>45107</v>
      </c>
      <c r="F4" s="17" t="n">
        <v>45473</v>
      </c>
      <c r="G4" s="17" t="n">
        <v>45838</v>
      </c>
      <c r="H4" s="17" t="n">
        <v>46203</v>
      </c>
      <c r="I4" s="17" t="n">
        <v>46568</v>
      </c>
      <c r="J4" s="17" t="n">
        <v>46934</v>
      </c>
      <c r="K4" s="17" t="n">
        <v>47299</v>
      </c>
      <c r="L4" s="17" t="n">
        <v>47664</v>
      </c>
      <c r="M4" s="17" t="n">
        <v>48029</v>
      </c>
      <c r="N4" s="17" t="n">
        <v>48395</v>
      </c>
      <c r="O4" s="17" t="n">
        <v>48760</v>
      </c>
      <c r="P4" s="17" t="n">
        <v>49125</v>
      </c>
      <c r="Q4" s="17" t="n">
        <v>49490</v>
      </c>
    </row>
    <row r="5">
      <c r="A5" s="2" t="n"/>
      <c r="B5" s="18" t="inlineStr">
        <is>
          <t>P&amp;L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</row>
    <row r="6">
      <c r="B6" s="5" t="inlineStr">
        <is>
          <t>Revenue</t>
        </is>
      </c>
    </row>
    <row r="7">
      <c r="A7" t="inlineStr">
        <is>
          <t>Rev-AU Corp Sales</t>
        </is>
      </c>
      <c r="B7" t="inlineStr">
        <is>
          <t>AU Corporate Restaurant Sales</t>
        </is>
      </c>
      <c r="C7" t="inlineStr">
        <is>
          <t>AUDm</t>
        </is>
      </c>
      <c r="D7" s="60" t="n">
        <v>139.2</v>
      </c>
      <c r="E7" s="60" t="n">
        <v>212</v>
      </c>
      <c r="F7" s="60" t="n">
        <v>278.9</v>
      </c>
      <c r="G7" s="60" t="n">
        <v>359.7</v>
      </c>
      <c r="H7" s="72">
        <f>INDEX('HY &amp; Segments'!$A:$AA,MATCH($A7,'HY &amp; Segments'!$A:$A,0),MATCH("1H"&amp;RIGHT(H$1,2),'HY &amp; Segments'!$3:$3,0))+INDEX('HY &amp; Segments'!$A:$AA,MATCH($A7,'HY &amp; Segments'!$A:$A,0),MATCH("2H"&amp;RIGHT(H$1,2),'HY &amp; Segments'!$3:$3,0))</f>
        <v/>
      </c>
      <c r="I7" s="72">
        <f>INDEX('HY &amp; Segments'!$A:$AA,MATCH($A7,'HY &amp; Segments'!$A:$A,0),MATCH("1H"&amp;RIGHT(I$1,2),'HY &amp; Segments'!$3:$3,0))+INDEX('HY &amp; Segments'!$A:$AA,MATCH($A7,'HY &amp; Segments'!$A:$A,0),MATCH("2H"&amp;RIGHT(I$1,2),'HY &amp; Segments'!$3:$3,0))</f>
        <v/>
      </c>
      <c r="J7" s="72">
        <f>INDEX('HY &amp; Segments'!$A:$AA,MATCH($A7,'HY &amp; Segments'!$A:$A,0),MATCH("1H"&amp;RIGHT(J$1,2),'HY &amp; Segments'!$3:$3,0))+INDEX('HY &amp; Segments'!$A:$AA,MATCH($A7,'HY &amp; Segments'!$A:$A,0),MATCH("2H"&amp;RIGHT(J$1,2),'HY &amp; Segments'!$3:$3,0))</f>
        <v/>
      </c>
      <c r="K7" s="72">
        <f>INDEX('HY &amp; Segments'!$A:$AA,MATCH($A7,'HY &amp; Segments'!$A:$A,0),MATCH("1H"&amp;RIGHT(K$1,2),'HY &amp; Segments'!$3:$3,0))+INDEX('HY &amp; Segments'!$A:$AA,MATCH($A7,'HY &amp; Segments'!$A:$A,0),MATCH("2H"&amp;RIGHT(K$1,2),'HY &amp; Segments'!$3:$3,0))</f>
        <v/>
      </c>
      <c r="L7" s="72">
        <f>INDEX('HY &amp; Segments'!$A:$AA,MATCH($A7,'HY &amp; Segments'!$A:$A,0),MATCH("1H"&amp;RIGHT(L$1,2),'HY &amp; Segments'!$3:$3,0))+INDEX('HY &amp; Segments'!$A:$AA,MATCH($A7,'HY &amp; Segments'!$A:$A,0),MATCH("2H"&amp;RIGHT(L$1,2),'HY &amp; Segments'!$3:$3,0))</f>
        <v/>
      </c>
      <c r="M7" s="72">
        <f>INDEX('HY &amp; Segments'!$A:$AA,MATCH($A7,'HY &amp; Segments'!$A:$A,0),MATCH("1H"&amp;RIGHT(M$1,2),'HY &amp; Segments'!$3:$3,0))+INDEX('HY &amp; Segments'!$A:$AA,MATCH($A7,'HY &amp; Segments'!$A:$A,0),MATCH("2H"&amp;RIGHT(M$1,2),'HY &amp; Segments'!$3:$3,0))</f>
        <v/>
      </c>
      <c r="N7" s="72">
        <f>INDEX('HY &amp; Segments'!$A:$AA,MATCH($A7,'HY &amp; Segments'!$A:$A,0),MATCH("1H"&amp;RIGHT(N$1,2),'HY &amp; Segments'!$3:$3,0))+INDEX('HY &amp; Segments'!$A:$AA,MATCH($A7,'HY &amp; Segments'!$A:$A,0),MATCH("2H"&amp;RIGHT(N$1,2),'HY &amp; Segments'!$3:$3,0))</f>
        <v/>
      </c>
      <c r="O7" s="72">
        <f>INDEX('HY &amp; Segments'!$A:$AA,MATCH($A7,'HY &amp; Segments'!$A:$A,0),MATCH("1H"&amp;RIGHT(O$1,2),'HY &amp; Segments'!$3:$3,0))+INDEX('HY &amp; Segments'!$A:$AA,MATCH($A7,'HY &amp; Segments'!$A:$A,0),MATCH("2H"&amp;RIGHT(O$1,2),'HY &amp; Segments'!$3:$3,0))</f>
        <v/>
      </c>
      <c r="P7" s="72">
        <f>INDEX('HY &amp; Segments'!$A:$AA,MATCH($A7,'HY &amp; Segments'!$A:$A,0),MATCH("1H"&amp;RIGHT(P$1,2),'HY &amp; Segments'!$3:$3,0))+INDEX('HY &amp; Segments'!$A:$AA,MATCH($A7,'HY &amp; Segments'!$A:$A,0),MATCH("2H"&amp;RIGHT(P$1,2),'HY &amp; Segments'!$3:$3,0))</f>
        <v/>
      </c>
      <c r="Q7" s="72">
        <f>INDEX('HY &amp; Segments'!$A:$AA,MATCH($A7,'HY &amp; Segments'!$A:$A,0),MATCH("1H"&amp;RIGHT(Q$1,2),'HY &amp; Segments'!$3:$3,0))+INDEX('HY &amp; Segments'!$A:$AA,MATCH($A7,'HY &amp; Segments'!$A:$A,0),MATCH("2H"&amp;RIGHT(Q$1,2),'HY &amp; Segments'!$3:$3,0))</f>
        <v/>
      </c>
    </row>
    <row r="8">
      <c r="A8" t="inlineStr">
        <is>
          <t>Rev-US Corp Sales</t>
        </is>
      </c>
      <c r="B8" t="inlineStr">
        <is>
          <t>US Corporate Restaurant Sales</t>
        </is>
      </c>
      <c r="C8" t="inlineStr">
        <is>
          <t>AUDm</t>
        </is>
      </c>
      <c r="D8" s="60" t="n">
        <v>2.5</v>
      </c>
      <c r="E8" s="60" t="n">
        <v>6</v>
      </c>
      <c r="F8" s="60" t="n">
        <v>10.8</v>
      </c>
      <c r="G8" s="60" t="n">
        <v>8.9</v>
      </c>
      <c r="H8" s="72">
        <f>INDEX('HY &amp; Segments'!$A:$AA,MATCH($A8,'HY &amp; Segments'!$A:$A,0),MATCH("1H"&amp;RIGHT(H$1,2),'HY &amp; Segments'!$3:$3,0))+INDEX('HY &amp; Segments'!$A:$AA,MATCH($A8,'HY &amp; Segments'!$A:$A,0),MATCH("2H"&amp;RIGHT(H$1,2),'HY &amp; Segments'!$3:$3,0))</f>
        <v/>
      </c>
      <c r="I8" s="72">
        <f>INDEX('HY &amp; Segments'!$A:$AA,MATCH($A8,'HY &amp; Segments'!$A:$A,0),MATCH("1H"&amp;RIGHT(I$1,2),'HY &amp; Segments'!$3:$3,0))+INDEX('HY &amp; Segments'!$A:$AA,MATCH($A8,'HY &amp; Segments'!$A:$A,0),MATCH("2H"&amp;RIGHT(I$1,2),'HY &amp; Segments'!$3:$3,0))</f>
        <v/>
      </c>
      <c r="J8" s="72">
        <f>INDEX('HY &amp; Segments'!$A:$AA,MATCH($A8,'HY &amp; Segments'!$A:$A,0),MATCH("1H"&amp;RIGHT(J$1,2),'HY &amp; Segments'!$3:$3,0))+INDEX('HY &amp; Segments'!$A:$AA,MATCH($A8,'HY &amp; Segments'!$A:$A,0),MATCH("2H"&amp;RIGHT(J$1,2),'HY &amp; Segments'!$3:$3,0))</f>
        <v/>
      </c>
      <c r="K8" s="72">
        <f>INDEX('HY &amp; Segments'!$A:$AA,MATCH($A8,'HY &amp; Segments'!$A:$A,0),MATCH("1H"&amp;RIGHT(K$1,2),'HY &amp; Segments'!$3:$3,0))+INDEX('HY &amp; Segments'!$A:$AA,MATCH($A8,'HY &amp; Segments'!$A:$A,0),MATCH("2H"&amp;RIGHT(K$1,2),'HY &amp; Segments'!$3:$3,0))</f>
        <v/>
      </c>
      <c r="L8" s="72">
        <f>INDEX('HY &amp; Segments'!$A:$AA,MATCH($A8,'HY &amp; Segments'!$A:$A,0),MATCH("1H"&amp;RIGHT(L$1,2),'HY &amp; Segments'!$3:$3,0))+INDEX('HY &amp; Segments'!$A:$AA,MATCH($A8,'HY &amp; Segments'!$A:$A,0),MATCH("2H"&amp;RIGHT(L$1,2),'HY &amp; Segments'!$3:$3,0))</f>
        <v/>
      </c>
      <c r="M8" s="72">
        <f>INDEX('HY &amp; Segments'!$A:$AA,MATCH($A8,'HY &amp; Segments'!$A:$A,0),MATCH("1H"&amp;RIGHT(M$1,2),'HY &amp; Segments'!$3:$3,0))+INDEX('HY &amp; Segments'!$A:$AA,MATCH($A8,'HY &amp; Segments'!$A:$A,0),MATCH("2H"&amp;RIGHT(M$1,2),'HY &amp; Segments'!$3:$3,0))</f>
        <v/>
      </c>
      <c r="N8" s="72">
        <f>INDEX('HY &amp; Segments'!$A:$AA,MATCH($A8,'HY &amp; Segments'!$A:$A,0),MATCH("1H"&amp;RIGHT(N$1,2),'HY &amp; Segments'!$3:$3,0))+INDEX('HY &amp; Segments'!$A:$AA,MATCH($A8,'HY &amp; Segments'!$A:$A,0),MATCH("2H"&amp;RIGHT(N$1,2),'HY &amp; Segments'!$3:$3,0))</f>
        <v/>
      </c>
      <c r="O8" s="72">
        <f>INDEX('HY &amp; Segments'!$A:$AA,MATCH($A8,'HY &amp; Segments'!$A:$A,0),MATCH("1H"&amp;RIGHT(O$1,2),'HY &amp; Segments'!$3:$3,0))+INDEX('HY &amp; Segments'!$A:$AA,MATCH($A8,'HY &amp; Segments'!$A:$A,0),MATCH("2H"&amp;RIGHT(O$1,2),'HY &amp; Segments'!$3:$3,0))</f>
        <v/>
      </c>
      <c r="P8" s="72">
        <f>INDEX('HY &amp; Segments'!$A:$AA,MATCH($A8,'HY &amp; Segments'!$A:$A,0),MATCH("1H"&amp;RIGHT(P$1,2),'HY &amp; Segments'!$3:$3,0))+INDEX('HY &amp; Segments'!$A:$AA,MATCH($A8,'HY &amp; Segments'!$A:$A,0),MATCH("2H"&amp;RIGHT(P$1,2),'HY &amp; Segments'!$3:$3,0))</f>
        <v/>
      </c>
      <c r="Q8" s="72">
        <f>INDEX('HY &amp; Segments'!$A:$AA,MATCH($A8,'HY &amp; Segments'!$A:$A,0),MATCH("1H"&amp;RIGHT(Q$1,2),'HY &amp; Segments'!$3:$3,0))+INDEX('HY &amp; Segments'!$A:$AA,MATCH($A8,'HY &amp; Segments'!$A:$A,0),MATCH("2H"&amp;RIGHT(Q$1,2),'HY &amp; Segments'!$3:$3,0))</f>
        <v/>
      </c>
    </row>
    <row r="9">
      <c r="A9" t="inlineStr">
        <is>
          <t>Rev-Franchise Royalty</t>
        </is>
      </c>
      <c r="B9" t="inlineStr">
        <is>
          <t>Franchise Royalty Revenue</t>
        </is>
      </c>
      <c r="C9" t="inlineStr">
        <is>
          <t>AUDm</t>
        </is>
      </c>
      <c r="D9" s="60" t="n">
        <v>29.5</v>
      </c>
      <c r="E9" s="60" t="n">
        <v>40.5</v>
      </c>
      <c r="F9" s="60" t="n">
        <v>51.9</v>
      </c>
      <c r="G9" s="60" t="n">
        <v>66.8</v>
      </c>
      <c r="H9" s="72">
        <f>INDEX('HY &amp; Segments'!$A:$AA,MATCH($A9,'HY &amp; Segments'!$A:$A,0),MATCH("1H"&amp;RIGHT(H$1,2),'HY &amp; Segments'!$3:$3,0))+INDEX('HY &amp; Segments'!$A:$AA,MATCH($A9,'HY &amp; Segments'!$A:$A,0),MATCH("2H"&amp;RIGHT(H$1,2),'HY &amp; Segments'!$3:$3,0))</f>
        <v/>
      </c>
      <c r="I9" s="72">
        <f>INDEX('HY &amp; Segments'!$A:$AA,MATCH($A9,'HY &amp; Segments'!$A:$A,0),MATCH("1H"&amp;RIGHT(I$1,2),'HY &amp; Segments'!$3:$3,0))+INDEX('HY &amp; Segments'!$A:$AA,MATCH($A9,'HY &amp; Segments'!$A:$A,0),MATCH("2H"&amp;RIGHT(I$1,2),'HY &amp; Segments'!$3:$3,0))</f>
        <v/>
      </c>
      <c r="J9" s="72">
        <f>INDEX('HY &amp; Segments'!$A:$AA,MATCH($A9,'HY &amp; Segments'!$A:$A,0),MATCH("1H"&amp;RIGHT(J$1,2),'HY &amp; Segments'!$3:$3,0))+INDEX('HY &amp; Segments'!$A:$AA,MATCH($A9,'HY &amp; Segments'!$A:$A,0),MATCH("2H"&amp;RIGHT(J$1,2),'HY &amp; Segments'!$3:$3,0))</f>
        <v/>
      </c>
      <c r="K9" s="72">
        <f>INDEX('HY &amp; Segments'!$A:$AA,MATCH($A9,'HY &amp; Segments'!$A:$A,0),MATCH("1H"&amp;RIGHT(K$1,2),'HY &amp; Segments'!$3:$3,0))+INDEX('HY &amp; Segments'!$A:$AA,MATCH($A9,'HY &amp; Segments'!$A:$A,0),MATCH("2H"&amp;RIGHT(K$1,2),'HY &amp; Segments'!$3:$3,0))</f>
        <v/>
      </c>
      <c r="L9" s="72">
        <f>INDEX('HY &amp; Segments'!$A:$AA,MATCH($A9,'HY &amp; Segments'!$A:$A,0),MATCH("1H"&amp;RIGHT(L$1,2),'HY &amp; Segments'!$3:$3,0))+INDEX('HY &amp; Segments'!$A:$AA,MATCH($A9,'HY &amp; Segments'!$A:$A,0),MATCH("2H"&amp;RIGHT(L$1,2),'HY &amp; Segments'!$3:$3,0))</f>
        <v/>
      </c>
      <c r="M9" s="72">
        <f>INDEX('HY &amp; Segments'!$A:$AA,MATCH($A9,'HY &amp; Segments'!$A:$A,0),MATCH("1H"&amp;RIGHT(M$1,2),'HY &amp; Segments'!$3:$3,0))+INDEX('HY &amp; Segments'!$A:$AA,MATCH($A9,'HY &amp; Segments'!$A:$A,0),MATCH("2H"&amp;RIGHT(M$1,2),'HY &amp; Segments'!$3:$3,0))</f>
        <v/>
      </c>
      <c r="N9" s="72">
        <f>INDEX('HY &amp; Segments'!$A:$AA,MATCH($A9,'HY &amp; Segments'!$A:$A,0),MATCH("1H"&amp;RIGHT(N$1,2),'HY &amp; Segments'!$3:$3,0))+INDEX('HY &amp; Segments'!$A:$AA,MATCH($A9,'HY &amp; Segments'!$A:$A,0),MATCH("2H"&amp;RIGHT(N$1,2),'HY &amp; Segments'!$3:$3,0))</f>
        <v/>
      </c>
      <c r="O9" s="72">
        <f>INDEX('HY &amp; Segments'!$A:$AA,MATCH($A9,'HY &amp; Segments'!$A:$A,0),MATCH("1H"&amp;RIGHT(O$1,2),'HY &amp; Segments'!$3:$3,0))+INDEX('HY &amp; Segments'!$A:$AA,MATCH($A9,'HY &amp; Segments'!$A:$A,0),MATCH("2H"&amp;RIGHT(O$1,2),'HY &amp; Segments'!$3:$3,0))</f>
        <v/>
      </c>
      <c r="P9" s="72">
        <f>INDEX('HY &amp; Segments'!$A:$AA,MATCH($A9,'HY &amp; Segments'!$A:$A,0),MATCH("1H"&amp;RIGHT(P$1,2),'HY &amp; Segments'!$3:$3,0))+INDEX('HY &amp; Segments'!$A:$AA,MATCH($A9,'HY &amp; Segments'!$A:$A,0),MATCH("2H"&amp;RIGHT(P$1,2),'HY &amp; Segments'!$3:$3,0))</f>
        <v/>
      </c>
      <c r="Q9" s="72">
        <f>INDEX('HY &amp; Segments'!$A:$AA,MATCH($A9,'HY &amp; Segments'!$A:$A,0),MATCH("1H"&amp;RIGHT(Q$1,2),'HY &amp; Segments'!$3:$3,0))+INDEX('HY &amp; Segments'!$A:$AA,MATCH($A9,'HY &amp; Segments'!$A:$A,0),MATCH("2H"&amp;RIGHT(Q$1,2),'HY &amp; Segments'!$3:$3,0))</f>
        <v/>
      </c>
    </row>
    <row r="10">
      <c r="A10" t="inlineStr">
        <is>
          <t>Rev-Franchise Fee</t>
        </is>
      </c>
      <c r="B10" t="inlineStr">
        <is>
          <t>Franchise Fee Revenue</t>
        </is>
      </c>
      <c r="C10" t="inlineStr">
        <is>
          <t>AUDm</t>
        </is>
      </c>
      <c r="D10" s="60" t="n">
        <v>0.6</v>
      </c>
      <c r="E10" s="60" t="n">
        <v>0.6</v>
      </c>
      <c r="F10" s="60" t="n">
        <v>0.6</v>
      </c>
      <c r="G10" s="60" t="n">
        <v>0.6</v>
      </c>
      <c r="H10" s="72">
        <f>INDEX('HY &amp; Segments'!$A:$AA,MATCH($A10,'HY &amp; Segments'!$A:$A,0),MATCH("1H"&amp;RIGHT(H$1,2),'HY &amp; Segments'!$3:$3,0))+INDEX('HY &amp; Segments'!$A:$AA,MATCH($A10,'HY &amp; Segments'!$A:$A,0),MATCH("2H"&amp;RIGHT(H$1,2),'HY &amp; Segments'!$3:$3,0))</f>
        <v/>
      </c>
      <c r="I10" s="72">
        <f>INDEX('HY &amp; Segments'!$A:$AA,MATCH($A10,'HY &amp; Segments'!$A:$A,0),MATCH("1H"&amp;RIGHT(I$1,2),'HY &amp; Segments'!$3:$3,0))+INDEX('HY &amp; Segments'!$A:$AA,MATCH($A10,'HY &amp; Segments'!$A:$A,0),MATCH("2H"&amp;RIGHT(I$1,2),'HY &amp; Segments'!$3:$3,0))</f>
        <v/>
      </c>
      <c r="J10" s="72">
        <f>INDEX('HY &amp; Segments'!$A:$AA,MATCH($A10,'HY &amp; Segments'!$A:$A,0),MATCH("1H"&amp;RIGHT(J$1,2),'HY &amp; Segments'!$3:$3,0))+INDEX('HY &amp; Segments'!$A:$AA,MATCH($A10,'HY &amp; Segments'!$A:$A,0),MATCH("2H"&amp;RIGHT(J$1,2),'HY &amp; Segments'!$3:$3,0))</f>
        <v/>
      </c>
      <c r="K10" s="72">
        <f>INDEX('HY &amp; Segments'!$A:$AA,MATCH($A10,'HY &amp; Segments'!$A:$A,0),MATCH("1H"&amp;RIGHT(K$1,2),'HY &amp; Segments'!$3:$3,0))+INDEX('HY &amp; Segments'!$A:$AA,MATCH($A10,'HY &amp; Segments'!$A:$A,0),MATCH("2H"&amp;RIGHT(K$1,2),'HY &amp; Segments'!$3:$3,0))</f>
        <v/>
      </c>
      <c r="L10" s="72">
        <f>INDEX('HY &amp; Segments'!$A:$AA,MATCH($A10,'HY &amp; Segments'!$A:$A,0),MATCH("1H"&amp;RIGHT(L$1,2),'HY &amp; Segments'!$3:$3,0))+INDEX('HY &amp; Segments'!$A:$AA,MATCH($A10,'HY &amp; Segments'!$A:$A,0),MATCH("2H"&amp;RIGHT(L$1,2),'HY &amp; Segments'!$3:$3,0))</f>
        <v/>
      </c>
      <c r="M10" s="72">
        <f>INDEX('HY &amp; Segments'!$A:$AA,MATCH($A10,'HY &amp; Segments'!$A:$A,0),MATCH("1H"&amp;RIGHT(M$1,2),'HY &amp; Segments'!$3:$3,0))+INDEX('HY &amp; Segments'!$A:$AA,MATCH($A10,'HY &amp; Segments'!$A:$A,0),MATCH("2H"&amp;RIGHT(M$1,2),'HY &amp; Segments'!$3:$3,0))</f>
        <v/>
      </c>
      <c r="N10" s="72">
        <f>INDEX('HY &amp; Segments'!$A:$AA,MATCH($A10,'HY &amp; Segments'!$A:$A,0),MATCH("1H"&amp;RIGHT(N$1,2),'HY &amp; Segments'!$3:$3,0))+INDEX('HY &amp; Segments'!$A:$AA,MATCH($A10,'HY &amp; Segments'!$A:$A,0),MATCH("2H"&amp;RIGHT(N$1,2),'HY &amp; Segments'!$3:$3,0))</f>
        <v/>
      </c>
      <c r="O10" s="72">
        <f>INDEX('HY &amp; Segments'!$A:$AA,MATCH($A10,'HY &amp; Segments'!$A:$A,0),MATCH("1H"&amp;RIGHT(O$1,2),'HY &amp; Segments'!$3:$3,0))+INDEX('HY &amp; Segments'!$A:$AA,MATCH($A10,'HY &amp; Segments'!$A:$A,0),MATCH("2H"&amp;RIGHT(O$1,2),'HY &amp; Segments'!$3:$3,0))</f>
        <v/>
      </c>
      <c r="P10" s="72">
        <f>INDEX('HY &amp; Segments'!$A:$AA,MATCH($A10,'HY &amp; Segments'!$A:$A,0),MATCH("1H"&amp;RIGHT(P$1,2),'HY &amp; Segments'!$3:$3,0))+INDEX('HY &amp; Segments'!$A:$AA,MATCH($A10,'HY &amp; Segments'!$A:$A,0),MATCH("2H"&amp;RIGHT(P$1,2),'HY &amp; Segments'!$3:$3,0))</f>
        <v/>
      </c>
      <c r="Q10" s="72">
        <f>INDEX('HY &amp; Segments'!$A:$AA,MATCH($A10,'HY &amp; Segments'!$A:$A,0),MATCH("1H"&amp;RIGHT(Q$1,2),'HY &amp; Segments'!$3:$3,0))+INDEX('HY &amp; Segments'!$A:$AA,MATCH($A10,'HY &amp; Segments'!$A:$A,0),MATCH("2H"&amp;RIGHT(Q$1,2),'HY &amp; Segments'!$3:$3,0))</f>
        <v/>
      </c>
    </row>
    <row r="11">
      <c r="A11" t="inlineStr">
        <is>
          <t>Rev-Total Revenue</t>
        </is>
      </c>
      <c r="B11" s="20" t="inlineStr">
        <is>
          <t>Total Revenue</t>
        </is>
      </c>
      <c r="C11" s="20" t="inlineStr">
        <is>
          <t>AUDm</t>
        </is>
      </c>
      <c r="D11" s="21">
        <f>SUM(D7:D10)</f>
        <v/>
      </c>
      <c r="E11" s="21">
        <f>SUM(E7:E10)</f>
        <v/>
      </c>
      <c r="F11" s="21">
        <f>SUM(F7:F10)</f>
        <v/>
      </c>
      <c r="G11" s="21">
        <f>SUM(G7:G10)</f>
        <v/>
      </c>
      <c r="H11" s="82">
        <f>SUM(H7:H10)</f>
        <v/>
      </c>
      <c r="I11" s="82">
        <f>SUM(I7:I10)</f>
        <v/>
      </c>
      <c r="J11" s="82">
        <f>SUM(J7:J10)</f>
        <v/>
      </c>
      <c r="K11" s="82">
        <f>SUM(K7:K10)</f>
        <v/>
      </c>
      <c r="L11" s="82">
        <f>SUM(L7:L10)</f>
        <v/>
      </c>
      <c r="M11" s="82">
        <f>SUM(M7:M10)</f>
        <v/>
      </c>
      <c r="N11" s="82">
        <f>SUM(N7:N10)</f>
        <v/>
      </c>
      <c r="O11" s="82">
        <f>SUM(O7:O10)</f>
        <v/>
      </c>
      <c r="P11" s="82">
        <f>SUM(P7:P10)</f>
        <v/>
      </c>
      <c r="Q11" s="82">
        <f>SUM(Q7:Q10)</f>
        <v/>
      </c>
    </row>
    <row r="12">
      <c r="B12" t="inlineStr">
        <is>
          <t>Revenue Growth</t>
        </is>
      </c>
      <c r="C12" t="inlineStr">
        <is>
          <t>% YoY</t>
        </is>
      </c>
      <c r="D12" s="6" t="n"/>
      <c r="E12" s="6" t="n"/>
      <c r="F12" s="6" t="n"/>
      <c r="G12" s="6" t="n"/>
      <c r="H12" s="83">
        <f>IF(G11+G18=0,"",(H11+H18)/(G11+G18)-1)</f>
        <v/>
      </c>
      <c r="I12" s="83">
        <f>IF(H11+H18=0,"",(I11+I18)/(H11+H18)-1)</f>
        <v/>
      </c>
      <c r="J12" s="83">
        <f>IF(I11+I18=0,"",(J11+J18)/(I11+I18)-1)</f>
        <v/>
      </c>
      <c r="K12" s="83">
        <f>IF(J11+J18=0,"",(K11+K18)/(J11+J18)-1)</f>
        <v/>
      </c>
      <c r="L12" s="83">
        <f>IF(K11+K18=0,"",(L11+L18)/(K11+K18)-1)</f>
        <v/>
      </c>
      <c r="M12" s="83">
        <f>IF(L11+L18=0,"",(M11+M18)/(L11+L18)-1)</f>
        <v/>
      </c>
      <c r="N12" s="83">
        <f>IF(M11+M18=0,"",(N11+N18)/(M11+M18)-1)</f>
        <v/>
      </c>
      <c r="O12" s="83">
        <f>IF(N11+N18=0,"",(O11+O18)/(N11+N18)-1)</f>
        <v/>
      </c>
      <c r="P12" s="83">
        <f>IF(O11+O18=0,"",(P11+P18)/(O11+O18)-1)</f>
        <v/>
      </c>
      <c r="Q12" s="83">
        <f>IF(P11+P18=0,"",(Q11+Q18)/(P11+P18)-1)</f>
        <v/>
      </c>
    </row>
    <row r="13"/>
    <row r="14">
      <c r="B14" s="8" t="inlineStr">
        <is>
          <t>Other Revenue</t>
        </is>
      </c>
    </row>
    <row r="15">
      <c r="A15" t="inlineStr">
        <is>
          <t>Rev-Marketing Levy</t>
        </is>
      </c>
      <c r="B15" t="inlineStr">
        <is>
          <t>Marketing Levy Revenue</t>
        </is>
      </c>
      <c r="C15" t="inlineStr">
        <is>
          <t>AUDm</t>
        </is>
      </c>
      <c r="D15" s="19" t="n"/>
      <c r="E15" s="60" t="n">
        <v>13.3</v>
      </c>
      <c r="F15" s="60" t="n">
        <v>16.4</v>
      </c>
      <c r="G15" s="60" t="n">
        <v>19.7</v>
      </c>
      <c r="H15" s="72">
        <f>INDEX('HY &amp; Segments'!$A:$AA,MATCH($A15,'HY &amp; Segments'!$A:$A,0),MATCH("1H"&amp;RIGHT(H$1,2),'HY &amp; Segments'!$3:$3,0))+INDEX('HY &amp; Segments'!$A:$AA,MATCH($A15,'HY &amp; Segments'!$A:$A,0),MATCH("2H"&amp;RIGHT(H$1,2),'HY &amp; Segments'!$3:$3,0))</f>
        <v/>
      </c>
      <c r="I15" s="72">
        <f>INDEX('HY &amp; Segments'!$A:$AA,MATCH($A15,'HY &amp; Segments'!$A:$A,0),MATCH("1H"&amp;RIGHT(I$1,2),'HY &amp; Segments'!$3:$3,0))+INDEX('HY &amp; Segments'!$A:$AA,MATCH($A15,'HY &amp; Segments'!$A:$A,0),MATCH("2H"&amp;RIGHT(I$1,2),'HY &amp; Segments'!$3:$3,0))</f>
        <v/>
      </c>
      <c r="J15" s="72">
        <f>INDEX('HY &amp; Segments'!$A:$AA,MATCH($A15,'HY &amp; Segments'!$A:$A,0),MATCH("1H"&amp;RIGHT(J$1,2),'HY &amp; Segments'!$3:$3,0))+INDEX('HY &amp; Segments'!$A:$AA,MATCH($A15,'HY &amp; Segments'!$A:$A,0),MATCH("2H"&amp;RIGHT(J$1,2),'HY &amp; Segments'!$3:$3,0))</f>
        <v/>
      </c>
      <c r="K15" s="72">
        <f>INDEX('HY &amp; Segments'!$A:$AA,MATCH($A15,'HY &amp; Segments'!$A:$A,0),MATCH("1H"&amp;RIGHT(K$1,2),'HY &amp; Segments'!$3:$3,0))+INDEX('HY &amp; Segments'!$A:$AA,MATCH($A15,'HY &amp; Segments'!$A:$A,0),MATCH("2H"&amp;RIGHT(K$1,2),'HY &amp; Segments'!$3:$3,0))</f>
        <v/>
      </c>
      <c r="L15" s="72">
        <f>INDEX('HY &amp; Segments'!$A:$AA,MATCH($A15,'HY &amp; Segments'!$A:$A,0),MATCH("1H"&amp;RIGHT(L$1,2),'HY &amp; Segments'!$3:$3,0))+INDEX('HY &amp; Segments'!$A:$AA,MATCH($A15,'HY &amp; Segments'!$A:$A,0),MATCH("2H"&amp;RIGHT(L$1,2),'HY &amp; Segments'!$3:$3,0))</f>
        <v/>
      </c>
      <c r="M15" s="72">
        <f>INDEX('HY &amp; Segments'!$A:$AA,MATCH($A15,'HY &amp; Segments'!$A:$A,0),MATCH("1H"&amp;RIGHT(M$1,2),'HY &amp; Segments'!$3:$3,0))+INDEX('HY &amp; Segments'!$A:$AA,MATCH($A15,'HY &amp; Segments'!$A:$A,0),MATCH("2H"&amp;RIGHT(M$1,2),'HY &amp; Segments'!$3:$3,0))</f>
        <v/>
      </c>
      <c r="N15" s="72">
        <f>INDEX('HY &amp; Segments'!$A:$AA,MATCH($A15,'HY &amp; Segments'!$A:$A,0),MATCH("1H"&amp;RIGHT(N$1,2),'HY &amp; Segments'!$3:$3,0))+INDEX('HY &amp; Segments'!$A:$AA,MATCH($A15,'HY &amp; Segments'!$A:$A,0),MATCH("2H"&amp;RIGHT(N$1,2),'HY &amp; Segments'!$3:$3,0))</f>
        <v/>
      </c>
      <c r="O15" s="72">
        <f>INDEX('HY &amp; Segments'!$A:$AA,MATCH($A15,'HY &amp; Segments'!$A:$A,0),MATCH("1H"&amp;RIGHT(O$1,2),'HY &amp; Segments'!$3:$3,0))+INDEX('HY &amp; Segments'!$A:$AA,MATCH($A15,'HY &amp; Segments'!$A:$A,0),MATCH("2H"&amp;RIGHT(O$1,2),'HY &amp; Segments'!$3:$3,0))</f>
        <v/>
      </c>
      <c r="P15" s="72">
        <f>INDEX('HY &amp; Segments'!$A:$AA,MATCH($A15,'HY &amp; Segments'!$A:$A,0),MATCH("1H"&amp;RIGHT(P$1,2),'HY &amp; Segments'!$3:$3,0))+INDEX('HY &amp; Segments'!$A:$AA,MATCH($A15,'HY &amp; Segments'!$A:$A,0),MATCH("2H"&amp;RIGHT(P$1,2),'HY &amp; Segments'!$3:$3,0))</f>
        <v/>
      </c>
      <c r="Q15" s="72">
        <f>INDEX('HY &amp; Segments'!$A:$AA,MATCH($A15,'HY &amp; Segments'!$A:$A,0),MATCH("1H"&amp;RIGHT(Q$1,2),'HY &amp; Segments'!$3:$3,0))+INDEX('HY &amp; Segments'!$A:$AA,MATCH($A15,'HY &amp; Segments'!$A:$A,0),MATCH("2H"&amp;RIGHT(Q$1,2),'HY &amp; Segments'!$3:$3,0))</f>
        <v/>
      </c>
    </row>
    <row r="16">
      <c r="A16" t="inlineStr">
        <is>
          <t>Rev-Other Franchise</t>
        </is>
      </c>
      <c r="B16" t="inlineStr">
        <is>
          <t>Other Franchise Revenue</t>
        </is>
      </c>
      <c r="C16" t="inlineStr">
        <is>
          <t>AUDm</t>
        </is>
      </c>
      <c r="D16" s="19" t="n"/>
      <c r="E16" s="60" t="n">
        <v>1.8</v>
      </c>
      <c r="F16" s="60" t="n">
        <v>6.2</v>
      </c>
      <c r="G16" s="60" t="n">
        <v>8.9</v>
      </c>
      <c r="H16" s="72">
        <f>INDEX('HY &amp; Segments'!$A:$AA,MATCH($A16,'HY &amp; Segments'!$A:$A,0),MATCH("1H"&amp;RIGHT(H$1,2),'HY &amp; Segments'!$3:$3,0))+INDEX('HY &amp; Segments'!$A:$AA,MATCH($A16,'HY &amp; Segments'!$A:$A,0),MATCH("2H"&amp;RIGHT(H$1,2),'HY &amp; Segments'!$3:$3,0))</f>
        <v/>
      </c>
      <c r="I16" s="72">
        <f>INDEX('HY &amp; Segments'!$A:$AA,MATCH($A16,'HY &amp; Segments'!$A:$A,0),MATCH("1H"&amp;RIGHT(I$1,2),'HY &amp; Segments'!$3:$3,0))+INDEX('HY &amp; Segments'!$A:$AA,MATCH($A16,'HY &amp; Segments'!$A:$A,0),MATCH("2H"&amp;RIGHT(I$1,2),'HY &amp; Segments'!$3:$3,0))</f>
        <v/>
      </c>
      <c r="J16" s="72">
        <f>INDEX('HY &amp; Segments'!$A:$AA,MATCH($A16,'HY &amp; Segments'!$A:$A,0),MATCH("1H"&amp;RIGHT(J$1,2),'HY &amp; Segments'!$3:$3,0))+INDEX('HY &amp; Segments'!$A:$AA,MATCH($A16,'HY &amp; Segments'!$A:$A,0),MATCH("2H"&amp;RIGHT(J$1,2),'HY &amp; Segments'!$3:$3,0))</f>
        <v/>
      </c>
      <c r="K16" s="72">
        <f>INDEX('HY &amp; Segments'!$A:$AA,MATCH($A16,'HY &amp; Segments'!$A:$A,0),MATCH("1H"&amp;RIGHT(K$1,2),'HY &amp; Segments'!$3:$3,0))+INDEX('HY &amp; Segments'!$A:$AA,MATCH($A16,'HY &amp; Segments'!$A:$A,0),MATCH("2H"&amp;RIGHT(K$1,2),'HY &amp; Segments'!$3:$3,0))</f>
        <v/>
      </c>
      <c r="L16" s="72">
        <f>INDEX('HY &amp; Segments'!$A:$AA,MATCH($A16,'HY &amp; Segments'!$A:$A,0),MATCH("1H"&amp;RIGHT(L$1,2),'HY &amp; Segments'!$3:$3,0))+INDEX('HY &amp; Segments'!$A:$AA,MATCH($A16,'HY &amp; Segments'!$A:$A,0),MATCH("2H"&amp;RIGHT(L$1,2),'HY &amp; Segments'!$3:$3,0))</f>
        <v/>
      </c>
      <c r="M16" s="72">
        <f>INDEX('HY &amp; Segments'!$A:$AA,MATCH($A16,'HY &amp; Segments'!$A:$A,0),MATCH("1H"&amp;RIGHT(M$1,2),'HY &amp; Segments'!$3:$3,0))+INDEX('HY &amp; Segments'!$A:$AA,MATCH($A16,'HY &amp; Segments'!$A:$A,0),MATCH("2H"&amp;RIGHT(M$1,2),'HY &amp; Segments'!$3:$3,0))</f>
        <v/>
      </c>
      <c r="N16" s="72">
        <f>INDEX('HY &amp; Segments'!$A:$AA,MATCH($A16,'HY &amp; Segments'!$A:$A,0),MATCH("1H"&amp;RIGHT(N$1,2),'HY &amp; Segments'!$3:$3,0))+INDEX('HY &amp; Segments'!$A:$AA,MATCH($A16,'HY &amp; Segments'!$A:$A,0),MATCH("2H"&amp;RIGHT(N$1,2),'HY &amp; Segments'!$3:$3,0))</f>
        <v/>
      </c>
      <c r="O16" s="72">
        <f>INDEX('HY &amp; Segments'!$A:$AA,MATCH($A16,'HY &amp; Segments'!$A:$A,0),MATCH("1H"&amp;RIGHT(O$1,2),'HY &amp; Segments'!$3:$3,0))+INDEX('HY &amp; Segments'!$A:$AA,MATCH($A16,'HY &amp; Segments'!$A:$A,0),MATCH("2H"&amp;RIGHT(O$1,2),'HY &amp; Segments'!$3:$3,0))</f>
        <v/>
      </c>
      <c r="P16" s="72">
        <f>INDEX('HY &amp; Segments'!$A:$AA,MATCH($A16,'HY &amp; Segments'!$A:$A,0),MATCH("1H"&amp;RIGHT(P$1,2),'HY &amp; Segments'!$3:$3,0))+INDEX('HY &amp; Segments'!$A:$AA,MATCH($A16,'HY &amp; Segments'!$A:$A,0),MATCH("2H"&amp;RIGHT(P$1,2),'HY &amp; Segments'!$3:$3,0))</f>
        <v/>
      </c>
      <c r="Q16" s="72">
        <f>INDEX('HY &amp; Segments'!$A:$AA,MATCH($A16,'HY &amp; Segments'!$A:$A,0),MATCH("1H"&amp;RIGHT(Q$1,2),'HY &amp; Segments'!$3:$3,0))+INDEX('HY &amp; Segments'!$A:$AA,MATCH($A16,'HY &amp; Segments'!$A:$A,0),MATCH("2H"&amp;RIGHT(Q$1,2),'HY &amp; Segments'!$3:$3,0))</f>
        <v/>
      </c>
    </row>
    <row r="17">
      <c r="A17" t="inlineStr">
        <is>
          <t>Rev-Other Income</t>
        </is>
      </c>
      <c r="B17" t="inlineStr">
        <is>
          <t>Other Income</t>
        </is>
      </c>
      <c r="C17" t="inlineStr">
        <is>
          <t>AUDm</t>
        </is>
      </c>
      <c r="D17" s="19" t="n"/>
      <c r="E17" s="60" t="n">
        <v>2.7</v>
      </c>
      <c r="F17" s="60" t="n">
        <v>0.2</v>
      </c>
      <c r="G17" s="60" t="n">
        <v>3.4</v>
      </c>
      <c r="H17" s="72">
        <f>INDEX('HY &amp; Segments'!$A:$AA,MATCH($A17,'HY &amp; Segments'!$A:$A,0),MATCH("1H"&amp;RIGHT(H$1,2),'HY &amp; Segments'!$3:$3,0))+INDEX('HY &amp; Segments'!$A:$AA,MATCH($A17,'HY &amp; Segments'!$A:$A,0),MATCH("2H"&amp;RIGHT(H$1,2),'HY &amp; Segments'!$3:$3,0))</f>
        <v/>
      </c>
      <c r="I17" s="72">
        <f>INDEX('HY &amp; Segments'!$A:$AA,MATCH($A17,'HY &amp; Segments'!$A:$A,0),MATCH("1H"&amp;RIGHT(I$1,2),'HY &amp; Segments'!$3:$3,0))+INDEX('HY &amp; Segments'!$A:$AA,MATCH($A17,'HY &amp; Segments'!$A:$A,0),MATCH("2H"&amp;RIGHT(I$1,2),'HY &amp; Segments'!$3:$3,0))</f>
        <v/>
      </c>
      <c r="J17" s="72">
        <f>INDEX('HY &amp; Segments'!$A:$AA,MATCH($A17,'HY &amp; Segments'!$A:$A,0),MATCH("1H"&amp;RIGHT(J$1,2),'HY &amp; Segments'!$3:$3,0))+INDEX('HY &amp; Segments'!$A:$AA,MATCH($A17,'HY &amp; Segments'!$A:$A,0),MATCH("2H"&amp;RIGHT(J$1,2),'HY &amp; Segments'!$3:$3,0))</f>
        <v/>
      </c>
      <c r="K17" s="72">
        <f>INDEX('HY &amp; Segments'!$A:$AA,MATCH($A17,'HY &amp; Segments'!$A:$A,0),MATCH("1H"&amp;RIGHT(K$1,2),'HY &amp; Segments'!$3:$3,0))+INDEX('HY &amp; Segments'!$A:$AA,MATCH($A17,'HY &amp; Segments'!$A:$A,0),MATCH("2H"&amp;RIGHT(K$1,2),'HY &amp; Segments'!$3:$3,0))</f>
        <v/>
      </c>
      <c r="L17" s="72">
        <f>INDEX('HY &amp; Segments'!$A:$AA,MATCH($A17,'HY &amp; Segments'!$A:$A,0),MATCH("1H"&amp;RIGHT(L$1,2),'HY &amp; Segments'!$3:$3,0))+INDEX('HY &amp; Segments'!$A:$AA,MATCH($A17,'HY &amp; Segments'!$A:$A,0),MATCH("2H"&amp;RIGHT(L$1,2),'HY &amp; Segments'!$3:$3,0))</f>
        <v/>
      </c>
      <c r="M17" s="72">
        <f>INDEX('HY &amp; Segments'!$A:$AA,MATCH($A17,'HY &amp; Segments'!$A:$A,0),MATCH("1H"&amp;RIGHT(M$1,2),'HY &amp; Segments'!$3:$3,0))+INDEX('HY &amp; Segments'!$A:$AA,MATCH($A17,'HY &amp; Segments'!$A:$A,0),MATCH("2H"&amp;RIGHT(M$1,2),'HY &amp; Segments'!$3:$3,0))</f>
        <v/>
      </c>
      <c r="N17" s="72">
        <f>INDEX('HY &amp; Segments'!$A:$AA,MATCH($A17,'HY &amp; Segments'!$A:$A,0),MATCH("1H"&amp;RIGHT(N$1,2),'HY &amp; Segments'!$3:$3,0))+INDEX('HY &amp; Segments'!$A:$AA,MATCH($A17,'HY &amp; Segments'!$A:$A,0),MATCH("2H"&amp;RIGHT(N$1,2),'HY &amp; Segments'!$3:$3,0))</f>
        <v/>
      </c>
      <c r="O17" s="72">
        <f>INDEX('HY &amp; Segments'!$A:$AA,MATCH($A17,'HY &amp; Segments'!$A:$A,0),MATCH("1H"&amp;RIGHT(O$1,2),'HY &amp; Segments'!$3:$3,0))+INDEX('HY &amp; Segments'!$A:$AA,MATCH($A17,'HY &amp; Segments'!$A:$A,0),MATCH("2H"&amp;RIGHT(O$1,2),'HY &amp; Segments'!$3:$3,0))</f>
        <v/>
      </c>
      <c r="P17" s="72">
        <f>INDEX('HY &amp; Segments'!$A:$AA,MATCH($A17,'HY &amp; Segments'!$A:$A,0),MATCH("1H"&amp;RIGHT(P$1,2),'HY &amp; Segments'!$3:$3,0))+INDEX('HY &amp; Segments'!$A:$AA,MATCH($A17,'HY &amp; Segments'!$A:$A,0),MATCH("2H"&amp;RIGHT(P$1,2),'HY &amp; Segments'!$3:$3,0))</f>
        <v/>
      </c>
      <c r="Q17" s="72">
        <f>INDEX('HY &amp; Segments'!$A:$AA,MATCH($A17,'HY &amp; Segments'!$A:$A,0),MATCH("1H"&amp;RIGHT(Q$1,2),'HY &amp; Segments'!$3:$3,0))+INDEX('HY &amp; Segments'!$A:$AA,MATCH($A17,'HY &amp; Segments'!$A:$A,0),MATCH("2H"&amp;RIGHT(Q$1,2),'HY &amp; Segments'!$3:$3,0))</f>
        <v/>
      </c>
    </row>
    <row r="18">
      <c r="A18" t="inlineStr">
        <is>
          <t>Rev-Total Other Revenue</t>
        </is>
      </c>
      <c r="B18" s="20" t="inlineStr">
        <is>
          <t>Total Other Revenue</t>
        </is>
      </c>
      <c r="C18" s="20" t="inlineStr">
        <is>
          <t>AUDm</t>
        </is>
      </c>
      <c r="D18" s="61" t="n">
        <v>13.3</v>
      </c>
      <c r="E18" s="56">
        <f>SUM(E15:E17)</f>
        <v/>
      </c>
      <c r="F18" s="56">
        <f>SUM(F15:F17)</f>
        <v/>
      </c>
      <c r="G18" s="56">
        <f>SUM(G15:G17)</f>
        <v/>
      </c>
      <c r="H18" s="84">
        <f>SUM(H15:H17)</f>
        <v/>
      </c>
      <c r="I18" s="84">
        <f>SUM(I15:I17)</f>
        <v/>
      </c>
      <c r="J18" s="84">
        <f>SUM(J15:J17)</f>
        <v/>
      </c>
      <c r="K18" s="84">
        <f>SUM(K15:K17)</f>
        <v/>
      </c>
      <c r="L18" s="84">
        <f>SUM(L15:L17)</f>
        <v/>
      </c>
      <c r="M18" s="84">
        <f>SUM(M15:M17)</f>
        <v/>
      </c>
      <c r="N18" s="84">
        <f>SUM(N15:N17)</f>
        <v/>
      </c>
      <c r="O18" s="84">
        <f>SUM(O15:O17)</f>
        <v/>
      </c>
      <c r="P18" s="84">
        <f>SUM(P15:P17)</f>
        <v/>
      </c>
      <c r="Q18" s="84">
        <f>SUM(Q15:Q17)</f>
        <v/>
      </c>
    </row>
    <row r="19"/>
    <row r="20">
      <c r="B20" s="5" t="inlineStr">
        <is>
          <t>COGS</t>
        </is>
      </c>
    </row>
    <row r="21">
      <c r="A21" t="inlineStr">
        <is>
          <t>COGS-Food Packaging</t>
        </is>
      </c>
      <c r="B21" t="inlineStr">
        <is>
          <t>Food &amp; Packaging</t>
        </is>
      </c>
      <c r="C21" t="inlineStr">
        <is>
          <t>AUDm</t>
        </is>
      </c>
      <c r="D21" s="60" t="n">
        <v>-44.2</v>
      </c>
      <c r="E21" s="60" t="n">
        <v>-70.40000000000001</v>
      </c>
      <c r="F21" s="60" t="n">
        <v>-87.59999999999999</v>
      </c>
      <c r="G21" s="60" t="n">
        <v>-113.9</v>
      </c>
      <c r="H21" s="72">
        <f>INDEX('HY &amp; Segments'!$A:$AA,MATCH($A21,'HY &amp; Segments'!$A:$A,0),MATCH("1H"&amp;RIGHT(H$1,2),'HY &amp; Segments'!$3:$3,0))+INDEX('HY &amp; Segments'!$A:$AA,MATCH($A21,'HY &amp; Segments'!$A:$A,0),MATCH("2H"&amp;RIGHT(H$1,2),'HY &amp; Segments'!$3:$3,0))</f>
        <v/>
      </c>
      <c r="I21" s="72">
        <f>INDEX('HY &amp; Segments'!$A:$AA,MATCH($A21,'HY &amp; Segments'!$A:$A,0),MATCH("1H"&amp;RIGHT(I$1,2),'HY &amp; Segments'!$3:$3,0))+INDEX('HY &amp; Segments'!$A:$AA,MATCH($A21,'HY &amp; Segments'!$A:$A,0),MATCH("2H"&amp;RIGHT(I$1,2),'HY &amp; Segments'!$3:$3,0))</f>
        <v/>
      </c>
      <c r="J21" s="72">
        <f>INDEX('HY &amp; Segments'!$A:$AA,MATCH($A21,'HY &amp; Segments'!$A:$A,0),MATCH("1H"&amp;RIGHT(J$1,2),'HY &amp; Segments'!$3:$3,0))+INDEX('HY &amp; Segments'!$A:$AA,MATCH($A21,'HY &amp; Segments'!$A:$A,0),MATCH("2H"&amp;RIGHT(J$1,2),'HY &amp; Segments'!$3:$3,0))</f>
        <v/>
      </c>
      <c r="K21" s="72">
        <f>INDEX('HY &amp; Segments'!$A:$AA,MATCH($A21,'HY &amp; Segments'!$A:$A,0),MATCH("1H"&amp;RIGHT(K$1,2),'HY &amp; Segments'!$3:$3,0))+INDEX('HY &amp; Segments'!$A:$AA,MATCH($A21,'HY &amp; Segments'!$A:$A,0),MATCH("2H"&amp;RIGHT(K$1,2),'HY &amp; Segments'!$3:$3,0))</f>
        <v/>
      </c>
      <c r="L21" s="72">
        <f>INDEX('HY &amp; Segments'!$A:$AA,MATCH($A21,'HY &amp; Segments'!$A:$A,0),MATCH("1H"&amp;RIGHT(L$1,2),'HY &amp; Segments'!$3:$3,0))+INDEX('HY &amp; Segments'!$A:$AA,MATCH($A21,'HY &amp; Segments'!$A:$A,0),MATCH("2H"&amp;RIGHT(L$1,2),'HY &amp; Segments'!$3:$3,0))</f>
        <v/>
      </c>
      <c r="M21" s="72">
        <f>INDEX('HY &amp; Segments'!$A:$AA,MATCH($A21,'HY &amp; Segments'!$A:$A,0),MATCH("1H"&amp;RIGHT(M$1,2),'HY &amp; Segments'!$3:$3,0))+INDEX('HY &amp; Segments'!$A:$AA,MATCH($A21,'HY &amp; Segments'!$A:$A,0),MATCH("2H"&amp;RIGHT(M$1,2),'HY &amp; Segments'!$3:$3,0))</f>
        <v/>
      </c>
      <c r="N21" s="72">
        <f>INDEX('HY &amp; Segments'!$A:$AA,MATCH($A21,'HY &amp; Segments'!$A:$A,0),MATCH("1H"&amp;RIGHT(N$1,2),'HY &amp; Segments'!$3:$3,0))+INDEX('HY &amp; Segments'!$A:$AA,MATCH($A21,'HY &amp; Segments'!$A:$A,0),MATCH("2H"&amp;RIGHT(N$1,2),'HY &amp; Segments'!$3:$3,0))</f>
        <v/>
      </c>
      <c r="O21" s="72">
        <f>INDEX('HY &amp; Segments'!$A:$AA,MATCH($A21,'HY &amp; Segments'!$A:$A,0),MATCH("1H"&amp;RIGHT(O$1,2),'HY &amp; Segments'!$3:$3,0))+INDEX('HY &amp; Segments'!$A:$AA,MATCH($A21,'HY &amp; Segments'!$A:$A,0),MATCH("2H"&amp;RIGHT(O$1,2),'HY &amp; Segments'!$3:$3,0))</f>
        <v/>
      </c>
      <c r="P21" s="72">
        <f>INDEX('HY &amp; Segments'!$A:$AA,MATCH($A21,'HY &amp; Segments'!$A:$A,0),MATCH("1H"&amp;RIGHT(P$1,2),'HY &amp; Segments'!$3:$3,0))+INDEX('HY &amp; Segments'!$A:$AA,MATCH($A21,'HY &amp; Segments'!$A:$A,0),MATCH("2H"&amp;RIGHT(P$1,2),'HY &amp; Segments'!$3:$3,0))</f>
        <v/>
      </c>
      <c r="Q21" s="72">
        <f>INDEX('HY &amp; Segments'!$A:$AA,MATCH($A21,'HY &amp; Segments'!$A:$A,0),MATCH("1H"&amp;RIGHT(Q$1,2),'HY &amp; Segments'!$3:$3,0))+INDEX('HY &amp; Segments'!$A:$AA,MATCH($A21,'HY &amp; Segments'!$A:$A,0),MATCH("2H"&amp;RIGHT(Q$1,2),'HY &amp; Segments'!$3:$3,0))</f>
        <v/>
      </c>
    </row>
    <row r="22">
      <c r="A22" t="inlineStr">
        <is>
          <t>COGS-Total COGS</t>
        </is>
      </c>
      <c r="B22" s="20" t="inlineStr">
        <is>
          <t>Total COGS</t>
        </is>
      </c>
      <c r="C22" s="20" t="inlineStr">
        <is>
          <t>AUDm</t>
        </is>
      </c>
      <c r="D22" s="21">
        <f>SUM(D21:D21)</f>
        <v/>
      </c>
      <c r="E22" s="21">
        <f>SUM(E21:E21)</f>
        <v/>
      </c>
      <c r="F22" s="21">
        <f>SUM(F21:F21)</f>
        <v/>
      </c>
      <c r="G22" s="21">
        <f>SUM(G21:G21)</f>
        <v/>
      </c>
      <c r="H22" s="82">
        <f>SUM(H21:H21)</f>
        <v/>
      </c>
      <c r="I22" s="82">
        <f>SUM(I21:I21)</f>
        <v/>
      </c>
      <c r="J22" s="82">
        <f>SUM(J21:J21)</f>
        <v/>
      </c>
      <c r="K22" s="82">
        <f>SUM(K21:K21)</f>
        <v/>
      </c>
      <c r="L22" s="82">
        <f>SUM(L21:L21)</f>
        <v/>
      </c>
      <c r="M22" s="82">
        <f>SUM(M21:M21)</f>
        <v/>
      </c>
      <c r="N22" s="82">
        <f>SUM(N21:N21)</f>
        <v/>
      </c>
      <c r="O22" s="82">
        <f>SUM(O21:O21)</f>
        <v/>
      </c>
      <c r="P22" s="82">
        <f>SUM(P21:P21)</f>
        <v/>
      </c>
      <c r="Q22" s="82">
        <f>SUM(Q21:Q21)</f>
        <v/>
      </c>
    </row>
    <row r="23"/>
    <row r="24">
      <c r="B24" s="5" t="inlineStr">
        <is>
          <t>Gross Profit</t>
        </is>
      </c>
    </row>
    <row r="25">
      <c r="A25" t="inlineStr">
        <is>
          <t>GP-Gross Profit</t>
        </is>
      </c>
      <c r="B25" s="20" t="inlineStr">
        <is>
          <t>Gross Profit</t>
        </is>
      </c>
      <c r="C25" s="20" t="inlineStr">
        <is>
          <t>AUDm</t>
        </is>
      </c>
      <c r="D25" s="21">
        <f>D11+D18+D22</f>
        <v/>
      </c>
      <c r="E25" s="21">
        <f>E11+E18+E22</f>
        <v/>
      </c>
      <c r="F25" s="21">
        <f>F11+F18+F22</f>
        <v/>
      </c>
      <c r="G25" s="21">
        <f>G11+G18+G22</f>
        <v/>
      </c>
      <c r="H25" s="82">
        <f>H11+H18+H22</f>
        <v/>
      </c>
      <c r="I25" s="82">
        <f>I11+I18+I22</f>
        <v/>
      </c>
      <c r="J25" s="82">
        <f>J11+J18+J22</f>
        <v/>
      </c>
      <c r="K25" s="82">
        <f>K11+K18+K22</f>
        <v/>
      </c>
      <c r="L25" s="82">
        <f>L11+L18+L22</f>
        <v/>
      </c>
      <c r="M25" s="82">
        <f>M11+M18+M22</f>
        <v/>
      </c>
      <c r="N25" s="82">
        <f>N11+N18+N22</f>
        <v/>
      </c>
      <c r="O25" s="82">
        <f>O11+O18+O22</f>
        <v/>
      </c>
      <c r="P25" s="82">
        <f>P11+P18+P22</f>
        <v/>
      </c>
      <c r="Q25" s="82">
        <f>Q11+Q18+Q22</f>
        <v/>
      </c>
    </row>
    <row r="26">
      <c r="B26" t="inlineStr">
        <is>
          <t>GP Growth</t>
        </is>
      </c>
      <c r="C26" t="inlineStr">
        <is>
          <t>% YoY</t>
        </is>
      </c>
      <c r="D26" s="6" t="n"/>
      <c r="E26" s="6" t="n"/>
      <c r="F26" s="6" t="n"/>
      <c r="G26" s="6" t="n"/>
      <c r="H26" s="83">
        <f>IF(G25=0,"",H25/G25-1)</f>
        <v/>
      </c>
      <c r="I26" s="83">
        <f>IF(H25=0,"",I25/H25-1)</f>
        <v/>
      </c>
      <c r="J26" s="83">
        <f>IF(I25=0,"",J25/I25-1)</f>
        <v/>
      </c>
      <c r="K26" s="83">
        <f>IF(J25=0,"",K25/J25-1)</f>
        <v/>
      </c>
      <c r="L26" s="83">
        <f>IF(K25=0,"",L25/K25-1)</f>
        <v/>
      </c>
      <c r="M26" s="83">
        <f>IF(L25=0,"",M25/L25-1)</f>
        <v/>
      </c>
      <c r="N26" s="83">
        <f>IF(M25=0,"",N25/M25-1)</f>
        <v/>
      </c>
      <c r="O26" s="83">
        <f>IF(N25=0,"",O25/N25-1)</f>
        <v/>
      </c>
      <c r="P26" s="83">
        <f>IF(O25=0,"",P25/O25-1)</f>
        <v/>
      </c>
      <c r="Q26" s="83">
        <f>IF(P25=0,"",Q25/P25-1)</f>
        <v/>
      </c>
    </row>
    <row r="27">
      <c r="B27" t="inlineStr">
        <is>
          <t>GP Margin</t>
        </is>
      </c>
      <c r="C27" t="inlineStr">
        <is>
          <t>%</t>
        </is>
      </c>
      <c r="D27" s="6" t="n"/>
      <c r="E27" s="6" t="n"/>
      <c r="F27" s="6" t="n"/>
      <c r="G27" s="6" t="n"/>
      <c r="H27" s="83">
        <f>IF(H11+H18=0,"",H25/(H11+H18))</f>
        <v/>
      </c>
      <c r="I27" s="83">
        <f>IF(I11+I18=0,"",I25/(I11+I18))</f>
        <v/>
      </c>
      <c r="J27" s="83">
        <f>IF(J11+J18=0,"",J25/(J11+J18))</f>
        <v/>
      </c>
      <c r="K27" s="83">
        <f>IF(K11+K18=0,"",K25/(K11+K18))</f>
        <v/>
      </c>
      <c r="L27" s="83">
        <f>IF(L11+L18=0,"",L25/(L11+L18))</f>
        <v/>
      </c>
      <c r="M27" s="83">
        <f>IF(M11+M18=0,"",M25/(M11+M18))</f>
        <v/>
      </c>
      <c r="N27" s="83">
        <f>IF(N11+N18=0,"",N25/(N11+N18))</f>
        <v/>
      </c>
      <c r="O27" s="83">
        <f>IF(O11+O18=0,"",O25/(O11+O18))</f>
        <v/>
      </c>
      <c r="P27" s="83">
        <f>IF(P11+P18=0,"",P25/(P11+P18))</f>
        <v/>
      </c>
      <c r="Q27" s="83">
        <f>IF(Q11+Q18=0,"",Q25/(Q11+Q18))</f>
        <v/>
      </c>
    </row>
    <row r="28">
      <c r="G28" s="4" t="n"/>
    </row>
    <row r="29">
      <c r="B29" s="5" t="inlineStr">
        <is>
          <t>Operating Expenses</t>
        </is>
      </c>
    </row>
    <row r="30">
      <c r="A30" t="inlineStr">
        <is>
          <t>OPEX-Employee Benefits</t>
        </is>
      </c>
      <c r="B30" t="inlineStr">
        <is>
          <t>Employee Benefits</t>
        </is>
      </c>
      <c r="C30" t="inlineStr">
        <is>
          <t>AUDm</t>
        </is>
      </c>
      <c r="D30" s="60" t="n">
        <v>-73.2</v>
      </c>
      <c r="E30" s="60" t="n">
        <v>-113.7</v>
      </c>
      <c r="F30" s="60" t="n">
        <v>-153.7</v>
      </c>
      <c r="G30" s="60" t="n">
        <v>-184.7</v>
      </c>
      <c r="H30" s="72">
        <f>INDEX('HY &amp; Segments'!$A:$AA,MATCH($A30,'HY &amp; Segments'!$A:$A,0),MATCH("1H"&amp;RIGHT(H$1,2),'HY &amp; Segments'!$3:$3,0))+INDEX('HY &amp; Segments'!$A:$AA,MATCH($A30,'HY &amp; Segments'!$A:$A,0),MATCH("2H"&amp;RIGHT(H$1,2),'HY &amp; Segments'!$3:$3,0))</f>
        <v/>
      </c>
      <c r="I30" s="72">
        <f>INDEX('HY &amp; Segments'!$A:$AA,MATCH($A30,'HY &amp; Segments'!$A:$A,0),MATCH("1H"&amp;RIGHT(I$1,2),'HY &amp; Segments'!$3:$3,0))+INDEX('HY &amp; Segments'!$A:$AA,MATCH($A30,'HY &amp; Segments'!$A:$A,0),MATCH("2H"&amp;RIGHT(I$1,2),'HY &amp; Segments'!$3:$3,0))</f>
        <v/>
      </c>
      <c r="J30" s="72">
        <f>INDEX('HY &amp; Segments'!$A:$AA,MATCH($A30,'HY &amp; Segments'!$A:$A,0),MATCH("1H"&amp;RIGHT(J$1,2),'HY &amp; Segments'!$3:$3,0))+INDEX('HY &amp; Segments'!$A:$AA,MATCH($A30,'HY &amp; Segments'!$A:$A,0),MATCH("2H"&amp;RIGHT(J$1,2),'HY &amp; Segments'!$3:$3,0))</f>
        <v/>
      </c>
      <c r="K30" s="72">
        <f>INDEX('HY &amp; Segments'!$A:$AA,MATCH($A30,'HY &amp; Segments'!$A:$A,0),MATCH("1H"&amp;RIGHT(K$1,2),'HY &amp; Segments'!$3:$3,0))+INDEX('HY &amp; Segments'!$A:$AA,MATCH($A30,'HY &amp; Segments'!$A:$A,0),MATCH("2H"&amp;RIGHT(K$1,2),'HY &amp; Segments'!$3:$3,0))</f>
        <v/>
      </c>
      <c r="L30" s="72">
        <f>INDEX('HY &amp; Segments'!$A:$AA,MATCH($A30,'HY &amp; Segments'!$A:$A,0),MATCH("1H"&amp;RIGHT(L$1,2),'HY &amp; Segments'!$3:$3,0))+INDEX('HY &amp; Segments'!$A:$AA,MATCH($A30,'HY &amp; Segments'!$A:$A,0),MATCH("2H"&amp;RIGHT(L$1,2),'HY &amp; Segments'!$3:$3,0))</f>
        <v/>
      </c>
      <c r="M30" s="72">
        <f>INDEX('HY &amp; Segments'!$A:$AA,MATCH($A30,'HY &amp; Segments'!$A:$A,0),MATCH("1H"&amp;RIGHT(M$1,2),'HY &amp; Segments'!$3:$3,0))+INDEX('HY &amp; Segments'!$A:$AA,MATCH($A30,'HY &amp; Segments'!$A:$A,0),MATCH("2H"&amp;RIGHT(M$1,2),'HY &amp; Segments'!$3:$3,0))</f>
        <v/>
      </c>
      <c r="N30" s="72">
        <f>INDEX('HY &amp; Segments'!$A:$AA,MATCH($A30,'HY &amp; Segments'!$A:$A,0),MATCH("1H"&amp;RIGHT(N$1,2),'HY &amp; Segments'!$3:$3,0))+INDEX('HY &amp; Segments'!$A:$AA,MATCH($A30,'HY &amp; Segments'!$A:$A,0),MATCH("2H"&amp;RIGHT(N$1,2),'HY &amp; Segments'!$3:$3,0))</f>
        <v/>
      </c>
      <c r="O30" s="72">
        <f>INDEX('HY &amp; Segments'!$A:$AA,MATCH($A30,'HY &amp; Segments'!$A:$A,0),MATCH("1H"&amp;RIGHT(O$1,2),'HY &amp; Segments'!$3:$3,0))+INDEX('HY &amp; Segments'!$A:$AA,MATCH($A30,'HY &amp; Segments'!$A:$A,0),MATCH("2H"&amp;RIGHT(O$1,2),'HY &amp; Segments'!$3:$3,0))</f>
        <v/>
      </c>
      <c r="P30" s="72">
        <f>INDEX('HY &amp; Segments'!$A:$AA,MATCH($A30,'HY &amp; Segments'!$A:$A,0),MATCH("1H"&amp;RIGHT(P$1,2),'HY &amp; Segments'!$3:$3,0))+INDEX('HY &amp; Segments'!$A:$AA,MATCH($A30,'HY &amp; Segments'!$A:$A,0),MATCH("2H"&amp;RIGHT(P$1,2),'HY &amp; Segments'!$3:$3,0))</f>
        <v/>
      </c>
      <c r="Q30" s="72">
        <f>INDEX('HY &amp; Segments'!$A:$AA,MATCH($A30,'HY &amp; Segments'!$A:$A,0),MATCH("1H"&amp;RIGHT(Q$1,2),'HY &amp; Segments'!$3:$3,0))+INDEX('HY &amp; Segments'!$A:$AA,MATCH($A30,'HY &amp; Segments'!$A:$A,0),MATCH("2H"&amp;RIGHT(Q$1,2),'HY &amp; Segments'!$3:$3,0))</f>
        <v/>
      </c>
    </row>
    <row r="31">
      <c r="A31" t="inlineStr">
        <is>
          <t>OPEX-Admin</t>
        </is>
      </c>
      <c r="B31" t="inlineStr">
        <is>
          <t>Administrative Expenses</t>
        </is>
      </c>
      <c r="C31" t="inlineStr">
        <is>
          <t>AUDm</t>
        </is>
      </c>
      <c r="D31" s="60" t="n">
        <v>-24.8</v>
      </c>
      <c r="E31" s="60" t="n">
        <v>-35.3</v>
      </c>
      <c r="F31" s="60" t="n">
        <v>-60.6</v>
      </c>
      <c r="G31" s="60" t="n">
        <v>-53.6</v>
      </c>
      <c r="H31" s="72">
        <f>INDEX('HY &amp; Segments'!$A:$AA,MATCH($A31,'HY &amp; Segments'!$A:$A,0),MATCH("1H"&amp;RIGHT(H$1,2),'HY &amp; Segments'!$3:$3,0))+INDEX('HY &amp; Segments'!$A:$AA,MATCH($A31,'HY &amp; Segments'!$A:$A,0),MATCH("2H"&amp;RIGHT(H$1,2),'HY &amp; Segments'!$3:$3,0))</f>
        <v/>
      </c>
      <c r="I31" s="72">
        <f>INDEX('HY &amp; Segments'!$A:$AA,MATCH($A31,'HY &amp; Segments'!$A:$A,0),MATCH("1H"&amp;RIGHT(I$1,2),'HY &amp; Segments'!$3:$3,0))+INDEX('HY &amp; Segments'!$A:$AA,MATCH($A31,'HY &amp; Segments'!$A:$A,0),MATCH("2H"&amp;RIGHT(I$1,2),'HY &amp; Segments'!$3:$3,0))</f>
        <v/>
      </c>
      <c r="J31" s="72">
        <f>INDEX('HY &amp; Segments'!$A:$AA,MATCH($A31,'HY &amp; Segments'!$A:$A,0),MATCH("1H"&amp;RIGHT(J$1,2),'HY &amp; Segments'!$3:$3,0))+INDEX('HY &amp; Segments'!$A:$AA,MATCH($A31,'HY &amp; Segments'!$A:$A,0),MATCH("2H"&amp;RIGHT(J$1,2),'HY &amp; Segments'!$3:$3,0))</f>
        <v/>
      </c>
      <c r="K31" s="72">
        <f>INDEX('HY &amp; Segments'!$A:$AA,MATCH($A31,'HY &amp; Segments'!$A:$A,0),MATCH("1H"&amp;RIGHT(K$1,2),'HY &amp; Segments'!$3:$3,0))+INDEX('HY &amp; Segments'!$A:$AA,MATCH($A31,'HY &amp; Segments'!$A:$A,0),MATCH("2H"&amp;RIGHT(K$1,2),'HY &amp; Segments'!$3:$3,0))</f>
        <v/>
      </c>
      <c r="L31" s="72">
        <f>INDEX('HY &amp; Segments'!$A:$AA,MATCH($A31,'HY &amp; Segments'!$A:$A,0),MATCH("1H"&amp;RIGHT(L$1,2),'HY &amp; Segments'!$3:$3,0))+INDEX('HY &amp; Segments'!$A:$AA,MATCH($A31,'HY &amp; Segments'!$A:$A,0),MATCH("2H"&amp;RIGHT(L$1,2),'HY &amp; Segments'!$3:$3,0))</f>
        <v/>
      </c>
      <c r="M31" s="72">
        <f>INDEX('HY &amp; Segments'!$A:$AA,MATCH($A31,'HY &amp; Segments'!$A:$A,0),MATCH("1H"&amp;RIGHT(M$1,2),'HY &amp; Segments'!$3:$3,0))+INDEX('HY &amp; Segments'!$A:$AA,MATCH($A31,'HY &amp; Segments'!$A:$A,0),MATCH("2H"&amp;RIGHT(M$1,2),'HY &amp; Segments'!$3:$3,0))</f>
        <v/>
      </c>
      <c r="N31" s="72">
        <f>INDEX('HY &amp; Segments'!$A:$AA,MATCH($A31,'HY &amp; Segments'!$A:$A,0),MATCH("1H"&amp;RIGHT(N$1,2),'HY &amp; Segments'!$3:$3,0))+INDEX('HY &amp; Segments'!$A:$AA,MATCH($A31,'HY &amp; Segments'!$A:$A,0),MATCH("2H"&amp;RIGHT(N$1,2),'HY &amp; Segments'!$3:$3,0))</f>
        <v/>
      </c>
      <c r="O31" s="72">
        <f>INDEX('HY &amp; Segments'!$A:$AA,MATCH($A31,'HY &amp; Segments'!$A:$A,0),MATCH("1H"&amp;RIGHT(O$1,2),'HY &amp; Segments'!$3:$3,0))+INDEX('HY &amp; Segments'!$A:$AA,MATCH($A31,'HY &amp; Segments'!$A:$A,0),MATCH("2H"&amp;RIGHT(O$1,2),'HY &amp; Segments'!$3:$3,0))</f>
        <v/>
      </c>
      <c r="P31" s="72">
        <f>INDEX('HY &amp; Segments'!$A:$AA,MATCH($A31,'HY &amp; Segments'!$A:$A,0),MATCH("1H"&amp;RIGHT(P$1,2),'HY &amp; Segments'!$3:$3,0))+INDEX('HY &amp; Segments'!$A:$AA,MATCH($A31,'HY &amp; Segments'!$A:$A,0),MATCH("2H"&amp;RIGHT(P$1,2),'HY &amp; Segments'!$3:$3,0))</f>
        <v/>
      </c>
      <c r="Q31" s="72">
        <f>INDEX('HY &amp; Segments'!$A:$AA,MATCH($A31,'HY &amp; Segments'!$A:$A,0),MATCH("1H"&amp;RIGHT(Q$1,2),'HY &amp; Segments'!$3:$3,0))+INDEX('HY &amp; Segments'!$A:$AA,MATCH($A31,'HY &amp; Segments'!$A:$A,0),MATCH("2H"&amp;RIGHT(Q$1,2),'HY &amp; Segments'!$3:$3,0))</f>
        <v/>
      </c>
    </row>
    <row r="32">
      <c r="A32" t="inlineStr">
        <is>
          <t>OPEX-Marketing</t>
        </is>
      </c>
      <c r="B32" t="inlineStr">
        <is>
          <t>Marketing Expenses</t>
        </is>
      </c>
      <c r="C32" t="inlineStr">
        <is>
          <t>AUDm</t>
        </is>
      </c>
      <c r="D32" s="60" t="n">
        <v>-11.3</v>
      </c>
      <c r="E32" s="60" t="n">
        <v>-13.7</v>
      </c>
      <c r="F32" s="60" t="n">
        <v>-17.9</v>
      </c>
      <c r="G32" s="60" t="n">
        <v>-21.3</v>
      </c>
      <c r="H32" s="72">
        <f>INDEX('HY &amp; Segments'!$A:$AA,MATCH($A32,'HY &amp; Segments'!$A:$A,0),MATCH("1H"&amp;RIGHT(H$1,2),'HY &amp; Segments'!$3:$3,0))+INDEX('HY &amp; Segments'!$A:$AA,MATCH($A32,'HY &amp; Segments'!$A:$A,0),MATCH("2H"&amp;RIGHT(H$1,2),'HY &amp; Segments'!$3:$3,0))</f>
        <v/>
      </c>
      <c r="I32" s="72">
        <f>INDEX('HY &amp; Segments'!$A:$AA,MATCH($A32,'HY &amp; Segments'!$A:$A,0),MATCH("1H"&amp;RIGHT(I$1,2),'HY &amp; Segments'!$3:$3,0))+INDEX('HY &amp; Segments'!$A:$AA,MATCH($A32,'HY &amp; Segments'!$A:$A,0),MATCH("2H"&amp;RIGHT(I$1,2),'HY &amp; Segments'!$3:$3,0))</f>
        <v/>
      </c>
      <c r="J32" s="72">
        <f>INDEX('HY &amp; Segments'!$A:$AA,MATCH($A32,'HY &amp; Segments'!$A:$A,0),MATCH("1H"&amp;RIGHT(J$1,2),'HY &amp; Segments'!$3:$3,0))+INDEX('HY &amp; Segments'!$A:$AA,MATCH($A32,'HY &amp; Segments'!$A:$A,0),MATCH("2H"&amp;RIGHT(J$1,2),'HY &amp; Segments'!$3:$3,0))</f>
        <v/>
      </c>
      <c r="K32" s="72">
        <f>INDEX('HY &amp; Segments'!$A:$AA,MATCH($A32,'HY &amp; Segments'!$A:$A,0),MATCH("1H"&amp;RIGHT(K$1,2),'HY &amp; Segments'!$3:$3,0))+INDEX('HY &amp; Segments'!$A:$AA,MATCH($A32,'HY &amp; Segments'!$A:$A,0),MATCH("2H"&amp;RIGHT(K$1,2),'HY &amp; Segments'!$3:$3,0))</f>
        <v/>
      </c>
      <c r="L32" s="72">
        <f>INDEX('HY &amp; Segments'!$A:$AA,MATCH($A32,'HY &amp; Segments'!$A:$A,0),MATCH("1H"&amp;RIGHT(L$1,2),'HY &amp; Segments'!$3:$3,0))+INDEX('HY &amp; Segments'!$A:$AA,MATCH($A32,'HY &amp; Segments'!$A:$A,0),MATCH("2H"&amp;RIGHT(L$1,2),'HY &amp; Segments'!$3:$3,0))</f>
        <v/>
      </c>
      <c r="M32" s="72">
        <f>INDEX('HY &amp; Segments'!$A:$AA,MATCH($A32,'HY &amp; Segments'!$A:$A,0),MATCH("1H"&amp;RIGHT(M$1,2),'HY &amp; Segments'!$3:$3,0))+INDEX('HY &amp; Segments'!$A:$AA,MATCH($A32,'HY &amp; Segments'!$A:$A,0),MATCH("2H"&amp;RIGHT(M$1,2),'HY &amp; Segments'!$3:$3,0))</f>
        <v/>
      </c>
      <c r="N32" s="72">
        <f>INDEX('HY &amp; Segments'!$A:$AA,MATCH($A32,'HY &amp; Segments'!$A:$A,0),MATCH("1H"&amp;RIGHT(N$1,2),'HY &amp; Segments'!$3:$3,0))+INDEX('HY &amp; Segments'!$A:$AA,MATCH($A32,'HY &amp; Segments'!$A:$A,0),MATCH("2H"&amp;RIGHT(N$1,2),'HY &amp; Segments'!$3:$3,0))</f>
        <v/>
      </c>
      <c r="O32" s="72">
        <f>INDEX('HY &amp; Segments'!$A:$AA,MATCH($A32,'HY &amp; Segments'!$A:$A,0),MATCH("1H"&amp;RIGHT(O$1,2),'HY &amp; Segments'!$3:$3,0))+INDEX('HY &amp; Segments'!$A:$AA,MATCH($A32,'HY &amp; Segments'!$A:$A,0),MATCH("2H"&amp;RIGHT(O$1,2),'HY &amp; Segments'!$3:$3,0))</f>
        <v/>
      </c>
      <c r="P32" s="72">
        <f>INDEX('HY &amp; Segments'!$A:$AA,MATCH($A32,'HY &amp; Segments'!$A:$A,0),MATCH("1H"&amp;RIGHT(P$1,2),'HY &amp; Segments'!$3:$3,0))+INDEX('HY &amp; Segments'!$A:$AA,MATCH($A32,'HY &amp; Segments'!$A:$A,0),MATCH("2H"&amp;RIGHT(P$1,2),'HY &amp; Segments'!$3:$3,0))</f>
        <v/>
      </c>
      <c r="Q32" s="72">
        <f>INDEX('HY &amp; Segments'!$A:$AA,MATCH($A32,'HY &amp; Segments'!$A:$A,0),MATCH("1H"&amp;RIGHT(Q$1,2),'HY &amp; Segments'!$3:$3,0))+INDEX('HY &amp; Segments'!$A:$AA,MATCH($A32,'HY &amp; Segments'!$A:$A,0),MATCH("2H"&amp;RIGHT(Q$1,2),'HY &amp; Segments'!$3:$3,0))</f>
        <v/>
      </c>
    </row>
    <row r="33">
      <c r="A33" t="inlineStr">
        <is>
          <t>OPEX-Other</t>
        </is>
      </c>
      <c r="B33" t="inlineStr">
        <is>
          <t>Other Expenses</t>
        </is>
      </c>
      <c r="C33" t="inlineStr">
        <is>
          <t>AUDm</t>
        </is>
      </c>
      <c r="D33" s="60" t="n">
        <v>-10</v>
      </c>
      <c r="E33" s="60" t="n">
        <v>-14</v>
      </c>
      <c r="F33" s="60" t="n">
        <v>-17.9</v>
      </c>
      <c r="G33" s="60" t="n">
        <v>-29.4</v>
      </c>
      <c r="H33" s="72">
        <f>INDEX('HY &amp; Segments'!$A:$AA,MATCH($A33,'HY &amp; Segments'!$A:$A,0),MATCH("1H"&amp;RIGHT(H$1,2),'HY &amp; Segments'!$3:$3,0))+INDEX('HY &amp; Segments'!$A:$AA,MATCH($A33,'HY &amp; Segments'!$A:$A,0),MATCH("2H"&amp;RIGHT(H$1,2),'HY &amp; Segments'!$3:$3,0))</f>
        <v/>
      </c>
      <c r="I33" s="72">
        <f>INDEX('HY &amp; Segments'!$A:$AA,MATCH($A33,'HY &amp; Segments'!$A:$A,0),MATCH("1H"&amp;RIGHT(I$1,2),'HY &amp; Segments'!$3:$3,0))+INDEX('HY &amp; Segments'!$A:$AA,MATCH($A33,'HY &amp; Segments'!$A:$A,0),MATCH("2H"&amp;RIGHT(I$1,2),'HY &amp; Segments'!$3:$3,0))</f>
        <v/>
      </c>
      <c r="J33" s="72">
        <f>INDEX('HY &amp; Segments'!$A:$AA,MATCH($A33,'HY &amp; Segments'!$A:$A,0),MATCH("1H"&amp;RIGHT(J$1,2),'HY &amp; Segments'!$3:$3,0))+INDEX('HY &amp; Segments'!$A:$AA,MATCH($A33,'HY &amp; Segments'!$A:$A,0),MATCH("2H"&amp;RIGHT(J$1,2),'HY &amp; Segments'!$3:$3,0))</f>
        <v/>
      </c>
      <c r="K33" s="72">
        <f>INDEX('HY &amp; Segments'!$A:$AA,MATCH($A33,'HY &amp; Segments'!$A:$A,0),MATCH("1H"&amp;RIGHT(K$1,2),'HY &amp; Segments'!$3:$3,0))+INDEX('HY &amp; Segments'!$A:$AA,MATCH($A33,'HY &amp; Segments'!$A:$A,0),MATCH("2H"&amp;RIGHT(K$1,2),'HY &amp; Segments'!$3:$3,0))</f>
        <v/>
      </c>
      <c r="L33" s="72">
        <f>INDEX('HY &amp; Segments'!$A:$AA,MATCH($A33,'HY &amp; Segments'!$A:$A,0),MATCH("1H"&amp;RIGHT(L$1,2),'HY &amp; Segments'!$3:$3,0))+INDEX('HY &amp; Segments'!$A:$AA,MATCH($A33,'HY &amp; Segments'!$A:$A,0),MATCH("2H"&amp;RIGHT(L$1,2),'HY &amp; Segments'!$3:$3,0))</f>
        <v/>
      </c>
      <c r="M33" s="72">
        <f>INDEX('HY &amp; Segments'!$A:$AA,MATCH($A33,'HY &amp; Segments'!$A:$A,0),MATCH("1H"&amp;RIGHT(M$1,2),'HY &amp; Segments'!$3:$3,0))+INDEX('HY &amp; Segments'!$A:$AA,MATCH($A33,'HY &amp; Segments'!$A:$A,0),MATCH("2H"&amp;RIGHT(M$1,2),'HY &amp; Segments'!$3:$3,0))</f>
        <v/>
      </c>
      <c r="N33" s="72">
        <f>INDEX('HY &amp; Segments'!$A:$AA,MATCH($A33,'HY &amp; Segments'!$A:$A,0),MATCH("1H"&amp;RIGHT(N$1,2),'HY &amp; Segments'!$3:$3,0))+INDEX('HY &amp; Segments'!$A:$AA,MATCH($A33,'HY &amp; Segments'!$A:$A,0),MATCH("2H"&amp;RIGHT(N$1,2),'HY &amp; Segments'!$3:$3,0))</f>
        <v/>
      </c>
      <c r="O33" s="72">
        <f>INDEX('HY &amp; Segments'!$A:$AA,MATCH($A33,'HY &amp; Segments'!$A:$A,0),MATCH("1H"&amp;RIGHT(O$1,2),'HY &amp; Segments'!$3:$3,0))+INDEX('HY &amp; Segments'!$A:$AA,MATCH($A33,'HY &amp; Segments'!$A:$A,0),MATCH("2H"&amp;RIGHT(O$1,2),'HY &amp; Segments'!$3:$3,0))</f>
        <v/>
      </c>
      <c r="P33" s="72">
        <f>INDEX('HY &amp; Segments'!$A:$AA,MATCH($A33,'HY &amp; Segments'!$A:$A,0),MATCH("1H"&amp;RIGHT(P$1,2),'HY &amp; Segments'!$3:$3,0))+INDEX('HY &amp; Segments'!$A:$AA,MATCH($A33,'HY &amp; Segments'!$A:$A,0),MATCH("2H"&amp;RIGHT(P$1,2),'HY &amp; Segments'!$3:$3,0))</f>
        <v/>
      </c>
      <c r="Q33" s="72">
        <f>INDEX('HY &amp; Segments'!$A:$AA,MATCH($A33,'HY &amp; Segments'!$A:$A,0),MATCH("1H"&amp;RIGHT(Q$1,2),'HY &amp; Segments'!$3:$3,0))+INDEX('HY &amp; Segments'!$A:$AA,MATCH($A33,'HY &amp; Segments'!$A:$A,0),MATCH("2H"&amp;RIGHT(Q$1,2),'HY &amp; Segments'!$3:$3,0))</f>
        <v/>
      </c>
    </row>
    <row r="34">
      <c r="A34" t="inlineStr">
        <is>
          <t>OPEX-Total OpEx</t>
        </is>
      </c>
      <c r="B34" s="20" t="inlineStr">
        <is>
          <t>Total Operating Expenses</t>
        </is>
      </c>
      <c r="C34" s="20" t="inlineStr">
        <is>
          <t>AUDm</t>
        </is>
      </c>
      <c r="D34" s="21">
        <f>SUM(D30:D33)</f>
        <v/>
      </c>
      <c r="E34" s="21">
        <f>SUM(E30:E33)</f>
        <v/>
      </c>
      <c r="F34" s="21">
        <f>SUM(F30:F33)</f>
        <v/>
      </c>
      <c r="G34" s="21">
        <f>SUM(G30:G33)</f>
        <v/>
      </c>
      <c r="H34" s="82">
        <f>SUM(H30:H33)</f>
        <v/>
      </c>
      <c r="I34" s="82">
        <f>SUM(I30:I33)</f>
        <v/>
      </c>
      <c r="J34" s="82">
        <f>SUM(J30:J33)</f>
        <v/>
      </c>
      <c r="K34" s="82">
        <f>SUM(K30:K33)</f>
        <v/>
      </c>
      <c r="L34" s="82">
        <f>SUM(L30:L33)</f>
        <v/>
      </c>
      <c r="M34" s="82">
        <f>SUM(M30:M33)</f>
        <v/>
      </c>
      <c r="N34" s="82">
        <f>SUM(N30:N33)</f>
        <v/>
      </c>
      <c r="O34" s="82">
        <f>SUM(O30:O33)</f>
        <v/>
      </c>
      <c r="P34" s="82">
        <f>SUM(P30:P33)</f>
        <v/>
      </c>
      <c r="Q34" s="82">
        <f>SUM(Q30:Q33)</f>
        <v/>
      </c>
    </row>
    <row r="35">
      <c r="B35" t="inlineStr">
        <is>
          <t>OpEx Growth</t>
        </is>
      </c>
      <c r="C35" t="inlineStr">
        <is>
          <t>% YoY</t>
        </is>
      </c>
      <c r="D35" s="6" t="n"/>
      <c r="E35" s="6" t="n"/>
      <c r="F35" s="6" t="n"/>
      <c r="G35" s="6" t="n"/>
      <c r="H35" s="83">
        <f>IF(G34=0,"",H34/G34-1)</f>
        <v/>
      </c>
      <c r="I35" s="83">
        <f>IF(H34=0,"",I34/H34-1)</f>
        <v/>
      </c>
      <c r="J35" s="83">
        <f>IF(I34=0,"",J34/I34-1)</f>
        <v/>
      </c>
      <c r="K35" s="83">
        <f>IF(J34=0,"",K34/J34-1)</f>
        <v/>
      </c>
      <c r="L35" s="83">
        <f>IF(K34=0,"",L34/K34-1)</f>
        <v/>
      </c>
      <c r="M35" s="83">
        <f>IF(L34=0,"",M34/L34-1)</f>
        <v/>
      </c>
      <c r="N35" s="83">
        <f>IF(M34=0,"",N34/M34-1)</f>
        <v/>
      </c>
      <c r="O35" s="83">
        <f>IF(N34=0,"",O34/N34-1)</f>
        <v/>
      </c>
      <c r="P35" s="83">
        <f>IF(O34=0,"",P34/O34-1)</f>
        <v/>
      </c>
      <c r="Q35" s="83">
        <f>IF(P34=0,"",Q34/P34-1)</f>
        <v/>
      </c>
    </row>
    <row r="36">
      <c r="F36" s="4" t="n"/>
      <c r="G36" s="4" t="n"/>
    </row>
    <row r="37">
      <c r="B37" s="5" t="inlineStr">
        <is>
          <t>EBITDA</t>
        </is>
      </c>
    </row>
    <row r="38">
      <c r="A38" t="inlineStr">
        <is>
          <t>EBITDA-Statutory EBITDA</t>
        </is>
      </c>
      <c r="B38" s="20" t="inlineStr">
        <is>
          <t>Statutory EBITDA</t>
        </is>
      </c>
      <c r="C38" s="20" t="inlineStr">
        <is>
          <t>AUDm</t>
        </is>
      </c>
      <c r="D38" s="21">
        <f>D25+D34</f>
        <v/>
      </c>
      <c r="E38" s="21">
        <f>E25+E34</f>
        <v/>
      </c>
      <c r="F38" s="21">
        <f>F25+F34</f>
        <v/>
      </c>
      <c r="G38" s="21">
        <f>G25+G34</f>
        <v/>
      </c>
      <c r="H38" s="82">
        <f>H25+H34</f>
        <v/>
      </c>
      <c r="I38" s="82">
        <f>I25+I34</f>
        <v/>
      </c>
      <c r="J38" s="82">
        <f>J25+J34</f>
        <v/>
      </c>
      <c r="K38" s="82">
        <f>K25+K34</f>
        <v/>
      </c>
      <c r="L38" s="82">
        <f>L25+L34</f>
        <v/>
      </c>
      <c r="M38" s="82">
        <f>M25+M34</f>
        <v/>
      </c>
      <c r="N38" s="82">
        <f>N25+N34</f>
        <v/>
      </c>
      <c r="O38" s="82">
        <f>O25+O34</f>
        <v/>
      </c>
      <c r="P38" s="82">
        <f>P25+P34</f>
        <v/>
      </c>
      <c r="Q38" s="82">
        <f>Q25+Q34</f>
        <v/>
      </c>
    </row>
    <row r="39">
      <c r="B39" t="inlineStr">
        <is>
          <t>EBITDA Growth</t>
        </is>
      </c>
      <c r="C39" t="inlineStr">
        <is>
          <t>% YoY</t>
        </is>
      </c>
      <c r="D39" s="6" t="n"/>
      <c r="E39" s="6" t="n"/>
      <c r="F39" s="6" t="n"/>
      <c r="G39" s="6" t="n"/>
      <c r="H39" s="83">
        <f>IF(G38=0,"",H38/G38-1)</f>
        <v/>
      </c>
      <c r="I39" s="83">
        <f>IF(H38=0,"",I38/H38-1)</f>
        <v/>
      </c>
      <c r="J39" s="83">
        <f>IF(I38=0,"",J38/I38-1)</f>
        <v/>
      </c>
      <c r="K39" s="83">
        <f>IF(J38=0,"",K38/J38-1)</f>
        <v/>
      </c>
      <c r="L39" s="83">
        <f>IF(K38=0,"",L38/K38-1)</f>
        <v/>
      </c>
      <c r="M39" s="83">
        <f>IF(L38=0,"",M38/L38-1)</f>
        <v/>
      </c>
      <c r="N39" s="83">
        <f>IF(M38=0,"",N38/M38-1)</f>
        <v/>
      </c>
      <c r="O39" s="83">
        <f>IF(N38=0,"",O38/N38-1)</f>
        <v/>
      </c>
      <c r="P39" s="83">
        <f>IF(O38=0,"",P38/O38-1)</f>
        <v/>
      </c>
      <c r="Q39" s="83">
        <f>IF(P38=0,"",Q38/P38-1)</f>
        <v/>
      </c>
    </row>
    <row r="40">
      <c r="B40" t="inlineStr">
        <is>
          <t>EBITDA Margin</t>
        </is>
      </c>
      <c r="C40" t="inlineStr">
        <is>
          <t>%</t>
        </is>
      </c>
      <c r="D40" s="6" t="n"/>
      <c r="E40" s="6" t="n"/>
      <c r="F40" s="6" t="n"/>
      <c r="G40" s="6" t="n"/>
      <c r="H40" s="83">
        <f>IF(H11+H18=0,"",H38/(H11+H18))</f>
        <v/>
      </c>
      <c r="I40" s="83">
        <f>IF(I11+I18=0,"",I38/(I11+I18))</f>
        <v/>
      </c>
      <c r="J40" s="83">
        <f>IF(J11+J18=0,"",J38/(J11+J18))</f>
        <v/>
      </c>
      <c r="K40" s="83">
        <f>IF(K11+K18=0,"",K38/(K11+K18))</f>
        <v/>
      </c>
      <c r="L40" s="83">
        <f>IF(L11+L18=0,"",L38/(L11+L18))</f>
        <v/>
      </c>
      <c r="M40" s="83">
        <f>IF(M11+M18=0,"",M38/(M11+M18))</f>
        <v/>
      </c>
      <c r="N40" s="83">
        <f>IF(N11+N18=0,"",N38/(N11+N18))</f>
        <v/>
      </c>
      <c r="O40" s="83">
        <f>IF(O11+O18=0,"",O38/(O11+O18))</f>
        <v/>
      </c>
      <c r="P40" s="83">
        <f>IF(P11+P18=0,"",P38/(P11+P18))</f>
        <v/>
      </c>
      <c r="Q40" s="83">
        <f>IF(Q11+Q18=0,"",Q38/(Q11+Q18))</f>
        <v/>
      </c>
    </row>
    <row r="41"/>
    <row r="42">
      <c r="B42" s="5" t="inlineStr">
        <is>
          <t>Segment EBITDA Bridge</t>
        </is>
      </c>
    </row>
    <row r="43">
      <c r="A43" t="inlineStr">
        <is>
          <t>Stat-SBP</t>
        </is>
      </c>
      <c r="B43" t="inlineStr">
        <is>
          <t>Share-based payments</t>
        </is>
      </c>
      <c r="C43" t="inlineStr">
        <is>
          <t>AUDm</t>
        </is>
      </c>
      <c r="D43" s="60" t="n">
        <v>-1.4</v>
      </c>
      <c r="E43" s="60" t="n">
        <v>-4.2</v>
      </c>
      <c r="F43" s="60" t="n">
        <v>-11.1</v>
      </c>
      <c r="G43" s="60" t="n">
        <v>-9</v>
      </c>
      <c r="H43" s="72">
        <f>INDEX('HY &amp; Segments'!$A:$AA,MATCH($A43,'HY &amp; Segments'!$A:$A,0),MATCH("1H"&amp;RIGHT(H$1,2),'HY &amp; Segments'!$3:$3,0))+INDEX('HY &amp; Segments'!$A:$AA,MATCH($A43,'HY &amp; Segments'!$A:$A,0),MATCH("2H"&amp;RIGHT(H$1,2),'HY &amp; Segments'!$3:$3,0))</f>
        <v/>
      </c>
      <c r="I43" s="72">
        <f>INDEX('HY &amp; Segments'!$A:$AA,MATCH($A43,'HY &amp; Segments'!$A:$A,0),MATCH("1H"&amp;RIGHT(I$1,2),'HY &amp; Segments'!$3:$3,0))+INDEX('HY &amp; Segments'!$A:$AA,MATCH($A43,'HY &amp; Segments'!$A:$A,0),MATCH("2H"&amp;RIGHT(I$1,2),'HY &amp; Segments'!$3:$3,0))</f>
        <v/>
      </c>
      <c r="J43" s="72">
        <f>INDEX('HY &amp; Segments'!$A:$AA,MATCH($A43,'HY &amp; Segments'!$A:$A,0),MATCH("1H"&amp;RIGHT(J$1,2),'HY &amp; Segments'!$3:$3,0))+INDEX('HY &amp; Segments'!$A:$AA,MATCH($A43,'HY &amp; Segments'!$A:$A,0),MATCH("2H"&amp;RIGHT(J$1,2),'HY &amp; Segments'!$3:$3,0))</f>
        <v/>
      </c>
      <c r="K43" s="72">
        <f>INDEX('HY &amp; Segments'!$A:$AA,MATCH($A43,'HY &amp; Segments'!$A:$A,0),MATCH("1H"&amp;RIGHT(K$1,2),'HY &amp; Segments'!$3:$3,0))+INDEX('HY &amp; Segments'!$A:$AA,MATCH($A43,'HY &amp; Segments'!$A:$A,0),MATCH("2H"&amp;RIGHT(K$1,2),'HY &amp; Segments'!$3:$3,0))</f>
        <v/>
      </c>
      <c r="L43" s="72">
        <f>INDEX('HY &amp; Segments'!$A:$AA,MATCH($A43,'HY &amp; Segments'!$A:$A,0),MATCH("1H"&amp;RIGHT(L$1,2),'HY &amp; Segments'!$3:$3,0))+INDEX('HY &amp; Segments'!$A:$AA,MATCH($A43,'HY &amp; Segments'!$A:$A,0),MATCH("2H"&amp;RIGHT(L$1,2),'HY &amp; Segments'!$3:$3,0))</f>
        <v/>
      </c>
      <c r="M43" s="72">
        <f>INDEX('HY &amp; Segments'!$A:$AA,MATCH($A43,'HY &amp; Segments'!$A:$A,0),MATCH("1H"&amp;RIGHT(M$1,2),'HY &amp; Segments'!$3:$3,0))+INDEX('HY &amp; Segments'!$A:$AA,MATCH($A43,'HY &amp; Segments'!$A:$A,0),MATCH("2H"&amp;RIGHT(M$1,2),'HY &amp; Segments'!$3:$3,0))</f>
        <v/>
      </c>
      <c r="N43" s="72">
        <f>INDEX('HY &amp; Segments'!$A:$AA,MATCH($A43,'HY &amp; Segments'!$A:$A,0),MATCH("1H"&amp;RIGHT(N$1,2),'HY &amp; Segments'!$3:$3,0))+INDEX('HY &amp; Segments'!$A:$AA,MATCH($A43,'HY &amp; Segments'!$A:$A,0),MATCH("2H"&amp;RIGHT(N$1,2),'HY &amp; Segments'!$3:$3,0))</f>
        <v/>
      </c>
      <c r="O43" s="72">
        <f>INDEX('HY &amp; Segments'!$A:$AA,MATCH($A43,'HY &amp; Segments'!$A:$A,0),MATCH("1H"&amp;RIGHT(O$1,2),'HY &amp; Segments'!$3:$3,0))+INDEX('HY &amp; Segments'!$A:$AA,MATCH($A43,'HY &amp; Segments'!$A:$A,0),MATCH("2H"&amp;RIGHT(O$1,2),'HY &amp; Segments'!$3:$3,0))</f>
        <v/>
      </c>
      <c r="P43" s="72">
        <f>INDEX('HY &amp; Segments'!$A:$AA,MATCH($A43,'HY &amp; Segments'!$A:$A,0),MATCH("1H"&amp;RIGHT(P$1,2),'HY &amp; Segments'!$3:$3,0))+INDEX('HY &amp; Segments'!$A:$AA,MATCH($A43,'HY &amp; Segments'!$A:$A,0),MATCH("2H"&amp;RIGHT(P$1,2),'HY &amp; Segments'!$3:$3,0))</f>
        <v/>
      </c>
      <c r="Q43" s="72">
        <f>INDEX('HY &amp; Segments'!$A:$AA,MATCH($A43,'HY &amp; Segments'!$A:$A,0),MATCH("1H"&amp;RIGHT(Q$1,2),'HY &amp; Segments'!$3:$3,0))+INDEX('HY &amp; Segments'!$A:$AA,MATCH($A43,'HY &amp; Segments'!$A:$A,0),MATCH("2H"&amp;RIGHT(Q$1,2),'HY &amp; Segments'!$3:$3,0))</f>
        <v/>
      </c>
    </row>
    <row r="44">
      <c r="A44" t="inlineStr">
        <is>
          <t>Stat-Other Costs</t>
        </is>
      </c>
      <c r="B44" t="inlineStr">
        <is>
          <t>Other Non-Recurring Costs</t>
        </is>
      </c>
      <c r="C44" t="inlineStr">
        <is>
          <t>AUDm</t>
        </is>
      </c>
      <c r="D44" s="60" t="n">
        <v>-0.3</v>
      </c>
      <c r="E44" s="60" t="n">
        <v>-6.4</v>
      </c>
      <c r="F44" s="60" t="n">
        <v>-19.7</v>
      </c>
      <c r="G44" s="60" t="n">
        <v>2.9</v>
      </c>
      <c r="H44" s="72">
        <f>INDEX('HY &amp; Segments'!$A:$AA,MATCH($A44,'HY &amp; Segments'!$A:$A,0),MATCH("1H"&amp;RIGHT(H$1,2),'HY &amp; Segments'!$3:$3,0))+INDEX('HY &amp; Segments'!$A:$AA,MATCH($A44,'HY &amp; Segments'!$A:$A,0),MATCH("2H"&amp;RIGHT(H$1,2),'HY &amp; Segments'!$3:$3,0))</f>
        <v/>
      </c>
      <c r="I44" s="72">
        <f>INDEX('HY &amp; Segments'!$A:$AA,MATCH($A44,'HY &amp; Segments'!$A:$A,0),MATCH("1H"&amp;RIGHT(I$1,2),'HY &amp; Segments'!$3:$3,0))+INDEX('HY &amp; Segments'!$A:$AA,MATCH($A44,'HY &amp; Segments'!$A:$A,0),MATCH("2H"&amp;RIGHT(I$1,2),'HY &amp; Segments'!$3:$3,0))</f>
        <v/>
      </c>
      <c r="J44" s="72">
        <f>INDEX('HY &amp; Segments'!$A:$AA,MATCH($A44,'HY &amp; Segments'!$A:$A,0),MATCH("1H"&amp;RIGHT(J$1,2),'HY &amp; Segments'!$3:$3,0))+INDEX('HY &amp; Segments'!$A:$AA,MATCH($A44,'HY &amp; Segments'!$A:$A,0),MATCH("2H"&amp;RIGHT(J$1,2),'HY &amp; Segments'!$3:$3,0))</f>
        <v/>
      </c>
      <c r="K44" s="72">
        <f>INDEX('HY &amp; Segments'!$A:$AA,MATCH($A44,'HY &amp; Segments'!$A:$A,0),MATCH("1H"&amp;RIGHT(K$1,2),'HY &amp; Segments'!$3:$3,0))+INDEX('HY &amp; Segments'!$A:$AA,MATCH($A44,'HY &amp; Segments'!$A:$A,0),MATCH("2H"&amp;RIGHT(K$1,2),'HY &amp; Segments'!$3:$3,0))</f>
        <v/>
      </c>
      <c r="L44" s="72">
        <f>INDEX('HY &amp; Segments'!$A:$AA,MATCH($A44,'HY &amp; Segments'!$A:$A,0),MATCH("1H"&amp;RIGHT(L$1,2),'HY &amp; Segments'!$3:$3,0))+INDEX('HY &amp; Segments'!$A:$AA,MATCH($A44,'HY &amp; Segments'!$A:$A,0),MATCH("2H"&amp;RIGHT(L$1,2),'HY &amp; Segments'!$3:$3,0))</f>
        <v/>
      </c>
      <c r="M44" s="72">
        <f>INDEX('HY &amp; Segments'!$A:$AA,MATCH($A44,'HY &amp; Segments'!$A:$A,0),MATCH("1H"&amp;RIGHT(M$1,2),'HY &amp; Segments'!$3:$3,0))+INDEX('HY &amp; Segments'!$A:$AA,MATCH($A44,'HY &amp; Segments'!$A:$A,0),MATCH("2H"&amp;RIGHT(M$1,2),'HY &amp; Segments'!$3:$3,0))</f>
        <v/>
      </c>
      <c r="N44" s="72">
        <f>INDEX('HY &amp; Segments'!$A:$AA,MATCH($A44,'HY &amp; Segments'!$A:$A,0),MATCH("1H"&amp;RIGHT(N$1,2),'HY &amp; Segments'!$3:$3,0))+INDEX('HY &amp; Segments'!$A:$AA,MATCH($A44,'HY &amp; Segments'!$A:$A,0),MATCH("2H"&amp;RIGHT(N$1,2),'HY &amp; Segments'!$3:$3,0))</f>
        <v/>
      </c>
      <c r="O44" s="72">
        <f>INDEX('HY &amp; Segments'!$A:$AA,MATCH($A44,'HY &amp; Segments'!$A:$A,0),MATCH("1H"&amp;RIGHT(O$1,2),'HY &amp; Segments'!$3:$3,0))+INDEX('HY &amp; Segments'!$A:$AA,MATCH($A44,'HY &amp; Segments'!$A:$A,0),MATCH("2H"&amp;RIGHT(O$1,2),'HY &amp; Segments'!$3:$3,0))</f>
        <v/>
      </c>
      <c r="P44" s="72">
        <f>INDEX('HY &amp; Segments'!$A:$AA,MATCH($A44,'HY &amp; Segments'!$A:$A,0),MATCH("1H"&amp;RIGHT(P$1,2),'HY &amp; Segments'!$3:$3,0))+INDEX('HY &amp; Segments'!$A:$AA,MATCH($A44,'HY &amp; Segments'!$A:$A,0),MATCH("2H"&amp;RIGHT(P$1,2),'HY &amp; Segments'!$3:$3,0))</f>
        <v/>
      </c>
      <c r="Q44" s="72">
        <f>INDEX('HY &amp; Segments'!$A:$AA,MATCH($A44,'HY &amp; Segments'!$A:$A,0),MATCH("1H"&amp;RIGHT(Q$1,2),'HY &amp; Segments'!$3:$3,0))+INDEX('HY &amp; Segments'!$A:$AA,MATCH($A44,'HY &amp; Segments'!$A:$A,0),MATCH("2H"&amp;RIGHT(Q$1,2),'HY &amp; Segments'!$3:$3,0))</f>
        <v/>
      </c>
    </row>
    <row r="45">
      <c r="A45" t="inlineStr">
        <is>
          <t>Stat-Cash Rent</t>
        </is>
      </c>
      <c r="B45" t="inlineStr">
        <is>
          <t>Cash Rent (AASB 16 Reversal)</t>
        </is>
      </c>
      <c r="C45" t="inlineStr">
        <is>
          <t>AUDm</t>
        </is>
      </c>
      <c r="D45" s="60" t="n">
        <v>8</v>
      </c>
      <c r="E45" s="60" t="n">
        <v>11.2</v>
      </c>
      <c r="F45" s="60" t="n">
        <v>17.1</v>
      </c>
      <c r="G45" s="60" t="n">
        <v>18.5</v>
      </c>
      <c r="H45" s="72">
        <f>INDEX('HY &amp; Segments'!$A:$AA,MATCH($A45,'HY &amp; Segments'!$A:$A,0),MATCH("1H"&amp;RIGHT(H$1,2),'HY &amp; Segments'!$3:$3,0))+INDEX('HY &amp; Segments'!$A:$AA,MATCH($A45,'HY &amp; Segments'!$A:$A,0),MATCH("2H"&amp;RIGHT(H$1,2),'HY &amp; Segments'!$3:$3,0))</f>
        <v/>
      </c>
      <c r="I45" s="72">
        <f>INDEX('HY &amp; Segments'!$A:$AA,MATCH($A45,'HY &amp; Segments'!$A:$A,0),MATCH("1H"&amp;RIGHT(I$1,2),'HY &amp; Segments'!$3:$3,0))+INDEX('HY &amp; Segments'!$A:$AA,MATCH($A45,'HY &amp; Segments'!$A:$A,0),MATCH("2H"&amp;RIGHT(I$1,2),'HY &amp; Segments'!$3:$3,0))</f>
        <v/>
      </c>
      <c r="J45" s="72">
        <f>INDEX('HY &amp; Segments'!$A:$AA,MATCH($A45,'HY &amp; Segments'!$A:$A,0),MATCH("1H"&amp;RIGHT(J$1,2),'HY &amp; Segments'!$3:$3,0))+INDEX('HY &amp; Segments'!$A:$AA,MATCH($A45,'HY &amp; Segments'!$A:$A,0),MATCH("2H"&amp;RIGHT(J$1,2),'HY &amp; Segments'!$3:$3,0))</f>
        <v/>
      </c>
      <c r="K45" s="72">
        <f>INDEX('HY &amp; Segments'!$A:$AA,MATCH($A45,'HY &amp; Segments'!$A:$A,0),MATCH("1H"&amp;RIGHT(K$1,2),'HY &amp; Segments'!$3:$3,0))+INDEX('HY &amp; Segments'!$A:$AA,MATCH($A45,'HY &amp; Segments'!$A:$A,0),MATCH("2H"&amp;RIGHT(K$1,2),'HY &amp; Segments'!$3:$3,0))</f>
        <v/>
      </c>
      <c r="L45" s="72">
        <f>INDEX('HY &amp; Segments'!$A:$AA,MATCH($A45,'HY &amp; Segments'!$A:$A,0),MATCH("1H"&amp;RIGHT(L$1,2),'HY &amp; Segments'!$3:$3,0))+INDEX('HY &amp; Segments'!$A:$AA,MATCH($A45,'HY &amp; Segments'!$A:$A,0),MATCH("2H"&amp;RIGHT(L$1,2),'HY &amp; Segments'!$3:$3,0))</f>
        <v/>
      </c>
      <c r="M45" s="72">
        <f>INDEX('HY &amp; Segments'!$A:$AA,MATCH($A45,'HY &amp; Segments'!$A:$A,0),MATCH("1H"&amp;RIGHT(M$1,2),'HY &amp; Segments'!$3:$3,0))+INDEX('HY &amp; Segments'!$A:$AA,MATCH($A45,'HY &amp; Segments'!$A:$A,0),MATCH("2H"&amp;RIGHT(M$1,2),'HY &amp; Segments'!$3:$3,0))</f>
        <v/>
      </c>
      <c r="N45" s="72">
        <f>INDEX('HY &amp; Segments'!$A:$AA,MATCH($A45,'HY &amp; Segments'!$A:$A,0),MATCH("1H"&amp;RIGHT(N$1,2),'HY &amp; Segments'!$3:$3,0))+INDEX('HY &amp; Segments'!$A:$AA,MATCH($A45,'HY &amp; Segments'!$A:$A,0),MATCH("2H"&amp;RIGHT(N$1,2),'HY &amp; Segments'!$3:$3,0))</f>
        <v/>
      </c>
      <c r="O45" s="72">
        <f>INDEX('HY &amp; Segments'!$A:$AA,MATCH($A45,'HY &amp; Segments'!$A:$A,0),MATCH("1H"&amp;RIGHT(O$1,2),'HY &amp; Segments'!$3:$3,0))+INDEX('HY &amp; Segments'!$A:$AA,MATCH($A45,'HY &amp; Segments'!$A:$A,0),MATCH("2H"&amp;RIGHT(O$1,2),'HY &amp; Segments'!$3:$3,0))</f>
        <v/>
      </c>
      <c r="P45" s="72">
        <f>INDEX('HY &amp; Segments'!$A:$AA,MATCH($A45,'HY &amp; Segments'!$A:$A,0),MATCH("1H"&amp;RIGHT(P$1,2),'HY &amp; Segments'!$3:$3,0))+INDEX('HY &amp; Segments'!$A:$AA,MATCH($A45,'HY &amp; Segments'!$A:$A,0),MATCH("2H"&amp;RIGHT(P$1,2),'HY &amp; Segments'!$3:$3,0))</f>
        <v/>
      </c>
      <c r="Q45" s="72">
        <f>INDEX('HY &amp; Segments'!$A:$AA,MATCH($A45,'HY &amp; Segments'!$A:$A,0),MATCH("1H"&amp;RIGHT(Q$1,2),'HY &amp; Segments'!$3:$3,0))+INDEX('HY &amp; Segments'!$A:$AA,MATCH($A45,'HY &amp; Segments'!$A:$A,0),MATCH("2H"&amp;RIGHT(Q$1,2),'HY &amp; Segments'!$3:$3,0))</f>
        <v/>
      </c>
    </row>
    <row r="46">
      <c r="A46" t="inlineStr">
        <is>
          <t>EBITDA-AU Segment EBITDA</t>
        </is>
      </c>
      <c r="B46" t="inlineStr">
        <is>
          <t>AU Segment Underlying EBITDA</t>
        </is>
      </c>
      <c r="C46" t="inlineStr">
        <is>
          <t>AUDm</t>
        </is>
      </c>
      <c r="D46" s="60" t="n">
        <v>18.3</v>
      </c>
      <c r="E46" s="60" t="n">
        <v>33.3</v>
      </c>
      <c r="F46" s="60" t="n">
        <v>47.5</v>
      </c>
      <c r="G46" s="60" t="n">
        <v>66</v>
      </c>
      <c r="H46" s="72">
        <f>INDEX('HY &amp; Segments'!$A:$AA,MATCH($A46,'HY &amp; Segments'!$A:$A,0),MATCH("1H"&amp;RIGHT(H$1,2),'HY &amp; Segments'!$3:$3,0))+INDEX('HY &amp; Segments'!$A:$AA,MATCH($A46,'HY &amp; Segments'!$A:$A,0),MATCH("2H"&amp;RIGHT(H$1,2),'HY &amp; Segments'!$3:$3,0))</f>
        <v/>
      </c>
      <c r="I46" s="72">
        <f>INDEX('HY &amp; Segments'!$A:$AA,MATCH($A46,'HY &amp; Segments'!$A:$A,0),MATCH("1H"&amp;RIGHT(I$1,2),'HY &amp; Segments'!$3:$3,0))+INDEX('HY &amp; Segments'!$A:$AA,MATCH($A46,'HY &amp; Segments'!$A:$A,0),MATCH("2H"&amp;RIGHT(I$1,2),'HY &amp; Segments'!$3:$3,0))</f>
        <v/>
      </c>
      <c r="J46" s="72">
        <f>INDEX('HY &amp; Segments'!$A:$AA,MATCH($A46,'HY &amp; Segments'!$A:$A,0),MATCH("1H"&amp;RIGHT(J$1,2),'HY &amp; Segments'!$3:$3,0))+INDEX('HY &amp; Segments'!$A:$AA,MATCH($A46,'HY &amp; Segments'!$A:$A,0),MATCH("2H"&amp;RIGHT(J$1,2),'HY &amp; Segments'!$3:$3,0))</f>
        <v/>
      </c>
      <c r="K46" s="72">
        <f>INDEX('HY &amp; Segments'!$A:$AA,MATCH($A46,'HY &amp; Segments'!$A:$A,0),MATCH("1H"&amp;RIGHT(K$1,2),'HY &amp; Segments'!$3:$3,0))+INDEX('HY &amp; Segments'!$A:$AA,MATCH($A46,'HY &amp; Segments'!$A:$A,0),MATCH("2H"&amp;RIGHT(K$1,2),'HY &amp; Segments'!$3:$3,0))</f>
        <v/>
      </c>
      <c r="L46" s="72">
        <f>INDEX('HY &amp; Segments'!$A:$AA,MATCH($A46,'HY &amp; Segments'!$A:$A,0),MATCH("1H"&amp;RIGHT(L$1,2),'HY &amp; Segments'!$3:$3,0))+INDEX('HY &amp; Segments'!$A:$AA,MATCH($A46,'HY &amp; Segments'!$A:$A,0),MATCH("2H"&amp;RIGHT(L$1,2),'HY &amp; Segments'!$3:$3,0))</f>
        <v/>
      </c>
      <c r="M46" s="72">
        <f>INDEX('HY &amp; Segments'!$A:$AA,MATCH($A46,'HY &amp; Segments'!$A:$A,0),MATCH("1H"&amp;RIGHT(M$1,2),'HY &amp; Segments'!$3:$3,0))+INDEX('HY &amp; Segments'!$A:$AA,MATCH($A46,'HY &amp; Segments'!$A:$A,0),MATCH("2H"&amp;RIGHT(M$1,2),'HY &amp; Segments'!$3:$3,0))</f>
        <v/>
      </c>
      <c r="N46" s="72">
        <f>INDEX('HY &amp; Segments'!$A:$AA,MATCH($A46,'HY &amp; Segments'!$A:$A,0),MATCH("1H"&amp;RIGHT(N$1,2),'HY &amp; Segments'!$3:$3,0))+INDEX('HY &amp; Segments'!$A:$AA,MATCH($A46,'HY &amp; Segments'!$A:$A,0),MATCH("2H"&amp;RIGHT(N$1,2),'HY &amp; Segments'!$3:$3,0))</f>
        <v/>
      </c>
      <c r="O46" s="72">
        <f>INDEX('HY &amp; Segments'!$A:$AA,MATCH($A46,'HY &amp; Segments'!$A:$A,0),MATCH("1H"&amp;RIGHT(O$1,2),'HY &amp; Segments'!$3:$3,0))+INDEX('HY &amp; Segments'!$A:$AA,MATCH($A46,'HY &amp; Segments'!$A:$A,0),MATCH("2H"&amp;RIGHT(O$1,2),'HY &amp; Segments'!$3:$3,0))</f>
        <v/>
      </c>
      <c r="P46" s="72">
        <f>INDEX('HY &amp; Segments'!$A:$AA,MATCH($A46,'HY &amp; Segments'!$A:$A,0),MATCH("1H"&amp;RIGHT(P$1,2),'HY &amp; Segments'!$3:$3,0))+INDEX('HY &amp; Segments'!$A:$AA,MATCH($A46,'HY &amp; Segments'!$A:$A,0),MATCH("2H"&amp;RIGHT(P$1,2),'HY &amp; Segments'!$3:$3,0))</f>
        <v/>
      </c>
      <c r="Q46" s="72">
        <f>INDEX('HY &amp; Segments'!$A:$AA,MATCH($A46,'HY &amp; Segments'!$A:$A,0),MATCH("1H"&amp;RIGHT(Q$1,2),'HY &amp; Segments'!$3:$3,0))+INDEX('HY &amp; Segments'!$A:$AA,MATCH($A46,'HY &amp; Segments'!$A:$A,0),MATCH("2H"&amp;RIGHT(Q$1,2),'HY &amp; Segments'!$3:$3,0))</f>
        <v/>
      </c>
    </row>
    <row r="47">
      <c r="A47" t="inlineStr">
        <is>
          <t>EBITDA-US Segment EBITDA</t>
        </is>
      </c>
      <c r="B47" t="inlineStr">
        <is>
          <t>US Segment Underlying EBITDA</t>
        </is>
      </c>
      <c r="C47" t="inlineStr">
        <is>
          <t>AUDm</t>
        </is>
      </c>
      <c r="D47" s="60" t="n">
        <v>-2.9</v>
      </c>
      <c r="E47" s="60" t="n">
        <v>-4.3</v>
      </c>
      <c r="F47" s="60" t="n">
        <v>-6.5</v>
      </c>
      <c r="G47" s="60" t="n">
        <v>-13.2</v>
      </c>
      <c r="H47" s="72">
        <f>INDEX('HY &amp; Segments'!$A:$AA,MATCH($A47,'HY &amp; Segments'!$A:$A,0),MATCH("1H"&amp;RIGHT(H$1,2),'HY &amp; Segments'!$3:$3,0))+INDEX('HY &amp; Segments'!$A:$AA,MATCH($A47,'HY &amp; Segments'!$A:$A,0),MATCH("2H"&amp;RIGHT(H$1,2),'HY &amp; Segments'!$3:$3,0))</f>
        <v/>
      </c>
      <c r="I47" s="72">
        <f>INDEX('HY &amp; Segments'!$A:$AA,MATCH($A47,'HY &amp; Segments'!$A:$A,0),MATCH("1H"&amp;RIGHT(I$1,2),'HY &amp; Segments'!$3:$3,0))+INDEX('HY &amp; Segments'!$A:$AA,MATCH($A47,'HY &amp; Segments'!$A:$A,0),MATCH("2H"&amp;RIGHT(I$1,2),'HY &amp; Segments'!$3:$3,0))</f>
        <v/>
      </c>
      <c r="J47" s="72">
        <f>INDEX('HY &amp; Segments'!$A:$AA,MATCH($A47,'HY &amp; Segments'!$A:$A,0),MATCH("1H"&amp;RIGHT(J$1,2),'HY &amp; Segments'!$3:$3,0))+INDEX('HY &amp; Segments'!$A:$AA,MATCH($A47,'HY &amp; Segments'!$A:$A,0),MATCH("2H"&amp;RIGHT(J$1,2),'HY &amp; Segments'!$3:$3,0))</f>
        <v/>
      </c>
      <c r="K47" s="72">
        <f>INDEX('HY &amp; Segments'!$A:$AA,MATCH($A47,'HY &amp; Segments'!$A:$A,0),MATCH("1H"&amp;RIGHT(K$1,2),'HY &amp; Segments'!$3:$3,0))+INDEX('HY &amp; Segments'!$A:$AA,MATCH($A47,'HY &amp; Segments'!$A:$A,0),MATCH("2H"&amp;RIGHT(K$1,2),'HY &amp; Segments'!$3:$3,0))</f>
        <v/>
      </c>
      <c r="L47" s="72">
        <f>INDEX('HY &amp; Segments'!$A:$AA,MATCH($A47,'HY &amp; Segments'!$A:$A,0),MATCH("1H"&amp;RIGHT(L$1,2),'HY &amp; Segments'!$3:$3,0))+INDEX('HY &amp; Segments'!$A:$AA,MATCH($A47,'HY &amp; Segments'!$A:$A,0),MATCH("2H"&amp;RIGHT(L$1,2),'HY &amp; Segments'!$3:$3,0))</f>
        <v/>
      </c>
      <c r="M47" s="72">
        <f>INDEX('HY &amp; Segments'!$A:$AA,MATCH($A47,'HY &amp; Segments'!$A:$A,0),MATCH("1H"&amp;RIGHT(M$1,2),'HY &amp; Segments'!$3:$3,0))+INDEX('HY &amp; Segments'!$A:$AA,MATCH($A47,'HY &amp; Segments'!$A:$A,0),MATCH("2H"&amp;RIGHT(M$1,2),'HY &amp; Segments'!$3:$3,0))</f>
        <v/>
      </c>
      <c r="N47" s="72">
        <f>INDEX('HY &amp; Segments'!$A:$AA,MATCH($A47,'HY &amp; Segments'!$A:$A,0),MATCH("1H"&amp;RIGHT(N$1,2),'HY &amp; Segments'!$3:$3,0))+INDEX('HY &amp; Segments'!$A:$AA,MATCH($A47,'HY &amp; Segments'!$A:$A,0),MATCH("2H"&amp;RIGHT(N$1,2),'HY &amp; Segments'!$3:$3,0))</f>
        <v/>
      </c>
      <c r="O47" s="72">
        <f>INDEX('HY &amp; Segments'!$A:$AA,MATCH($A47,'HY &amp; Segments'!$A:$A,0),MATCH("1H"&amp;RIGHT(O$1,2),'HY &amp; Segments'!$3:$3,0))+INDEX('HY &amp; Segments'!$A:$AA,MATCH($A47,'HY &amp; Segments'!$A:$A,0),MATCH("2H"&amp;RIGHT(O$1,2),'HY &amp; Segments'!$3:$3,0))</f>
        <v/>
      </c>
      <c r="P47" s="72">
        <f>INDEX('HY &amp; Segments'!$A:$AA,MATCH($A47,'HY &amp; Segments'!$A:$A,0),MATCH("1H"&amp;RIGHT(P$1,2),'HY &amp; Segments'!$3:$3,0))+INDEX('HY &amp; Segments'!$A:$AA,MATCH($A47,'HY &amp; Segments'!$A:$A,0),MATCH("2H"&amp;RIGHT(P$1,2),'HY &amp; Segments'!$3:$3,0))</f>
        <v/>
      </c>
      <c r="Q47" s="72">
        <f>INDEX('HY &amp; Segments'!$A:$AA,MATCH($A47,'HY &amp; Segments'!$A:$A,0),MATCH("1H"&amp;RIGHT(Q$1,2),'HY &amp; Segments'!$3:$3,0))+INDEX('HY &amp; Segments'!$A:$AA,MATCH($A47,'HY &amp; Segments'!$A:$A,0),MATCH("2H"&amp;RIGHT(Q$1,2),'HY &amp; Segments'!$3:$3,0))</f>
        <v/>
      </c>
    </row>
    <row r="48">
      <c r="A48" t="inlineStr">
        <is>
          <t>EBITDA-Group Segment EBITDA</t>
        </is>
      </c>
      <c r="B48" s="20" t="inlineStr">
        <is>
          <t>Group Segment Underlying EBITDA</t>
        </is>
      </c>
      <c r="C48" s="20" t="inlineStr">
        <is>
          <t>AUDm</t>
        </is>
      </c>
      <c r="D48" s="21">
        <f>D46+D47</f>
        <v/>
      </c>
      <c r="E48" s="21">
        <f>E46+E47</f>
        <v/>
      </c>
      <c r="F48" s="21">
        <f>F46+F47</f>
        <v/>
      </c>
      <c r="G48" s="21">
        <f>G46+G47</f>
        <v/>
      </c>
      <c r="H48" s="82">
        <f>H46+H47</f>
        <v/>
      </c>
      <c r="I48" s="82">
        <f>I46+I47</f>
        <v/>
      </c>
      <c r="J48" s="82">
        <f>J46+J47</f>
        <v/>
      </c>
      <c r="K48" s="82">
        <f>K46+K47</f>
        <v/>
      </c>
      <c r="L48" s="82">
        <f>L46+L47</f>
        <v/>
      </c>
      <c r="M48" s="82">
        <f>M46+M47</f>
        <v/>
      </c>
      <c r="N48" s="82">
        <f>N46+N47</f>
        <v/>
      </c>
      <c r="O48" s="82">
        <f>O46+O47</f>
        <v/>
      </c>
      <c r="P48" s="82">
        <f>P46+P47</f>
        <v/>
      </c>
      <c r="Q48" s="82">
        <f>Q46+Q47</f>
        <v/>
      </c>
    </row>
    <row r="49">
      <c r="B49" t="inlineStr">
        <is>
          <t>Segment EBITDA / Network Sales</t>
        </is>
      </c>
      <c r="C49" t="inlineStr">
        <is>
          <t>%</t>
        </is>
      </c>
      <c r="D49" s="31" t="n"/>
      <c r="E49" s="31" t="n"/>
      <c r="F49" s="31" t="n"/>
      <c r="G49" s="31" t="n"/>
      <c r="H49" s="83">
        <f>IF(H108=0,"",H48/H108)</f>
        <v/>
      </c>
      <c r="I49" s="83">
        <f>IF(I108=0,"",I48/I108)</f>
        <v/>
      </c>
      <c r="J49" s="83">
        <f>IF(J108=0,"",J48/J108)</f>
        <v/>
      </c>
      <c r="K49" s="83">
        <f>IF(K108=0,"",K48/K108)</f>
        <v/>
      </c>
      <c r="L49" s="83">
        <f>IF(L108=0,"",L48/L108)</f>
        <v/>
      </c>
      <c r="M49" s="83">
        <f>IF(M108=0,"",M48/M108)</f>
        <v/>
      </c>
      <c r="N49" s="83">
        <f>IF(N108=0,"",N48/N108)</f>
        <v/>
      </c>
      <c r="O49" s="83">
        <f>IF(O108=0,"",O48/O108)</f>
        <v/>
      </c>
      <c r="P49" s="83">
        <f>IF(P108=0,"",P48/P108)</f>
        <v/>
      </c>
      <c r="Q49" s="83">
        <f>IF(Q108=0,"",Q48/Q108)</f>
        <v/>
      </c>
    </row>
    <row r="50"/>
    <row r="51">
      <c r="B51" s="5" t="inlineStr">
        <is>
          <t>D&amp;A</t>
        </is>
      </c>
    </row>
    <row r="52">
      <c r="A52" t="inlineStr">
        <is>
          <t>DA-Depreciation PPE</t>
        </is>
      </c>
      <c r="B52" t="inlineStr">
        <is>
          <t>PPE Depreciation</t>
        </is>
      </c>
      <c r="C52" t="inlineStr">
        <is>
          <t>AUDm</t>
        </is>
      </c>
      <c r="D52" s="19" t="n"/>
      <c r="E52" s="60" t="n">
        <v>-8.4</v>
      </c>
      <c r="F52" s="60" t="n">
        <v>-13</v>
      </c>
      <c r="G52" s="60" t="n">
        <v>-19.3</v>
      </c>
      <c r="H52" s="72">
        <f>INDEX('HY &amp; Segments'!$A:$AA,MATCH($A52,'HY &amp; Segments'!$A:$A,0),MATCH("1H"&amp;RIGHT(H$1,2),'HY &amp; Segments'!$3:$3,0))+INDEX('HY &amp; Segments'!$A:$AA,MATCH($A52,'HY &amp; Segments'!$A:$A,0),MATCH("2H"&amp;RIGHT(H$1,2),'HY &amp; Segments'!$3:$3,0))</f>
        <v/>
      </c>
      <c r="I52" s="72">
        <f>INDEX('HY &amp; Segments'!$A:$AA,MATCH($A52,'HY &amp; Segments'!$A:$A,0),MATCH("1H"&amp;RIGHT(I$1,2),'HY &amp; Segments'!$3:$3,0))+INDEX('HY &amp; Segments'!$A:$AA,MATCH($A52,'HY &amp; Segments'!$A:$A,0),MATCH("2H"&amp;RIGHT(I$1,2),'HY &amp; Segments'!$3:$3,0))</f>
        <v/>
      </c>
      <c r="J52" s="72">
        <f>INDEX('HY &amp; Segments'!$A:$AA,MATCH($A52,'HY &amp; Segments'!$A:$A,0),MATCH("1H"&amp;RIGHT(J$1,2),'HY &amp; Segments'!$3:$3,0))+INDEX('HY &amp; Segments'!$A:$AA,MATCH($A52,'HY &amp; Segments'!$A:$A,0),MATCH("2H"&amp;RIGHT(J$1,2),'HY &amp; Segments'!$3:$3,0))</f>
        <v/>
      </c>
      <c r="K52" s="72">
        <f>INDEX('HY &amp; Segments'!$A:$AA,MATCH($A52,'HY &amp; Segments'!$A:$A,0),MATCH("1H"&amp;RIGHT(K$1,2),'HY &amp; Segments'!$3:$3,0))+INDEX('HY &amp; Segments'!$A:$AA,MATCH($A52,'HY &amp; Segments'!$A:$A,0),MATCH("2H"&amp;RIGHT(K$1,2),'HY &amp; Segments'!$3:$3,0))</f>
        <v/>
      </c>
      <c r="L52" s="72">
        <f>INDEX('HY &amp; Segments'!$A:$AA,MATCH($A52,'HY &amp; Segments'!$A:$A,0),MATCH("1H"&amp;RIGHT(L$1,2),'HY &amp; Segments'!$3:$3,0))+INDEX('HY &amp; Segments'!$A:$AA,MATCH($A52,'HY &amp; Segments'!$A:$A,0),MATCH("2H"&amp;RIGHT(L$1,2),'HY &amp; Segments'!$3:$3,0))</f>
        <v/>
      </c>
      <c r="M52" s="72">
        <f>INDEX('HY &amp; Segments'!$A:$AA,MATCH($A52,'HY &amp; Segments'!$A:$A,0),MATCH("1H"&amp;RIGHT(M$1,2),'HY &amp; Segments'!$3:$3,0))+INDEX('HY &amp; Segments'!$A:$AA,MATCH($A52,'HY &amp; Segments'!$A:$A,0),MATCH("2H"&amp;RIGHT(M$1,2),'HY &amp; Segments'!$3:$3,0))</f>
        <v/>
      </c>
      <c r="N52" s="72">
        <f>INDEX('HY &amp; Segments'!$A:$AA,MATCH($A52,'HY &amp; Segments'!$A:$A,0),MATCH("1H"&amp;RIGHT(N$1,2),'HY &amp; Segments'!$3:$3,0))+INDEX('HY &amp; Segments'!$A:$AA,MATCH($A52,'HY &amp; Segments'!$A:$A,0),MATCH("2H"&amp;RIGHT(N$1,2),'HY &amp; Segments'!$3:$3,0))</f>
        <v/>
      </c>
      <c r="O52" s="72">
        <f>INDEX('HY &amp; Segments'!$A:$AA,MATCH($A52,'HY &amp; Segments'!$A:$A,0),MATCH("1H"&amp;RIGHT(O$1,2),'HY &amp; Segments'!$3:$3,0))+INDEX('HY &amp; Segments'!$A:$AA,MATCH($A52,'HY &amp; Segments'!$A:$A,0),MATCH("2H"&amp;RIGHT(O$1,2),'HY &amp; Segments'!$3:$3,0))</f>
        <v/>
      </c>
      <c r="P52" s="72">
        <f>INDEX('HY &amp; Segments'!$A:$AA,MATCH($A52,'HY &amp; Segments'!$A:$A,0),MATCH("1H"&amp;RIGHT(P$1,2),'HY &amp; Segments'!$3:$3,0))+INDEX('HY &amp; Segments'!$A:$AA,MATCH($A52,'HY &amp; Segments'!$A:$A,0),MATCH("2H"&amp;RIGHT(P$1,2),'HY &amp; Segments'!$3:$3,0))</f>
        <v/>
      </c>
      <c r="Q52" s="72">
        <f>INDEX('HY &amp; Segments'!$A:$AA,MATCH($A52,'HY &amp; Segments'!$A:$A,0),MATCH("1H"&amp;RIGHT(Q$1,2),'HY &amp; Segments'!$3:$3,0))+INDEX('HY &amp; Segments'!$A:$AA,MATCH($A52,'HY &amp; Segments'!$A:$A,0),MATCH("2H"&amp;RIGHT(Q$1,2),'HY &amp; Segments'!$3:$3,0))</f>
        <v/>
      </c>
    </row>
    <row r="53">
      <c r="A53" t="inlineStr">
        <is>
          <t>DA-ROU Amortisation</t>
        </is>
      </c>
      <c r="B53" t="inlineStr">
        <is>
          <t>ROU Assets Depreciation</t>
        </is>
      </c>
      <c r="C53" t="inlineStr">
        <is>
          <t>AUDm</t>
        </is>
      </c>
      <c r="D53" s="19" t="n"/>
      <c r="E53" s="60" t="n">
        <v>-10.3</v>
      </c>
      <c r="F53" s="60" t="n">
        <v>-11.2</v>
      </c>
      <c r="G53" s="60" t="n">
        <v>-13.9</v>
      </c>
      <c r="H53" s="72">
        <f>INDEX('HY &amp; Segments'!$A:$AA,MATCH($A53,'HY &amp; Segments'!$A:$A,0),MATCH("1H"&amp;RIGHT(H$1,2),'HY &amp; Segments'!$3:$3,0))+INDEX('HY &amp; Segments'!$A:$AA,MATCH($A53,'HY &amp; Segments'!$A:$A,0),MATCH("2H"&amp;RIGHT(H$1,2),'HY &amp; Segments'!$3:$3,0))</f>
        <v/>
      </c>
      <c r="I53" s="72">
        <f>INDEX('HY &amp; Segments'!$A:$AA,MATCH($A53,'HY &amp; Segments'!$A:$A,0),MATCH("1H"&amp;RIGHT(I$1,2),'HY &amp; Segments'!$3:$3,0))+INDEX('HY &amp; Segments'!$A:$AA,MATCH($A53,'HY &amp; Segments'!$A:$A,0),MATCH("2H"&amp;RIGHT(I$1,2),'HY &amp; Segments'!$3:$3,0))</f>
        <v/>
      </c>
      <c r="J53" s="72">
        <f>INDEX('HY &amp; Segments'!$A:$AA,MATCH($A53,'HY &amp; Segments'!$A:$A,0),MATCH("1H"&amp;RIGHT(J$1,2),'HY &amp; Segments'!$3:$3,0))+INDEX('HY &amp; Segments'!$A:$AA,MATCH($A53,'HY &amp; Segments'!$A:$A,0),MATCH("2H"&amp;RIGHT(J$1,2),'HY &amp; Segments'!$3:$3,0))</f>
        <v/>
      </c>
      <c r="K53" s="72">
        <f>INDEX('HY &amp; Segments'!$A:$AA,MATCH($A53,'HY &amp; Segments'!$A:$A,0),MATCH("1H"&amp;RIGHT(K$1,2),'HY &amp; Segments'!$3:$3,0))+INDEX('HY &amp; Segments'!$A:$AA,MATCH($A53,'HY &amp; Segments'!$A:$A,0),MATCH("2H"&amp;RIGHT(K$1,2),'HY &amp; Segments'!$3:$3,0))</f>
        <v/>
      </c>
      <c r="L53" s="72">
        <f>INDEX('HY &amp; Segments'!$A:$AA,MATCH($A53,'HY &amp; Segments'!$A:$A,0),MATCH("1H"&amp;RIGHT(L$1,2),'HY &amp; Segments'!$3:$3,0))+INDEX('HY &amp; Segments'!$A:$AA,MATCH($A53,'HY &amp; Segments'!$A:$A,0),MATCH("2H"&amp;RIGHT(L$1,2),'HY &amp; Segments'!$3:$3,0))</f>
        <v/>
      </c>
      <c r="M53" s="72">
        <f>INDEX('HY &amp; Segments'!$A:$AA,MATCH($A53,'HY &amp; Segments'!$A:$A,0),MATCH("1H"&amp;RIGHT(M$1,2),'HY &amp; Segments'!$3:$3,0))+INDEX('HY &amp; Segments'!$A:$AA,MATCH($A53,'HY &amp; Segments'!$A:$A,0),MATCH("2H"&amp;RIGHT(M$1,2),'HY &amp; Segments'!$3:$3,0))</f>
        <v/>
      </c>
      <c r="N53" s="72">
        <f>INDEX('HY &amp; Segments'!$A:$AA,MATCH($A53,'HY &amp; Segments'!$A:$A,0),MATCH("1H"&amp;RIGHT(N$1,2),'HY &amp; Segments'!$3:$3,0))+INDEX('HY &amp; Segments'!$A:$AA,MATCH($A53,'HY &amp; Segments'!$A:$A,0),MATCH("2H"&amp;RIGHT(N$1,2),'HY &amp; Segments'!$3:$3,0))</f>
        <v/>
      </c>
      <c r="O53" s="72">
        <f>INDEX('HY &amp; Segments'!$A:$AA,MATCH($A53,'HY &amp; Segments'!$A:$A,0),MATCH("1H"&amp;RIGHT(O$1,2),'HY &amp; Segments'!$3:$3,0))+INDEX('HY &amp; Segments'!$A:$AA,MATCH($A53,'HY &amp; Segments'!$A:$A,0),MATCH("2H"&amp;RIGHT(O$1,2),'HY &amp; Segments'!$3:$3,0))</f>
        <v/>
      </c>
      <c r="P53" s="72">
        <f>INDEX('HY &amp; Segments'!$A:$AA,MATCH($A53,'HY &amp; Segments'!$A:$A,0),MATCH("1H"&amp;RIGHT(P$1,2),'HY &amp; Segments'!$3:$3,0))+INDEX('HY &amp; Segments'!$A:$AA,MATCH($A53,'HY &amp; Segments'!$A:$A,0),MATCH("2H"&amp;RIGHT(P$1,2),'HY &amp; Segments'!$3:$3,0))</f>
        <v/>
      </c>
      <c r="Q53" s="72">
        <f>INDEX('HY &amp; Segments'!$A:$AA,MATCH($A53,'HY &amp; Segments'!$A:$A,0),MATCH("1H"&amp;RIGHT(Q$1,2),'HY &amp; Segments'!$3:$3,0))+INDEX('HY &amp; Segments'!$A:$AA,MATCH($A53,'HY &amp; Segments'!$A:$A,0),MATCH("2H"&amp;RIGHT(Q$1,2),'HY &amp; Segments'!$3:$3,0))</f>
        <v/>
      </c>
    </row>
    <row r="54">
      <c r="A54" t="inlineStr">
        <is>
          <t>DA-Reacq Amort</t>
        </is>
      </c>
      <c r="B54" t="inlineStr">
        <is>
          <t>Amortisation of Reacquired Rights</t>
        </is>
      </c>
      <c r="C54" t="inlineStr">
        <is>
          <t>AUDm</t>
        </is>
      </c>
      <c r="D54" s="19" t="n"/>
      <c r="E54" s="60" t="n">
        <v>-2.7</v>
      </c>
      <c r="F54" s="60" t="n">
        <v>-2.9</v>
      </c>
      <c r="G54" s="60" t="n">
        <v>-3.7</v>
      </c>
      <c r="H54" s="72">
        <f>INDEX('HY &amp; Segments'!$A:$AA,MATCH($A54,'HY &amp; Segments'!$A:$A,0),MATCH("1H"&amp;RIGHT(H$1,2),'HY &amp; Segments'!$3:$3,0))+INDEX('HY &amp; Segments'!$A:$AA,MATCH($A54,'HY &amp; Segments'!$A:$A,0),MATCH("2H"&amp;RIGHT(H$1,2),'HY &amp; Segments'!$3:$3,0))</f>
        <v/>
      </c>
      <c r="I54" s="72">
        <f>INDEX('HY &amp; Segments'!$A:$AA,MATCH($A54,'HY &amp; Segments'!$A:$A,0),MATCH("1H"&amp;RIGHT(I$1,2),'HY &amp; Segments'!$3:$3,0))+INDEX('HY &amp; Segments'!$A:$AA,MATCH($A54,'HY &amp; Segments'!$A:$A,0),MATCH("2H"&amp;RIGHT(I$1,2),'HY &amp; Segments'!$3:$3,0))</f>
        <v/>
      </c>
      <c r="J54" s="72">
        <f>INDEX('HY &amp; Segments'!$A:$AA,MATCH($A54,'HY &amp; Segments'!$A:$A,0),MATCH("1H"&amp;RIGHT(J$1,2),'HY &amp; Segments'!$3:$3,0))+INDEX('HY &amp; Segments'!$A:$AA,MATCH($A54,'HY &amp; Segments'!$A:$A,0),MATCH("2H"&amp;RIGHT(J$1,2),'HY &amp; Segments'!$3:$3,0))</f>
        <v/>
      </c>
      <c r="K54" s="72">
        <f>INDEX('HY &amp; Segments'!$A:$AA,MATCH($A54,'HY &amp; Segments'!$A:$A,0),MATCH("1H"&amp;RIGHT(K$1,2),'HY &amp; Segments'!$3:$3,0))+INDEX('HY &amp; Segments'!$A:$AA,MATCH($A54,'HY &amp; Segments'!$A:$A,0),MATCH("2H"&amp;RIGHT(K$1,2),'HY &amp; Segments'!$3:$3,0))</f>
        <v/>
      </c>
      <c r="L54" s="72">
        <f>INDEX('HY &amp; Segments'!$A:$AA,MATCH($A54,'HY &amp; Segments'!$A:$A,0),MATCH("1H"&amp;RIGHT(L$1,2),'HY &amp; Segments'!$3:$3,0))+INDEX('HY &amp; Segments'!$A:$AA,MATCH($A54,'HY &amp; Segments'!$A:$A,0),MATCH("2H"&amp;RIGHT(L$1,2),'HY &amp; Segments'!$3:$3,0))</f>
        <v/>
      </c>
      <c r="M54" s="72">
        <f>INDEX('HY &amp; Segments'!$A:$AA,MATCH($A54,'HY &amp; Segments'!$A:$A,0),MATCH("1H"&amp;RIGHT(M$1,2),'HY &amp; Segments'!$3:$3,0))+INDEX('HY &amp; Segments'!$A:$AA,MATCH($A54,'HY &amp; Segments'!$A:$A,0),MATCH("2H"&amp;RIGHT(M$1,2),'HY &amp; Segments'!$3:$3,0))</f>
        <v/>
      </c>
      <c r="N54" s="72">
        <f>INDEX('HY &amp; Segments'!$A:$AA,MATCH($A54,'HY &amp; Segments'!$A:$A,0),MATCH("1H"&amp;RIGHT(N$1,2),'HY &amp; Segments'!$3:$3,0))+INDEX('HY &amp; Segments'!$A:$AA,MATCH($A54,'HY &amp; Segments'!$A:$A,0),MATCH("2H"&amp;RIGHT(N$1,2),'HY &amp; Segments'!$3:$3,0))</f>
        <v/>
      </c>
      <c r="O54" s="72">
        <f>INDEX('HY &amp; Segments'!$A:$AA,MATCH($A54,'HY &amp; Segments'!$A:$A,0),MATCH("1H"&amp;RIGHT(O$1,2),'HY &amp; Segments'!$3:$3,0))+INDEX('HY &amp; Segments'!$A:$AA,MATCH($A54,'HY &amp; Segments'!$A:$A,0),MATCH("2H"&amp;RIGHT(O$1,2),'HY &amp; Segments'!$3:$3,0))</f>
        <v/>
      </c>
      <c r="P54" s="72">
        <f>INDEX('HY &amp; Segments'!$A:$AA,MATCH($A54,'HY &amp; Segments'!$A:$A,0),MATCH("1H"&amp;RIGHT(P$1,2),'HY &amp; Segments'!$3:$3,0))+INDEX('HY &amp; Segments'!$A:$AA,MATCH($A54,'HY &amp; Segments'!$A:$A,0),MATCH("2H"&amp;RIGHT(P$1,2),'HY &amp; Segments'!$3:$3,0))</f>
        <v/>
      </c>
      <c r="Q54" s="72">
        <f>INDEX('HY &amp; Segments'!$A:$AA,MATCH($A54,'HY &amp; Segments'!$A:$A,0),MATCH("1H"&amp;RIGHT(Q$1,2),'HY &amp; Segments'!$3:$3,0))+INDEX('HY &amp; Segments'!$A:$AA,MATCH($A54,'HY &amp; Segments'!$A:$A,0),MATCH("2H"&amp;RIGHT(Q$1,2),'HY &amp; Segments'!$3:$3,0))</f>
        <v/>
      </c>
    </row>
    <row r="55">
      <c r="A55" t="inlineStr">
        <is>
          <t>DA-Other Amort</t>
        </is>
      </c>
      <c r="B55" t="inlineStr">
        <is>
          <t>Other Amortisation</t>
        </is>
      </c>
      <c r="C55" t="inlineStr">
        <is>
          <t>AUDm</t>
        </is>
      </c>
      <c r="D55" s="19" t="n"/>
      <c r="E55" s="60" t="n">
        <v>-4.1</v>
      </c>
      <c r="F55" s="60" t="n">
        <v>-4</v>
      </c>
      <c r="G55" s="60" t="n">
        <v>-2.8</v>
      </c>
      <c r="H55" s="72">
        <f>INDEX('HY &amp; Segments'!$A:$AA,MATCH($A55,'HY &amp; Segments'!$A:$A,0),MATCH("1H"&amp;RIGHT(H$1,2),'HY &amp; Segments'!$3:$3,0))+INDEX('HY &amp; Segments'!$A:$AA,MATCH($A55,'HY &amp; Segments'!$A:$A,0),MATCH("2H"&amp;RIGHT(H$1,2),'HY &amp; Segments'!$3:$3,0))</f>
        <v/>
      </c>
      <c r="I55" s="72">
        <f>INDEX('HY &amp; Segments'!$A:$AA,MATCH($A55,'HY &amp; Segments'!$A:$A,0),MATCH("1H"&amp;RIGHT(I$1,2),'HY &amp; Segments'!$3:$3,0))+INDEX('HY &amp; Segments'!$A:$AA,MATCH($A55,'HY &amp; Segments'!$A:$A,0),MATCH("2H"&amp;RIGHT(I$1,2),'HY &amp; Segments'!$3:$3,0))</f>
        <v/>
      </c>
      <c r="J55" s="72">
        <f>INDEX('HY &amp; Segments'!$A:$AA,MATCH($A55,'HY &amp; Segments'!$A:$A,0),MATCH("1H"&amp;RIGHT(J$1,2),'HY &amp; Segments'!$3:$3,0))+INDEX('HY &amp; Segments'!$A:$AA,MATCH($A55,'HY &amp; Segments'!$A:$A,0),MATCH("2H"&amp;RIGHT(J$1,2),'HY &amp; Segments'!$3:$3,0))</f>
        <v/>
      </c>
      <c r="K55" s="72">
        <f>INDEX('HY &amp; Segments'!$A:$AA,MATCH($A55,'HY &amp; Segments'!$A:$A,0),MATCH("1H"&amp;RIGHT(K$1,2),'HY &amp; Segments'!$3:$3,0))+INDEX('HY &amp; Segments'!$A:$AA,MATCH($A55,'HY &amp; Segments'!$A:$A,0),MATCH("2H"&amp;RIGHT(K$1,2),'HY &amp; Segments'!$3:$3,0))</f>
        <v/>
      </c>
      <c r="L55" s="72">
        <f>INDEX('HY &amp; Segments'!$A:$AA,MATCH($A55,'HY &amp; Segments'!$A:$A,0),MATCH("1H"&amp;RIGHT(L$1,2),'HY &amp; Segments'!$3:$3,0))+INDEX('HY &amp; Segments'!$A:$AA,MATCH($A55,'HY &amp; Segments'!$A:$A,0),MATCH("2H"&amp;RIGHT(L$1,2),'HY &amp; Segments'!$3:$3,0))</f>
        <v/>
      </c>
      <c r="M55" s="72">
        <f>INDEX('HY &amp; Segments'!$A:$AA,MATCH($A55,'HY &amp; Segments'!$A:$A,0),MATCH("1H"&amp;RIGHT(M$1,2),'HY &amp; Segments'!$3:$3,0))+INDEX('HY &amp; Segments'!$A:$AA,MATCH($A55,'HY &amp; Segments'!$A:$A,0),MATCH("2H"&amp;RIGHT(M$1,2),'HY &amp; Segments'!$3:$3,0))</f>
        <v/>
      </c>
      <c r="N55" s="72">
        <f>INDEX('HY &amp; Segments'!$A:$AA,MATCH($A55,'HY &amp; Segments'!$A:$A,0),MATCH("1H"&amp;RIGHT(N$1,2),'HY &amp; Segments'!$3:$3,0))+INDEX('HY &amp; Segments'!$A:$AA,MATCH($A55,'HY &amp; Segments'!$A:$A,0),MATCH("2H"&amp;RIGHT(N$1,2),'HY &amp; Segments'!$3:$3,0))</f>
        <v/>
      </c>
      <c r="O55" s="72">
        <f>INDEX('HY &amp; Segments'!$A:$AA,MATCH($A55,'HY &amp; Segments'!$A:$A,0),MATCH("1H"&amp;RIGHT(O$1,2),'HY &amp; Segments'!$3:$3,0))+INDEX('HY &amp; Segments'!$A:$AA,MATCH($A55,'HY &amp; Segments'!$A:$A,0),MATCH("2H"&amp;RIGHT(O$1,2),'HY &amp; Segments'!$3:$3,0))</f>
        <v/>
      </c>
      <c r="P55" s="72">
        <f>INDEX('HY &amp; Segments'!$A:$AA,MATCH($A55,'HY &amp; Segments'!$A:$A,0),MATCH("1H"&amp;RIGHT(P$1,2),'HY &amp; Segments'!$3:$3,0))+INDEX('HY &amp; Segments'!$A:$AA,MATCH($A55,'HY &amp; Segments'!$A:$A,0),MATCH("2H"&amp;RIGHT(P$1,2),'HY &amp; Segments'!$3:$3,0))</f>
        <v/>
      </c>
      <c r="Q55" s="72">
        <f>INDEX('HY &amp; Segments'!$A:$AA,MATCH($A55,'HY &amp; Segments'!$A:$A,0),MATCH("1H"&amp;RIGHT(Q$1,2),'HY &amp; Segments'!$3:$3,0))+INDEX('HY &amp; Segments'!$A:$AA,MATCH($A55,'HY &amp; Segments'!$A:$A,0),MATCH("2H"&amp;RIGHT(Q$1,2),'HY &amp; Segments'!$3:$3,0))</f>
        <v/>
      </c>
    </row>
    <row r="56">
      <c r="A56" t="inlineStr">
        <is>
          <t>DA-Total DA</t>
        </is>
      </c>
      <c r="B56" s="20" t="inlineStr">
        <is>
          <t>Total D&amp;A</t>
        </is>
      </c>
      <c r="C56" s="20" t="inlineStr">
        <is>
          <t>AUDm</t>
        </is>
      </c>
      <c r="D56" s="62" t="n">
        <v>-14.4</v>
      </c>
      <c r="E56" s="21">
        <f>SUM(E52:E55)</f>
        <v/>
      </c>
      <c r="F56" s="21">
        <f>SUM(F52:F55)</f>
        <v/>
      </c>
      <c r="G56" s="21">
        <f>SUM(G52:G55)</f>
        <v/>
      </c>
      <c r="H56" s="82">
        <f>SUM(H52:H55)</f>
        <v/>
      </c>
      <c r="I56" s="82">
        <f>SUM(I52:I55)</f>
        <v/>
      </c>
      <c r="J56" s="82">
        <f>SUM(J52:J55)</f>
        <v/>
      </c>
      <c r="K56" s="82">
        <f>SUM(K52:K55)</f>
        <v/>
      </c>
      <c r="L56" s="82">
        <f>SUM(L52:L55)</f>
        <v/>
      </c>
      <c r="M56" s="82">
        <f>SUM(M52:M55)</f>
        <v/>
      </c>
      <c r="N56" s="82">
        <f>SUM(N52:N55)</f>
        <v/>
      </c>
      <c r="O56" s="82">
        <f>SUM(O52:O55)</f>
        <v/>
      </c>
      <c r="P56" s="82">
        <f>SUM(P52:P55)</f>
        <v/>
      </c>
      <c r="Q56" s="82">
        <f>SUM(Q52:Q55)</f>
        <v/>
      </c>
    </row>
    <row r="57">
      <c r="B57" t="inlineStr">
        <is>
          <t>D&amp;A / Revenue</t>
        </is>
      </c>
      <c r="C57" t="inlineStr">
        <is>
          <t>%</t>
        </is>
      </c>
      <c r="D57" s="6" t="n"/>
      <c r="E57" s="6" t="n"/>
      <c r="F57" s="6" t="n"/>
      <c r="G57" s="6" t="n"/>
      <c r="H57" s="83">
        <f>IF(H11+H18=0,"",H56/(H11+H18))</f>
        <v/>
      </c>
      <c r="I57" s="83">
        <f>IF(I11+I18=0,"",I56/(I11+I18))</f>
        <v/>
      </c>
      <c r="J57" s="83">
        <f>IF(J11+J18=0,"",J56/(J11+J18))</f>
        <v/>
      </c>
      <c r="K57" s="83">
        <f>IF(K11+K18=0,"",K56/(K11+K18))</f>
        <v/>
      </c>
      <c r="L57" s="83">
        <f>IF(L11+L18=0,"",L56/(L11+L18))</f>
        <v/>
      </c>
      <c r="M57" s="83">
        <f>IF(M11+M18=0,"",M56/(M11+M18))</f>
        <v/>
      </c>
      <c r="N57" s="83">
        <f>IF(N11+N18=0,"",N56/(N11+N18))</f>
        <v/>
      </c>
      <c r="O57" s="83">
        <f>IF(O11+O18=0,"",O56/(O11+O18))</f>
        <v/>
      </c>
      <c r="P57" s="83">
        <f>IF(P11+P18=0,"",P56/(P11+P18))</f>
        <v/>
      </c>
      <c r="Q57" s="83">
        <f>IF(Q11+Q18=0,"",Q56/(Q11+Q18))</f>
        <v/>
      </c>
    </row>
    <row r="58">
      <c r="B58" s="49" t="inlineStr">
        <is>
          <t>Avg Lease Life</t>
        </is>
      </c>
      <c r="C58" s="49" t="inlineStr">
        <is>
          <t>years</t>
        </is>
      </c>
      <c r="D58" s="49" t="n"/>
      <c r="E58" s="49" t="n"/>
      <c r="F58" s="50" t="n"/>
      <c r="G58" s="50" t="n"/>
      <c r="H58" s="85" t="n">
        <v>9</v>
      </c>
      <c r="I58" s="85">
        <f>H58</f>
        <v/>
      </c>
      <c r="J58" s="85">
        <f>I58</f>
        <v/>
      </c>
      <c r="K58" s="85">
        <f>J58</f>
        <v/>
      </c>
      <c r="L58" s="85">
        <f>K58</f>
        <v/>
      </c>
      <c r="M58" s="85">
        <f>L58</f>
        <v/>
      </c>
      <c r="N58" s="85">
        <f>M58</f>
        <v/>
      </c>
      <c r="O58" s="85">
        <f>N58</f>
        <v/>
      </c>
      <c r="P58" s="85">
        <f>O58</f>
        <v/>
      </c>
      <c r="Q58" s="85">
        <f>P58</f>
        <v/>
      </c>
    </row>
    <row r="59">
      <c r="B59" s="5" t="inlineStr">
        <is>
          <t>EBIT</t>
        </is>
      </c>
    </row>
    <row r="60">
      <c r="A60" t="inlineStr">
        <is>
          <t>EBIT-Underlying EBIT</t>
        </is>
      </c>
      <c r="B60" s="20" t="inlineStr">
        <is>
          <t>Underlying EBIT</t>
        </is>
      </c>
      <c r="C60" s="20" t="inlineStr">
        <is>
          <t>AUDm</t>
        </is>
      </c>
      <c r="D60" s="21">
        <f>D38+D56</f>
        <v/>
      </c>
      <c r="E60" s="21">
        <f>E38+E56</f>
        <v/>
      </c>
      <c r="F60" s="21">
        <f>F38+F56</f>
        <v/>
      </c>
      <c r="G60" s="21">
        <f>G38+G56</f>
        <v/>
      </c>
      <c r="H60" s="82">
        <f>H38+H56</f>
        <v/>
      </c>
      <c r="I60" s="82">
        <f>I38+I56</f>
        <v/>
      </c>
      <c r="J60" s="82">
        <f>J38+J56</f>
        <v/>
      </c>
      <c r="K60" s="82">
        <f>K38+K56</f>
        <v/>
      </c>
      <c r="L60" s="82">
        <f>L38+L56</f>
        <v/>
      </c>
      <c r="M60" s="82">
        <f>M38+M56</f>
        <v/>
      </c>
      <c r="N60" s="82">
        <f>N38+N56</f>
        <v/>
      </c>
      <c r="O60" s="82">
        <f>O38+O56</f>
        <v/>
      </c>
      <c r="P60" s="82">
        <f>P38+P56</f>
        <v/>
      </c>
      <c r="Q60" s="82">
        <f>Q38+Q56</f>
        <v/>
      </c>
    </row>
    <row r="61">
      <c r="B61" t="inlineStr">
        <is>
          <t>EBIT Growth</t>
        </is>
      </c>
      <c r="C61" t="inlineStr">
        <is>
          <t>% YoY</t>
        </is>
      </c>
      <c r="D61" s="6" t="n"/>
      <c r="E61" s="6">
        <f>IF(D60=0,"",E60/D60-1)</f>
        <v/>
      </c>
      <c r="F61" s="6">
        <f>IF(E60=0,"",F60/E60-1)</f>
        <v/>
      </c>
      <c r="G61" s="6">
        <f>IF(F60=0,"",G60/F60-1)</f>
        <v/>
      </c>
      <c r="H61" s="83">
        <f>IF(G60=0,"",H60/G60-1)</f>
        <v/>
      </c>
      <c r="I61" s="83">
        <f>IF(H60=0,"",I60/H60-1)</f>
        <v/>
      </c>
      <c r="J61" s="83">
        <f>IF(I60=0,"",J60/I60-1)</f>
        <v/>
      </c>
      <c r="K61" s="83">
        <f>IF(J60=0,"",K60/J60-1)</f>
        <v/>
      </c>
      <c r="L61" s="83">
        <f>IF(K60=0,"",L60/K60-1)</f>
        <v/>
      </c>
      <c r="M61" s="83">
        <f>IF(L60=0,"",M60/L60-1)</f>
        <v/>
      </c>
      <c r="N61" s="83">
        <f>IF(M60=0,"",N60/M60-1)</f>
        <v/>
      </c>
      <c r="O61" s="83">
        <f>IF(N60=0,"",O60/N60-1)</f>
        <v/>
      </c>
      <c r="P61" s="83">
        <f>IF(O60=0,"",P60/O60-1)</f>
        <v/>
      </c>
      <c r="Q61" s="83">
        <f>IF(P60=0,"",Q60/P60-1)</f>
        <v/>
      </c>
    </row>
    <row r="62">
      <c r="B62" t="inlineStr">
        <is>
          <t>EBIT Margin</t>
        </is>
      </c>
      <c r="C62" t="inlineStr">
        <is>
          <t>%</t>
        </is>
      </c>
      <c r="D62" s="6">
        <f>IF(D11+D18=0,"",D60/(D11+D18))</f>
        <v/>
      </c>
      <c r="E62" s="6">
        <f>IF(E11+E18=0,"",E60/(E11+E18))</f>
        <v/>
      </c>
      <c r="F62" s="6">
        <f>IF(F11+F18=0,"",F60/(F11+F18))</f>
        <v/>
      </c>
      <c r="G62" s="6">
        <f>IF(G11+G18=0,"",G60/(G11+G18))</f>
        <v/>
      </c>
      <c r="H62" s="83">
        <f>IF(H11+H18=0,"",H60/(H11+H18))</f>
        <v/>
      </c>
      <c r="I62" s="83">
        <f>IF(I11+I18=0,"",I60/(I11+I18))</f>
        <v/>
      </c>
      <c r="J62" s="83">
        <f>IF(J11+J18=0,"",J60/(J11+J18))</f>
        <v/>
      </c>
      <c r="K62" s="83">
        <f>IF(K11+K18=0,"",K60/(K11+K18))</f>
        <v/>
      </c>
      <c r="L62" s="83">
        <f>IF(L11+L18=0,"",L60/(L11+L18))</f>
        <v/>
      </c>
      <c r="M62" s="83">
        <f>IF(M11+M18=0,"",M60/(M11+M18))</f>
        <v/>
      </c>
      <c r="N62" s="83">
        <f>IF(N11+N18=0,"",N60/(N11+N18))</f>
        <v/>
      </c>
      <c r="O62" s="83">
        <f>IF(O11+O18=0,"",O60/(O11+O18))</f>
        <v/>
      </c>
      <c r="P62" s="83">
        <f>IF(P11+P18=0,"",P60/(P11+P18))</f>
        <v/>
      </c>
      <c r="Q62" s="83">
        <f>IF(Q11+Q18=0,"",Q60/(Q11+Q18))</f>
        <v/>
      </c>
    </row>
    <row r="63"/>
    <row r="64">
      <c r="B64" s="5" t="inlineStr">
        <is>
          <t>Finance Income / Costs</t>
        </is>
      </c>
    </row>
    <row r="65">
      <c r="A65" t="inlineStr">
        <is>
          <t>Int-Term Deposit</t>
        </is>
      </c>
      <c r="B65" t="inlineStr">
        <is>
          <t>Term Deposit Interest</t>
        </is>
      </c>
      <c r="C65" t="inlineStr">
        <is>
          <t>AUDm</t>
        </is>
      </c>
      <c r="D65" s="19" t="n"/>
      <c r="E65" s="19" t="n"/>
      <c r="F65" s="60" t="n">
        <v>1.1</v>
      </c>
      <c r="G65" s="60" t="n">
        <v>12.5</v>
      </c>
      <c r="H65" s="72">
        <f>INDEX('HY &amp; Segments'!$A:$AA,MATCH($A65,'HY &amp; Segments'!$A:$A,0),MATCH("1H"&amp;RIGHT(H$1,2),'HY &amp; Segments'!$3:$3,0))+INDEX('HY &amp; Segments'!$A:$AA,MATCH($A65,'HY &amp; Segments'!$A:$A,0),MATCH("2H"&amp;RIGHT(H$1,2),'HY &amp; Segments'!$3:$3,0))</f>
        <v/>
      </c>
      <c r="I65" s="72">
        <f>INDEX('HY &amp; Segments'!$A:$AA,MATCH($A65,'HY &amp; Segments'!$A:$A,0),MATCH("1H"&amp;RIGHT(I$1,2),'HY &amp; Segments'!$3:$3,0))+INDEX('HY &amp; Segments'!$A:$AA,MATCH($A65,'HY &amp; Segments'!$A:$A,0),MATCH("2H"&amp;RIGHT(I$1,2),'HY &amp; Segments'!$3:$3,0))</f>
        <v/>
      </c>
      <c r="J65" s="72">
        <f>INDEX('HY &amp; Segments'!$A:$AA,MATCH($A65,'HY &amp; Segments'!$A:$A,0),MATCH("1H"&amp;RIGHT(J$1,2),'HY &amp; Segments'!$3:$3,0))+INDEX('HY &amp; Segments'!$A:$AA,MATCH($A65,'HY &amp; Segments'!$A:$A,0),MATCH("2H"&amp;RIGHT(J$1,2),'HY &amp; Segments'!$3:$3,0))</f>
        <v/>
      </c>
      <c r="K65" s="72">
        <f>INDEX('HY &amp; Segments'!$A:$AA,MATCH($A65,'HY &amp; Segments'!$A:$A,0),MATCH("1H"&amp;RIGHT(K$1,2),'HY &amp; Segments'!$3:$3,0))+INDEX('HY &amp; Segments'!$A:$AA,MATCH($A65,'HY &amp; Segments'!$A:$A,0),MATCH("2H"&amp;RIGHT(K$1,2),'HY &amp; Segments'!$3:$3,0))</f>
        <v/>
      </c>
      <c r="L65" s="72">
        <f>INDEX('HY &amp; Segments'!$A:$AA,MATCH($A65,'HY &amp; Segments'!$A:$A,0),MATCH("1H"&amp;RIGHT(L$1,2),'HY &amp; Segments'!$3:$3,0))+INDEX('HY &amp; Segments'!$A:$AA,MATCH($A65,'HY &amp; Segments'!$A:$A,0),MATCH("2H"&amp;RIGHT(L$1,2),'HY &amp; Segments'!$3:$3,0))</f>
        <v/>
      </c>
      <c r="M65" s="72">
        <f>INDEX('HY &amp; Segments'!$A:$AA,MATCH($A65,'HY &amp; Segments'!$A:$A,0),MATCH("1H"&amp;RIGHT(M$1,2),'HY &amp; Segments'!$3:$3,0))+INDEX('HY &amp; Segments'!$A:$AA,MATCH($A65,'HY &amp; Segments'!$A:$A,0),MATCH("2H"&amp;RIGHT(M$1,2),'HY &amp; Segments'!$3:$3,0))</f>
        <v/>
      </c>
      <c r="N65" s="72">
        <f>INDEX('HY &amp; Segments'!$A:$AA,MATCH($A65,'HY &amp; Segments'!$A:$A,0),MATCH("1H"&amp;RIGHT(N$1,2),'HY &amp; Segments'!$3:$3,0))+INDEX('HY &amp; Segments'!$A:$AA,MATCH($A65,'HY &amp; Segments'!$A:$A,0),MATCH("2H"&amp;RIGHT(N$1,2),'HY &amp; Segments'!$3:$3,0))</f>
        <v/>
      </c>
      <c r="O65" s="72">
        <f>INDEX('HY &amp; Segments'!$A:$AA,MATCH($A65,'HY &amp; Segments'!$A:$A,0),MATCH("1H"&amp;RIGHT(O$1,2),'HY &amp; Segments'!$3:$3,0))+INDEX('HY &amp; Segments'!$A:$AA,MATCH($A65,'HY &amp; Segments'!$A:$A,0),MATCH("2H"&amp;RIGHT(O$1,2),'HY &amp; Segments'!$3:$3,0))</f>
        <v/>
      </c>
      <c r="P65" s="72">
        <f>INDEX('HY &amp; Segments'!$A:$AA,MATCH($A65,'HY &amp; Segments'!$A:$A,0),MATCH("1H"&amp;RIGHT(P$1,2),'HY &amp; Segments'!$3:$3,0))+INDEX('HY &amp; Segments'!$A:$AA,MATCH($A65,'HY &amp; Segments'!$A:$A,0),MATCH("2H"&amp;RIGHT(P$1,2),'HY &amp; Segments'!$3:$3,0))</f>
        <v/>
      </c>
      <c r="Q65" s="72">
        <f>INDEX('HY &amp; Segments'!$A:$AA,MATCH($A65,'HY &amp; Segments'!$A:$A,0),MATCH("1H"&amp;RIGHT(Q$1,2),'HY &amp; Segments'!$3:$3,0))+INDEX('HY &amp; Segments'!$A:$AA,MATCH($A65,'HY &amp; Segments'!$A:$A,0),MATCH("2H"&amp;RIGHT(Q$1,2),'HY &amp; Segments'!$3:$3,0))</f>
        <v/>
      </c>
    </row>
    <row r="66">
      <c r="A66" t="inlineStr">
        <is>
          <t>Int-Lease Receivable</t>
        </is>
      </c>
      <c r="B66" t="inlineStr">
        <is>
          <t>Lease Receivable Interest</t>
        </is>
      </c>
      <c r="C66" t="inlineStr">
        <is>
          <t>AUDm</t>
        </is>
      </c>
      <c r="D66" s="19" t="n"/>
      <c r="E66" s="60" t="n">
        <v>3.6</v>
      </c>
      <c r="F66" s="60" t="n">
        <v>4.8</v>
      </c>
      <c r="G66" s="60" t="n">
        <v>10</v>
      </c>
      <c r="H66" s="72">
        <f>INDEX('HY &amp; Segments'!$A:$AA,MATCH($A66,'HY &amp; Segments'!$A:$A,0),MATCH("1H"&amp;RIGHT(H$1,2),'HY &amp; Segments'!$3:$3,0))+INDEX('HY &amp; Segments'!$A:$AA,MATCH($A66,'HY &amp; Segments'!$A:$A,0),MATCH("2H"&amp;RIGHT(H$1,2),'HY &amp; Segments'!$3:$3,0))</f>
        <v/>
      </c>
      <c r="I66" s="72">
        <f>INDEX('HY &amp; Segments'!$A:$AA,MATCH($A66,'HY &amp; Segments'!$A:$A,0),MATCH("1H"&amp;RIGHT(I$1,2),'HY &amp; Segments'!$3:$3,0))+INDEX('HY &amp; Segments'!$A:$AA,MATCH($A66,'HY &amp; Segments'!$A:$A,0),MATCH("2H"&amp;RIGHT(I$1,2),'HY &amp; Segments'!$3:$3,0))</f>
        <v/>
      </c>
      <c r="J66" s="72">
        <f>INDEX('HY &amp; Segments'!$A:$AA,MATCH($A66,'HY &amp; Segments'!$A:$A,0),MATCH("1H"&amp;RIGHT(J$1,2),'HY &amp; Segments'!$3:$3,0))+INDEX('HY &amp; Segments'!$A:$AA,MATCH($A66,'HY &amp; Segments'!$A:$A,0),MATCH("2H"&amp;RIGHT(J$1,2),'HY &amp; Segments'!$3:$3,0))</f>
        <v/>
      </c>
      <c r="K66" s="72">
        <f>INDEX('HY &amp; Segments'!$A:$AA,MATCH($A66,'HY &amp; Segments'!$A:$A,0),MATCH("1H"&amp;RIGHT(K$1,2),'HY &amp; Segments'!$3:$3,0))+INDEX('HY &amp; Segments'!$A:$AA,MATCH($A66,'HY &amp; Segments'!$A:$A,0),MATCH("2H"&amp;RIGHT(K$1,2),'HY &amp; Segments'!$3:$3,0))</f>
        <v/>
      </c>
      <c r="L66" s="72">
        <f>INDEX('HY &amp; Segments'!$A:$AA,MATCH($A66,'HY &amp; Segments'!$A:$A,0),MATCH("1H"&amp;RIGHT(L$1,2),'HY &amp; Segments'!$3:$3,0))+INDEX('HY &amp; Segments'!$A:$AA,MATCH($A66,'HY &amp; Segments'!$A:$A,0),MATCH("2H"&amp;RIGHT(L$1,2),'HY &amp; Segments'!$3:$3,0))</f>
        <v/>
      </c>
      <c r="M66" s="72">
        <f>INDEX('HY &amp; Segments'!$A:$AA,MATCH($A66,'HY &amp; Segments'!$A:$A,0),MATCH("1H"&amp;RIGHT(M$1,2),'HY &amp; Segments'!$3:$3,0))+INDEX('HY &amp; Segments'!$A:$AA,MATCH($A66,'HY &amp; Segments'!$A:$A,0),MATCH("2H"&amp;RIGHT(M$1,2),'HY &amp; Segments'!$3:$3,0))</f>
        <v/>
      </c>
      <c r="N66" s="72">
        <f>INDEX('HY &amp; Segments'!$A:$AA,MATCH($A66,'HY &amp; Segments'!$A:$A,0),MATCH("1H"&amp;RIGHT(N$1,2),'HY &amp; Segments'!$3:$3,0))+INDEX('HY &amp; Segments'!$A:$AA,MATCH($A66,'HY &amp; Segments'!$A:$A,0),MATCH("2H"&amp;RIGHT(N$1,2),'HY &amp; Segments'!$3:$3,0))</f>
        <v/>
      </c>
      <c r="O66" s="72">
        <f>INDEX('HY &amp; Segments'!$A:$AA,MATCH($A66,'HY &amp; Segments'!$A:$A,0),MATCH("1H"&amp;RIGHT(O$1,2),'HY &amp; Segments'!$3:$3,0))+INDEX('HY &amp; Segments'!$A:$AA,MATCH($A66,'HY &amp; Segments'!$A:$A,0),MATCH("2H"&amp;RIGHT(O$1,2),'HY &amp; Segments'!$3:$3,0))</f>
        <v/>
      </c>
      <c r="P66" s="72">
        <f>INDEX('HY &amp; Segments'!$A:$AA,MATCH($A66,'HY &amp; Segments'!$A:$A,0),MATCH("1H"&amp;RIGHT(P$1,2),'HY &amp; Segments'!$3:$3,0))+INDEX('HY &amp; Segments'!$A:$AA,MATCH($A66,'HY &amp; Segments'!$A:$A,0),MATCH("2H"&amp;RIGHT(P$1,2),'HY &amp; Segments'!$3:$3,0))</f>
        <v/>
      </c>
      <c r="Q66" s="72">
        <f>INDEX('HY &amp; Segments'!$A:$AA,MATCH($A66,'HY &amp; Segments'!$A:$A,0),MATCH("1H"&amp;RIGHT(Q$1,2),'HY &amp; Segments'!$3:$3,0))+INDEX('HY &amp; Segments'!$A:$AA,MATCH($A66,'HY &amp; Segments'!$A:$A,0),MATCH("2H"&amp;RIGHT(Q$1,2),'HY &amp; Segments'!$3:$3,0))</f>
        <v/>
      </c>
    </row>
    <row r="67">
      <c r="A67" t="inlineStr">
        <is>
          <t>Int-Other Income</t>
        </is>
      </c>
      <c r="B67" t="inlineStr">
        <is>
          <t>Other Finance Income</t>
        </is>
      </c>
      <c r="C67" t="inlineStr">
        <is>
          <t>AUDm</t>
        </is>
      </c>
      <c r="D67" s="60" t="n">
        <v>4.4</v>
      </c>
      <c r="E67" s="60" t="n">
        <v>1</v>
      </c>
      <c r="F67" s="60" t="n">
        <v>1.1</v>
      </c>
      <c r="G67" s="60" t="n">
        <v>0.1</v>
      </c>
      <c r="H67" s="72">
        <f>INDEX('HY &amp; Segments'!$A:$AA,MATCH($A67,'HY &amp; Segments'!$A:$A,0),MATCH("1H"&amp;RIGHT(H$1,2),'HY &amp; Segments'!$3:$3,0))+INDEX('HY &amp; Segments'!$A:$AA,MATCH($A67,'HY &amp; Segments'!$A:$A,0),MATCH("2H"&amp;RIGHT(H$1,2),'HY &amp; Segments'!$3:$3,0))</f>
        <v/>
      </c>
      <c r="I67" s="72">
        <f>INDEX('HY &amp; Segments'!$A:$AA,MATCH($A67,'HY &amp; Segments'!$A:$A,0),MATCH("1H"&amp;RIGHT(I$1,2),'HY &amp; Segments'!$3:$3,0))+INDEX('HY &amp; Segments'!$A:$AA,MATCH($A67,'HY &amp; Segments'!$A:$A,0),MATCH("2H"&amp;RIGHT(I$1,2),'HY &amp; Segments'!$3:$3,0))</f>
        <v/>
      </c>
      <c r="J67" s="72">
        <f>INDEX('HY &amp; Segments'!$A:$AA,MATCH($A67,'HY &amp; Segments'!$A:$A,0),MATCH("1H"&amp;RIGHT(J$1,2),'HY &amp; Segments'!$3:$3,0))+INDEX('HY &amp; Segments'!$A:$AA,MATCH($A67,'HY &amp; Segments'!$A:$A,0),MATCH("2H"&amp;RIGHT(J$1,2),'HY &amp; Segments'!$3:$3,0))</f>
        <v/>
      </c>
      <c r="K67" s="72">
        <f>INDEX('HY &amp; Segments'!$A:$AA,MATCH($A67,'HY &amp; Segments'!$A:$A,0),MATCH("1H"&amp;RIGHT(K$1,2),'HY &amp; Segments'!$3:$3,0))+INDEX('HY &amp; Segments'!$A:$AA,MATCH($A67,'HY &amp; Segments'!$A:$A,0),MATCH("2H"&amp;RIGHT(K$1,2),'HY &amp; Segments'!$3:$3,0))</f>
        <v/>
      </c>
      <c r="L67" s="72">
        <f>INDEX('HY &amp; Segments'!$A:$AA,MATCH($A67,'HY &amp; Segments'!$A:$A,0),MATCH("1H"&amp;RIGHT(L$1,2),'HY &amp; Segments'!$3:$3,0))+INDEX('HY &amp; Segments'!$A:$AA,MATCH($A67,'HY &amp; Segments'!$A:$A,0),MATCH("2H"&amp;RIGHT(L$1,2),'HY &amp; Segments'!$3:$3,0))</f>
        <v/>
      </c>
      <c r="M67" s="72">
        <f>INDEX('HY &amp; Segments'!$A:$AA,MATCH($A67,'HY &amp; Segments'!$A:$A,0),MATCH("1H"&amp;RIGHT(M$1,2),'HY &amp; Segments'!$3:$3,0))+INDEX('HY &amp; Segments'!$A:$AA,MATCH($A67,'HY &amp; Segments'!$A:$A,0),MATCH("2H"&amp;RIGHT(M$1,2),'HY &amp; Segments'!$3:$3,0))</f>
        <v/>
      </c>
      <c r="N67" s="72">
        <f>INDEX('HY &amp; Segments'!$A:$AA,MATCH($A67,'HY &amp; Segments'!$A:$A,0),MATCH("1H"&amp;RIGHT(N$1,2),'HY &amp; Segments'!$3:$3,0))+INDEX('HY &amp; Segments'!$A:$AA,MATCH($A67,'HY &amp; Segments'!$A:$A,0),MATCH("2H"&amp;RIGHT(N$1,2),'HY &amp; Segments'!$3:$3,0))</f>
        <v/>
      </c>
      <c r="O67" s="72">
        <f>INDEX('HY &amp; Segments'!$A:$AA,MATCH($A67,'HY &amp; Segments'!$A:$A,0),MATCH("1H"&amp;RIGHT(O$1,2),'HY &amp; Segments'!$3:$3,0))+INDEX('HY &amp; Segments'!$A:$AA,MATCH($A67,'HY &amp; Segments'!$A:$A,0),MATCH("2H"&amp;RIGHT(O$1,2),'HY &amp; Segments'!$3:$3,0))</f>
        <v/>
      </c>
      <c r="P67" s="72">
        <f>INDEX('HY &amp; Segments'!$A:$AA,MATCH($A67,'HY &amp; Segments'!$A:$A,0),MATCH("1H"&amp;RIGHT(P$1,2),'HY &amp; Segments'!$3:$3,0))+INDEX('HY &amp; Segments'!$A:$AA,MATCH($A67,'HY &amp; Segments'!$A:$A,0),MATCH("2H"&amp;RIGHT(P$1,2),'HY &amp; Segments'!$3:$3,0))</f>
        <v/>
      </c>
      <c r="Q67" s="72">
        <f>INDEX('HY &amp; Segments'!$A:$AA,MATCH($A67,'HY &amp; Segments'!$A:$A,0),MATCH("1H"&amp;RIGHT(Q$1,2),'HY &amp; Segments'!$3:$3,0))+INDEX('HY &amp; Segments'!$A:$AA,MATCH($A67,'HY &amp; Segments'!$A:$A,0),MATCH("2H"&amp;RIGHT(Q$1,2),'HY &amp; Segments'!$3:$3,0))</f>
        <v/>
      </c>
    </row>
    <row r="68">
      <c r="A68" t="inlineStr">
        <is>
          <t>Int-Lease Interest</t>
        </is>
      </c>
      <c r="B68" t="inlineStr">
        <is>
          <t>Lease Liability Interest</t>
        </is>
      </c>
      <c r="C68" t="inlineStr">
        <is>
          <t>AUDm</t>
        </is>
      </c>
      <c r="D68" s="60" t="n">
        <v>-6</v>
      </c>
      <c r="E68" s="60" t="n">
        <v>-8.199999999999999</v>
      </c>
      <c r="F68" s="60" t="n">
        <v>-13.4</v>
      </c>
      <c r="G68" s="60" t="n">
        <v>-18.8</v>
      </c>
      <c r="H68" s="72">
        <f>INDEX('HY &amp; Segments'!$A:$AA,MATCH($A68,'HY &amp; Segments'!$A:$A,0),MATCH("1H"&amp;RIGHT(H$1,2),'HY &amp; Segments'!$3:$3,0))+INDEX('HY &amp; Segments'!$A:$AA,MATCH($A68,'HY &amp; Segments'!$A:$A,0),MATCH("2H"&amp;RIGHT(H$1,2),'HY &amp; Segments'!$3:$3,0))</f>
        <v/>
      </c>
      <c r="I68" s="72">
        <f>INDEX('HY &amp; Segments'!$A:$AA,MATCH($A68,'HY &amp; Segments'!$A:$A,0),MATCH("1H"&amp;RIGHT(I$1,2),'HY &amp; Segments'!$3:$3,0))+INDEX('HY &amp; Segments'!$A:$AA,MATCH($A68,'HY &amp; Segments'!$A:$A,0),MATCH("2H"&amp;RIGHT(I$1,2),'HY &amp; Segments'!$3:$3,0))</f>
        <v/>
      </c>
      <c r="J68" s="72">
        <f>INDEX('HY &amp; Segments'!$A:$AA,MATCH($A68,'HY &amp; Segments'!$A:$A,0),MATCH("1H"&amp;RIGHT(J$1,2),'HY &amp; Segments'!$3:$3,0))+INDEX('HY &amp; Segments'!$A:$AA,MATCH($A68,'HY &amp; Segments'!$A:$A,0),MATCH("2H"&amp;RIGHT(J$1,2),'HY &amp; Segments'!$3:$3,0))</f>
        <v/>
      </c>
      <c r="K68" s="72">
        <f>INDEX('HY &amp; Segments'!$A:$AA,MATCH($A68,'HY &amp; Segments'!$A:$A,0),MATCH("1H"&amp;RIGHT(K$1,2),'HY &amp; Segments'!$3:$3,0))+INDEX('HY &amp; Segments'!$A:$AA,MATCH($A68,'HY &amp; Segments'!$A:$A,0),MATCH("2H"&amp;RIGHT(K$1,2),'HY &amp; Segments'!$3:$3,0))</f>
        <v/>
      </c>
      <c r="L68" s="72">
        <f>INDEX('HY &amp; Segments'!$A:$AA,MATCH($A68,'HY &amp; Segments'!$A:$A,0),MATCH("1H"&amp;RIGHT(L$1,2),'HY &amp; Segments'!$3:$3,0))+INDEX('HY &amp; Segments'!$A:$AA,MATCH($A68,'HY &amp; Segments'!$A:$A,0),MATCH("2H"&amp;RIGHT(L$1,2),'HY &amp; Segments'!$3:$3,0))</f>
        <v/>
      </c>
      <c r="M68" s="72">
        <f>INDEX('HY &amp; Segments'!$A:$AA,MATCH($A68,'HY &amp; Segments'!$A:$A,0),MATCH("1H"&amp;RIGHT(M$1,2),'HY &amp; Segments'!$3:$3,0))+INDEX('HY &amp; Segments'!$A:$AA,MATCH($A68,'HY &amp; Segments'!$A:$A,0),MATCH("2H"&amp;RIGHT(M$1,2),'HY &amp; Segments'!$3:$3,0))</f>
        <v/>
      </c>
      <c r="N68" s="72">
        <f>INDEX('HY &amp; Segments'!$A:$AA,MATCH($A68,'HY &amp; Segments'!$A:$A,0),MATCH("1H"&amp;RIGHT(N$1,2),'HY &amp; Segments'!$3:$3,0))+INDEX('HY &amp; Segments'!$A:$AA,MATCH($A68,'HY &amp; Segments'!$A:$A,0),MATCH("2H"&amp;RIGHT(N$1,2),'HY &amp; Segments'!$3:$3,0))</f>
        <v/>
      </c>
      <c r="O68" s="72">
        <f>INDEX('HY &amp; Segments'!$A:$AA,MATCH($A68,'HY &amp; Segments'!$A:$A,0),MATCH("1H"&amp;RIGHT(O$1,2),'HY &amp; Segments'!$3:$3,0))+INDEX('HY &amp; Segments'!$A:$AA,MATCH($A68,'HY &amp; Segments'!$A:$A,0),MATCH("2H"&amp;RIGHT(O$1,2),'HY &amp; Segments'!$3:$3,0))</f>
        <v/>
      </c>
      <c r="P68" s="72">
        <f>INDEX('HY &amp; Segments'!$A:$AA,MATCH($A68,'HY &amp; Segments'!$A:$A,0),MATCH("1H"&amp;RIGHT(P$1,2),'HY &amp; Segments'!$3:$3,0))+INDEX('HY &amp; Segments'!$A:$AA,MATCH($A68,'HY &amp; Segments'!$A:$A,0),MATCH("2H"&amp;RIGHT(P$1,2),'HY &amp; Segments'!$3:$3,0))</f>
        <v/>
      </c>
      <c r="Q68" s="72">
        <f>INDEX('HY &amp; Segments'!$A:$AA,MATCH($A68,'HY &amp; Segments'!$A:$A,0),MATCH("1H"&amp;RIGHT(Q$1,2),'HY &amp; Segments'!$3:$3,0))+INDEX('HY &amp; Segments'!$A:$AA,MATCH($A68,'HY &amp; Segments'!$A:$A,0),MATCH("2H"&amp;RIGHT(Q$1,2),'HY &amp; Segments'!$3:$3,0))</f>
        <v/>
      </c>
    </row>
    <row r="69">
      <c r="A69" t="inlineStr">
        <is>
          <t>Int-Other Costs</t>
        </is>
      </c>
      <c r="B69" t="inlineStr">
        <is>
          <t>Other Finance Costs</t>
        </is>
      </c>
      <c r="C69" t="inlineStr">
        <is>
          <t>AUDm</t>
        </is>
      </c>
      <c r="D69" s="19" t="n"/>
      <c r="E69" s="60" t="n">
        <v>-0.3</v>
      </c>
      <c r="F69" s="60" t="n">
        <v>-0.3</v>
      </c>
      <c r="G69" s="60" t="n">
        <v>-0.1</v>
      </c>
      <c r="H69" s="72">
        <f>INDEX('HY &amp; Segments'!$A:$AA,MATCH($A69,'HY &amp; Segments'!$A:$A,0),MATCH("1H"&amp;RIGHT(H$1,2),'HY &amp; Segments'!$3:$3,0))+INDEX('HY &amp; Segments'!$A:$AA,MATCH($A69,'HY &amp; Segments'!$A:$A,0),MATCH("2H"&amp;RIGHT(H$1,2),'HY &amp; Segments'!$3:$3,0))</f>
        <v/>
      </c>
      <c r="I69" s="72">
        <f>INDEX('HY &amp; Segments'!$A:$AA,MATCH($A69,'HY &amp; Segments'!$A:$A,0),MATCH("1H"&amp;RIGHT(I$1,2),'HY &amp; Segments'!$3:$3,0))+INDEX('HY &amp; Segments'!$A:$AA,MATCH($A69,'HY &amp; Segments'!$A:$A,0),MATCH("2H"&amp;RIGHT(I$1,2),'HY &amp; Segments'!$3:$3,0))</f>
        <v/>
      </c>
      <c r="J69" s="72">
        <f>INDEX('HY &amp; Segments'!$A:$AA,MATCH($A69,'HY &amp; Segments'!$A:$A,0),MATCH("1H"&amp;RIGHT(J$1,2),'HY &amp; Segments'!$3:$3,0))+INDEX('HY &amp; Segments'!$A:$AA,MATCH($A69,'HY &amp; Segments'!$A:$A,0),MATCH("2H"&amp;RIGHT(J$1,2),'HY &amp; Segments'!$3:$3,0))</f>
        <v/>
      </c>
      <c r="K69" s="72">
        <f>INDEX('HY &amp; Segments'!$A:$AA,MATCH($A69,'HY &amp; Segments'!$A:$A,0),MATCH("1H"&amp;RIGHT(K$1,2),'HY &amp; Segments'!$3:$3,0))+INDEX('HY &amp; Segments'!$A:$AA,MATCH($A69,'HY &amp; Segments'!$A:$A,0),MATCH("2H"&amp;RIGHT(K$1,2),'HY &amp; Segments'!$3:$3,0))</f>
        <v/>
      </c>
      <c r="L69" s="72">
        <f>INDEX('HY &amp; Segments'!$A:$AA,MATCH($A69,'HY &amp; Segments'!$A:$A,0),MATCH("1H"&amp;RIGHT(L$1,2),'HY &amp; Segments'!$3:$3,0))+INDEX('HY &amp; Segments'!$A:$AA,MATCH($A69,'HY &amp; Segments'!$A:$A,0),MATCH("2H"&amp;RIGHT(L$1,2),'HY &amp; Segments'!$3:$3,0))</f>
        <v/>
      </c>
      <c r="M69" s="72">
        <f>INDEX('HY &amp; Segments'!$A:$AA,MATCH($A69,'HY &amp; Segments'!$A:$A,0),MATCH("1H"&amp;RIGHT(M$1,2),'HY &amp; Segments'!$3:$3,0))+INDEX('HY &amp; Segments'!$A:$AA,MATCH($A69,'HY &amp; Segments'!$A:$A,0),MATCH("2H"&amp;RIGHT(M$1,2),'HY &amp; Segments'!$3:$3,0))</f>
        <v/>
      </c>
      <c r="N69" s="72">
        <f>INDEX('HY &amp; Segments'!$A:$AA,MATCH($A69,'HY &amp; Segments'!$A:$A,0),MATCH("1H"&amp;RIGHT(N$1,2),'HY &amp; Segments'!$3:$3,0))+INDEX('HY &amp; Segments'!$A:$AA,MATCH($A69,'HY &amp; Segments'!$A:$A,0),MATCH("2H"&amp;RIGHT(N$1,2),'HY &amp; Segments'!$3:$3,0))</f>
        <v/>
      </c>
      <c r="O69" s="72">
        <f>INDEX('HY &amp; Segments'!$A:$AA,MATCH($A69,'HY &amp; Segments'!$A:$A,0),MATCH("1H"&amp;RIGHT(O$1,2),'HY &amp; Segments'!$3:$3,0))+INDEX('HY &amp; Segments'!$A:$AA,MATCH($A69,'HY &amp; Segments'!$A:$A,0),MATCH("2H"&amp;RIGHT(O$1,2),'HY &amp; Segments'!$3:$3,0))</f>
        <v/>
      </c>
      <c r="P69" s="72">
        <f>INDEX('HY &amp; Segments'!$A:$AA,MATCH($A69,'HY &amp; Segments'!$A:$A,0),MATCH("1H"&amp;RIGHT(P$1,2),'HY &amp; Segments'!$3:$3,0))+INDEX('HY &amp; Segments'!$A:$AA,MATCH($A69,'HY &amp; Segments'!$A:$A,0),MATCH("2H"&amp;RIGHT(P$1,2),'HY &amp; Segments'!$3:$3,0))</f>
        <v/>
      </c>
      <c r="Q69" s="72">
        <f>INDEX('HY &amp; Segments'!$A:$AA,MATCH($A69,'HY &amp; Segments'!$A:$A,0),MATCH("1H"&amp;RIGHT(Q$1,2),'HY &amp; Segments'!$3:$3,0))+INDEX('HY &amp; Segments'!$A:$AA,MATCH($A69,'HY &amp; Segments'!$A:$A,0),MATCH("2H"&amp;RIGHT(Q$1,2),'HY &amp; Segments'!$3:$3,0))</f>
        <v/>
      </c>
    </row>
    <row r="70">
      <c r="A70" t="inlineStr">
        <is>
          <t>Int-Net Finance Costs</t>
        </is>
      </c>
      <c r="B70" s="20" t="inlineStr">
        <is>
          <t>Net Finance Costs</t>
        </is>
      </c>
      <c r="C70" s="20" t="inlineStr">
        <is>
          <t>AUDm</t>
        </is>
      </c>
      <c r="D70" s="21">
        <f>SUM(D65:D69)</f>
        <v/>
      </c>
      <c r="E70" s="21">
        <f>SUM(E65:E69)</f>
        <v/>
      </c>
      <c r="F70" s="21">
        <f>SUM(F65:F69)</f>
        <v/>
      </c>
      <c r="G70" s="21">
        <f>SUM(G65:G69)</f>
        <v/>
      </c>
      <c r="H70" s="82">
        <f>SUM(H65:H69)</f>
        <v/>
      </c>
      <c r="I70" s="82">
        <f>SUM(I65:I69)</f>
        <v/>
      </c>
      <c r="J70" s="82">
        <f>SUM(J65:J69)</f>
        <v/>
      </c>
      <c r="K70" s="82">
        <f>SUM(K65:K69)</f>
        <v/>
      </c>
      <c r="L70" s="82">
        <f>SUM(L65:L69)</f>
        <v/>
      </c>
      <c r="M70" s="82">
        <f>SUM(M65:M69)</f>
        <v/>
      </c>
      <c r="N70" s="82">
        <f>SUM(N65:N69)</f>
        <v/>
      </c>
      <c r="O70" s="82">
        <f>SUM(O65:O69)</f>
        <v/>
      </c>
      <c r="P70" s="82">
        <f>SUM(P65:P69)</f>
        <v/>
      </c>
      <c r="Q70" s="82">
        <f>SUM(Q65:Q69)</f>
        <v/>
      </c>
    </row>
    <row r="71">
      <c r="B71" t="inlineStr">
        <is>
          <t>Term Deposit Rate</t>
        </is>
      </c>
      <c r="C71" t="inlineStr">
        <is>
          <t>%</t>
        </is>
      </c>
      <c r="D71" s="6" t="n"/>
      <c r="E71" s="6" t="n"/>
      <c r="F71" s="6" t="n"/>
      <c r="G71" s="6" t="n"/>
      <c r="H71" s="74" t="n">
        <v>0.048</v>
      </c>
      <c r="I71" s="74">
        <f>H71</f>
        <v/>
      </c>
      <c r="J71" s="74">
        <f>I71</f>
        <v/>
      </c>
      <c r="K71" s="74">
        <f>J71</f>
        <v/>
      </c>
      <c r="L71" s="74">
        <f>K71</f>
        <v/>
      </c>
      <c r="M71" s="74">
        <f>L71</f>
        <v/>
      </c>
      <c r="N71" s="74">
        <f>M71</f>
        <v/>
      </c>
      <c r="O71" s="74">
        <f>N71</f>
        <v/>
      </c>
      <c r="P71" s="74">
        <f>O71</f>
        <v/>
      </c>
      <c r="Q71" s="74">
        <f>P71</f>
        <v/>
      </c>
    </row>
    <row r="72">
      <c r="B72" s="49" t="inlineStr">
        <is>
          <t>Lease Receivable Rate</t>
        </is>
      </c>
      <c r="C72" s="49" t="inlineStr">
        <is>
          <t>%</t>
        </is>
      </c>
      <c r="D72" s="51" t="n"/>
      <c r="E72" s="51" t="n"/>
      <c r="F72" s="51" t="n"/>
      <c r="G72" s="51" t="n"/>
      <c r="H72" s="74" t="n">
        <v>0.066</v>
      </c>
      <c r="I72" s="74">
        <f>H72</f>
        <v/>
      </c>
      <c r="J72" s="74">
        <f>I72</f>
        <v/>
      </c>
      <c r="K72" s="74">
        <f>J72</f>
        <v/>
      </c>
      <c r="L72" s="74">
        <f>K72</f>
        <v/>
      </c>
      <c r="M72" s="74">
        <f>L72</f>
        <v/>
      </c>
      <c r="N72" s="74">
        <f>M72</f>
        <v/>
      </c>
      <c r="O72" s="74">
        <f>N72</f>
        <v/>
      </c>
      <c r="P72" s="74">
        <f>O72</f>
        <v/>
      </c>
      <c r="Q72" s="74">
        <f>P72</f>
        <v/>
      </c>
    </row>
    <row r="73">
      <c r="B73" t="inlineStr">
        <is>
          <t>Lease Liability Rate</t>
        </is>
      </c>
      <c r="C73" t="inlineStr">
        <is>
          <t>%</t>
        </is>
      </c>
      <c r="D73" s="6" t="n"/>
      <c r="E73" s="6" t="n"/>
      <c r="F73" s="6" t="n"/>
      <c r="G73" s="6" t="n"/>
      <c r="H73" s="74" t="n">
        <v>0.066</v>
      </c>
      <c r="I73" s="74">
        <f>H73</f>
        <v/>
      </c>
      <c r="J73" s="74">
        <f>I73</f>
        <v/>
      </c>
      <c r="K73" s="74">
        <f>J73</f>
        <v/>
      </c>
      <c r="L73" s="74">
        <f>K73</f>
        <v/>
      </c>
      <c r="M73" s="74">
        <f>L73</f>
        <v/>
      </c>
      <c r="N73" s="74">
        <f>M73</f>
        <v/>
      </c>
      <c r="O73" s="74">
        <f>N73</f>
        <v/>
      </c>
      <c r="P73" s="74">
        <f>O73</f>
        <v/>
      </c>
      <c r="Q73" s="74">
        <f>P73</f>
        <v/>
      </c>
    </row>
    <row r="74"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</row>
    <row r="75">
      <c r="B75" s="5" t="inlineStr">
        <is>
          <t>PBT, Tax, NPAT</t>
        </is>
      </c>
    </row>
    <row r="76">
      <c r="A76" t="inlineStr">
        <is>
          <t>PBT-PBT</t>
        </is>
      </c>
      <c r="B76" s="20" t="inlineStr">
        <is>
          <t>PBT</t>
        </is>
      </c>
      <c r="C76" s="20" t="inlineStr">
        <is>
          <t>AUDm</t>
        </is>
      </c>
      <c r="D76" s="21">
        <f>D60+D70</f>
        <v/>
      </c>
      <c r="E76" s="21">
        <f>E60+E70</f>
        <v/>
      </c>
      <c r="F76" s="21">
        <f>F60+F70</f>
        <v/>
      </c>
      <c r="G76" s="21">
        <f>G60+G70</f>
        <v/>
      </c>
      <c r="H76" s="82">
        <f>H60+H70</f>
        <v/>
      </c>
      <c r="I76" s="82">
        <f>I60+I70</f>
        <v/>
      </c>
      <c r="J76" s="82">
        <f>J60+J70</f>
        <v/>
      </c>
      <c r="K76" s="82">
        <f>K60+K70</f>
        <v/>
      </c>
      <c r="L76" s="82">
        <f>L60+L70</f>
        <v/>
      </c>
      <c r="M76" s="82">
        <f>M60+M70</f>
        <v/>
      </c>
      <c r="N76" s="82">
        <f>N60+N70</f>
        <v/>
      </c>
      <c r="O76" s="82">
        <f>O60+O70</f>
        <v/>
      </c>
      <c r="P76" s="82">
        <f>P60+P70</f>
        <v/>
      </c>
      <c r="Q76" s="82">
        <f>Q60+Q70</f>
        <v/>
      </c>
    </row>
    <row r="77">
      <c r="A77" t="inlineStr">
        <is>
          <t>Tax-Tax Expense</t>
        </is>
      </c>
      <c r="B77" t="inlineStr">
        <is>
          <t>Tax Expense</t>
        </is>
      </c>
      <c r="C77" t="inlineStr">
        <is>
          <t>AUDm</t>
        </is>
      </c>
      <c r="D77" s="60" t="n">
        <v>-2.4</v>
      </c>
      <c r="E77" s="60" t="n">
        <v>-2.4</v>
      </c>
      <c r="F77" s="60" t="n">
        <v>-2.2</v>
      </c>
      <c r="G77" s="60" t="n">
        <v>-14.7</v>
      </c>
      <c r="H77" s="72">
        <f>INDEX('HY &amp; Segments'!$A:$AA,MATCH($A77,'HY &amp; Segments'!$A:$A,0),MATCH("1H"&amp;RIGHT(H$1,2),'HY &amp; Segments'!$3:$3,0))+INDEX('HY &amp; Segments'!$A:$AA,MATCH($A77,'HY &amp; Segments'!$A:$A,0),MATCH("2H"&amp;RIGHT(H$1,2),'HY &amp; Segments'!$3:$3,0))</f>
        <v/>
      </c>
      <c r="I77" s="72">
        <f>INDEX('HY &amp; Segments'!$A:$AA,MATCH($A77,'HY &amp; Segments'!$A:$A,0),MATCH("1H"&amp;RIGHT(I$1,2),'HY &amp; Segments'!$3:$3,0))+INDEX('HY &amp; Segments'!$A:$AA,MATCH($A77,'HY &amp; Segments'!$A:$A,0),MATCH("2H"&amp;RIGHT(I$1,2),'HY &amp; Segments'!$3:$3,0))</f>
        <v/>
      </c>
      <c r="J77" s="72">
        <f>INDEX('HY &amp; Segments'!$A:$AA,MATCH($A77,'HY &amp; Segments'!$A:$A,0),MATCH("1H"&amp;RIGHT(J$1,2),'HY &amp; Segments'!$3:$3,0))+INDEX('HY &amp; Segments'!$A:$AA,MATCH($A77,'HY &amp; Segments'!$A:$A,0),MATCH("2H"&amp;RIGHT(J$1,2),'HY &amp; Segments'!$3:$3,0))</f>
        <v/>
      </c>
      <c r="K77" s="72">
        <f>INDEX('HY &amp; Segments'!$A:$AA,MATCH($A77,'HY &amp; Segments'!$A:$A,0),MATCH("1H"&amp;RIGHT(K$1,2),'HY &amp; Segments'!$3:$3,0))+INDEX('HY &amp; Segments'!$A:$AA,MATCH($A77,'HY &amp; Segments'!$A:$A,0),MATCH("2H"&amp;RIGHT(K$1,2),'HY &amp; Segments'!$3:$3,0))</f>
        <v/>
      </c>
      <c r="L77" s="72">
        <f>INDEX('HY &amp; Segments'!$A:$AA,MATCH($A77,'HY &amp; Segments'!$A:$A,0),MATCH("1H"&amp;RIGHT(L$1,2),'HY &amp; Segments'!$3:$3,0))+INDEX('HY &amp; Segments'!$A:$AA,MATCH($A77,'HY &amp; Segments'!$A:$A,0),MATCH("2H"&amp;RIGHT(L$1,2),'HY &amp; Segments'!$3:$3,0))</f>
        <v/>
      </c>
      <c r="M77" s="72">
        <f>INDEX('HY &amp; Segments'!$A:$AA,MATCH($A77,'HY &amp; Segments'!$A:$A,0),MATCH("1H"&amp;RIGHT(M$1,2),'HY &amp; Segments'!$3:$3,0))+INDEX('HY &amp; Segments'!$A:$AA,MATCH($A77,'HY &amp; Segments'!$A:$A,0),MATCH("2H"&amp;RIGHT(M$1,2),'HY &amp; Segments'!$3:$3,0))</f>
        <v/>
      </c>
      <c r="N77" s="72">
        <f>INDEX('HY &amp; Segments'!$A:$AA,MATCH($A77,'HY &amp; Segments'!$A:$A,0),MATCH("1H"&amp;RIGHT(N$1,2),'HY &amp; Segments'!$3:$3,0))+INDEX('HY &amp; Segments'!$A:$AA,MATCH($A77,'HY &amp; Segments'!$A:$A,0),MATCH("2H"&amp;RIGHT(N$1,2),'HY &amp; Segments'!$3:$3,0))</f>
        <v/>
      </c>
      <c r="O77" s="72">
        <f>INDEX('HY &amp; Segments'!$A:$AA,MATCH($A77,'HY &amp; Segments'!$A:$A,0),MATCH("1H"&amp;RIGHT(O$1,2),'HY &amp; Segments'!$3:$3,0))+INDEX('HY &amp; Segments'!$A:$AA,MATCH($A77,'HY &amp; Segments'!$A:$A,0),MATCH("2H"&amp;RIGHT(O$1,2),'HY &amp; Segments'!$3:$3,0))</f>
        <v/>
      </c>
      <c r="P77" s="72">
        <f>INDEX('HY &amp; Segments'!$A:$AA,MATCH($A77,'HY &amp; Segments'!$A:$A,0),MATCH("1H"&amp;RIGHT(P$1,2),'HY &amp; Segments'!$3:$3,0))+INDEX('HY &amp; Segments'!$A:$AA,MATCH($A77,'HY &amp; Segments'!$A:$A,0),MATCH("2H"&amp;RIGHT(P$1,2),'HY &amp; Segments'!$3:$3,0))</f>
        <v/>
      </c>
      <c r="Q77" s="72">
        <f>INDEX('HY &amp; Segments'!$A:$AA,MATCH($A77,'HY &amp; Segments'!$A:$A,0),MATCH("1H"&amp;RIGHT(Q$1,2),'HY &amp; Segments'!$3:$3,0))+INDEX('HY &amp; Segments'!$A:$AA,MATCH($A77,'HY &amp; Segments'!$A:$A,0),MATCH("2H"&amp;RIGHT(Q$1,2),'HY &amp; Segments'!$3:$3,0))</f>
        <v/>
      </c>
    </row>
    <row r="78">
      <c r="B78" t="inlineStr">
        <is>
          <t>Underlying Tax Rate</t>
        </is>
      </c>
      <c r="C78" t="inlineStr">
        <is>
          <t>%</t>
        </is>
      </c>
      <c r="D78" s="6">
        <f>IF(D76=0,"",-D77/D76)</f>
        <v/>
      </c>
      <c r="E78" s="6">
        <f>IF(E76=0,"",-E77/E76)</f>
        <v/>
      </c>
      <c r="F78" s="6">
        <f>IF(F76=0,"",-F77/F76)</f>
        <v/>
      </c>
      <c r="G78" s="6">
        <f>IF(G76=0,"",-G77/G76)</f>
        <v/>
      </c>
      <c r="H78" s="83">
        <f>IF(H76=0,"",-H77/H76)</f>
        <v/>
      </c>
      <c r="I78" s="83">
        <f>IF(I76=0,"",-I77/I76)</f>
        <v/>
      </c>
      <c r="J78" s="83">
        <f>IF(J76=0,"",-J77/J76)</f>
        <v/>
      </c>
      <c r="K78" s="83">
        <f>IF(K76=0,"",-K77/K76)</f>
        <v/>
      </c>
      <c r="L78" s="83">
        <f>IF(L76=0,"",-L77/L76)</f>
        <v/>
      </c>
      <c r="M78" s="83">
        <f>IF(M76=0,"",-M77/M76)</f>
        <v/>
      </c>
      <c r="N78" s="83">
        <f>IF(N76=0,"",-N77/N76)</f>
        <v/>
      </c>
      <c r="O78" s="83">
        <f>IF(O76=0,"",-O77/O76)</f>
        <v/>
      </c>
      <c r="P78" s="83">
        <f>IF(P76=0,"",-P77/P76)</f>
        <v/>
      </c>
      <c r="Q78" s="83">
        <f>IF(Q76=0,"",-Q77/Q76)</f>
        <v/>
      </c>
    </row>
    <row r="79">
      <c r="A79" t="inlineStr">
        <is>
          <t>NPAT-NCI</t>
        </is>
      </c>
      <c r="B79" t="inlineStr">
        <is>
          <t>Non-controlling Interests</t>
        </is>
      </c>
      <c r="C79" t="inlineStr">
        <is>
          <t>AUDm</t>
        </is>
      </c>
      <c r="D79" s="60" t="n">
        <v>0</v>
      </c>
      <c r="E79" s="60" t="n">
        <v>0</v>
      </c>
      <c r="F79" s="60" t="n">
        <v>0</v>
      </c>
      <c r="G79" s="60" t="n">
        <v>0</v>
      </c>
      <c r="H79" s="72">
        <f>INDEX('HY &amp; Segments'!$A:$AA,MATCH($A79,'HY &amp; Segments'!$A:$A,0),MATCH("1H"&amp;RIGHT(H$1,2),'HY &amp; Segments'!$3:$3,0))+INDEX('HY &amp; Segments'!$A:$AA,MATCH($A79,'HY &amp; Segments'!$A:$A,0),MATCH("2H"&amp;RIGHT(H$1,2),'HY &amp; Segments'!$3:$3,0))</f>
        <v/>
      </c>
      <c r="I79" s="72">
        <f>INDEX('HY &amp; Segments'!$A:$AA,MATCH($A79,'HY &amp; Segments'!$A:$A,0),MATCH("1H"&amp;RIGHT(I$1,2),'HY &amp; Segments'!$3:$3,0))+INDEX('HY &amp; Segments'!$A:$AA,MATCH($A79,'HY &amp; Segments'!$A:$A,0),MATCH("2H"&amp;RIGHT(I$1,2),'HY &amp; Segments'!$3:$3,0))</f>
        <v/>
      </c>
      <c r="J79" s="72">
        <f>INDEX('HY &amp; Segments'!$A:$AA,MATCH($A79,'HY &amp; Segments'!$A:$A,0),MATCH("1H"&amp;RIGHT(J$1,2),'HY &amp; Segments'!$3:$3,0))+INDEX('HY &amp; Segments'!$A:$AA,MATCH($A79,'HY &amp; Segments'!$A:$A,0),MATCH("2H"&amp;RIGHT(J$1,2),'HY &amp; Segments'!$3:$3,0))</f>
        <v/>
      </c>
      <c r="K79" s="72">
        <f>INDEX('HY &amp; Segments'!$A:$AA,MATCH($A79,'HY &amp; Segments'!$A:$A,0),MATCH("1H"&amp;RIGHT(K$1,2),'HY &amp; Segments'!$3:$3,0))+INDEX('HY &amp; Segments'!$A:$AA,MATCH($A79,'HY &amp; Segments'!$A:$A,0),MATCH("2H"&amp;RIGHT(K$1,2),'HY &amp; Segments'!$3:$3,0))</f>
        <v/>
      </c>
      <c r="L79" s="72">
        <f>INDEX('HY &amp; Segments'!$A:$AA,MATCH($A79,'HY &amp; Segments'!$A:$A,0),MATCH("1H"&amp;RIGHT(L$1,2),'HY &amp; Segments'!$3:$3,0))+INDEX('HY &amp; Segments'!$A:$AA,MATCH($A79,'HY &amp; Segments'!$A:$A,0),MATCH("2H"&amp;RIGHT(L$1,2),'HY &amp; Segments'!$3:$3,0))</f>
        <v/>
      </c>
      <c r="M79" s="72">
        <f>INDEX('HY &amp; Segments'!$A:$AA,MATCH($A79,'HY &amp; Segments'!$A:$A,0),MATCH("1H"&amp;RIGHT(M$1,2),'HY &amp; Segments'!$3:$3,0))+INDEX('HY &amp; Segments'!$A:$AA,MATCH($A79,'HY &amp; Segments'!$A:$A,0),MATCH("2H"&amp;RIGHT(M$1,2),'HY &amp; Segments'!$3:$3,0))</f>
        <v/>
      </c>
      <c r="N79" s="72">
        <f>INDEX('HY &amp; Segments'!$A:$AA,MATCH($A79,'HY &amp; Segments'!$A:$A,0),MATCH("1H"&amp;RIGHT(N$1,2),'HY &amp; Segments'!$3:$3,0))+INDEX('HY &amp; Segments'!$A:$AA,MATCH($A79,'HY &amp; Segments'!$A:$A,0),MATCH("2H"&amp;RIGHT(N$1,2),'HY &amp; Segments'!$3:$3,0))</f>
        <v/>
      </c>
      <c r="O79" s="72">
        <f>INDEX('HY &amp; Segments'!$A:$AA,MATCH($A79,'HY &amp; Segments'!$A:$A,0),MATCH("1H"&amp;RIGHT(O$1,2),'HY &amp; Segments'!$3:$3,0))+INDEX('HY &amp; Segments'!$A:$AA,MATCH($A79,'HY &amp; Segments'!$A:$A,0),MATCH("2H"&amp;RIGHT(O$1,2),'HY &amp; Segments'!$3:$3,0))</f>
        <v/>
      </c>
      <c r="P79" s="72">
        <f>INDEX('HY &amp; Segments'!$A:$AA,MATCH($A79,'HY &amp; Segments'!$A:$A,0),MATCH("1H"&amp;RIGHT(P$1,2),'HY &amp; Segments'!$3:$3,0))+INDEX('HY &amp; Segments'!$A:$AA,MATCH($A79,'HY &amp; Segments'!$A:$A,0),MATCH("2H"&amp;RIGHT(P$1,2),'HY &amp; Segments'!$3:$3,0))</f>
        <v/>
      </c>
      <c r="Q79" s="72">
        <f>INDEX('HY &amp; Segments'!$A:$AA,MATCH($A79,'HY &amp; Segments'!$A:$A,0),MATCH("1H"&amp;RIGHT(Q$1,2),'HY &amp; Segments'!$3:$3,0))+INDEX('HY &amp; Segments'!$A:$AA,MATCH($A79,'HY &amp; Segments'!$A:$A,0),MATCH("2H"&amp;RIGHT(Q$1,2),'HY &amp; Segments'!$3:$3,0))</f>
        <v/>
      </c>
    </row>
    <row r="80">
      <c r="A80" t="inlineStr">
        <is>
          <t>NPAT-Underlying NPAT</t>
        </is>
      </c>
      <c r="B80" s="20" t="inlineStr">
        <is>
          <t>Underlying NPAT</t>
        </is>
      </c>
      <c r="C80" s="20" t="inlineStr">
        <is>
          <t>AUDm</t>
        </is>
      </c>
      <c r="D80" s="21">
        <f>D76+D77+D79</f>
        <v/>
      </c>
      <c r="E80" s="21">
        <f>E76+E77+E79</f>
        <v/>
      </c>
      <c r="F80" s="21">
        <f>F76+F77+F79</f>
        <v/>
      </c>
      <c r="G80" s="21">
        <f>G76+G77+G79</f>
        <v/>
      </c>
      <c r="H80" s="82">
        <f>H76+H77+H79</f>
        <v/>
      </c>
      <c r="I80" s="82">
        <f>I76+I77+I79</f>
        <v/>
      </c>
      <c r="J80" s="82">
        <f>J76+J77+J79</f>
        <v/>
      </c>
      <c r="K80" s="82">
        <f>K76+K77+K79</f>
        <v/>
      </c>
      <c r="L80" s="82">
        <f>L76+L77+L79</f>
        <v/>
      </c>
      <c r="M80" s="82">
        <f>M76+M77+M79</f>
        <v/>
      </c>
      <c r="N80" s="82">
        <f>N76+N77+N79</f>
        <v/>
      </c>
      <c r="O80" s="82">
        <f>O76+O77+O79</f>
        <v/>
      </c>
      <c r="P80" s="82">
        <f>P76+P77+P79</f>
        <v/>
      </c>
      <c r="Q80" s="82">
        <f>Q76+Q77+Q79</f>
        <v/>
      </c>
    </row>
    <row r="81">
      <c r="A81" t="inlineStr">
        <is>
          <t>NPAT-Sig Items AT</t>
        </is>
      </c>
      <c r="B81" t="inlineStr">
        <is>
          <t>Significant Items After Tax</t>
        </is>
      </c>
      <c r="C81" t="inlineStr">
        <is>
          <t>AUDm</t>
        </is>
      </c>
      <c r="D81" s="60" t="n">
        <v>0</v>
      </c>
      <c r="E81" s="60" t="n">
        <v>0</v>
      </c>
      <c r="F81" s="60" t="n">
        <v>0</v>
      </c>
      <c r="G81" s="60" t="n">
        <v>0</v>
      </c>
      <c r="H81" s="72">
        <f>INDEX('HY &amp; Segments'!$A:$AA,MATCH($A81,'HY &amp; Segments'!$A:$A,0),MATCH("1H"&amp;RIGHT(H$1,2),'HY &amp; Segments'!$3:$3,0))+INDEX('HY &amp; Segments'!$A:$AA,MATCH($A81,'HY &amp; Segments'!$A:$A,0),MATCH("2H"&amp;RIGHT(H$1,2),'HY &amp; Segments'!$3:$3,0))</f>
        <v/>
      </c>
      <c r="I81" s="72">
        <f>INDEX('HY &amp; Segments'!$A:$AA,MATCH($A81,'HY &amp; Segments'!$A:$A,0),MATCH("1H"&amp;RIGHT(I$1,2),'HY &amp; Segments'!$3:$3,0))+INDEX('HY &amp; Segments'!$A:$AA,MATCH($A81,'HY &amp; Segments'!$A:$A,0),MATCH("2H"&amp;RIGHT(I$1,2),'HY &amp; Segments'!$3:$3,0))</f>
        <v/>
      </c>
      <c r="J81" s="72">
        <f>INDEX('HY &amp; Segments'!$A:$AA,MATCH($A81,'HY &amp; Segments'!$A:$A,0),MATCH("1H"&amp;RIGHT(J$1,2),'HY &amp; Segments'!$3:$3,0))+INDEX('HY &amp; Segments'!$A:$AA,MATCH($A81,'HY &amp; Segments'!$A:$A,0),MATCH("2H"&amp;RIGHT(J$1,2),'HY &amp; Segments'!$3:$3,0))</f>
        <v/>
      </c>
      <c r="K81" s="72">
        <f>INDEX('HY &amp; Segments'!$A:$AA,MATCH($A81,'HY &amp; Segments'!$A:$A,0),MATCH("1H"&amp;RIGHT(K$1,2),'HY &amp; Segments'!$3:$3,0))+INDEX('HY &amp; Segments'!$A:$AA,MATCH($A81,'HY &amp; Segments'!$A:$A,0),MATCH("2H"&amp;RIGHT(K$1,2),'HY &amp; Segments'!$3:$3,0))</f>
        <v/>
      </c>
      <c r="L81" s="72">
        <f>INDEX('HY &amp; Segments'!$A:$AA,MATCH($A81,'HY &amp; Segments'!$A:$A,0),MATCH("1H"&amp;RIGHT(L$1,2),'HY &amp; Segments'!$3:$3,0))+INDEX('HY &amp; Segments'!$A:$AA,MATCH($A81,'HY &amp; Segments'!$A:$A,0),MATCH("2H"&amp;RIGHT(L$1,2),'HY &amp; Segments'!$3:$3,0))</f>
        <v/>
      </c>
      <c r="M81" s="72">
        <f>INDEX('HY &amp; Segments'!$A:$AA,MATCH($A81,'HY &amp; Segments'!$A:$A,0),MATCH("1H"&amp;RIGHT(M$1,2),'HY &amp; Segments'!$3:$3,0))+INDEX('HY &amp; Segments'!$A:$AA,MATCH($A81,'HY &amp; Segments'!$A:$A,0),MATCH("2H"&amp;RIGHT(M$1,2),'HY &amp; Segments'!$3:$3,0))</f>
        <v/>
      </c>
      <c r="N81" s="72">
        <f>INDEX('HY &amp; Segments'!$A:$AA,MATCH($A81,'HY &amp; Segments'!$A:$A,0),MATCH("1H"&amp;RIGHT(N$1,2),'HY &amp; Segments'!$3:$3,0))+INDEX('HY &amp; Segments'!$A:$AA,MATCH($A81,'HY &amp; Segments'!$A:$A,0),MATCH("2H"&amp;RIGHT(N$1,2),'HY &amp; Segments'!$3:$3,0))</f>
        <v/>
      </c>
      <c r="O81" s="72">
        <f>INDEX('HY &amp; Segments'!$A:$AA,MATCH($A81,'HY &amp; Segments'!$A:$A,0),MATCH("1H"&amp;RIGHT(O$1,2),'HY &amp; Segments'!$3:$3,0))+INDEX('HY &amp; Segments'!$A:$AA,MATCH($A81,'HY &amp; Segments'!$A:$A,0),MATCH("2H"&amp;RIGHT(O$1,2),'HY &amp; Segments'!$3:$3,0))</f>
        <v/>
      </c>
      <c r="P81" s="72">
        <f>INDEX('HY &amp; Segments'!$A:$AA,MATCH($A81,'HY &amp; Segments'!$A:$A,0),MATCH("1H"&amp;RIGHT(P$1,2),'HY &amp; Segments'!$3:$3,0))+INDEX('HY &amp; Segments'!$A:$AA,MATCH($A81,'HY &amp; Segments'!$A:$A,0),MATCH("2H"&amp;RIGHT(P$1,2),'HY &amp; Segments'!$3:$3,0))</f>
        <v/>
      </c>
      <c r="Q81" s="72">
        <f>INDEX('HY &amp; Segments'!$A:$AA,MATCH($A81,'HY &amp; Segments'!$A:$A,0),MATCH("1H"&amp;RIGHT(Q$1,2),'HY &amp; Segments'!$3:$3,0))+INDEX('HY &amp; Segments'!$A:$AA,MATCH($A81,'HY &amp; Segments'!$A:$A,0),MATCH("2H"&amp;RIGHT(Q$1,2),'HY &amp; Segments'!$3:$3,0))</f>
        <v/>
      </c>
    </row>
    <row r="82">
      <c r="A82" t="inlineStr">
        <is>
          <t>NPAT-Statutory NPAT</t>
        </is>
      </c>
      <c r="B82" s="20" t="inlineStr">
        <is>
          <t>Statutory NPAT</t>
        </is>
      </c>
      <c r="C82" s="20" t="inlineStr">
        <is>
          <t>AUDm</t>
        </is>
      </c>
      <c r="D82" s="21">
        <f>D80+D81</f>
        <v/>
      </c>
      <c r="E82" s="21">
        <f>E80+E81</f>
        <v/>
      </c>
      <c r="F82" s="21">
        <f>F80+F81</f>
        <v/>
      </c>
      <c r="G82" s="21">
        <f>G80+G81</f>
        <v/>
      </c>
      <c r="H82" s="82">
        <f>H80+H81</f>
        <v/>
      </c>
      <c r="I82" s="82">
        <f>I80+I81</f>
        <v/>
      </c>
      <c r="J82" s="82">
        <f>J80+J81</f>
        <v/>
      </c>
      <c r="K82" s="82">
        <f>K80+K81</f>
        <v/>
      </c>
      <c r="L82" s="82">
        <f>L80+L81</f>
        <v/>
      </c>
      <c r="M82" s="82">
        <f>M80+M81</f>
        <v/>
      </c>
      <c r="N82" s="82">
        <f>N80+N81</f>
        <v/>
      </c>
      <c r="O82" s="82">
        <f>O80+O81</f>
        <v/>
      </c>
      <c r="P82" s="82">
        <f>P80+P81</f>
        <v/>
      </c>
      <c r="Q82" s="82">
        <f>Q80+Q81</f>
        <v/>
      </c>
    </row>
    <row r="83">
      <c r="B83" t="inlineStr">
        <is>
          <t>NPAT Growth</t>
        </is>
      </c>
      <c r="C83" t="inlineStr">
        <is>
          <t>% YoY</t>
        </is>
      </c>
      <c r="D83" s="6" t="n"/>
      <c r="E83" s="6">
        <f>IF(D80=0,"",E80/D80-1)</f>
        <v/>
      </c>
      <c r="F83" s="6">
        <f>IF(E80=0,"",F80/E80-1)</f>
        <v/>
      </c>
      <c r="G83" s="6">
        <f>IF(F80=0,"",G80/F80-1)</f>
        <v/>
      </c>
      <c r="H83" s="83">
        <f>IF(G80=0,"",H80/G80-1)</f>
        <v/>
      </c>
      <c r="I83" s="83">
        <f>IF(H80=0,"",I80/H80-1)</f>
        <v/>
      </c>
      <c r="J83" s="83">
        <f>IF(I80=0,"",J80/I80-1)</f>
        <v/>
      </c>
      <c r="K83" s="83">
        <f>IF(J80=0,"",K80/J80-1)</f>
        <v/>
      </c>
      <c r="L83" s="83">
        <f>IF(K80=0,"",L80/K80-1)</f>
        <v/>
      </c>
      <c r="M83" s="83">
        <f>IF(L80=0,"",M80/L80-1)</f>
        <v/>
      </c>
      <c r="N83" s="83">
        <f>IF(M80=0,"",N80/M80-1)</f>
        <v/>
      </c>
      <c r="O83" s="83">
        <f>IF(N80=0,"",O80/N80-1)</f>
        <v/>
      </c>
      <c r="P83" s="83">
        <f>IF(O80=0,"",P80/O80-1)</f>
        <v/>
      </c>
      <c r="Q83" s="83">
        <f>IF(P80=0,"",Q80/P80-1)</f>
        <v/>
      </c>
    </row>
    <row r="84">
      <c r="B84" t="inlineStr">
        <is>
          <t>NPAT Margin</t>
        </is>
      </c>
      <c r="C84" t="inlineStr">
        <is>
          <t>%</t>
        </is>
      </c>
      <c r="D84" s="6">
        <f>IF(D11+D18=0,"",D80/(D11+D18))</f>
        <v/>
      </c>
      <c r="E84" s="6">
        <f>IF(E11+E18=0,"",E80/(E11+E18))</f>
        <v/>
      </c>
      <c r="F84" s="6">
        <f>IF(F11+F18=0,"",F80/(F11+F18))</f>
        <v/>
      </c>
      <c r="G84" s="6">
        <f>IF(G11+G18=0,"",G80/(G11+G18))</f>
        <v/>
      </c>
      <c r="H84" s="83">
        <f>IF(H11+H18=0,"",H80/(H11+H18))</f>
        <v/>
      </c>
      <c r="I84" s="83">
        <f>IF(I11+I18=0,"",I80/(I11+I18))</f>
        <v/>
      </c>
      <c r="J84" s="83">
        <f>IF(J11+J18=0,"",J80/(J11+J18))</f>
        <v/>
      </c>
      <c r="K84" s="83">
        <f>IF(K11+K18=0,"",K80/(K11+K18))</f>
        <v/>
      </c>
      <c r="L84" s="83">
        <f>IF(L11+L18=0,"",L80/(L11+L18))</f>
        <v/>
      </c>
      <c r="M84" s="83">
        <f>IF(M11+M18=0,"",M80/(M11+M18))</f>
        <v/>
      </c>
      <c r="N84" s="83">
        <f>IF(N11+N18=0,"",N80/(N11+N18))</f>
        <v/>
      </c>
      <c r="O84" s="83">
        <f>IF(O11+O18=0,"",O80/(O11+O18))</f>
        <v/>
      </c>
      <c r="P84" s="83">
        <f>IF(P11+P18=0,"",P80/(P11+P18))</f>
        <v/>
      </c>
      <c r="Q84" s="83">
        <f>IF(Q11+Q18=0,"",Q80/(Q11+Q18))</f>
        <v/>
      </c>
    </row>
    <row r="85"/>
    <row r="86">
      <c r="B86" s="5" t="inlineStr">
        <is>
          <t>EPS &amp; Dividends</t>
        </is>
      </c>
    </row>
    <row r="87">
      <c r="A87" t="inlineStr">
        <is>
          <t>EPS-YE Shares</t>
        </is>
      </c>
      <c r="B87" t="inlineStr">
        <is>
          <t>YE Basic Shares Outstanding</t>
        </is>
      </c>
      <c r="C87" t="inlineStr">
        <is>
          <t>#m</t>
        </is>
      </c>
      <c r="D87" s="22" t="n"/>
      <c r="E87" s="60" t="n">
        <v>85</v>
      </c>
      <c r="F87" s="60" t="n">
        <v>103</v>
      </c>
      <c r="G87" s="60" t="n">
        <v>103</v>
      </c>
      <c r="H87" s="85">
        <f>G87</f>
        <v/>
      </c>
      <c r="I87" s="85">
        <f>H87</f>
        <v/>
      </c>
      <c r="J87" s="85">
        <f>I87</f>
        <v/>
      </c>
      <c r="K87" s="85">
        <f>J87</f>
        <v/>
      </c>
      <c r="L87" s="85">
        <f>K87</f>
        <v/>
      </c>
      <c r="M87" s="85">
        <f>L87</f>
        <v/>
      </c>
      <c r="N87" s="85">
        <f>M87</f>
        <v/>
      </c>
      <c r="O87" s="85">
        <f>N87</f>
        <v/>
      </c>
      <c r="P87" s="85">
        <f>O87</f>
        <v/>
      </c>
      <c r="Q87" s="85">
        <f>P87</f>
        <v/>
      </c>
    </row>
    <row r="88">
      <c r="A88" t="inlineStr">
        <is>
          <t>EPS-WASO Basic</t>
        </is>
      </c>
      <c r="B88" t="inlineStr">
        <is>
          <t>WASO Basic</t>
        </is>
      </c>
      <c r="C88" t="inlineStr">
        <is>
          <t>#m</t>
        </is>
      </c>
      <c r="D88" s="22" t="n"/>
      <c r="E88" s="60" t="n">
        <v>84</v>
      </c>
      <c r="F88" s="60" t="n">
        <v>85.40000000000001</v>
      </c>
      <c r="G88" s="60" t="n">
        <v>101.2</v>
      </c>
      <c r="H88" s="71">
        <f>(G87+H87)/2</f>
        <v/>
      </c>
      <c r="I88" s="71">
        <f>(H87+I87)/2</f>
        <v/>
      </c>
      <c r="J88" s="71">
        <f>(I87+J87)/2</f>
        <v/>
      </c>
      <c r="K88" s="71">
        <f>(J87+K87)/2</f>
        <v/>
      </c>
      <c r="L88" s="71">
        <f>(K87+L87)/2</f>
        <v/>
      </c>
      <c r="M88" s="71">
        <f>(L87+M87)/2</f>
        <v/>
      </c>
      <c r="N88" s="71">
        <f>(M87+N87)/2</f>
        <v/>
      </c>
      <c r="O88" s="71">
        <f>(N87+O87)/2</f>
        <v/>
      </c>
      <c r="P88" s="71">
        <f>(O87+P87)/2</f>
        <v/>
      </c>
      <c r="Q88" s="71">
        <f>(P87+Q87)/2</f>
        <v/>
      </c>
    </row>
    <row r="89">
      <c r="A89" t="inlineStr">
        <is>
          <t>EPS-Dilution</t>
        </is>
      </c>
      <c r="B89" s="8" t="inlineStr">
        <is>
          <t>Dilution</t>
        </is>
      </c>
      <c r="C89" t="inlineStr">
        <is>
          <t>#m</t>
        </is>
      </c>
      <c r="D89" s="3">
        <f>D90-D88</f>
        <v/>
      </c>
      <c r="E89" s="3">
        <f>E90-E88</f>
        <v/>
      </c>
      <c r="F89" s="3">
        <f>F90-F88</f>
        <v/>
      </c>
      <c r="G89" s="3">
        <f>G90-G88</f>
        <v/>
      </c>
      <c r="H89" s="71">
        <f>H90-H88</f>
        <v/>
      </c>
      <c r="I89" s="71">
        <f>I90-I88</f>
        <v/>
      </c>
      <c r="J89" s="71">
        <f>J90-J88</f>
        <v/>
      </c>
      <c r="K89" s="71">
        <f>K90-K88</f>
        <v/>
      </c>
      <c r="L89" s="71">
        <f>L90-L88</f>
        <v/>
      </c>
      <c r="M89" s="71">
        <f>M90-M88</f>
        <v/>
      </c>
      <c r="N89" s="71">
        <f>N90-N88</f>
        <v/>
      </c>
      <c r="O89" s="71">
        <f>O90-O88</f>
        <v/>
      </c>
      <c r="P89" s="71">
        <f>P90-P88</f>
        <v/>
      </c>
      <c r="Q89" s="71">
        <f>Q90-Q88</f>
        <v/>
      </c>
    </row>
    <row r="90">
      <c r="A90" t="inlineStr">
        <is>
          <t>EPS-WASO Diluted</t>
        </is>
      </c>
      <c r="B90" t="inlineStr">
        <is>
          <t>WASO Diluted</t>
        </is>
      </c>
      <c r="C90" t="inlineStr">
        <is>
          <t>#m</t>
        </is>
      </c>
      <c r="D90" s="22" t="n"/>
      <c r="E90" s="60" t="n">
        <v>84</v>
      </c>
      <c r="F90" s="60" t="n">
        <v>85.40000000000001</v>
      </c>
      <c r="G90" s="60" t="n">
        <v>105.7</v>
      </c>
      <c r="H90" s="71">
        <f>H88*(G90/G88)</f>
        <v/>
      </c>
      <c r="I90" s="71">
        <f>I88*(H90/H88)</f>
        <v/>
      </c>
      <c r="J90" s="71">
        <f>J88*(I90/I88)</f>
        <v/>
      </c>
      <c r="K90" s="71">
        <f>K88*(J90/J88)</f>
        <v/>
      </c>
      <c r="L90" s="71">
        <f>L88*(K90/K88)</f>
        <v/>
      </c>
      <c r="M90" s="71">
        <f>M88*(L90/L88)</f>
        <v/>
      </c>
      <c r="N90" s="71">
        <f>N88*(M90/M88)</f>
        <v/>
      </c>
      <c r="O90" s="71">
        <f>O88*(N90/N88)</f>
        <v/>
      </c>
      <c r="P90" s="71">
        <f>P88*(O90/O88)</f>
        <v/>
      </c>
      <c r="Q90" s="71">
        <f>Q88*(P90/P88)</f>
        <v/>
      </c>
    </row>
    <row r="91"/>
    <row r="92">
      <c r="A92" t="inlineStr">
        <is>
          <t>EPS-Underlying EPS</t>
        </is>
      </c>
      <c r="B92" s="20" t="inlineStr">
        <is>
          <t>Underlying EPS</t>
        </is>
      </c>
      <c r="C92" s="20" t="inlineStr">
        <is>
          <t>AUDps</t>
        </is>
      </c>
      <c r="D92" s="23">
        <f>IF(D90=0,"",D80/D90)</f>
        <v/>
      </c>
      <c r="E92" s="23">
        <f>IF(E90=0,"",E80/E90)</f>
        <v/>
      </c>
      <c r="F92" s="23">
        <f>IF(F90=0,"",F80/F90)</f>
        <v/>
      </c>
      <c r="G92" s="23">
        <f>IF(G90=0,"",G80/G90)</f>
        <v/>
      </c>
      <c r="H92" s="86">
        <f>IF(H90=0,"",H80/H90)</f>
        <v/>
      </c>
      <c r="I92" s="86">
        <f>IF(I90=0,"",I80/I90)</f>
        <v/>
      </c>
      <c r="J92" s="86">
        <f>IF(J90=0,"",J80/J90)</f>
        <v/>
      </c>
      <c r="K92" s="86">
        <f>IF(K90=0,"",K80/K90)</f>
        <v/>
      </c>
      <c r="L92" s="86">
        <f>IF(L90=0,"",L80/L90)</f>
        <v/>
      </c>
      <c r="M92" s="86">
        <f>IF(M90=0,"",M80/M90)</f>
        <v/>
      </c>
      <c r="N92" s="86">
        <f>IF(N90=0,"",N80/N90)</f>
        <v/>
      </c>
      <c r="O92" s="86">
        <f>IF(O90=0,"",O80/O90)</f>
        <v/>
      </c>
      <c r="P92" s="86">
        <f>IF(P90=0,"",P80/P90)</f>
        <v/>
      </c>
      <c r="Q92" s="86">
        <f>IF(Q90=0,"",Q80/Q90)</f>
        <v/>
      </c>
    </row>
    <row r="93">
      <c r="A93" t="inlineStr">
        <is>
          <t>EPS-Statutory EPS</t>
        </is>
      </c>
      <c r="B93" s="8" t="inlineStr">
        <is>
          <t>Statutory EPS</t>
        </is>
      </c>
      <c r="C93" t="inlineStr">
        <is>
          <t>AUDps</t>
        </is>
      </c>
      <c r="D93" s="9">
        <f>IF(D90=0,"",D82/D90)</f>
        <v/>
      </c>
      <c r="E93" s="9">
        <f>IF(E90=0,"",E82/E90)</f>
        <v/>
      </c>
      <c r="F93" s="9">
        <f>IF(F90=0,"",F82/F90)</f>
        <v/>
      </c>
      <c r="G93" s="9">
        <f>IF(G90=0,"",G82/G90)</f>
        <v/>
      </c>
      <c r="H93" s="87">
        <f>IF(H90=0,"",H82/H90)</f>
        <v/>
      </c>
      <c r="I93" s="87">
        <f>IF(I90=0,"",I82/I90)</f>
        <v/>
      </c>
      <c r="J93" s="87">
        <f>IF(J90=0,"",J82/J90)</f>
        <v/>
      </c>
      <c r="K93" s="87">
        <f>IF(K90=0,"",K82/K90)</f>
        <v/>
      </c>
      <c r="L93" s="87">
        <f>IF(L90=0,"",L82/L90)</f>
        <v/>
      </c>
      <c r="M93" s="87">
        <f>IF(M90=0,"",M82/M90)</f>
        <v/>
      </c>
      <c r="N93" s="87">
        <f>IF(N90=0,"",N82/N90)</f>
        <v/>
      </c>
      <c r="O93" s="87">
        <f>IF(O90=0,"",O82/O90)</f>
        <v/>
      </c>
      <c r="P93" s="87">
        <f>IF(P90=0,"",P82/P90)</f>
        <v/>
      </c>
      <c r="Q93" s="87">
        <f>IF(Q90=0,"",Q82/Q90)</f>
        <v/>
      </c>
    </row>
    <row r="94">
      <c r="B94" t="inlineStr">
        <is>
          <t>EPS Growth</t>
        </is>
      </c>
      <c r="C94" t="inlineStr">
        <is>
          <t>% YoY</t>
        </is>
      </c>
      <c r="D94" s="6" t="n"/>
      <c r="E94" s="6">
        <f>IF(D92=0,"",E92/D92-1)</f>
        <v/>
      </c>
      <c r="F94" s="6">
        <f>IF(E92=0,"",F92/E92-1)</f>
        <v/>
      </c>
      <c r="G94" s="6">
        <f>IF(F92=0,"",G92/F92-1)</f>
        <v/>
      </c>
      <c r="H94" s="83">
        <f>IF(G92=0,"",H92/G92-1)</f>
        <v/>
      </c>
      <c r="I94" s="83">
        <f>IF(H92=0,"",I92/H92-1)</f>
        <v/>
      </c>
      <c r="J94" s="83">
        <f>IF(I92=0,"",J92/I92-1)</f>
        <v/>
      </c>
      <c r="K94" s="83">
        <f>IF(J92=0,"",K92/J92-1)</f>
        <v/>
      </c>
      <c r="L94" s="83">
        <f>IF(K92=0,"",L92/K92-1)</f>
        <v/>
      </c>
      <c r="M94" s="83">
        <f>IF(L92=0,"",M92/L92-1)</f>
        <v/>
      </c>
      <c r="N94" s="83">
        <f>IF(M92=0,"",N92/M92-1)</f>
        <v/>
      </c>
      <c r="O94" s="83">
        <f>IF(N92=0,"",O92/N92-1)</f>
        <v/>
      </c>
      <c r="P94" s="83">
        <f>IF(O92=0,"",P92/O92-1)</f>
        <v/>
      </c>
      <c r="Q94" s="83">
        <f>IF(P92=0,"",Q92/P92-1)</f>
        <v/>
      </c>
    </row>
    <row r="95"/>
    <row r="96">
      <c r="A96" t="inlineStr">
        <is>
          <t>Div-DPS</t>
        </is>
      </c>
      <c r="B96" t="inlineStr">
        <is>
          <t>DPS</t>
        </is>
      </c>
      <c r="C96" t="inlineStr">
        <is>
          <t>AUDps</t>
        </is>
      </c>
      <c r="D96" s="63" t="n">
        <v>0</v>
      </c>
      <c r="E96" s="63" t="n">
        <v>0</v>
      </c>
      <c r="F96" s="63" t="n">
        <v>0</v>
      </c>
      <c r="G96" s="63" t="n">
        <v>0.126</v>
      </c>
      <c r="H96" s="88">
        <f>G96</f>
        <v/>
      </c>
      <c r="I96" s="88">
        <f>H96</f>
        <v/>
      </c>
      <c r="J96" s="88">
        <f>I96</f>
        <v/>
      </c>
      <c r="K96" s="88">
        <f>J96</f>
        <v/>
      </c>
      <c r="L96" s="88">
        <f>K96</f>
        <v/>
      </c>
      <c r="M96" s="88">
        <f>L96</f>
        <v/>
      </c>
      <c r="N96" s="88">
        <f>M96</f>
        <v/>
      </c>
      <c r="O96" s="88">
        <f>N96</f>
        <v/>
      </c>
      <c r="P96" s="88">
        <f>O96</f>
        <v/>
      </c>
      <c r="Q96" s="88">
        <f>P96</f>
        <v/>
      </c>
    </row>
    <row r="97">
      <c r="A97" t="inlineStr">
        <is>
          <t>Div-Total Dividends</t>
        </is>
      </c>
      <c r="B97" s="8" t="inlineStr">
        <is>
          <t>Total Dividends</t>
        </is>
      </c>
      <c r="C97" t="inlineStr">
        <is>
          <t>AUDm</t>
        </is>
      </c>
      <c r="D97" s="4">
        <f>D96*D88</f>
        <v/>
      </c>
      <c r="E97" s="4">
        <f>E96*E88</f>
        <v/>
      </c>
      <c r="F97" s="4">
        <f>F96*F88</f>
        <v/>
      </c>
      <c r="G97" s="4">
        <f>G96*G88</f>
        <v/>
      </c>
      <c r="H97" s="72">
        <f>H96*H88</f>
        <v/>
      </c>
      <c r="I97" s="72">
        <f>I96*I88</f>
        <v/>
      </c>
      <c r="J97" s="72">
        <f>J96*J88</f>
        <v/>
      </c>
      <c r="K97" s="72">
        <f>K96*K88</f>
        <v/>
      </c>
      <c r="L97" s="72">
        <f>L96*L88</f>
        <v/>
      </c>
      <c r="M97" s="72">
        <f>M96*M88</f>
        <v/>
      </c>
      <c r="N97" s="72">
        <f>N96*N88</f>
        <v/>
      </c>
      <c r="O97" s="72">
        <f>O96*O88</f>
        <v/>
      </c>
      <c r="P97" s="72">
        <f>P96*P88</f>
        <v/>
      </c>
      <c r="Q97" s="72">
        <f>Q96*Q88</f>
        <v/>
      </c>
    </row>
    <row r="98">
      <c r="B98" s="25" t="inlineStr">
        <is>
          <t>Payout Ratio</t>
        </is>
      </c>
      <c r="C98" t="inlineStr">
        <is>
          <t>%</t>
        </is>
      </c>
      <c r="D98" s="6">
        <f>IF(D92=0,"",D96/D92)</f>
        <v/>
      </c>
      <c r="E98" s="6">
        <f>IF(E92=0,"",E96/E92)</f>
        <v/>
      </c>
      <c r="F98" s="6">
        <f>IF(F92=0,"",F96/F92)</f>
        <v/>
      </c>
      <c r="G98" s="6">
        <f>IF(G92=0,"",G96/G92)</f>
        <v/>
      </c>
      <c r="H98" s="83">
        <f>IF(H92=0,"",H96/H92)</f>
        <v/>
      </c>
      <c r="I98" s="83">
        <f>IF(I92=0,"",I96/I92)</f>
        <v/>
      </c>
      <c r="J98" s="83">
        <f>IF(J92=0,"",J96/J92)</f>
        <v/>
      </c>
      <c r="K98" s="83">
        <f>IF(K92=0,"",K96/K92)</f>
        <v/>
      </c>
      <c r="L98" s="83">
        <f>IF(L92=0,"",L96/L92)</f>
        <v/>
      </c>
      <c r="M98" s="83">
        <f>IF(M92=0,"",M96/M92)</f>
        <v/>
      </c>
      <c r="N98" s="83">
        <f>IF(N92=0,"",N96/N92)</f>
        <v/>
      </c>
      <c r="O98" s="83">
        <f>IF(O92=0,"",O96/O92)</f>
        <v/>
      </c>
      <c r="P98" s="83">
        <f>IF(P92=0,"",P96/P92)</f>
        <v/>
      </c>
      <c r="Q98" s="83">
        <f>IF(Q92=0,"",Q96/Q92)</f>
        <v/>
      </c>
    </row>
    <row r="99">
      <c r="B99" t="inlineStr">
        <is>
          <t>Dividend Yield</t>
        </is>
      </c>
      <c r="C99" t="inlineStr">
        <is>
          <t>%</t>
        </is>
      </c>
      <c r="D99" s="6">
        <f>IF(Value!$C$4=0,"",D96/Value!$C$4)</f>
        <v/>
      </c>
      <c r="E99" s="6">
        <f>IF(Value!$C$4=0,"",E96/Value!$C$4)</f>
        <v/>
      </c>
      <c r="F99" s="6">
        <f>IF(Value!$C$4=0,"",F96/Value!$C$4)</f>
        <v/>
      </c>
      <c r="G99" s="6">
        <f>IF(Value!$C$4=0,"",G96/Value!$C$4)</f>
        <v/>
      </c>
      <c r="H99" s="83">
        <f>IF(Value!$C$4=0,"",H96/Value!$C$4)</f>
        <v/>
      </c>
      <c r="I99" s="83">
        <f>IF(Value!$C$4=0,"",I96/Value!$C$4)</f>
        <v/>
      </c>
      <c r="J99" s="83">
        <f>IF(Value!$C$4=0,"",J96/Value!$C$4)</f>
        <v/>
      </c>
      <c r="K99" s="83">
        <f>IF(Value!$C$4=0,"",K96/Value!$C$4)</f>
        <v/>
      </c>
      <c r="L99" s="83">
        <f>IF(Value!$C$4=0,"",L96/Value!$C$4)</f>
        <v/>
      </c>
      <c r="M99" s="83">
        <f>IF(Value!$C$4=0,"",M96/Value!$C$4)</f>
        <v/>
      </c>
      <c r="N99" s="83">
        <f>IF(Value!$C$4=0,"",N96/Value!$C$4)</f>
        <v/>
      </c>
      <c r="O99" s="83">
        <f>IF(Value!$C$4=0,"",O96/Value!$C$4)</f>
        <v/>
      </c>
      <c r="P99" s="83">
        <f>IF(Value!$C$4=0,"",P96/Value!$C$4)</f>
        <v/>
      </c>
      <c r="Q99" s="83">
        <f>IF(Value!$C$4=0,"",Q96/Value!$C$4)</f>
        <v/>
      </c>
    </row>
    <row r="100">
      <c r="B100" t="inlineStr">
        <is>
          <t>Dividend Growth</t>
        </is>
      </c>
      <c r="C100" t="inlineStr">
        <is>
          <t>% YoY</t>
        </is>
      </c>
      <c r="D100" s="6" t="n"/>
      <c r="E100" s="6">
        <f>IF(D96=0,"",E96/D96-1)</f>
        <v/>
      </c>
      <c r="F100" s="6">
        <f>IF(E96=0,"",F96/E96-1)</f>
        <v/>
      </c>
      <c r="G100" s="6">
        <f>IF(F96=0,"",G96/F96-1)</f>
        <v/>
      </c>
      <c r="H100" s="83">
        <f>IF(G96=0,"",H96/G96-1)</f>
        <v/>
      </c>
      <c r="I100" s="83">
        <f>IF(H96=0,"",I96/H96-1)</f>
        <v/>
      </c>
      <c r="J100" s="83">
        <f>IF(I96=0,"",J96/I96-1)</f>
        <v/>
      </c>
      <c r="K100" s="83">
        <f>IF(J96=0,"",K96/J96-1)</f>
        <v/>
      </c>
      <c r="L100" s="83">
        <f>IF(K96=0,"",L96/K96-1)</f>
        <v/>
      </c>
      <c r="M100" s="83">
        <f>IF(L96=0,"",M96/L96-1)</f>
        <v/>
      </c>
      <c r="N100" s="83">
        <f>IF(M96=0,"",N96/M96-1)</f>
        <v/>
      </c>
      <c r="O100" s="83">
        <f>IF(N96=0,"",O96/N96-1)</f>
        <v/>
      </c>
      <c r="P100" s="83">
        <f>IF(O96=0,"",P96/O96-1)</f>
        <v/>
      </c>
      <c r="Q100" s="83">
        <f>IF(P96=0,"",Q96/P96-1)</f>
        <v/>
      </c>
    </row>
    <row r="101"/>
    <row r="102">
      <c r="A102" s="27" t="n"/>
      <c r="B102" s="28" t="inlineStr">
        <is>
          <t>Operating Metrics</t>
        </is>
      </c>
      <c r="C102" s="27" t="n"/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</row>
    <row r="103">
      <c r="A103" s="57" t="n"/>
      <c r="B103" s="58" t="inlineStr">
        <is>
          <t>Network Sales</t>
        </is>
      </c>
      <c r="C103" s="57" t="n"/>
      <c r="D103" s="57" t="n"/>
      <c r="E103" s="57" t="n"/>
      <c r="F103" s="57" t="n"/>
      <c r="G103" s="57" t="n"/>
      <c r="H103" s="57" t="n"/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</row>
    <row r="104">
      <c r="A104" t="inlineStr">
        <is>
          <t>KPI-AU Network Sales</t>
        </is>
      </c>
      <c r="B104" t="inlineStr">
        <is>
          <t>AU Network Sales</t>
        </is>
      </c>
      <c r="C104" t="inlineStr">
        <is>
          <t>AUDm</t>
        </is>
      </c>
      <c r="D104" s="60" t="n">
        <v>535.4</v>
      </c>
      <c r="E104" s="60" t="n">
        <v>702.9</v>
      </c>
      <c r="F104" s="60" t="n">
        <v>894.6</v>
      </c>
      <c r="G104" s="60" t="n">
        <v>1094.6</v>
      </c>
      <c r="H104" s="72">
        <f>INDEX('HY &amp; Segments'!$107:$107,1,MATCH("1H"&amp;RIGHT(H$1,2),'HY &amp; Segments'!$3:$3,0))+INDEX('HY &amp; Segments'!$107:$107,1,MATCH("2H"&amp;RIGHT(H$1,2),'HY &amp; Segments'!$3:$3,0))</f>
        <v/>
      </c>
      <c r="I104" s="72">
        <f>INDEX('HY &amp; Segments'!$107:$107,1,MATCH("1H"&amp;RIGHT(I$1,2),'HY &amp; Segments'!$3:$3,0))+INDEX('HY &amp; Segments'!$107:$107,1,MATCH("2H"&amp;RIGHT(I$1,2),'HY &amp; Segments'!$3:$3,0))</f>
        <v/>
      </c>
      <c r="J104" s="72">
        <f>INDEX('HY &amp; Segments'!$107:$107,1,MATCH("1H"&amp;RIGHT(J$1,2),'HY &amp; Segments'!$3:$3,0))+INDEX('HY &amp; Segments'!$107:$107,1,MATCH("2H"&amp;RIGHT(J$1,2),'HY &amp; Segments'!$3:$3,0))</f>
        <v/>
      </c>
      <c r="K104" s="72">
        <f>INDEX('HY &amp; Segments'!$107:$107,1,MATCH("1H"&amp;RIGHT(K$1,2),'HY &amp; Segments'!$3:$3,0))+INDEX('HY &amp; Segments'!$107:$107,1,MATCH("2H"&amp;RIGHT(K$1,2),'HY &amp; Segments'!$3:$3,0))</f>
        <v/>
      </c>
      <c r="L104" s="72">
        <f>INDEX('HY &amp; Segments'!$107:$107,1,MATCH("1H"&amp;RIGHT(L$1,2),'HY &amp; Segments'!$3:$3,0))+INDEX('HY &amp; Segments'!$107:$107,1,MATCH("2H"&amp;RIGHT(L$1,2),'HY &amp; Segments'!$3:$3,0))</f>
        <v/>
      </c>
      <c r="M104" s="72">
        <f>INDEX('HY &amp; Segments'!$107:$107,1,MATCH("1H"&amp;RIGHT(M$1,2),'HY &amp; Segments'!$3:$3,0))+INDEX('HY &amp; Segments'!$107:$107,1,MATCH("2H"&amp;RIGHT(M$1,2),'HY &amp; Segments'!$3:$3,0))</f>
        <v/>
      </c>
      <c r="N104" s="72">
        <f>INDEX('HY &amp; Segments'!$107:$107,1,MATCH("1H"&amp;RIGHT(N$1,2),'HY &amp; Segments'!$3:$3,0))+INDEX('HY &amp; Segments'!$107:$107,1,MATCH("2H"&amp;RIGHT(N$1,2),'HY &amp; Segments'!$3:$3,0))</f>
        <v/>
      </c>
      <c r="O104" s="72">
        <f>INDEX('HY &amp; Segments'!$107:$107,1,MATCH("1H"&amp;RIGHT(O$1,2),'HY &amp; Segments'!$3:$3,0))+INDEX('HY &amp; Segments'!$107:$107,1,MATCH("2H"&amp;RIGHT(O$1,2),'HY &amp; Segments'!$3:$3,0))</f>
        <v/>
      </c>
      <c r="P104" s="72">
        <f>INDEX('HY &amp; Segments'!$107:$107,1,MATCH("1H"&amp;RIGHT(P$1,2),'HY &amp; Segments'!$3:$3,0))+INDEX('HY &amp; Segments'!$107:$107,1,MATCH("2H"&amp;RIGHT(P$1,2),'HY &amp; Segments'!$3:$3,0))</f>
        <v/>
      </c>
      <c r="Q104" s="72">
        <f>INDEX('HY &amp; Segments'!$107:$107,1,MATCH("1H"&amp;RIGHT(Q$1,2),'HY &amp; Segments'!$3:$3,0))+INDEX('HY &amp; Segments'!$107:$107,1,MATCH("2H"&amp;RIGHT(Q$1,2),'HY &amp; Segments'!$3:$3,0))</f>
        <v/>
      </c>
    </row>
    <row r="105">
      <c r="A105" t="inlineStr">
        <is>
          <t>KPI-SG Network Sales</t>
        </is>
      </c>
      <c r="B105" t="inlineStr">
        <is>
          <t>SG Network Sales</t>
        </is>
      </c>
      <c r="C105" t="inlineStr">
        <is>
          <t>AUDm</t>
        </is>
      </c>
      <c r="D105" s="60" t="n">
        <v>31.4</v>
      </c>
      <c r="E105" s="60" t="n">
        <v>43.1</v>
      </c>
      <c r="F105" s="60" t="n">
        <v>46.4</v>
      </c>
      <c r="G105" s="60" t="n">
        <v>64.7</v>
      </c>
      <c r="H105" s="72">
        <f>INDEX('HY &amp; Segments'!$108:$108,1,MATCH("1H"&amp;RIGHT(H$1,2),'HY &amp; Segments'!$3:$3,0))+INDEX('HY &amp; Segments'!$108:$108,1,MATCH("2H"&amp;RIGHT(H$1,2),'HY &amp; Segments'!$3:$3,0))</f>
        <v/>
      </c>
      <c r="I105" s="72">
        <f>INDEX('HY &amp; Segments'!$108:$108,1,MATCH("1H"&amp;RIGHT(I$1,2),'HY &amp; Segments'!$3:$3,0))+INDEX('HY &amp; Segments'!$108:$108,1,MATCH("2H"&amp;RIGHT(I$1,2),'HY &amp; Segments'!$3:$3,0))</f>
        <v/>
      </c>
      <c r="J105" s="72">
        <f>INDEX('HY &amp; Segments'!$108:$108,1,MATCH("1H"&amp;RIGHT(J$1,2),'HY &amp; Segments'!$3:$3,0))+INDEX('HY &amp; Segments'!$108:$108,1,MATCH("2H"&amp;RIGHT(J$1,2),'HY &amp; Segments'!$3:$3,0))</f>
        <v/>
      </c>
      <c r="K105" s="72">
        <f>INDEX('HY &amp; Segments'!$108:$108,1,MATCH("1H"&amp;RIGHT(K$1,2),'HY &amp; Segments'!$3:$3,0))+INDEX('HY &amp; Segments'!$108:$108,1,MATCH("2H"&amp;RIGHT(K$1,2),'HY &amp; Segments'!$3:$3,0))</f>
        <v/>
      </c>
      <c r="L105" s="72">
        <f>INDEX('HY &amp; Segments'!$108:$108,1,MATCH("1H"&amp;RIGHT(L$1,2),'HY &amp; Segments'!$3:$3,0))+INDEX('HY &amp; Segments'!$108:$108,1,MATCH("2H"&amp;RIGHT(L$1,2),'HY &amp; Segments'!$3:$3,0))</f>
        <v/>
      </c>
      <c r="M105" s="72">
        <f>INDEX('HY &amp; Segments'!$108:$108,1,MATCH("1H"&amp;RIGHT(M$1,2),'HY &amp; Segments'!$3:$3,0))+INDEX('HY &amp; Segments'!$108:$108,1,MATCH("2H"&amp;RIGHT(M$1,2),'HY &amp; Segments'!$3:$3,0))</f>
        <v/>
      </c>
      <c r="N105" s="72">
        <f>INDEX('HY &amp; Segments'!$108:$108,1,MATCH("1H"&amp;RIGHT(N$1,2),'HY &amp; Segments'!$3:$3,0))+INDEX('HY &amp; Segments'!$108:$108,1,MATCH("2H"&amp;RIGHT(N$1,2),'HY &amp; Segments'!$3:$3,0))</f>
        <v/>
      </c>
      <c r="O105" s="72">
        <f>INDEX('HY &amp; Segments'!$108:$108,1,MATCH("1H"&amp;RIGHT(O$1,2),'HY &amp; Segments'!$3:$3,0))+INDEX('HY &amp; Segments'!$108:$108,1,MATCH("2H"&amp;RIGHT(O$1,2),'HY &amp; Segments'!$3:$3,0))</f>
        <v/>
      </c>
      <c r="P105" s="72">
        <f>INDEX('HY &amp; Segments'!$108:$108,1,MATCH("1H"&amp;RIGHT(P$1,2),'HY &amp; Segments'!$3:$3,0))+INDEX('HY &amp; Segments'!$108:$108,1,MATCH("2H"&amp;RIGHT(P$1,2),'HY &amp; Segments'!$3:$3,0))</f>
        <v/>
      </c>
      <c r="Q105" s="72">
        <f>INDEX('HY &amp; Segments'!$108:$108,1,MATCH("1H"&amp;RIGHT(Q$1,2),'HY &amp; Segments'!$3:$3,0))+INDEX('HY &amp; Segments'!$108:$108,1,MATCH("2H"&amp;RIGHT(Q$1,2),'HY &amp; Segments'!$3:$3,0))</f>
        <v/>
      </c>
    </row>
    <row r="106">
      <c r="A106" t="inlineStr">
        <is>
          <t>KPI-JP Network Sales</t>
        </is>
      </c>
      <c r="B106" t="inlineStr">
        <is>
          <t>JP Network Sales</t>
        </is>
      </c>
      <c r="C106" t="inlineStr">
        <is>
          <t>AUDm</t>
        </is>
      </c>
      <c r="D106" s="60" t="n">
        <v>5.8</v>
      </c>
      <c r="E106" s="60" t="n">
        <v>7</v>
      </c>
      <c r="F106" s="60" t="n">
        <v>7.9</v>
      </c>
      <c r="G106" s="60" t="n">
        <v>9.1</v>
      </c>
      <c r="H106" s="72">
        <f>INDEX('HY &amp; Segments'!$110:$110,1,MATCH("1H"&amp;RIGHT(H$1,2),'HY &amp; Segments'!$3:$3,0))+INDEX('HY &amp; Segments'!$110:$110,1,MATCH("2H"&amp;RIGHT(H$1,2),'HY &amp; Segments'!$3:$3,0))</f>
        <v/>
      </c>
      <c r="I106" s="72">
        <f>INDEX('HY &amp; Segments'!$110:$110,1,MATCH("1H"&amp;RIGHT(I$1,2),'HY &amp; Segments'!$3:$3,0))+INDEX('HY &amp; Segments'!$110:$110,1,MATCH("2H"&amp;RIGHT(I$1,2),'HY &amp; Segments'!$3:$3,0))</f>
        <v/>
      </c>
      <c r="J106" s="72">
        <f>INDEX('HY &amp; Segments'!$110:$110,1,MATCH("1H"&amp;RIGHT(J$1,2),'HY &amp; Segments'!$3:$3,0))+INDEX('HY &amp; Segments'!$110:$110,1,MATCH("2H"&amp;RIGHT(J$1,2),'HY &amp; Segments'!$3:$3,0))</f>
        <v/>
      </c>
      <c r="K106" s="72">
        <f>INDEX('HY &amp; Segments'!$110:$110,1,MATCH("1H"&amp;RIGHT(K$1,2),'HY &amp; Segments'!$3:$3,0))+INDEX('HY &amp; Segments'!$110:$110,1,MATCH("2H"&amp;RIGHT(K$1,2),'HY &amp; Segments'!$3:$3,0))</f>
        <v/>
      </c>
      <c r="L106" s="72">
        <f>INDEX('HY &amp; Segments'!$110:$110,1,MATCH("1H"&amp;RIGHT(L$1,2),'HY &amp; Segments'!$3:$3,0))+INDEX('HY &amp; Segments'!$110:$110,1,MATCH("2H"&amp;RIGHT(L$1,2),'HY &amp; Segments'!$3:$3,0))</f>
        <v/>
      </c>
      <c r="M106" s="72">
        <f>INDEX('HY &amp; Segments'!$110:$110,1,MATCH("1H"&amp;RIGHT(M$1,2),'HY &amp; Segments'!$3:$3,0))+INDEX('HY &amp; Segments'!$110:$110,1,MATCH("2H"&amp;RIGHT(M$1,2),'HY &amp; Segments'!$3:$3,0))</f>
        <v/>
      </c>
      <c r="N106" s="72">
        <f>INDEX('HY &amp; Segments'!$110:$110,1,MATCH("1H"&amp;RIGHT(N$1,2),'HY &amp; Segments'!$3:$3,0))+INDEX('HY &amp; Segments'!$110:$110,1,MATCH("2H"&amp;RIGHT(N$1,2),'HY &amp; Segments'!$3:$3,0))</f>
        <v/>
      </c>
      <c r="O106" s="72">
        <f>INDEX('HY &amp; Segments'!$110:$110,1,MATCH("1H"&amp;RIGHT(O$1,2),'HY &amp; Segments'!$3:$3,0))+INDEX('HY &amp; Segments'!$110:$110,1,MATCH("2H"&amp;RIGHT(O$1,2),'HY &amp; Segments'!$3:$3,0))</f>
        <v/>
      </c>
      <c r="P106" s="72">
        <f>INDEX('HY &amp; Segments'!$110:$110,1,MATCH("1H"&amp;RIGHT(P$1,2),'HY &amp; Segments'!$3:$3,0))+INDEX('HY &amp; Segments'!$110:$110,1,MATCH("2H"&amp;RIGHT(P$1,2),'HY &amp; Segments'!$3:$3,0))</f>
        <v/>
      </c>
      <c r="Q106" s="72">
        <f>INDEX('HY &amp; Segments'!$110:$110,1,MATCH("1H"&amp;RIGHT(Q$1,2),'HY &amp; Segments'!$3:$3,0))+INDEX('HY &amp; Segments'!$110:$110,1,MATCH("2H"&amp;RIGHT(Q$1,2),'HY &amp; Segments'!$3:$3,0))</f>
        <v/>
      </c>
    </row>
    <row r="107">
      <c r="A107" t="inlineStr">
        <is>
          <t>KPI-US Network Sales</t>
        </is>
      </c>
      <c r="B107" t="inlineStr">
        <is>
          <t>US Network Sales</t>
        </is>
      </c>
      <c r="C107" t="inlineStr">
        <is>
          <t>AUDm</t>
        </is>
      </c>
      <c r="D107" s="60" t="n">
        <v>2.5</v>
      </c>
      <c r="E107" s="60" t="n">
        <v>6</v>
      </c>
      <c r="F107" s="60" t="n">
        <v>10.8</v>
      </c>
      <c r="G107" s="60" t="n">
        <v>12.2</v>
      </c>
      <c r="H107" s="72">
        <f>INDEX('HY &amp; Segments'!$142:$142,1,MATCH("1H"&amp;RIGHT(H$1,2),'HY &amp; Segments'!$3:$3,0))+INDEX('HY &amp; Segments'!$142:$142,1,MATCH("2H"&amp;RIGHT(H$1,2),'HY &amp; Segments'!$3:$3,0))</f>
        <v/>
      </c>
      <c r="I107" s="72">
        <f>INDEX('HY &amp; Segments'!$142:$142,1,MATCH("1H"&amp;RIGHT(I$1,2),'HY &amp; Segments'!$3:$3,0))+INDEX('HY &amp; Segments'!$142:$142,1,MATCH("2H"&amp;RIGHT(I$1,2),'HY &amp; Segments'!$3:$3,0))</f>
        <v/>
      </c>
      <c r="J107" s="72">
        <f>INDEX('HY &amp; Segments'!$142:$142,1,MATCH("1H"&amp;RIGHT(J$1,2),'HY &amp; Segments'!$3:$3,0))+INDEX('HY &amp; Segments'!$142:$142,1,MATCH("2H"&amp;RIGHT(J$1,2),'HY &amp; Segments'!$3:$3,0))</f>
        <v/>
      </c>
      <c r="K107" s="72">
        <f>INDEX('HY &amp; Segments'!$142:$142,1,MATCH("1H"&amp;RIGHT(K$1,2),'HY &amp; Segments'!$3:$3,0))+INDEX('HY &amp; Segments'!$142:$142,1,MATCH("2H"&amp;RIGHT(K$1,2),'HY &amp; Segments'!$3:$3,0))</f>
        <v/>
      </c>
      <c r="L107" s="72">
        <f>INDEX('HY &amp; Segments'!$142:$142,1,MATCH("1H"&amp;RIGHT(L$1,2),'HY &amp; Segments'!$3:$3,0))+INDEX('HY &amp; Segments'!$142:$142,1,MATCH("2H"&amp;RIGHT(L$1,2),'HY &amp; Segments'!$3:$3,0))</f>
        <v/>
      </c>
      <c r="M107" s="72">
        <f>INDEX('HY &amp; Segments'!$142:$142,1,MATCH("1H"&amp;RIGHT(M$1,2),'HY &amp; Segments'!$3:$3,0))+INDEX('HY &amp; Segments'!$142:$142,1,MATCH("2H"&amp;RIGHT(M$1,2),'HY &amp; Segments'!$3:$3,0))</f>
        <v/>
      </c>
      <c r="N107" s="72">
        <f>INDEX('HY &amp; Segments'!$142:$142,1,MATCH("1H"&amp;RIGHT(N$1,2),'HY &amp; Segments'!$3:$3,0))+INDEX('HY &amp; Segments'!$142:$142,1,MATCH("2H"&amp;RIGHT(N$1,2),'HY &amp; Segments'!$3:$3,0))</f>
        <v/>
      </c>
      <c r="O107" s="72">
        <f>INDEX('HY &amp; Segments'!$142:$142,1,MATCH("1H"&amp;RIGHT(O$1,2),'HY &amp; Segments'!$3:$3,0))+INDEX('HY &amp; Segments'!$142:$142,1,MATCH("2H"&amp;RIGHT(O$1,2),'HY &amp; Segments'!$3:$3,0))</f>
        <v/>
      </c>
      <c r="P107" s="72">
        <f>INDEX('HY &amp; Segments'!$142:$142,1,MATCH("1H"&amp;RIGHT(P$1,2),'HY &amp; Segments'!$3:$3,0))+INDEX('HY &amp; Segments'!$142:$142,1,MATCH("2H"&amp;RIGHT(P$1,2),'HY &amp; Segments'!$3:$3,0))</f>
        <v/>
      </c>
      <c r="Q107" s="72">
        <f>INDEX('HY &amp; Segments'!$142:$142,1,MATCH("1H"&amp;RIGHT(Q$1,2),'HY &amp; Segments'!$3:$3,0))+INDEX('HY &amp; Segments'!$142:$142,1,MATCH("2H"&amp;RIGHT(Q$1,2),'HY &amp; Segments'!$3:$3,0))</f>
        <v/>
      </c>
    </row>
    <row r="108">
      <c r="A108" t="inlineStr">
        <is>
          <t>KPI-Global Network Sales</t>
        </is>
      </c>
      <c r="B108" s="20" t="inlineStr">
        <is>
          <t>Global Network Sales</t>
        </is>
      </c>
      <c r="C108" s="20" t="inlineStr">
        <is>
          <t>AUDm</t>
        </is>
      </c>
      <c r="D108" s="56">
        <f>SUM(D104:D107)</f>
        <v/>
      </c>
      <c r="E108" s="56">
        <f>SUM(E104:E107)</f>
        <v/>
      </c>
      <c r="F108" s="56">
        <f>SUM(F104:F107)</f>
        <v/>
      </c>
      <c r="G108" s="56">
        <f>SUM(G104:G107)</f>
        <v/>
      </c>
      <c r="H108" s="84">
        <f>SUM(H104:H107)</f>
        <v/>
      </c>
      <c r="I108" s="84">
        <f>SUM(I104:I107)</f>
        <v/>
      </c>
      <c r="J108" s="84">
        <f>SUM(J104:J107)</f>
        <v/>
      </c>
      <c r="K108" s="84">
        <f>SUM(K104:K107)</f>
        <v/>
      </c>
      <c r="L108" s="84">
        <f>SUM(L104:L107)</f>
        <v/>
      </c>
      <c r="M108" s="84">
        <f>SUM(M104:M107)</f>
        <v/>
      </c>
      <c r="N108" s="84">
        <f>SUM(N104:N107)</f>
        <v/>
      </c>
      <c r="O108" s="84">
        <f>SUM(O104:O107)</f>
        <v/>
      </c>
      <c r="P108" s="84">
        <f>SUM(P104:P107)</f>
        <v/>
      </c>
      <c r="Q108" s="84">
        <f>SUM(Q104:Q107)</f>
        <v/>
      </c>
    </row>
    <row r="109">
      <c r="B109" t="inlineStr">
        <is>
          <t>Network Sales Growth</t>
        </is>
      </c>
      <c r="C109" t="inlineStr">
        <is>
          <t>% YoY</t>
        </is>
      </c>
      <c r="D109" s="31" t="n"/>
      <c r="E109" s="31">
        <f>IF(D108=0,"",E108/D108-1)</f>
        <v/>
      </c>
      <c r="F109" s="31">
        <f>IF(E108=0,"",F108/E108-1)</f>
        <v/>
      </c>
      <c r="G109" s="31">
        <f>IF(F108=0,"",G108/F108-1)</f>
        <v/>
      </c>
      <c r="H109" s="83">
        <f>IF(G108=0,"",H108/G108-1)</f>
        <v/>
      </c>
      <c r="I109" s="83">
        <f>IF(H108=0,"",I108/H108-1)</f>
        <v/>
      </c>
      <c r="J109" s="83">
        <f>IF(I108=0,"",J108/I108-1)</f>
        <v/>
      </c>
      <c r="K109" s="83">
        <f>IF(J108=0,"",K108/J108-1)</f>
        <v/>
      </c>
      <c r="L109" s="83">
        <f>IF(K108=0,"",L108/K108-1)</f>
        <v/>
      </c>
      <c r="M109" s="83">
        <f>IF(L108=0,"",M108/L108-1)</f>
        <v/>
      </c>
      <c r="N109" s="83">
        <f>IF(M108=0,"",N108/M108-1)</f>
        <v/>
      </c>
      <c r="O109" s="83">
        <f>IF(N108=0,"",O108/N108-1)</f>
        <v/>
      </c>
      <c r="P109" s="83">
        <f>IF(O108=0,"",P108/O108-1)</f>
        <v/>
      </c>
      <c r="Q109" s="83">
        <f>IF(P108=0,"",Q108/P108-1)</f>
        <v/>
      </c>
    </row>
    <row r="110"/>
    <row r="111">
      <c r="A111" s="57" t="n"/>
      <c r="B111" s="58" t="inlineStr">
        <is>
          <t>Restaurant Count</t>
        </is>
      </c>
      <c r="C111" s="57" t="n"/>
      <c r="D111" s="57" t="n"/>
      <c r="E111" s="57" t="n"/>
      <c r="F111" s="57" t="n"/>
      <c r="G111" s="57" t="n"/>
      <c r="H111" s="57" t="n"/>
      <c r="I111" s="57" t="n"/>
      <c r="J111" s="57" t="n"/>
      <c r="K111" s="57" t="n"/>
      <c r="L111" s="57" t="n"/>
      <c r="M111" s="57" t="n"/>
      <c r="N111" s="57" t="n"/>
      <c r="O111" s="57" t="n"/>
      <c r="P111" s="57" t="n"/>
      <c r="Q111" s="57" t="n"/>
    </row>
    <row r="112">
      <c r="A112" t="inlineStr">
        <is>
          <t>KPI-AU Corp Count</t>
        </is>
      </c>
      <c r="B112" t="inlineStr">
        <is>
          <t>AU Corporate Restaurants</t>
        </is>
      </c>
      <c r="C112" t="inlineStr">
        <is>
          <t>#</t>
        </is>
      </c>
      <c r="D112" s="64" t="n">
        <v>46</v>
      </c>
      <c r="E112" s="64" t="n">
        <v>55</v>
      </c>
      <c r="F112" s="64" t="n">
        <v>64</v>
      </c>
      <c r="G112" s="64" t="n">
        <v>81</v>
      </c>
      <c r="H112" s="89">
        <f>INDEX('HY &amp; Segments'!$117:$117,1,MATCH("2H"&amp;RIGHT(H$1,2),'HY &amp; Segments'!$3:$3,0))</f>
        <v/>
      </c>
      <c r="I112" s="89">
        <f>INDEX('HY &amp; Segments'!$117:$117,1,MATCH("2H"&amp;RIGHT(I$1,2),'HY &amp; Segments'!$3:$3,0))</f>
        <v/>
      </c>
      <c r="J112" s="89">
        <f>INDEX('HY &amp; Segments'!$117:$117,1,MATCH("2H"&amp;RIGHT(J$1,2),'HY &amp; Segments'!$3:$3,0))</f>
        <v/>
      </c>
      <c r="K112" s="89">
        <f>INDEX('HY &amp; Segments'!$117:$117,1,MATCH("2H"&amp;RIGHT(K$1,2),'HY &amp; Segments'!$3:$3,0))</f>
        <v/>
      </c>
      <c r="L112" s="89">
        <f>INDEX('HY &amp; Segments'!$117:$117,1,MATCH("2H"&amp;RIGHT(L$1,2),'HY &amp; Segments'!$3:$3,0))</f>
        <v/>
      </c>
      <c r="M112" s="89">
        <f>INDEX('HY &amp; Segments'!$117:$117,1,MATCH("2H"&amp;RIGHT(M$1,2),'HY &amp; Segments'!$3:$3,0))</f>
        <v/>
      </c>
      <c r="N112" s="89">
        <f>INDEX('HY &amp; Segments'!$117:$117,1,MATCH("2H"&amp;RIGHT(N$1,2),'HY &amp; Segments'!$3:$3,0))</f>
        <v/>
      </c>
      <c r="O112" s="89">
        <f>INDEX('HY &amp; Segments'!$117:$117,1,MATCH("2H"&amp;RIGHT(O$1,2),'HY &amp; Segments'!$3:$3,0))</f>
        <v/>
      </c>
      <c r="P112" s="89">
        <f>INDEX('HY &amp; Segments'!$117:$117,1,MATCH("2H"&amp;RIGHT(P$1,2),'HY &amp; Segments'!$3:$3,0))</f>
        <v/>
      </c>
      <c r="Q112" s="89">
        <f>INDEX('HY &amp; Segments'!$117:$117,1,MATCH("2H"&amp;RIGHT(Q$1,2),'HY &amp; Segments'!$3:$3,0))</f>
        <v/>
      </c>
    </row>
    <row r="113">
      <c r="A113" t="inlineStr">
        <is>
          <t>KPI-AU Franchise Count</t>
        </is>
      </c>
      <c r="B113" t="inlineStr">
        <is>
          <t>AU Franchise Restaurants</t>
        </is>
      </c>
      <c r="C113" t="inlineStr">
        <is>
          <t>#</t>
        </is>
      </c>
      <c r="D113" s="64" t="n">
        <v>104</v>
      </c>
      <c r="E113" s="64" t="n">
        <v>116</v>
      </c>
      <c r="F113" s="64" t="n">
        <v>130</v>
      </c>
      <c r="G113" s="64" t="n">
        <v>143</v>
      </c>
      <c r="H113" s="89">
        <f>INDEX('HY &amp; Segments'!$124:$124,1,MATCH("2H"&amp;RIGHT(H$1,2),'HY &amp; Segments'!$3:$3,0))</f>
        <v/>
      </c>
      <c r="I113" s="89">
        <f>INDEX('HY &amp; Segments'!$124:$124,1,MATCH("2H"&amp;RIGHT(I$1,2),'HY &amp; Segments'!$3:$3,0))</f>
        <v/>
      </c>
      <c r="J113" s="89">
        <f>INDEX('HY &amp; Segments'!$124:$124,1,MATCH("2H"&amp;RIGHT(J$1,2),'HY &amp; Segments'!$3:$3,0))</f>
        <v/>
      </c>
      <c r="K113" s="89">
        <f>INDEX('HY &amp; Segments'!$124:$124,1,MATCH("2H"&amp;RIGHT(K$1,2),'HY &amp; Segments'!$3:$3,0))</f>
        <v/>
      </c>
      <c r="L113" s="89">
        <f>INDEX('HY &amp; Segments'!$124:$124,1,MATCH("2H"&amp;RIGHT(L$1,2),'HY &amp; Segments'!$3:$3,0))</f>
        <v/>
      </c>
      <c r="M113" s="89">
        <f>INDEX('HY &amp; Segments'!$124:$124,1,MATCH("2H"&amp;RIGHT(M$1,2),'HY &amp; Segments'!$3:$3,0))</f>
        <v/>
      </c>
      <c r="N113" s="89">
        <f>INDEX('HY &amp; Segments'!$124:$124,1,MATCH("2H"&amp;RIGHT(N$1,2),'HY &amp; Segments'!$3:$3,0))</f>
        <v/>
      </c>
      <c r="O113" s="89">
        <f>INDEX('HY &amp; Segments'!$124:$124,1,MATCH("2H"&amp;RIGHT(O$1,2),'HY &amp; Segments'!$3:$3,0))</f>
        <v/>
      </c>
      <c r="P113" s="89">
        <f>INDEX('HY &amp; Segments'!$124:$124,1,MATCH("2H"&amp;RIGHT(P$1,2),'HY &amp; Segments'!$3:$3,0))</f>
        <v/>
      </c>
      <c r="Q113" s="89">
        <f>INDEX('HY &amp; Segments'!$124:$124,1,MATCH("2H"&amp;RIGHT(Q$1,2),'HY &amp; Segments'!$3:$3,0))</f>
        <v/>
      </c>
    </row>
    <row r="114">
      <c r="A114" t="inlineStr">
        <is>
          <t>KPI-SG Count</t>
        </is>
      </c>
      <c r="B114" t="inlineStr">
        <is>
          <t>SG Restaurants</t>
        </is>
      </c>
      <c r="C114" t="inlineStr">
        <is>
          <t>#</t>
        </is>
      </c>
      <c r="D114" s="30" t="n"/>
      <c r="E114" s="64" t="n">
        <v>16</v>
      </c>
      <c r="F114" s="64" t="n">
        <v>17</v>
      </c>
      <c r="G114" s="64" t="n">
        <v>21</v>
      </c>
      <c r="H114" s="90">
        <f>G114</f>
        <v/>
      </c>
      <c r="I114" s="90">
        <f>H114</f>
        <v/>
      </c>
      <c r="J114" s="90">
        <f>I114</f>
        <v/>
      </c>
      <c r="K114" s="90">
        <f>J114</f>
        <v/>
      </c>
      <c r="L114" s="90">
        <f>K114</f>
        <v/>
      </c>
      <c r="M114" s="90">
        <f>L114</f>
        <v/>
      </c>
      <c r="N114" s="90">
        <f>M114</f>
        <v/>
      </c>
      <c r="O114" s="90">
        <f>N114</f>
        <v/>
      </c>
      <c r="P114" s="90">
        <f>O114</f>
        <v/>
      </c>
      <c r="Q114" s="90">
        <f>P114</f>
        <v/>
      </c>
    </row>
    <row r="115">
      <c r="A115" t="inlineStr">
        <is>
          <t>KPI-JP Count</t>
        </is>
      </c>
      <c r="B115" t="inlineStr">
        <is>
          <t>JP Restaurants</t>
        </is>
      </c>
      <c r="C115" t="inlineStr">
        <is>
          <t>#</t>
        </is>
      </c>
      <c r="D115" s="30" t="n"/>
      <c r="E115" s="64" t="n">
        <v>4</v>
      </c>
      <c r="F115" s="64" t="n">
        <v>5</v>
      </c>
      <c r="G115" s="64" t="n">
        <v>5</v>
      </c>
      <c r="H115" s="90">
        <f>G115</f>
        <v/>
      </c>
      <c r="I115" s="90">
        <f>H115</f>
        <v/>
      </c>
      <c r="J115" s="90">
        <f>I115</f>
        <v/>
      </c>
      <c r="K115" s="90">
        <f>J115</f>
        <v/>
      </c>
      <c r="L115" s="90">
        <f>K115</f>
        <v/>
      </c>
      <c r="M115" s="90">
        <f>L115</f>
        <v/>
      </c>
      <c r="N115" s="90">
        <f>M115</f>
        <v/>
      </c>
      <c r="O115" s="90">
        <f>N115</f>
        <v/>
      </c>
      <c r="P115" s="90">
        <f>O115</f>
        <v/>
      </c>
      <c r="Q115" s="90">
        <f>P115</f>
        <v/>
      </c>
    </row>
    <row r="116">
      <c r="A116" t="inlineStr">
        <is>
          <t>KPI-US Count</t>
        </is>
      </c>
      <c r="B116" t="inlineStr">
        <is>
          <t>US Restaurants</t>
        </is>
      </c>
      <c r="C116" t="inlineStr">
        <is>
          <t>#</t>
        </is>
      </c>
      <c r="D116" s="64" t="n">
        <v>1</v>
      </c>
      <c r="E116" s="64" t="n">
        <v>3</v>
      </c>
      <c r="F116" s="64" t="n">
        <v>4</v>
      </c>
      <c r="G116" s="64" t="n">
        <v>6</v>
      </c>
      <c r="H116" s="89">
        <f>INDEX('HY &amp; Segments'!$140:$140,1,MATCH("2H"&amp;RIGHT(H$1,2),'HY &amp; Segments'!$3:$3,0))</f>
        <v/>
      </c>
      <c r="I116" s="89">
        <f>INDEX('HY &amp; Segments'!$140:$140,1,MATCH("2H"&amp;RIGHT(I$1,2),'HY &amp; Segments'!$3:$3,0))</f>
        <v/>
      </c>
      <c r="J116" s="89">
        <f>INDEX('HY &amp; Segments'!$140:$140,1,MATCH("2H"&amp;RIGHT(J$1,2),'HY &amp; Segments'!$3:$3,0))</f>
        <v/>
      </c>
      <c r="K116" s="89">
        <f>INDEX('HY &amp; Segments'!$140:$140,1,MATCH("2H"&amp;RIGHT(K$1,2),'HY &amp; Segments'!$3:$3,0))</f>
        <v/>
      </c>
      <c r="L116" s="89">
        <f>INDEX('HY &amp; Segments'!$140:$140,1,MATCH("2H"&amp;RIGHT(L$1,2),'HY &amp; Segments'!$3:$3,0))</f>
        <v/>
      </c>
      <c r="M116" s="89">
        <f>INDEX('HY &amp; Segments'!$140:$140,1,MATCH("2H"&amp;RIGHT(M$1,2),'HY &amp; Segments'!$3:$3,0))</f>
        <v/>
      </c>
      <c r="N116" s="89">
        <f>INDEX('HY &amp; Segments'!$140:$140,1,MATCH("2H"&amp;RIGHT(N$1,2),'HY &amp; Segments'!$3:$3,0))</f>
        <v/>
      </c>
      <c r="O116" s="89">
        <f>INDEX('HY &amp; Segments'!$140:$140,1,MATCH("2H"&amp;RIGHT(O$1,2),'HY &amp; Segments'!$3:$3,0))</f>
        <v/>
      </c>
      <c r="P116" s="89">
        <f>INDEX('HY &amp; Segments'!$140:$140,1,MATCH("2H"&amp;RIGHT(P$1,2),'HY &amp; Segments'!$3:$3,0))</f>
        <v/>
      </c>
      <c r="Q116" s="89">
        <f>INDEX('HY &amp; Segments'!$140:$140,1,MATCH("2H"&amp;RIGHT(Q$1,2),'HY &amp; Segments'!$3:$3,0))</f>
        <v/>
      </c>
    </row>
    <row r="117">
      <c r="A117" t="inlineStr">
        <is>
          <t>KPI-Total Restaurants</t>
        </is>
      </c>
      <c r="B117" s="20" t="inlineStr">
        <is>
          <t>Total Restaurants</t>
        </is>
      </c>
      <c r="C117" s="20" t="inlineStr">
        <is>
          <t>#</t>
        </is>
      </c>
      <c r="D117" s="59">
        <f>SUM(D112:D116)</f>
        <v/>
      </c>
      <c r="E117" s="59">
        <f>SUM(E112:E116)</f>
        <v/>
      </c>
      <c r="F117" s="59">
        <f>SUM(F112:F116)</f>
        <v/>
      </c>
      <c r="G117" s="59">
        <f>SUM(G112:G116)</f>
        <v/>
      </c>
      <c r="H117" s="91">
        <f>SUM(H112:H116)</f>
        <v/>
      </c>
      <c r="I117" s="91">
        <f>SUM(I112:I116)</f>
        <v/>
      </c>
      <c r="J117" s="91">
        <f>SUM(J112:J116)</f>
        <v/>
      </c>
      <c r="K117" s="91">
        <f>SUM(K112:K116)</f>
        <v/>
      </c>
      <c r="L117" s="91">
        <f>SUM(L112:L116)</f>
        <v/>
      </c>
      <c r="M117" s="91">
        <f>SUM(M112:M116)</f>
        <v/>
      </c>
      <c r="N117" s="91">
        <f>SUM(N112:N116)</f>
        <v/>
      </c>
      <c r="O117" s="91">
        <f>SUM(O112:O116)</f>
        <v/>
      </c>
      <c r="P117" s="91">
        <f>SUM(P112:P116)</f>
        <v/>
      </c>
      <c r="Q117" s="91">
        <f>SUM(Q112:Q116)</f>
        <v/>
      </c>
    </row>
    <row r="118"/>
    <row r="119">
      <c r="A119" s="57" t="n"/>
      <c r="B119" s="58" t="inlineStr">
        <is>
          <t>AU Format Detail</t>
        </is>
      </c>
      <c r="C119" s="57" t="n"/>
      <c r="D119" s="57" t="n"/>
      <c r="E119" s="57" t="n"/>
      <c r="F119" s="57" t="n"/>
      <c r="G119" s="57" t="n"/>
      <c r="H119" s="57" t="n"/>
      <c r="I119" s="57" t="n"/>
      <c r="J119" s="57" t="n"/>
      <c r="K119" s="57" t="n"/>
      <c r="L119" s="57" t="n"/>
      <c r="M119" s="57" t="n"/>
      <c r="N119" s="57" t="n"/>
      <c r="O119" s="57" t="n"/>
      <c r="P119" s="57" t="n"/>
      <c r="Q119" s="57" t="n"/>
    </row>
    <row r="120">
      <c r="A120" t="inlineStr">
        <is>
          <t>KPI-AU DT Count</t>
        </is>
      </c>
      <c r="B120" t="inlineStr">
        <is>
          <t>AU Drive-Thru Count</t>
        </is>
      </c>
      <c r="C120" t="inlineStr">
        <is>
          <t>#</t>
        </is>
      </c>
      <c r="D120" s="30" t="n"/>
      <c r="E120" s="30" t="n"/>
      <c r="F120" s="30" t="n"/>
      <c r="G120" s="64" t="n">
        <v>117</v>
      </c>
      <c r="H120" s="89">
        <f>INDEX('HY &amp; Segments'!$98:$98,1,MATCH("2H"&amp;RIGHT(H$1,2),'HY &amp; Segments'!$3:$3,0))</f>
        <v/>
      </c>
      <c r="I120" s="89">
        <f>INDEX('HY &amp; Segments'!$98:$98,1,MATCH("2H"&amp;RIGHT(I$1,2),'HY &amp; Segments'!$3:$3,0))</f>
        <v/>
      </c>
      <c r="J120" s="89">
        <f>INDEX('HY &amp; Segments'!$98:$98,1,MATCH("2H"&amp;RIGHT(J$1,2),'HY &amp; Segments'!$3:$3,0))</f>
        <v/>
      </c>
      <c r="K120" s="89">
        <f>INDEX('HY &amp; Segments'!$98:$98,1,MATCH("2H"&amp;RIGHT(K$1,2),'HY &amp; Segments'!$3:$3,0))</f>
        <v/>
      </c>
      <c r="L120" s="89">
        <f>INDEX('HY &amp; Segments'!$98:$98,1,MATCH("2H"&amp;RIGHT(L$1,2),'HY &amp; Segments'!$3:$3,0))</f>
        <v/>
      </c>
      <c r="M120" s="89">
        <f>INDEX('HY &amp; Segments'!$98:$98,1,MATCH("2H"&amp;RIGHT(M$1,2),'HY &amp; Segments'!$3:$3,0))</f>
        <v/>
      </c>
      <c r="N120" s="89">
        <f>INDEX('HY &amp; Segments'!$98:$98,1,MATCH("2H"&amp;RIGHT(N$1,2),'HY &amp; Segments'!$3:$3,0))</f>
        <v/>
      </c>
      <c r="O120" s="89">
        <f>INDEX('HY &amp; Segments'!$98:$98,1,MATCH("2H"&amp;RIGHT(O$1,2),'HY &amp; Segments'!$3:$3,0))</f>
        <v/>
      </c>
      <c r="P120" s="89">
        <f>INDEX('HY &amp; Segments'!$98:$98,1,MATCH("2H"&amp;RIGHT(P$1,2),'HY &amp; Segments'!$3:$3,0))</f>
        <v/>
      </c>
      <c r="Q120" s="89">
        <f>INDEX('HY &amp; Segments'!$98:$98,1,MATCH("2H"&amp;RIGHT(Q$1,2),'HY &amp; Segments'!$3:$3,0))</f>
        <v/>
      </c>
    </row>
    <row r="121">
      <c r="A121" t="inlineStr">
        <is>
          <t>KPI-AU Strip Count</t>
        </is>
      </c>
      <c r="B121" t="inlineStr">
        <is>
          <t>AU Strip Count</t>
        </is>
      </c>
      <c r="C121" t="inlineStr">
        <is>
          <t>#</t>
        </is>
      </c>
      <c r="D121" s="30" t="n"/>
      <c r="E121" s="30" t="n"/>
      <c r="F121" s="30" t="n"/>
      <c r="G121" s="64" t="n">
        <v>68</v>
      </c>
      <c r="H121" s="89">
        <f>INDEX('HY &amp; Segments'!$99:$99,1,MATCH("2H"&amp;RIGHT(H$1,2),'HY &amp; Segments'!$3:$3,0))</f>
        <v/>
      </c>
      <c r="I121" s="89">
        <f>INDEX('HY &amp; Segments'!$99:$99,1,MATCH("2H"&amp;RIGHT(I$1,2),'HY &amp; Segments'!$3:$3,0))</f>
        <v/>
      </c>
      <c r="J121" s="89">
        <f>INDEX('HY &amp; Segments'!$99:$99,1,MATCH("2H"&amp;RIGHT(J$1,2),'HY &amp; Segments'!$3:$3,0))</f>
        <v/>
      </c>
      <c r="K121" s="89">
        <f>INDEX('HY &amp; Segments'!$99:$99,1,MATCH("2H"&amp;RIGHT(K$1,2),'HY &amp; Segments'!$3:$3,0))</f>
        <v/>
      </c>
      <c r="L121" s="89">
        <f>INDEX('HY &amp; Segments'!$99:$99,1,MATCH("2H"&amp;RIGHT(L$1,2),'HY &amp; Segments'!$3:$3,0))</f>
        <v/>
      </c>
      <c r="M121" s="89">
        <f>INDEX('HY &amp; Segments'!$99:$99,1,MATCH("2H"&amp;RIGHT(M$1,2),'HY &amp; Segments'!$3:$3,0))</f>
        <v/>
      </c>
      <c r="N121" s="89">
        <f>INDEX('HY &amp; Segments'!$99:$99,1,MATCH("2H"&amp;RIGHT(N$1,2),'HY &amp; Segments'!$3:$3,0))</f>
        <v/>
      </c>
      <c r="O121" s="89">
        <f>INDEX('HY &amp; Segments'!$99:$99,1,MATCH("2H"&amp;RIGHT(O$1,2),'HY &amp; Segments'!$3:$3,0))</f>
        <v/>
      </c>
      <c r="P121" s="89">
        <f>INDEX('HY &amp; Segments'!$99:$99,1,MATCH("2H"&amp;RIGHT(P$1,2),'HY &amp; Segments'!$3:$3,0))</f>
        <v/>
      </c>
      <c r="Q121" s="89">
        <f>INDEX('HY &amp; Segments'!$99:$99,1,MATCH("2H"&amp;RIGHT(Q$1,2),'HY &amp; Segments'!$3:$3,0))</f>
        <v/>
      </c>
    </row>
    <row r="122">
      <c r="A122" t="inlineStr">
        <is>
          <t>KPI-AU Other Count</t>
        </is>
      </c>
      <c r="B122" t="inlineStr">
        <is>
          <t>AU Other Count</t>
        </is>
      </c>
      <c r="C122" t="inlineStr">
        <is>
          <t>#</t>
        </is>
      </c>
      <c r="D122" s="30" t="n"/>
      <c r="E122" s="30" t="n"/>
      <c r="F122" s="30" t="n"/>
      <c r="G122" s="64" t="n">
        <v>39</v>
      </c>
      <c r="H122" s="89">
        <f>INDEX('HY &amp; Segments'!$100:$100,1,MATCH("2H"&amp;RIGHT(H$1,2),'HY &amp; Segments'!$3:$3,0))</f>
        <v/>
      </c>
      <c r="I122" s="89">
        <f>INDEX('HY &amp; Segments'!$100:$100,1,MATCH("2H"&amp;RIGHT(I$1,2),'HY &amp; Segments'!$3:$3,0))</f>
        <v/>
      </c>
      <c r="J122" s="89">
        <f>INDEX('HY &amp; Segments'!$100:$100,1,MATCH("2H"&amp;RIGHT(J$1,2),'HY &amp; Segments'!$3:$3,0))</f>
        <v/>
      </c>
      <c r="K122" s="89">
        <f>INDEX('HY &amp; Segments'!$100:$100,1,MATCH("2H"&amp;RIGHT(K$1,2),'HY &amp; Segments'!$3:$3,0))</f>
        <v/>
      </c>
      <c r="L122" s="89">
        <f>INDEX('HY &amp; Segments'!$100:$100,1,MATCH("2H"&amp;RIGHT(L$1,2),'HY &amp; Segments'!$3:$3,0))</f>
        <v/>
      </c>
      <c r="M122" s="89">
        <f>INDEX('HY &amp; Segments'!$100:$100,1,MATCH("2H"&amp;RIGHT(M$1,2),'HY &amp; Segments'!$3:$3,0))</f>
        <v/>
      </c>
      <c r="N122" s="89">
        <f>INDEX('HY &amp; Segments'!$100:$100,1,MATCH("2H"&amp;RIGHT(N$1,2),'HY &amp; Segments'!$3:$3,0))</f>
        <v/>
      </c>
      <c r="O122" s="89">
        <f>INDEX('HY &amp; Segments'!$100:$100,1,MATCH("2H"&amp;RIGHT(O$1,2),'HY &amp; Segments'!$3:$3,0))</f>
        <v/>
      </c>
      <c r="P122" s="89">
        <f>INDEX('HY &amp; Segments'!$100:$100,1,MATCH("2H"&amp;RIGHT(P$1,2),'HY &amp; Segments'!$3:$3,0))</f>
        <v/>
      </c>
      <c r="Q122" s="89">
        <f>INDEX('HY &amp; Segments'!$100:$100,1,MATCH("2H"&amp;RIGHT(Q$1,2),'HY &amp; Segments'!$3:$3,0))</f>
        <v/>
      </c>
    </row>
    <row r="123">
      <c r="A123" t="inlineStr">
        <is>
          <t>KPI-DT AUV</t>
        </is>
      </c>
      <c r="B123" t="inlineStr">
        <is>
          <t>Drive-Thru AUV</t>
        </is>
      </c>
      <c r="C123" t="inlineStr">
        <is>
          <t>AUDm</t>
        </is>
      </c>
      <c r="D123" s="19" t="n"/>
      <c r="E123" s="60" t="n">
        <v>5.7</v>
      </c>
      <c r="F123" s="60" t="n">
        <v>6.2</v>
      </c>
      <c r="G123" s="60" t="n">
        <v>6.7</v>
      </c>
      <c r="H123" s="72">
        <f>INDEX('HY &amp; Segments'!$102:$102,1,MATCH("2H"&amp;RIGHT(H$1,2),'HY &amp; Segments'!$3:$3,0))</f>
        <v/>
      </c>
      <c r="I123" s="72">
        <f>INDEX('HY &amp; Segments'!$102:$102,1,MATCH("2H"&amp;RIGHT(I$1,2),'HY &amp; Segments'!$3:$3,0))</f>
        <v/>
      </c>
      <c r="J123" s="72">
        <f>INDEX('HY &amp; Segments'!$102:$102,1,MATCH("2H"&amp;RIGHT(J$1,2),'HY &amp; Segments'!$3:$3,0))</f>
        <v/>
      </c>
      <c r="K123" s="72">
        <f>INDEX('HY &amp; Segments'!$102:$102,1,MATCH("2H"&amp;RIGHT(K$1,2),'HY &amp; Segments'!$3:$3,0))</f>
        <v/>
      </c>
      <c r="L123" s="72">
        <f>INDEX('HY &amp; Segments'!$102:$102,1,MATCH("2H"&amp;RIGHT(L$1,2),'HY &amp; Segments'!$3:$3,0))</f>
        <v/>
      </c>
      <c r="M123" s="72">
        <f>INDEX('HY &amp; Segments'!$102:$102,1,MATCH("2H"&amp;RIGHT(M$1,2),'HY &amp; Segments'!$3:$3,0))</f>
        <v/>
      </c>
      <c r="N123" s="72">
        <f>INDEX('HY &amp; Segments'!$102:$102,1,MATCH("2H"&amp;RIGHT(N$1,2),'HY &amp; Segments'!$3:$3,0))</f>
        <v/>
      </c>
      <c r="O123" s="72">
        <f>INDEX('HY &amp; Segments'!$102:$102,1,MATCH("2H"&amp;RIGHT(O$1,2),'HY &amp; Segments'!$3:$3,0))</f>
        <v/>
      </c>
      <c r="P123" s="72">
        <f>INDEX('HY &amp; Segments'!$102:$102,1,MATCH("2H"&amp;RIGHT(P$1,2),'HY &amp; Segments'!$3:$3,0))</f>
        <v/>
      </c>
      <c r="Q123" s="72">
        <f>INDEX('HY &amp; Segments'!$102:$102,1,MATCH("2H"&amp;RIGHT(Q$1,2),'HY &amp; Segments'!$3:$3,0))</f>
        <v/>
      </c>
    </row>
    <row r="124">
      <c r="A124" t="inlineStr">
        <is>
          <t>KPI-Strip AUV</t>
        </is>
      </c>
      <c r="B124" t="inlineStr">
        <is>
          <t>Strip AUV</t>
        </is>
      </c>
      <c r="C124" t="inlineStr">
        <is>
          <t>AUDm</t>
        </is>
      </c>
      <c r="D124" s="19" t="n"/>
      <c r="E124" s="60" t="n">
        <v>4.5</v>
      </c>
      <c r="F124" s="60" t="n">
        <v>4.6</v>
      </c>
      <c r="G124" s="60" t="n">
        <v>5</v>
      </c>
      <c r="H124" s="72">
        <f>INDEX('HY &amp; Segments'!$104:$104,1,MATCH("2H"&amp;RIGHT(H$1,2),'HY &amp; Segments'!$3:$3,0))</f>
        <v/>
      </c>
      <c r="I124" s="72">
        <f>INDEX('HY &amp; Segments'!$104:$104,1,MATCH("2H"&amp;RIGHT(I$1,2),'HY &amp; Segments'!$3:$3,0))</f>
        <v/>
      </c>
      <c r="J124" s="72">
        <f>INDEX('HY &amp; Segments'!$104:$104,1,MATCH("2H"&amp;RIGHT(J$1,2),'HY &amp; Segments'!$3:$3,0))</f>
        <v/>
      </c>
      <c r="K124" s="72">
        <f>INDEX('HY &amp; Segments'!$104:$104,1,MATCH("2H"&amp;RIGHT(K$1,2),'HY &amp; Segments'!$3:$3,0))</f>
        <v/>
      </c>
      <c r="L124" s="72">
        <f>INDEX('HY &amp; Segments'!$104:$104,1,MATCH("2H"&amp;RIGHT(L$1,2),'HY &amp; Segments'!$3:$3,0))</f>
        <v/>
      </c>
      <c r="M124" s="72">
        <f>INDEX('HY &amp; Segments'!$104:$104,1,MATCH("2H"&amp;RIGHT(M$1,2),'HY &amp; Segments'!$3:$3,0))</f>
        <v/>
      </c>
      <c r="N124" s="72">
        <f>INDEX('HY &amp; Segments'!$104:$104,1,MATCH("2H"&amp;RIGHT(N$1,2),'HY &amp; Segments'!$3:$3,0))</f>
        <v/>
      </c>
      <c r="O124" s="72">
        <f>INDEX('HY &amp; Segments'!$104:$104,1,MATCH("2H"&amp;RIGHT(O$1,2),'HY &amp; Segments'!$3:$3,0))</f>
        <v/>
      </c>
      <c r="P124" s="72">
        <f>INDEX('HY &amp; Segments'!$104:$104,1,MATCH("2H"&amp;RIGHT(P$1,2),'HY &amp; Segments'!$3:$3,0))</f>
        <v/>
      </c>
      <c r="Q124" s="72">
        <f>INDEX('HY &amp; Segments'!$104:$104,1,MATCH("2H"&amp;RIGHT(Q$1,2),'HY &amp; Segments'!$3:$3,0))</f>
        <v/>
      </c>
    </row>
    <row r="125">
      <c r="A125" t="inlineStr">
        <is>
          <t>KPI-Other AUV</t>
        </is>
      </c>
      <c r="B125" t="inlineStr">
        <is>
          <t>Other AUV</t>
        </is>
      </c>
      <c r="C125" t="inlineStr">
        <is>
          <t>AUDm</t>
        </is>
      </c>
      <c r="D125" s="19" t="n"/>
      <c r="E125" s="19" t="n"/>
      <c r="F125" s="19" t="n"/>
      <c r="G125" s="60" t="n">
        <v>4</v>
      </c>
      <c r="H125" s="72">
        <f>INDEX('HY &amp; Segments'!$106:$106,1,MATCH("2H"&amp;RIGHT(H$1,2),'HY &amp; Segments'!$3:$3,0))</f>
        <v/>
      </c>
      <c r="I125" s="72">
        <f>INDEX('HY &amp; Segments'!$106:$106,1,MATCH("2H"&amp;RIGHT(I$1,2),'HY &amp; Segments'!$3:$3,0))</f>
        <v/>
      </c>
      <c r="J125" s="72">
        <f>INDEX('HY &amp; Segments'!$106:$106,1,MATCH("2H"&amp;RIGHT(J$1,2),'HY &amp; Segments'!$3:$3,0))</f>
        <v/>
      </c>
      <c r="K125" s="72">
        <f>INDEX('HY &amp; Segments'!$106:$106,1,MATCH("2H"&amp;RIGHT(K$1,2),'HY &amp; Segments'!$3:$3,0))</f>
        <v/>
      </c>
      <c r="L125" s="72">
        <f>INDEX('HY &amp; Segments'!$106:$106,1,MATCH("2H"&amp;RIGHT(L$1,2),'HY &amp; Segments'!$3:$3,0))</f>
        <v/>
      </c>
      <c r="M125" s="72">
        <f>INDEX('HY &amp; Segments'!$106:$106,1,MATCH("2H"&amp;RIGHT(M$1,2),'HY &amp; Segments'!$3:$3,0))</f>
        <v/>
      </c>
      <c r="N125" s="72">
        <f>INDEX('HY &amp; Segments'!$106:$106,1,MATCH("2H"&amp;RIGHT(N$1,2),'HY &amp; Segments'!$3:$3,0))</f>
        <v/>
      </c>
      <c r="O125" s="72">
        <f>INDEX('HY &amp; Segments'!$106:$106,1,MATCH("2H"&amp;RIGHT(O$1,2),'HY &amp; Segments'!$3:$3,0))</f>
        <v/>
      </c>
      <c r="P125" s="72">
        <f>INDEX('HY &amp; Segments'!$106:$106,1,MATCH("2H"&amp;RIGHT(P$1,2),'HY &amp; Segments'!$3:$3,0))</f>
        <v/>
      </c>
      <c r="Q125" s="72">
        <f>INDEX('HY &amp; Segments'!$106:$106,1,MATCH("2H"&amp;RIGHT(Q$1,2),'HY &amp; Segments'!$3:$3,0))</f>
        <v/>
      </c>
    </row>
    <row r="126"/>
    <row r="127">
      <c r="A127" s="57" t="n"/>
      <c r="B127" s="58" t="inlineStr">
        <is>
          <t>Key Ratios</t>
        </is>
      </c>
      <c r="C127" s="57" t="n"/>
      <c r="D127" s="57" t="n"/>
      <c r="E127" s="57" t="n"/>
      <c r="F127" s="57" t="n"/>
      <c r="G127" s="57" t="n"/>
      <c r="H127" s="57" t="n"/>
      <c r="I127" s="57" t="n"/>
      <c r="J127" s="57" t="n"/>
      <c r="K127" s="57" t="n"/>
      <c r="L127" s="57" t="n"/>
      <c r="M127" s="57" t="n"/>
      <c r="N127" s="57" t="n"/>
      <c r="O127" s="57" t="n"/>
      <c r="P127" s="57" t="n"/>
      <c r="Q127" s="57" t="n"/>
    </row>
    <row r="128">
      <c r="B128" t="inlineStr">
        <is>
          <t>Comp Sales Growth</t>
        </is>
      </c>
      <c r="C128" t="inlineStr">
        <is>
          <t>% YoY</t>
        </is>
      </c>
      <c r="D128" s="65" t="n">
        <v>0.182</v>
      </c>
      <c r="E128" s="65" t="n">
        <v>0.15</v>
      </c>
      <c r="F128" s="65" t="n">
        <v>0.081</v>
      </c>
      <c r="G128" s="65" t="n">
        <v>0.096</v>
      </c>
      <c r="H128" s="74" t="n">
        <v>0.05</v>
      </c>
      <c r="I128" s="74">
        <f>H128</f>
        <v/>
      </c>
      <c r="J128" s="74">
        <f>I128</f>
        <v/>
      </c>
      <c r="K128" s="74">
        <f>J128</f>
        <v/>
      </c>
      <c r="L128" s="74">
        <f>K128</f>
        <v/>
      </c>
      <c r="M128" s="74">
        <f>L128</f>
        <v/>
      </c>
      <c r="N128" s="74">
        <f>M128</f>
        <v/>
      </c>
      <c r="O128" s="74">
        <f>N128</f>
        <v/>
      </c>
      <c r="P128" s="74">
        <f>O128</f>
        <v/>
      </c>
      <c r="Q128" s="74">
        <f>P128</f>
        <v/>
      </c>
    </row>
    <row r="129">
      <c r="B129" t="inlineStr">
        <is>
          <t>Corp Restaurant Margin</t>
        </is>
      </c>
      <c r="C129" t="inlineStr">
        <is>
          <t>%</t>
        </is>
      </c>
      <c r="D129" s="65" t="n">
        <v>0.141</v>
      </c>
      <c r="E129" s="65" t="n">
        <v>0.144</v>
      </c>
      <c r="F129" s="65" t="n">
        <v>0.174</v>
      </c>
      <c r="G129" s="65" t="n">
        <v>0.179</v>
      </c>
      <c r="H129" s="83">
        <f>INDEX('HY &amp; Segments'!$120:$120,1,MATCH("2H"&amp;RIGHT(H$1,2),'HY &amp; Segments'!$3:$3,0))</f>
        <v/>
      </c>
      <c r="I129" s="83">
        <f>INDEX('HY &amp; Segments'!$120:$120,1,MATCH("2H"&amp;RIGHT(I$1,2),'HY &amp; Segments'!$3:$3,0))</f>
        <v/>
      </c>
      <c r="J129" s="83">
        <f>INDEX('HY &amp; Segments'!$120:$120,1,MATCH("2H"&amp;RIGHT(J$1,2),'HY &amp; Segments'!$3:$3,0))</f>
        <v/>
      </c>
      <c r="K129" s="83">
        <f>INDEX('HY &amp; Segments'!$120:$120,1,MATCH("2H"&amp;RIGHT(K$1,2),'HY &amp; Segments'!$3:$3,0))</f>
        <v/>
      </c>
      <c r="L129" s="83">
        <f>INDEX('HY &amp; Segments'!$120:$120,1,MATCH("2H"&amp;RIGHT(L$1,2),'HY &amp; Segments'!$3:$3,0))</f>
        <v/>
      </c>
      <c r="M129" s="83">
        <f>INDEX('HY &amp; Segments'!$120:$120,1,MATCH("2H"&amp;RIGHT(M$1,2),'HY &amp; Segments'!$3:$3,0))</f>
        <v/>
      </c>
      <c r="N129" s="83">
        <f>INDEX('HY &amp; Segments'!$120:$120,1,MATCH("2H"&amp;RIGHT(N$1,2),'HY &amp; Segments'!$3:$3,0))</f>
        <v/>
      </c>
      <c r="O129" s="83">
        <f>INDEX('HY &amp; Segments'!$120:$120,1,MATCH("2H"&amp;RIGHT(O$1,2),'HY &amp; Segments'!$3:$3,0))</f>
        <v/>
      </c>
      <c r="P129" s="83">
        <f>INDEX('HY &amp; Segments'!$120:$120,1,MATCH("2H"&amp;RIGHT(P$1,2),'HY &amp; Segments'!$3:$3,0))</f>
        <v/>
      </c>
      <c r="Q129" s="83">
        <f>INDEX('HY &amp; Segments'!$120:$120,1,MATCH("2H"&amp;RIGHT(Q$1,2),'HY &amp; Segments'!$3:$3,0))</f>
        <v/>
      </c>
    </row>
    <row r="130">
      <c r="B130" t="inlineStr">
        <is>
          <t>Franchise Royalty Rate</t>
        </is>
      </c>
      <c r="C130" t="inlineStr">
        <is>
          <t>%</t>
        </is>
      </c>
      <c r="D130" s="31" t="n"/>
      <c r="E130" s="65" t="n">
        <v>0.076</v>
      </c>
      <c r="F130" s="65" t="n">
        <v>0.078</v>
      </c>
      <c r="G130" s="65" t="n">
        <v>0.083</v>
      </c>
      <c r="H130" s="83">
        <f>INDEX('HY &amp; Segments'!$126:$126,1,MATCH("2H"&amp;RIGHT(H$1,2),'HY &amp; Segments'!$3:$3,0))</f>
        <v/>
      </c>
      <c r="I130" s="83">
        <f>INDEX('HY &amp; Segments'!$126:$126,1,MATCH("2H"&amp;RIGHT(I$1,2),'HY &amp; Segments'!$3:$3,0))</f>
        <v/>
      </c>
      <c r="J130" s="83">
        <f>INDEX('HY &amp; Segments'!$126:$126,1,MATCH("2H"&amp;RIGHT(J$1,2),'HY &amp; Segments'!$3:$3,0))</f>
        <v/>
      </c>
      <c r="K130" s="83">
        <f>INDEX('HY &amp; Segments'!$126:$126,1,MATCH("2H"&amp;RIGHT(K$1,2),'HY &amp; Segments'!$3:$3,0))</f>
        <v/>
      </c>
      <c r="L130" s="83">
        <f>INDEX('HY &amp; Segments'!$126:$126,1,MATCH("2H"&amp;RIGHT(L$1,2),'HY &amp; Segments'!$3:$3,0))</f>
        <v/>
      </c>
      <c r="M130" s="83">
        <f>INDEX('HY &amp; Segments'!$126:$126,1,MATCH("2H"&amp;RIGHT(M$1,2),'HY &amp; Segments'!$3:$3,0))</f>
        <v/>
      </c>
      <c r="N130" s="83">
        <f>INDEX('HY &amp; Segments'!$126:$126,1,MATCH("2H"&amp;RIGHT(N$1,2),'HY &amp; Segments'!$3:$3,0))</f>
        <v/>
      </c>
      <c r="O130" s="83">
        <f>INDEX('HY &amp; Segments'!$126:$126,1,MATCH("2H"&amp;RIGHT(O$1,2),'HY &amp; Segments'!$3:$3,0))</f>
        <v/>
      </c>
      <c r="P130" s="83">
        <f>INDEX('HY &amp; Segments'!$126:$126,1,MATCH("2H"&amp;RIGHT(P$1,2),'HY &amp; Segments'!$3:$3,0))</f>
        <v/>
      </c>
      <c r="Q130" s="83">
        <f>INDEX('HY &amp; Segments'!$126:$126,1,MATCH("2H"&amp;RIGHT(Q$1,2),'HY &amp; Segments'!$3:$3,0))</f>
        <v/>
      </c>
    </row>
    <row r="131">
      <c r="B131" t="inlineStr">
        <is>
          <t>G&amp;A % Network Sales</t>
        </is>
      </c>
      <c r="C131" t="inlineStr">
        <is>
          <t>%</t>
        </is>
      </c>
      <c r="D131" s="31" t="n"/>
      <c r="E131" s="65" t="n">
        <v>0.062</v>
      </c>
      <c r="F131" s="65" t="n">
        <v>0.067</v>
      </c>
      <c r="G131" s="65" t="n">
        <v>0.066</v>
      </c>
      <c r="H131" s="83">
        <f>INDEX('HY &amp; Segments'!$132:$132,1,MATCH("2H"&amp;RIGHT(H$1,2),'HY &amp; Segments'!$3:$3,0))</f>
        <v/>
      </c>
      <c r="I131" s="83">
        <f>INDEX('HY &amp; Segments'!$132:$132,1,MATCH("2H"&amp;RIGHT(I$1,2),'HY &amp; Segments'!$3:$3,0))</f>
        <v/>
      </c>
      <c r="J131" s="83">
        <f>INDEX('HY &amp; Segments'!$132:$132,1,MATCH("2H"&amp;RIGHT(J$1,2),'HY &amp; Segments'!$3:$3,0))</f>
        <v/>
      </c>
      <c r="K131" s="83">
        <f>INDEX('HY &amp; Segments'!$132:$132,1,MATCH("2H"&amp;RIGHT(K$1,2),'HY &amp; Segments'!$3:$3,0))</f>
        <v/>
      </c>
      <c r="L131" s="83">
        <f>INDEX('HY &amp; Segments'!$132:$132,1,MATCH("2H"&amp;RIGHT(L$1,2),'HY &amp; Segments'!$3:$3,0))</f>
        <v/>
      </c>
      <c r="M131" s="83">
        <f>INDEX('HY &amp; Segments'!$132:$132,1,MATCH("2H"&amp;RIGHT(M$1,2),'HY &amp; Segments'!$3:$3,0))</f>
        <v/>
      </c>
      <c r="N131" s="83">
        <f>INDEX('HY &amp; Segments'!$132:$132,1,MATCH("2H"&amp;RIGHT(N$1,2),'HY &amp; Segments'!$3:$3,0))</f>
        <v/>
      </c>
      <c r="O131" s="83">
        <f>INDEX('HY &amp; Segments'!$132:$132,1,MATCH("2H"&amp;RIGHT(O$1,2),'HY &amp; Segments'!$3:$3,0))</f>
        <v/>
      </c>
      <c r="P131" s="83">
        <f>INDEX('HY &amp; Segments'!$132:$132,1,MATCH("2H"&amp;RIGHT(P$1,2),'HY &amp; Segments'!$3:$3,0))</f>
        <v/>
      </c>
      <c r="Q131" s="83">
        <f>INDEX('HY &amp; Segments'!$132:$132,1,MATCH("2H"&amp;RIGHT(Q$1,2),'HY &amp; Segments'!$3:$3,0))</f>
        <v/>
      </c>
    </row>
    <row r="132">
      <c r="B132" t="inlineStr">
        <is>
          <t>Segment EBITDA % Network Sales</t>
        </is>
      </c>
      <c r="C132" t="inlineStr">
        <is>
          <t>%</t>
        </is>
      </c>
      <c r="D132" s="31" t="n"/>
      <c r="E132" s="65" t="n">
        <v>0.041</v>
      </c>
      <c r="F132" s="65" t="n">
        <v>0.048</v>
      </c>
      <c r="G132" s="65" t="n">
        <v>0.057</v>
      </c>
      <c r="H132" s="83">
        <f>IF(H108=0,"",H48/H108)</f>
        <v/>
      </c>
      <c r="I132" s="83">
        <f>IF(I108=0,"",I48/I108)</f>
        <v/>
      </c>
      <c r="J132" s="83">
        <f>IF(J108=0,"",J48/J108)</f>
        <v/>
      </c>
      <c r="K132" s="83">
        <f>IF(K108=0,"",K48/K108)</f>
        <v/>
      </c>
      <c r="L132" s="83">
        <f>IF(L108=0,"",L48/L108)</f>
        <v/>
      </c>
      <c r="M132" s="83">
        <f>IF(M108=0,"",M48/M108)</f>
        <v/>
      </c>
      <c r="N132" s="83">
        <f>IF(N108=0,"",N48/N108)</f>
        <v/>
      </c>
      <c r="O132" s="83">
        <f>IF(O108=0,"",O48/O108)</f>
        <v/>
      </c>
      <c r="P132" s="83">
        <f>IF(P108=0,"",P48/P108)</f>
        <v/>
      </c>
      <c r="Q132" s="83">
        <f>IF(Q108=0,"",Q48/Q108)</f>
        <v/>
      </c>
    </row>
    <row r="133"/>
    <row r="134">
      <c r="A134" s="2" t="n"/>
      <c r="B134" s="18" t="inlineStr">
        <is>
          <t>Balance Sheet</t>
        </is>
      </c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</row>
    <row r="135">
      <c r="B135" s="5" t="inlineStr">
        <is>
          <t>Assets</t>
        </is>
      </c>
    </row>
    <row r="136">
      <c r="A136" t="inlineStr">
        <is>
          <t>BS-Cash</t>
        </is>
      </c>
      <c r="B136" t="inlineStr">
        <is>
          <t>Cash</t>
        </is>
      </c>
      <c r="C136" t="inlineStr">
        <is>
          <t>AUDm</t>
        </is>
      </c>
      <c r="D136" s="19" t="n"/>
      <c r="E136" s="60" t="n">
        <v>36.5</v>
      </c>
      <c r="F136" s="60" t="n">
        <v>16.4</v>
      </c>
      <c r="G136" s="60" t="n">
        <v>39.7</v>
      </c>
      <c r="H136" s="72">
        <f>G136+H207</f>
        <v/>
      </c>
      <c r="I136" s="72">
        <f>H136+I207</f>
        <v/>
      </c>
      <c r="J136" s="72">
        <f>I136+J207</f>
        <v/>
      </c>
      <c r="K136" s="72">
        <f>J136+K207</f>
        <v/>
      </c>
      <c r="L136" s="72">
        <f>K136+L207</f>
        <v/>
      </c>
      <c r="M136" s="72">
        <f>L136+M207</f>
        <v/>
      </c>
      <c r="N136" s="72">
        <f>M136+N207</f>
        <v/>
      </c>
      <c r="O136" s="72">
        <f>N136+O207</f>
        <v/>
      </c>
      <c r="P136" s="72">
        <f>O136+P207</f>
        <v/>
      </c>
      <c r="Q136" s="72">
        <f>P136+Q207</f>
        <v/>
      </c>
    </row>
    <row r="137">
      <c r="A137" t="inlineStr">
        <is>
          <t>BS-Term Deposits</t>
        </is>
      </c>
      <c r="B137" t="inlineStr">
        <is>
          <t>Funds in Term Deposits</t>
        </is>
      </c>
      <c r="C137" t="inlineStr">
        <is>
          <t>AUDm</t>
        </is>
      </c>
      <c r="D137" s="19" t="n"/>
      <c r="E137" s="60" t="n">
        <v>0</v>
      </c>
      <c r="F137" s="60" t="n">
        <v>278.1</v>
      </c>
      <c r="G137" s="60" t="n">
        <v>242.1</v>
      </c>
      <c r="H137" s="42">
        <f>G137</f>
        <v/>
      </c>
      <c r="I137" s="42">
        <f>H137</f>
        <v/>
      </c>
      <c r="J137" s="42">
        <f>I137</f>
        <v/>
      </c>
      <c r="K137" s="42">
        <f>J137</f>
        <v/>
      </c>
      <c r="L137" s="42">
        <f>K137</f>
        <v/>
      </c>
      <c r="M137" s="42">
        <f>L137</f>
        <v/>
      </c>
      <c r="N137" s="42">
        <f>M137</f>
        <v/>
      </c>
      <c r="O137" s="42">
        <f>N137</f>
        <v/>
      </c>
      <c r="P137" s="42">
        <f>O137</f>
        <v/>
      </c>
      <c r="Q137" s="42">
        <f>P137</f>
        <v/>
      </c>
    </row>
    <row r="138">
      <c r="A138" t="inlineStr">
        <is>
          <t>BS-Trade Receivables</t>
        </is>
      </c>
      <c r="B138" t="inlineStr">
        <is>
          <t>Trade Receivables</t>
        </is>
      </c>
      <c r="C138" t="inlineStr">
        <is>
          <t>AUDm</t>
        </is>
      </c>
      <c r="D138" s="19" t="n"/>
      <c r="E138" s="60" t="n">
        <v>25.1</v>
      </c>
      <c r="F138" s="60" t="n">
        <v>26.5</v>
      </c>
      <c r="G138" s="60" t="n">
        <v>24.8</v>
      </c>
      <c r="H138" s="72">
        <f>(H11+H18)*H147</f>
        <v/>
      </c>
      <c r="I138" s="72">
        <f>(I11+I18)*I147</f>
        <v/>
      </c>
      <c r="J138" s="72">
        <f>(J11+J18)*J147</f>
        <v/>
      </c>
      <c r="K138" s="72">
        <f>(K11+K18)*K147</f>
        <v/>
      </c>
      <c r="L138" s="72">
        <f>(L11+L18)*L147</f>
        <v/>
      </c>
      <c r="M138" s="72">
        <f>(M11+M18)*M147</f>
        <v/>
      </c>
      <c r="N138" s="72">
        <f>(N11+N18)*N147</f>
        <v/>
      </c>
      <c r="O138" s="72">
        <f>(O11+O18)*O147</f>
        <v/>
      </c>
      <c r="P138" s="72">
        <f>(P11+P18)*P147</f>
        <v/>
      </c>
      <c r="Q138" s="72">
        <f>(Q11+Q18)*Q147</f>
        <v/>
      </c>
    </row>
    <row r="139">
      <c r="A139" t="inlineStr">
        <is>
          <t>BS-Inventories</t>
        </is>
      </c>
      <c r="B139" t="inlineStr">
        <is>
          <t>Inventories</t>
        </is>
      </c>
      <c r="C139" t="inlineStr">
        <is>
          <t>AUDm</t>
        </is>
      </c>
      <c r="D139" s="19" t="n"/>
      <c r="E139" s="60" t="n">
        <v>2.2</v>
      </c>
      <c r="F139" s="60" t="n">
        <v>2.8</v>
      </c>
      <c r="G139" s="60" t="n">
        <v>3.8</v>
      </c>
      <c r="H139" s="72">
        <f>(H11+H18)*H148</f>
        <v/>
      </c>
      <c r="I139" s="72">
        <f>(I11+I18)*I148</f>
        <v/>
      </c>
      <c r="J139" s="72">
        <f>(J11+J18)*J148</f>
        <v/>
      </c>
      <c r="K139" s="72">
        <f>(K11+K18)*K148</f>
        <v/>
      </c>
      <c r="L139" s="72">
        <f>(L11+L18)*L148</f>
        <v/>
      </c>
      <c r="M139" s="72">
        <f>(M11+M18)*M148</f>
        <v/>
      </c>
      <c r="N139" s="72">
        <f>(N11+N18)*N148</f>
        <v/>
      </c>
      <c r="O139" s="72">
        <f>(O11+O18)*O148</f>
        <v/>
      </c>
      <c r="P139" s="72">
        <f>(P11+P18)*P148</f>
        <v/>
      </c>
      <c r="Q139" s="72">
        <f>(Q11+Q18)*Q148</f>
        <v/>
      </c>
    </row>
    <row r="140">
      <c r="A140" t="inlineStr">
        <is>
          <t>BS-Finance Lease Rec</t>
        </is>
      </c>
      <c r="B140" t="inlineStr">
        <is>
          <t>Finance Lease Receivables</t>
        </is>
      </c>
      <c r="C140" t="inlineStr">
        <is>
          <t>AUDm</t>
        </is>
      </c>
      <c r="D140" s="19" t="n"/>
      <c r="E140" s="60" t="n">
        <v>69.3</v>
      </c>
      <c r="F140" s="60" t="n">
        <v>126.4</v>
      </c>
      <c r="G140" s="60" t="n">
        <v>174.8</v>
      </c>
      <c r="H140" s="42">
        <f>G140</f>
        <v/>
      </c>
      <c r="I140" s="42">
        <f>H140</f>
        <v/>
      </c>
      <c r="J140" s="42">
        <f>I140</f>
        <v/>
      </c>
      <c r="K140" s="42">
        <f>J140</f>
        <v/>
      </c>
      <c r="L140" s="42">
        <f>K140</f>
        <v/>
      </c>
      <c r="M140" s="42">
        <f>L140</f>
        <v/>
      </c>
      <c r="N140" s="42">
        <f>M140</f>
        <v/>
      </c>
      <c r="O140" s="42">
        <f>N140</f>
        <v/>
      </c>
      <c r="P140" s="42">
        <f>O140</f>
        <v/>
      </c>
      <c r="Q140" s="42">
        <f>P140</f>
        <v/>
      </c>
    </row>
    <row r="141">
      <c r="A141" t="inlineStr">
        <is>
          <t>BS-PPE</t>
        </is>
      </c>
      <c r="B141" t="inlineStr">
        <is>
          <t>Property, Plant &amp; Equipment</t>
        </is>
      </c>
      <c r="C141" t="inlineStr">
        <is>
          <t>AUDm</t>
        </is>
      </c>
      <c r="D141" s="19" t="n"/>
      <c r="E141" s="60" t="n">
        <v>69.5</v>
      </c>
      <c r="F141" s="60" t="n">
        <v>87.59999999999999</v>
      </c>
      <c r="G141" s="60" t="n">
        <v>130.1</v>
      </c>
      <c r="H141" s="72">
        <f>G141-H191+H52</f>
        <v/>
      </c>
      <c r="I141" s="72">
        <f>H141-I191+I52</f>
        <v/>
      </c>
      <c r="J141" s="72">
        <f>I141-J191+J52</f>
        <v/>
      </c>
      <c r="K141" s="72">
        <f>J141-K191+K52</f>
        <v/>
      </c>
      <c r="L141" s="72">
        <f>K141-L191+L52</f>
        <v/>
      </c>
      <c r="M141" s="72">
        <f>L141-M191+M52</f>
        <v/>
      </c>
      <c r="N141" s="72">
        <f>M141-N191+N52</f>
        <v/>
      </c>
      <c r="O141" s="72">
        <f>N141-O191+O52</f>
        <v/>
      </c>
      <c r="P141" s="72">
        <f>O141-P191+P52</f>
        <v/>
      </c>
      <c r="Q141" s="72">
        <f>P141-Q191+Q52</f>
        <v/>
      </c>
    </row>
    <row r="142">
      <c r="A142" t="inlineStr">
        <is>
          <t>BS-Intangibles</t>
        </is>
      </c>
      <c r="B142" t="inlineStr">
        <is>
          <t>Intangibles</t>
        </is>
      </c>
      <c r="C142" t="inlineStr">
        <is>
          <t>AUDm</t>
        </is>
      </c>
      <c r="D142" s="19" t="n"/>
      <c r="E142" s="60" t="n">
        <v>15.2</v>
      </c>
      <c r="F142" s="60" t="n">
        <v>10.6</v>
      </c>
      <c r="G142" s="60" t="n">
        <v>18.3</v>
      </c>
      <c r="H142" s="42">
        <f>G142</f>
        <v/>
      </c>
      <c r="I142" s="42">
        <f>H142</f>
        <v/>
      </c>
      <c r="J142" s="42">
        <f>I142</f>
        <v/>
      </c>
      <c r="K142" s="42">
        <f>J142</f>
        <v/>
      </c>
      <c r="L142" s="42">
        <f>K142</f>
        <v/>
      </c>
      <c r="M142" s="42">
        <f>L142</f>
        <v/>
      </c>
      <c r="N142" s="42">
        <f>M142</f>
        <v/>
      </c>
      <c r="O142" s="42">
        <f>N142</f>
        <v/>
      </c>
      <c r="P142" s="42">
        <f>O142</f>
        <v/>
      </c>
      <c r="Q142" s="42">
        <f>P142</f>
        <v/>
      </c>
    </row>
    <row r="143">
      <c r="A143" t="inlineStr">
        <is>
          <t>BS-DTA</t>
        </is>
      </c>
      <c r="B143" t="inlineStr">
        <is>
          <t>Deferred Tax Assets</t>
        </is>
      </c>
      <c r="C143" t="inlineStr">
        <is>
          <t>AUDm</t>
        </is>
      </c>
      <c r="D143" s="19" t="n"/>
      <c r="E143" s="60" t="n">
        <v>4.2</v>
      </c>
      <c r="F143" s="60" t="n">
        <v>16.3</v>
      </c>
      <c r="G143" s="60" t="n">
        <v>19.7</v>
      </c>
      <c r="H143" s="42">
        <f>G143</f>
        <v/>
      </c>
      <c r="I143" s="42">
        <f>H143</f>
        <v/>
      </c>
      <c r="J143" s="42">
        <f>I143</f>
        <v/>
      </c>
      <c r="K143" s="42">
        <f>J143</f>
        <v/>
      </c>
      <c r="L143" s="42">
        <f>K143</f>
        <v/>
      </c>
      <c r="M143" s="42">
        <f>L143</f>
        <v/>
      </c>
      <c r="N143" s="42">
        <f>M143</f>
        <v/>
      </c>
      <c r="O143" s="42">
        <f>N143</f>
        <v/>
      </c>
      <c r="P143" s="42">
        <f>O143</f>
        <v/>
      </c>
      <c r="Q143" s="42">
        <f>P143</f>
        <v/>
      </c>
    </row>
    <row r="144">
      <c r="A144" t="inlineStr">
        <is>
          <t>BS-ROU Assets</t>
        </is>
      </c>
      <c r="B144" t="inlineStr">
        <is>
          <t>Right-of-Use Assets</t>
        </is>
      </c>
      <c r="C144" t="inlineStr">
        <is>
          <t>AUDm</t>
        </is>
      </c>
      <c r="D144" s="19" t="n"/>
      <c r="E144" s="60" t="n">
        <v>98.90000000000001</v>
      </c>
      <c r="F144" s="60" t="n">
        <v>93.8</v>
      </c>
      <c r="G144" s="60" t="n">
        <v>125.4</v>
      </c>
      <c r="H144" s="72">
        <f>G144+H151+H53</f>
        <v/>
      </c>
      <c r="I144" s="72">
        <f>H144+I151+I53</f>
        <v/>
      </c>
      <c r="J144" s="72">
        <f>I144+J151+J53</f>
        <v/>
      </c>
      <c r="K144" s="72">
        <f>J144+K151+K53</f>
        <v/>
      </c>
      <c r="L144" s="72">
        <f>K144+L151+L53</f>
        <v/>
      </c>
      <c r="M144" s="72">
        <f>L144+M151+M53</f>
        <v/>
      </c>
      <c r="N144" s="72">
        <f>M144+N151+N53</f>
        <v/>
      </c>
      <c r="O144" s="72">
        <f>N144+O151+O53</f>
        <v/>
      </c>
      <c r="P144" s="72">
        <f>O144+P151+P53</f>
        <v/>
      </c>
      <c r="Q144" s="72">
        <f>P144+Q151+Q53</f>
        <v/>
      </c>
    </row>
    <row r="145">
      <c r="A145" t="inlineStr">
        <is>
          <t>BS-Other Assets</t>
        </is>
      </c>
      <c r="B145" t="inlineStr">
        <is>
          <t>Prepayments &amp; Other Assets</t>
        </is>
      </c>
      <c r="C145" t="inlineStr">
        <is>
          <t>AUDm</t>
        </is>
      </c>
      <c r="D145" s="19" t="n"/>
      <c r="E145" s="60" t="n">
        <v>3.6</v>
      </c>
      <c r="F145" s="60" t="n">
        <v>3.3</v>
      </c>
      <c r="G145" s="60" t="n">
        <v>4.5</v>
      </c>
      <c r="H145" s="42">
        <f>G145</f>
        <v/>
      </c>
      <c r="I145" s="42">
        <f>H145</f>
        <v/>
      </c>
      <c r="J145" s="42">
        <f>I145</f>
        <v/>
      </c>
      <c r="K145" s="42">
        <f>J145</f>
        <v/>
      </c>
      <c r="L145" s="42">
        <f>K145</f>
        <v/>
      </c>
      <c r="M145" s="42">
        <f>L145</f>
        <v/>
      </c>
      <c r="N145" s="42">
        <f>M145</f>
        <v/>
      </c>
      <c r="O145" s="42">
        <f>N145</f>
        <v/>
      </c>
      <c r="P145" s="42">
        <f>O145</f>
        <v/>
      </c>
      <c r="Q145" s="42">
        <f>P145</f>
        <v/>
      </c>
    </row>
    <row r="146">
      <c r="B146" s="20" t="inlineStr">
        <is>
          <t>Total Assets</t>
        </is>
      </c>
      <c r="C146" s="20" t="inlineStr">
        <is>
          <t>AUDm</t>
        </is>
      </c>
      <c r="D146" s="21">
        <f>SUM(D136:D145)</f>
        <v/>
      </c>
      <c r="E146" s="21">
        <f>SUM(E136:E145)</f>
        <v/>
      </c>
      <c r="F146" s="21">
        <f>SUM(F136:F145)</f>
        <v/>
      </c>
      <c r="G146" s="21">
        <f>SUM(G136:G145)</f>
        <v/>
      </c>
      <c r="H146" s="82">
        <f>SUM(H136:H145)</f>
        <v/>
      </c>
      <c r="I146" s="82">
        <f>SUM(I136:I145)</f>
        <v/>
      </c>
      <c r="J146" s="82">
        <f>SUM(J136:J145)</f>
        <v/>
      </c>
      <c r="K146" s="82">
        <f>SUM(K136:K145)</f>
        <v/>
      </c>
      <c r="L146" s="82">
        <f>SUM(L136:L145)</f>
        <v/>
      </c>
      <c r="M146" s="82">
        <f>SUM(M136:M145)</f>
        <v/>
      </c>
      <c r="N146" s="82">
        <f>SUM(N136:N145)</f>
        <v/>
      </c>
      <c r="O146" s="82">
        <f>SUM(O136:O145)</f>
        <v/>
      </c>
      <c r="P146" s="82">
        <f>SUM(P136:P145)</f>
        <v/>
      </c>
      <c r="Q146" s="82">
        <f>SUM(Q136:Q145)</f>
        <v/>
      </c>
    </row>
    <row r="147">
      <c r="B147" s="25" t="inlineStr">
        <is>
          <t>Receivables / Revenue</t>
        </is>
      </c>
      <c r="C147" t="inlineStr">
        <is>
          <t>%</t>
        </is>
      </c>
      <c r="D147" s="6">
        <f>IF(D11+D18=0,"",D138/(D11+D18))</f>
        <v/>
      </c>
      <c r="E147" s="6">
        <f>IF(E11+E18=0,"",E138/(E11+E18))</f>
        <v/>
      </c>
      <c r="F147" s="6">
        <f>IF(F11+F18=0,"",F138/(F11+F18))</f>
        <v/>
      </c>
      <c r="G147" s="6">
        <f>IF(G11+G18=0,"",G138/(G11+G18))</f>
        <v/>
      </c>
      <c r="H147" s="74">
        <f>G147</f>
        <v/>
      </c>
      <c r="I147" s="74">
        <f>H147</f>
        <v/>
      </c>
      <c r="J147" s="74">
        <f>I147</f>
        <v/>
      </c>
      <c r="K147" s="74">
        <f>J147</f>
        <v/>
      </c>
      <c r="L147" s="74">
        <f>K147</f>
        <v/>
      </c>
      <c r="M147" s="74">
        <f>L147</f>
        <v/>
      </c>
      <c r="N147" s="74">
        <f>M147</f>
        <v/>
      </c>
      <c r="O147" s="74">
        <f>N147</f>
        <v/>
      </c>
      <c r="P147" s="74">
        <f>O147</f>
        <v/>
      </c>
      <c r="Q147" s="74">
        <f>P147</f>
        <v/>
      </c>
    </row>
    <row r="148">
      <c r="B148" s="25" t="inlineStr">
        <is>
          <t>Inventory / Revenue</t>
        </is>
      </c>
      <c r="C148" t="inlineStr">
        <is>
          <t>%</t>
        </is>
      </c>
      <c r="D148" s="6">
        <f>IF(D11+D18=0,"",D139/(D11+D18))</f>
        <v/>
      </c>
      <c r="E148" s="6">
        <f>IF(E11+E18=0,"",E139/(E11+E18))</f>
        <v/>
      </c>
      <c r="F148" s="6">
        <f>IF(F11+F18=0,"",F139/(F11+F18))</f>
        <v/>
      </c>
      <c r="G148" s="6">
        <f>IF(G11+G18=0,"",G139/(G11+G18))</f>
        <v/>
      </c>
      <c r="H148" s="74">
        <f>G148</f>
        <v/>
      </c>
      <c r="I148" s="74">
        <f>H148</f>
        <v/>
      </c>
      <c r="J148" s="74">
        <f>I148</f>
        <v/>
      </c>
      <c r="K148" s="74">
        <f>J148</f>
        <v/>
      </c>
      <c r="L148" s="74">
        <f>K148</f>
        <v/>
      </c>
      <c r="M148" s="74">
        <f>L148</f>
        <v/>
      </c>
      <c r="N148" s="74">
        <f>M148</f>
        <v/>
      </c>
      <c r="O148" s="74">
        <f>N148</f>
        <v/>
      </c>
      <c r="P148" s="74">
        <f>O148</f>
        <v/>
      </c>
      <c r="Q148" s="74">
        <f>P148</f>
        <v/>
      </c>
    </row>
    <row r="149">
      <c r="B149" s="20" t="inlineStr">
        <is>
          <t>Working Capital</t>
        </is>
      </c>
      <c r="C149" s="20" t="inlineStr">
        <is>
          <t>AUDm</t>
        </is>
      </c>
      <c r="D149" s="21">
        <f>D138+D139-D154</f>
        <v/>
      </c>
      <c r="E149" s="21">
        <f>E138+E139-E154</f>
        <v/>
      </c>
      <c r="F149" s="21">
        <f>F138+F139-F154</f>
        <v/>
      </c>
      <c r="G149" s="21">
        <f>G138+G139-G154</f>
        <v/>
      </c>
      <c r="H149" s="82">
        <f>H138+H139-H154</f>
        <v/>
      </c>
      <c r="I149" s="82">
        <f>I138+I139-I154</f>
        <v/>
      </c>
      <c r="J149" s="82">
        <f>J138+J139-J154</f>
        <v/>
      </c>
      <c r="K149" s="82">
        <f>K138+K139-K154</f>
        <v/>
      </c>
      <c r="L149" s="82">
        <f>L138+L139-L154</f>
        <v/>
      </c>
      <c r="M149" s="82">
        <f>M138+M139-M154</f>
        <v/>
      </c>
      <c r="N149" s="82">
        <f>N138+N139-N154</f>
        <v/>
      </c>
      <c r="O149" s="82">
        <f>O138+O139-O154</f>
        <v/>
      </c>
      <c r="P149" s="82">
        <f>P138+P139-P154</f>
        <v/>
      </c>
      <c r="Q149" s="82">
        <f>Q138+Q139-Q154</f>
        <v/>
      </c>
    </row>
    <row r="150">
      <c r="B150" s="25" t="inlineStr">
        <is>
          <t>Payables / Revenue</t>
        </is>
      </c>
      <c r="C150" t="inlineStr">
        <is>
          <t>%</t>
        </is>
      </c>
      <c r="D150" s="6">
        <f>IF(D11+D18=0,"",D154/(D11+D18))</f>
        <v/>
      </c>
      <c r="E150" s="6">
        <f>IF(E11+E18=0,"",E154/(E11+E18))</f>
        <v/>
      </c>
      <c r="F150" s="6">
        <f>IF(F11+F18=0,"",F154/(F11+F18))</f>
        <v/>
      </c>
      <c r="G150" s="6">
        <f>IF(G11+G18=0,"",G154/(G11+G18))</f>
        <v/>
      </c>
      <c r="H150" s="74">
        <f>G150</f>
        <v/>
      </c>
      <c r="I150" s="74">
        <f>H150</f>
        <v/>
      </c>
      <c r="J150" s="74">
        <f>I150</f>
        <v/>
      </c>
      <c r="K150" s="74">
        <f>J150</f>
        <v/>
      </c>
      <c r="L150" s="74">
        <f>K150</f>
        <v/>
      </c>
      <c r="M150" s="74">
        <f>L150</f>
        <v/>
      </c>
      <c r="N150" s="74">
        <f>M150</f>
        <v/>
      </c>
      <c r="O150" s="74">
        <f>N150</f>
        <v/>
      </c>
      <c r="P150" s="74">
        <f>O150</f>
        <v/>
      </c>
      <c r="Q150" s="74">
        <f>P150</f>
        <v/>
      </c>
    </row>
    <row r="151">
      <c r="B151" s="25" t="inlineStr">
        <is>
          <t>New Lease Additions</t>
        </is>
      </c>
      <c r="C151" t="inlineStr">
        <is>
          <t>AUDm</t>
        </is>
      </c>
      <c r="H151" s="85" t="n">
        <v>45.5</v>
      </c>
      <c r="I151" s="85">
        <f>H151</f>
        <v/>
      </c>
      <c r="J151" s="85">
        <f>I151</f>
        <v/>
      </c>
      <c r="K151" s="85">
        <f>J151</f>
        <v/>
      </c>
      <c r="L151" s="85">
        <f>K151</f>
        <v/>
      </c>
      <c r="M151" s="85">
        <f>L151</f>
        <v/>
      </c>
      <c r="N151" s="85">
        <f>M151</f>
        <v/>
      </c>
      <c r="O151" s="85">
        <f>N151</f>
        <v/>
      </c>
      <c r="P151" s="85">
        <f>O151</f>
        <v/>
      </c>
      <c r="Q151" s="85">
        <f>P151</f>
        <v/>
      </c>
    </row>
    <row r="152">
      <c r="B152" s="25" t="n"/>
      <c r="H152" s="48" t="n"/>
      <c r="I152" s="48" t="n"/>
      <c r="J152" s="48" t="n"/>
      <c r="K152" s="48" t="n"/>
      <c r="L152" s="48" t="n"/>
      <c r="M152" s="48" t="n"/>
      <c r="N152" s="48" t="n"/>
      <c r="O152" s="48" t="n"/>
      <c r="P152" s="48" t="n"/>
      <c r="Q152" s="48" t="n"/>
    </row>
    <row r="153">
      <c r="B153" s="5" t="inlineStr">
        <is>
          <t>Liabilities</t>
        </is>
      </c>
    </row>
    <row r="154">
      <c r="A154" t="inlineStr">
        <is>
          <t>BS-Trade Payables</t>
        </is>
      </c>
      <c r="B154" t="inlineStr">
        <is>
          <t>Trade &amp; Other Payables</t>
        </is>
      </c>
      <c r="C154" t="inlineStr">
        <is>
          <t>AUDm</t>
        </is>
      </c>
      <c r="D154" s="19" t="n"/>
      <c r="E154" s="60" t="n">
        <v>32.6</v>
      </c>
      <c r="F154" s="60" t="n">
        <v>39.4</v>
      </c>
      <c r="G154" s="60" t="n">
        <v>40.4</v>
      </c>
      <c r="H154" s="72">
        <f>(H11+H18)*H150</f>
        <v/>
      </c>
      <c r="I154" s="72">
        <f>(I11+I18)*I150</f>
        <v/>
      </c>
      <c r="J154" s="72">
        <f>(J11+J18)*J150</f>
        <v/>
      </c>
      <c r="K154" s="72">
        <f>(K11+K18)*K150</f>
        <v/>
      </c>
      <c r="L154" s="72">
        <f>(L11+L18)*L150</f>
        <v/>
      </c>
      <c r="M154" s="72">
        <f>(M11+M18)*M150</f>
        <v/>
      </c>
      <c r="N154" s="72">
        <f>(N11+N18)*N150</f>
        <v/>
      </c>
      <c r="O154" s="72">
        <f>(O11+O18)*O150</f>
        <v/>
      </c>
      <c r="P154" s="72">
        <f>(P11+P18)*P150</f>
        <v/>
      </c>
      <c r="Q154" s="72">
        <f>(Q11+Q18)*Q150</f>
        <v/>
      </c>
    </row>
    <row r="155">
      <c r="A155" t="inlineStr">
        <is>
          <t>BS-Contract Liabilities</t>
        </is>
      </c>
      <c r="B155" t="inlineStr">
        <is>
          <t>Contract Liabilities</t>
        </is>
      </c>
      <c r="C155" t="inlineStr">
        <is>
          <t>AUDm</t>
        </is>
      </c>
      <c r="D155" s="19" t="n"/>
      <c r="E155" s="60" t="n">
        <v>3.9</v>
      </c>
      <c r="F155" s="60" t="n">
        <v>4.5</v>
      </c>
      <c r="G155" s="60" t="n">
        <v>5.2</v>
      </c>
      <c r="H155" s="42">
        <f>G155</f>
        <v/>
      </c>
      <c r="I155" s="42">
        <f>H155</f>
        <v/>
      </c>
      <c r="J155" s="42">
        <f>I155</f>
        <v/>
      </c>
      <c r="K155" s="42">
        <f>J155</f>
        <v/>
      </c>
      <c r="L155" s="42">
        <f>K155</f>
        <v/>
      </c>
      <c r="M155" s="42">
        <f>L155</f>
        <v/>
      </c>
      <c r="N155" s="42">
        <f>M155</f>
        <v/>
      </c>
      <c r="O155" s="42">
        <f>N155</f>
        <v/>
      </c>
      <c r="P155" s="42">
        <f>O155</f>
        <v/>
      </c>
      <c r="Q155" s="42">
        <f>P155</f>
        <v/>
      </c>
    </row>
    <row r="156">
      <c r="A156" t="inlineStr">
        <is>
          <t>BS-Other Liabilities</t>
        </is>
      </c>
      <c r="B156" t="inlineStr">
        <is>
          <t>Other Liabilities</t>
        </is>
      </c>
      <c r="C156" t="inlineStr">
        <is>
          <t>AUDm</t>
        </is>
      </c>
      <c r="D156" s="19" t="n"/>
      <c r="E156" s="60" t="n">
        <v>11.7</v>
      </c>
      <c r="F156" s="60" t="n">
        <v>14.3</v>
      </c>
      <c r="G156" s="60" t="n">
        <v>17.2</v>
      </c>
      <c r="H156" s="42">
        <f>G156</f>
        <v/>
      </c>
      <c r="I156" s="42">
        <f>H156</f>
        <v/>
      </c>
      <c r="J156" s="42">
        <f>I156</f>
        <v/>
      </c>
      <c r="K156" s="42">
        <f>J156</f>
        <v/>
      </c>
      <c r="L156" s="42">
        <f>K156</f>
        <v/>
      </c>
      <c r="M156" s="42">
        <f>L156</f>
        <v/>
      </c>
      <c r="N156" s="42">
        <f>M156</f>
        <v/>
      </c>
      <c r="O156" s="42">
        <f>N156</f>
        <v/>
      </c>
      <c r="P156" s="42">
        <f>O156</f>
        <v/>
      </c>
      <c r="Q156" s="42">
        <f>P156</f>
        <v/>
      </c>
    </row>
    <row r="157">
      <c r="A157" t="inlineStr">
        <is>
          <t>BS-Lease Liabilities</t>
        </is>
      </c>
      <c r="B157" t="inlineStr">
        <is>
          <t>Lease Liabilities</t>
        </is>
      </c>
      <c r="C157" t="inlineStr">
        <is>
          <t>AUDm</t>
        </is>
      </c>
      <c r="D157" s="19" t="n"/>
      <c r="E157" s="60" t="n">
        <v>181.7</v>
      </c>
      <c r="F157" s="60" t="n">
        <v>239.5</v>
      </c>
      <c r="G157" s="60" t="n">
        <v>331.3</v>
      </c>
      <c r="H157" s="72">
        <f>G157+H151+H202</f>
        <v/>
      </c>
      <c r="I157" s="72">
        <f>H157+I151+I202</f>
        <v/>
      </c>
      <c r="J157" s="72">
        <f>I157+J151+J202</f>
        <v/>
      </c>
      <c r="K157" s="72">
        <f>J157+K151+K202</f>
        <v/>
      </c>
      <c r="L157" s="72">
        <f>K157+L151+L202</f>
        <v/>
      </c>
      <c r="M157" s="72">
        <f>L157+M151+M202</f>
        <v/>
      </c>
      <c r="N157" s="72">
        <f>M157+N151+N202</f>
        <v/>
      </c>
      <c r="O157" s="72">
        <f>N157+O151+O202</f>
        <v/>
      </c>
      <c r="P157" s="72">
        <f>O157+P151+P202</f>
        <v/>
      </c>
      <c r="Q157" s="72">
        <f>P157+Q151+Q202</f>
        <v/>
      </c>
    </row>
    <row r="158">
      <c r="A158" t="inlineStr">
        <is>
          <t>BS-Total Banking Debt</t>
        </is>
      </c>
      <c r="B158" t="inlineStr">
        <is>
          <t>Total Banking Debt</t>
        </is>
      </c>
      <c r="C158" t="inlineStr">
        <is>
          <t>AUDm</t>
        </is>
      </c>
      <c r="D158" s="19" t="n"/>
      <c r="E158" s="60" t="n">
        <v>3</v>
      </c>
      <c r="F158" s="60" t="n">
        <v>0</v>
      </c>
      <c r="G158" s="60" t="n">
        <v>0</v>
      </c>
      <c r="H158" s="42">
        <f>G158</f>
        <v/>
      </c>
      <c r="I158" s="42">
        <f>H158</f>
        <v/>
      </c>
      <c r="J158" s="42">
        <f>I158</f>
        <v/>
      </c>
      <c r="K158" s="42">
        <f>J158</f>
        <v/>
      </c>
      <c r="L158" s="42">
        <f>K158</f>
        <v/>
      </c>
      <c r="M158" s="42">
        <f>L158</f>
        <v/>
      </c>
      <c r="N158" s="42">
        <f>M158</f>
        <v/>
      </c>
      <c r="O158" s="42">
        <f>N158</f>
        <v/>
      </c>
      <c r="P158" s="42">
        <f>O158</f>
        <v/>
      </c>
      <c r="Q158" s="42">
        <f>P158</f>
        <v/>
      </c>
    </row>
    <row r="159">
      <c r="B159" s="20" t="inlineStr">
        <is>
          <t>Total Liabilities</t>
        </is>
      </c>
      <c r="C159" s="20" t="inlineStr">
        <is>
          <t>AUDm</t>
        </is>
      </c>
      <c r="D159" s="21">
        <f>SUM(D154:D158)</f>
        <v/>
      </c>
      <c r="E159" s="21">
        <f>SUM(E154:E158)</f>
        <v/>
      </c>
      <c r="F159" s="21">
        <f>SUM(F154:F158)</f>
        <v/>
      </c>
      <c r="G159" s="21">
        <f>SUM(G154:G158)</f>
        <v/>
      </c>
      <c r="H159" s="82">
        <f>SUM(H154:H158)</f>
        <v/>
      </c>
      <c r="I159" s="82">
        <f>SUM(I154:I158)</f>
        <v/>
      </c>
      <c r="J159" s="82">
        <f>SUM(J154:J158)</f>
        <v/>
      </c>
      <c r="K159" s="82">
        <f>SUM(K154:K158)</f>
        <v/>
      </c>
      <c r="L159" s="82">
        <f>SUM(L154:L158)</f>
        <v/>
      </c>
      <c r="M159" s="82">
        <f>SUM(M154:M158)</f>
        <v/>
      </c>
      <c r="N159" s="82">
        <f>SUM(N154:N158)</f>
        <v/>
      </c>
      <c r="O159" s="82">
        <f>SUM(O154:O158)</f>
        <v/>
      </c>
      <c r="P159" s="82">
        <f>SUM(P154:P158)</f>
        <v/>
      </c>
      <c r="Q159" s="82">
        <f>SUM(Q154:Q158)</f>
        <v/>
      </c>
    </row>
    <row r="160"/>
    <row r="161">
      <c r="B161" s="20" t="inlineStr">
        <is>
          <t>Net Banking Debt</t>
        </is>
      </c>
      <c r="C161" s="20" t="inlineStr">
        <is>
          <t>AUDm</t>
        </is>
      </c>
      <c r="D161" s="21">
        <f>D158-D136</f>
        <v/>
      </c>
      <c r="E161" s="21">
        <f>E158-E136</f>
        <v/>
      </c>
      <c r="F161" s="21">
        <f>F158-F136</f>
        <v/>
      </c>
      <c r="G161" s="21">
        <f>G158-G136</f>
        <v/>
      </c>
      <c r="H161" s="82">
        <f>H158-H136</f>
        <v/>
      </c>
      <c r="I161" s="82">
        <f>I158-I136</f>
        <v/>
      </c>
      <c r="J161" s="82">
        <f>J158-J136</f>
        <v/>
      </c>
      <c r="K161" s="82">
        <f>K158-K136</f>
        <v/>
      </c>
      <c r="L161" s="82">
        <f>L158-L136</f>
        <v/>
      </c>
      <c r="M161" s="82">
        <f>M158-M136</f>
        <v/>
      </c>
      <c r="N161" s="82">
        <f>N158-N136</f>
        <v/>
      </c>
      <c r="O161" s="82">
        <f>O158-O136</f>
        <v/>
      </c>
      <c r="P161" s="82">
        <f>P158-P136</f>
        <v/>
      </c>
      <c r="Q161" s="82">
        <f>Q158-Q136</f>
        <v/>
      </c>
    </row>
    <row r="162">
      <c r="B162" s="20" t="inlineStr">
        <is>
          <t>Adj Net Debt (incl leases)</t>
        </is>
      </c>
      <c r="C162" s="20" t="inlineStr">
        <is>
          <t>AUDm</t>
        </is>
      </c>
      <c r="D162" s="21">
        <f>D161+D157</f>
        <v/>
      </c>
      <c r="E162" s="21">
        <f>E161+E157</f>
        <v/>
      </c>
      <c r="F162" s="21">
        <f>F161+F157</f>
        <v/>
      </c>
      <c r="G162" s="21">
        <f>G161+G157</f>
        <v/>
      </c>
      <c r="H162" s="82">
        <f>H161+H157</f>
        <v/>
      </c>
      <c r="I162" s="82">
        <f>I161+I157</f>
        <v/>
      </c>
      <c r="J162" s="82">
        <f>J161+J157</f>
        <v/>
      </c>
      <c r="K162" s="82">
        <f>K161+K157</f>
        <v/>
      </c>
      <c r="L162" s="82">
        <f>L161+L157</f>
        <v/>
      </c>
      <c r="M162" s="82">
        <f>M161+M157</f>
        <v/>
      </c>
      <c r="N162" s="82">
        <f>N161+N157</f>
        <v/>
      </c>
      <c r="O162" s="82">
        <f>O161+O157</f>
        <v/>
      </c>
      <c r="P162" s="82">
        <f>P161+P157</f>
        <v/>
      </c>
      <c r="Q162" s="82">
        <f>Q161+Q157</f>
        <v/>
      </c>
    </row>
    <row r="163">
      <c r="B163" s="8" t="inlineStr">
        <is>
          <t>ND / EBITDA</t>
        </is>
      </c>
      <c r="C163" t="inlineStr">
        <is>
          <t>x</t>
        </is>
      </c>
      <c r="D163" s="13">
        <f>IF(D38=0,"",D161/D38)</f>
        <v/>
      </c>
      <c r="E163" s="13">
        <f>IF(E38=0,"",E161/E38)</f>
        <v/>
      </c>
      <c r="F163" s="13">
        <f>IF(F38=0,"",F161/F38)</f>
        <v/>
      </c>
      <c r="G163" s="13">
        <f>IF(G38=0,"",G161/G38)</f>
        <v/>
      </c>
      <c r="H163" s="81">
        <f>IF(H38=0,"",H161/H38)</f>
        <v/>
      </c>
      <c r="I163" s="81">
        <f>IF(I38=0,"",I161/I38)</f>
        <v/>
      </c>
      <c r="J163" s="81">
        <f>IF(J38=0,"",J161/J38)</f>
        <v/>
      </c>
      <c r="K163" s="81">
        <f>IF(K38=0,"",K161/K38)</f>
        <v/>
      </c>
      <c r="L163" s="81">
        <f>IF(L38=0,"",L161/L38)</f>
        <v/>
      </c>
      <c r="M163" s="81">
        <f>IF(M38=0,"",M161/M38)</f>
        <v/>
      </c>
      <c r="N163" s="81">
        <f>IF(N38=0,"",N161/N38)</f>
        <v/>
      </c>
      <c r="O163" s="81">
        <f>IF(O38=0,"",O161/O38)</f>
        <v/>
      </c>
      <c r="P163" s="81">
        <f>IF(P38=0,"",P161/P38)</f>
        <v/>
      </c>
      <c r="Q163" s="81">
        <f>IF(Q38=0,"",Q161/Q38)</f>
        <v/>
      </c>
    </row>
    <row r="164">
      <c r="B164" s="8" t="inlineStr">
        <is>
          <t>Gearing (ND/(ND+E))</t>
        </is>
      </c>
      <c r="C164" t="inlineStr">
        <is>
          <t>%</t>
        </is>
      </c>
      <c r="D164" s="6">
        <f>IF((D161+D171)=0,"",D161/(D161+D171))</f>
        <v/>
      </c>
      <c r="E164" s="6">
        <f>IF((E161+E171)=0,"",E161/(E161+E171))</f>
        <v/>
      </c>
      <c r="F164" s="6">
        <f>IF((F161+F171)=0,"",F161/(F161+F171))</f>
        <v/>
      </c>
      <c r="G164" s="6">
        <f>IF((G161+G171)=0,"",G161/(G161+G171))</f>
        <v/>
      </c>
      <c r="H164" s="83">
        <f>IF((H161+H171)=0,"",H161/(H161+H171))</f>
        <v/>
      </c>
      <c r="I164" s="83">
        <f>IF((I161+I171)=0,"",I161/(I161+I171))</f>
        <v/>
      </c>
      <c r="J164" s="83">
        <f>IF((J161+J171)=0,"",J161/(J161+J171))</f>
        <v/>
      </c>
      <c r="K164" s="83">
        <f>IF((K161+K171)=0,"",K161/(K161+K171))</f>
        <v/>
      </c>
      <c r="L164" s="83">
        <f>IF((L161+L171)=0,"",L161/(L161+L171))</f>
        <v/>
      </c>
      <c r="M164" s="83">
        <f>IF((M161+M171)=0,"",M161/(M161+M171))</f>
        <v/>
      </c>
      <c r="N164" s="83">
        <f>IF((N161+N171)=0,"",N161/(N161+N171))</f>
        <v/>
      </c>
      <c r="O164" s="83">
        <f>IF((O161+O171)=0,"",O161/(O161+O171))</f>
        <v/>
      </c>
      <c r="P164" s="83">
        <f>IF((P161+P171)=0,"",P161/(P161+P171))</f>
        <v/>
      </c>
      <c r="Q164" s="83">
        <f>IF((Q161+Q171)=0,"",Q161/(Q161+Q171))</f>
        <v/>
      </c>
    </row>
    <row r="165"/>
    <row r="166">
      <c r="B166" s="5" t="inlineStr">
        <is>
          <t>Equity</t>
        </is>
      </c>
    </row>
    <row r="167">
      <c r="A167" t="inlineStr">
        <is>
          <t>BS-Issued Capital</t>
        </is>
      </c>
      <c r="B167" t="inlineStr">
        <is>
          <t>Issued Capital</t>
        </is>
      </c>
      <c r="C167" t="inlineStr">
        <is>
          <t>AUDm</t>
        </is>
      </c>
      <c r="D167" s="19" t="n"/>
      <c r="E167" s="60" t="n">
        <v>104</v>
      </c>
      <c r="F167" s="60" t="n">
        <v>372.7</v>
      </c>
      <c r="G167" s="60" t="n">
        <v>375</v>
      </c>
      <c r="H167" s="72">
        <f>G167+H201</f>
        <v/>
      </c>
      <c r="I167" s="72">
        <f>H167+I201</f>
        <v/>
      </c>
      <c r="J167" s="72">
        <f>I167+J201</f>
        <v/>
      </c>
      <c r="K167" s="72">
        <f>J167+K201</f>
        <v/>
      </c>
      <c r="L167" s="72">
        <f>K167+L201</f>
        <v/>
      </c>
      <c r="M167" s="72">
        <f>L167+M201</f>
        <v/>
      </c>
      <c r="N167" s="72">
        <f>M167+N201</f>
        <v/>
      </c>
      <c r="O167" s="72">
        <f>N167+O201</f>
        <v/>
      </c>
      <c r="P167" s="72">
        <f>O167+P201</f>
        <v/>
      </c>
      <c r="Q167" s="72">
        <f>P167+Q201</f>
        <v/>
      </c>
    </row>
    <row r="168">
      <c r="A168" t="inlineStr">
        <is>
          <t>BS-Retained Profits</t>
        </is>
      </c>
      <c r="B168" t="inlineStr">
        <is>
          <t>Retained Profits</t>
        </is>
      </c>
      <c r="C168" t="inlineStr">
        <is>
          <t>AUDm</t>
        </is>
      </c>
      <c r="D168" s="19" t="n"/>
      <c r="E168" s="60" t="n">
        <v>-26.9</v>
      </c>
      <c r="F168" s="60" t="n">
        <v>-36.1</v>
      </c>
      <c r="G168" s="60" t="n">
        <v>-21.7</v>
      </c>
      <c r="H168" s="72">
        <f>G168+H82-H97</f>
        <v/>
      </c>
      <c r="I168" s="72">
        <f>H168+I82-I97</f>
        <v/>
      </c>
      <c r="J168" s="72">
        <f>I168+J82-J97</f>
        <v/>
      </c>
      <c r="K168" s="72">
        <f>J168+K82-K97</f>
        <v/>
      </c>
      <c r="L168" s="72">
        <f>K168+L82-L97</f>
        <v/>
      </c>
      <c r="M168" s="72">
        <f>L168+M82-M97</f>
        <v/>
      </c>
      <c r="N168" s="72">
        <f>M168+N82-N97</f>
        <v/>
      </c>
      <c r="O168" s="72">
        <f>N168+O82-O97</f>
        <v/>
      </c>
      <c r="P168" s="72">
        <f>O168+P82-P97</f>
        <v/>
      </c>
      <c r="Q168" s="72">
        <f>P168+Q82-Q97</f>
        <v/>
      </c>
    </row>
    <row r="169">
      <c r="A169" t="inlineStr">
        <is>
          <t>BS-Reserves</t>
        </is>
      </c>
      <c r="B169" t="inlineStr">
        <is>
          <t>Reserves</t>
        </is>
      </c>
      <c r="C169" t="inlineStr">
        <is>
          <t>AUDm</t>
        </is>
      </c>
      <c r="D169" s="19" t="n"/>
      <c r="E169" s="60" t="n">
        <v>10.8</v>
      </c>
      <c r="F169" s="60" t="n">
        <v>17.4</v>
      </c>
      <c r="G169" s="60" t="n">
        <v>26.8</v>
      </c>
      <c r="H169" s="42">
        <f>G169</f>
        <v/>
      </c>
      <c r="I169" s="42">
        <f>H169</f>
        <v/>
      </c>
      <c r="J169" s="42">
        <f>I169</f>
        <v/>
      </c>
      <c r="K169" s="42">
        <f>J169</f>
        <v/>
      </c>
      <c r="L169" s="42">
        <f>K169</f>
        <v/>
      </c>
      <c r="M169" s="42">
        <f>L169</f>
        <v/>
      </c>
      <c r="N169" s="42">
        <f>M169</f>
        <v/>
      </c>
      <c r="O169" s="42">
        <f>N169</f>
        <v/>
      </c>
      <c r="P169" s="42">
        <f>O169</f>
        <v/>
      </c>
      <c r="Q169" s="42">
        <f>P169</f>
        <v/>
      </c>
    </row>
    <row r="170">
      <c r="A170" t="inlineStr">
        <is>
          <t>BS-Minorities</t>
        </is>
      </c>
      <c r="B170" t="inlineStr">
        <is>
          <t>Minorities</t>
        </is>
      </c>
      <c r="C170" t="inlineStr">
        <is>
          <t>AUDm</t>
        </is>
      </c>
      <c r="D170" s="19" t="n"/>
      <c r="E170" s="60" t="n">
        <v>0</v>
      </c>
      <c r="F170" s="60" t="n">
        <v>0</v>
      </c>
      <c r="G170" s="60" t="n">
        <v>0</v>
      </c>
      <c r="H170" s="72">
        <f>G170-H79</f>
        <v/>
      </c>
      <c r="I170" s="72">
        <f>H170-I79</f>
        <v/>
      </c>
      <c r="J170" s="72">
        <f>I170-J79</f>
        <v/>
      </c>
      <c r="K170" s="72">
        <f>J170-K79</f>
        <v/>
      </c>
      <c r="L170" s="72">
        <f>K170-L79</f>
        <v/>
      </c>
      <c r="M170" s="72">
        <f>L170-M79</f>
        <v/>
      </c>
      <c r="N170" s="72">
        <f>M170-N79</f>
        <v/>
      </c>
      <c r="O170" s="72">
        <f>N170-O79</f>
        <v/>
      </c>
      <c r="P170" s="72">
        <f>O170-P79</f>
        <v/>
      </c>
      <c r="Q170" s="72">
        <f>P170-Q79</f>
        <v/>
      </c>
    </row>
    <row r="171">
      <c r="B171" s="20" t="inlineStr">
        <is>
          <t>Total Equity</t>
        </is>
      </c>
      <c r="C171" s="20" t="inlineStr">
        <is>
          <t>AUDm</t>
        </is>
      </c>
      <c r="D171" s="21">
        <f>SUM(D167:D170)</f>
        <v/>
      </c>
      <c r="E171" s="21">
        <f>SUM(E167:E170)</f>
        <v/>
      </c>
      <c r="F171" s="21">
        <f>SUM(F167:F170)</f>
        <v/>
      </c>
      <c r="G171" s="21">
        <f>SUM(G167:G170)</f>
        <v/>
      </c>
      <c r="H171" s="82">
        <f>SUM(H167:H170)</f>
        <v/>
      </c>
      <c r="I171" s="82">
        <f>SUM(I167:I170)</f>
        <v/>
      </c>
      <c r="J171" s="82">
        <f>SUM(J167:J170)</f>
        <v/>
      </c>
      <c r="K171" s="82">
        <f>SUM(K167:K170)</f>
        <v/>
      </c>
      <c r="L171" s="82">
        <f>SUM(L167:L170)</f>
        <v/>
      </c>
      <c r="M171" s="82">
        <f>SUM(M167:M170)</f>
        <v/>
      </c>
      <c r="N171" s="82">
        <f>SUM(N167:N170)</f>
        <v/>
      </c>
      <c r="O171" s="82">
        <f>SUM(O167:O170)</f>
        <v/>
      </c>
      <c r="P171" s="82">
        <f>SUM(P167:P170)</f>
        <v/>
      </c>
      <c r="Q171" s="82">
        <f>SUM(Q167:Q170)</f>
        <v/>
      </c>
    </row>
    <row r="172">
      <c r="B172" s="8" t="inlineStr">
        <is>
          <t>ROE</t>
        </is>
      </c>
      <c r="C172" t="inlineStr">
        <is>
          <t>%</t>
        </is>
      </c>
      <c r="D172" s="6">
        <f>IF(D171=0,"",D80/D171)</f>
        <v/>
      </c>
      <c r="E172" s="6">
        <f>IF(E171=0,"",E80/E171)</f>
        <v/>
      </c>
      <c r="F172" s="6">
        <f>IF(F171=0,"",F80/F171)</f>
        <v/>
      </c>
      <c r="G172" s="6">
        <f>IF(G171=0,"",G80/G171)</f>
        <v/>
      </c>
      <c r="H172" s="83">
        <f>IF(H171=0,"",H80/H171)</f>
        <v/>
      </c>
      <c r="I172" s="83">
        <f>IF(I171=0,"",I80/I171)</f>
        <v/>
      </c>
      <c r="J172" s="83">
        <f>IF(J171=0,"",J80/J171)</f>
        <v/>
      </c>
      <c r="K172" s="83">
        <f>IF(K171=0,"",K80/K171)</f>
        <v/>
      </c>
      <c r="L172" s="83">
        <f>IF(L171=0,"",L80/L171)</f>
        <v/>
      </c>
      <c r="M172" s="83">
        <f>IF(M171=0,"",M80/M171)</f>
        <v/>
      </c>
      <c r="N172" s="83">
        <f>IF(N171=0,"",N80/N171)</f>
        <v/>
      </c>
      <c r="O172" s="83">
        <f>IF(O171=0,"",O80/O171)</f>
        <v/>
      </c>
      <c r="P172" s="83">
        <f>IF(P171=0,"",P80/P171)</f>
        <v/>
      </c>
      <c r="Q172" s="83">
        <f>IF(Q171=0,"",Q80/Q171)</f>
        <v/>
      </c>
    </row>
    <row r="173">
      <c r="B173" s="8" t="inlineStr">
        <is>
          <t>P/B</t>
        </is>
      </c>
      <c r="C173" t="inlineStr">
        <is>
          <t>x</t>
        </is>
      </c>
      <c r="D173" s="13">
        <f>IF(OR(D171=0,Value!$C$4=0),"",Value!$C$4*D87/D171)</f>
        <v/>
      </c>
      <c r="E173" s="13">
        <f>IF(OR(E171=0,Value!$C$4=0),"",Value!$C$4*E87/E171)</f>
        <v/>
      </c>
      <c r="F173" s="13">
        <f>IF(OR(F171=0,Value!$C$4=0),"",Value!$C$4*F87/F171)</f>
        <v/>
      </c>
      <c r="G173" s="13">
        <f>IF(OR(G171=0,Value!$C$4=0),"",Value!$C$4*G87/G171)</f>
        <v/>
      </c>
      <c r="H173" s="81">
        <f>IF(OR(H171=0,Value!$C$4=0),"",Value!$C$4*H87/H171)</f>
        <v/>
      </c>
      <c r="I173" s="81">
        <f>IF(OR(I171=0,Value!$C$4=0),"",Value!$C$4*I87/I171)</f>
        <v/>
      </c>
      <c r="J173" s="81">
        <f>IF(OR(J171=0,Value!$C$4=0),"",Value!$C$4*J87/J171)</f>
        <v/>
      </c>
      <c r="K173" s="81">
        <f>IF(OR(K171=0,Value!$C$4=0),"",Value!$C$4*K87/K171)</f>
        <v/>
      </c>
      <c r="L173" s="81">
        <f>IF(OR(L171=0,Value!$C$4=0),"",Value!$C$4*L87/L171)</f>
        <v/>
      </c>
      <c r="M173" s="81">
        <f>IF(OR(M171=0,Value!$C$4=0),"",Value!$C$4*M87/M171)</f>
        <v/>
      </c>
      <c r="N173" s="81">
        <f>IF(OR(N171=0,Value!$C$4=0),"",Value!$C$4*N87/N171)</f>
        <v/>
      </c>
      <c r="O173" s="81">
        <f>IF(OR(O171=0,Value!$C$4=0),"",Value!$C$4*O87/O171)</f>
        <v/>
      </c>
      <c r="P173" s="81">
        <f>IF(OR(P171=0,Value!$C$4=0),"",Value!$C$4*P87/P171)</f>
        <v/>
      </c>
      <c r="Q173" s="81">
        <f>IF(OR(Q171=0,Value!$C$4=0),"",Value!$C$4*Q87/Q171)</f>
        <v/>
      </c>
    </row>
    <row r="174">
      <c r="B174" s="8" t="inlineStr">
        <is>
          <t>BS Check (should be 0, +/-0.2 due to rounding)</t>
        </is>
      </c>
      <c r="C174" t="inlineStr">
        <is>
          <t>AUDm</t>
        </is>
      </c>
      <c r="D174" s="4">
        <f>D146-D159-D171</f>
        <v/>
      </c>
      <c r="E174" s="4">
        <f>E146-E159-E171</f>
        <v/>
      </c>
      <c r="F174" s="4">
        <f>F146-F159-F171</f>
        <v/>
      </c>
      <c r="G174" s="4">
        <f>G146-G159-G171</f>
        <v/>
      </c>
      <c r="H174" s="72">
        <f>H146-H159-H171</f>
        <v/>
      </c>
      <c r="I174" s="72">
        <f>I146-I159-I171</f>
        <v/>
      </c>
      <c r="J174" s="72">
        <f>J146-J159-J171</f>
        <v/>
      </c>
      <c r="K174" s="72">
        <f>K146-K159-K171</f>
        <v/>
      </c>
      <c r="L174" s="72">
        <f>L146-L159-L171</f>
        <v/>
      </c>
      <c r="M174" s="72">
        <f>M146-M159-M171</f>
        <v/>
      </c>
      <c r="N174" s="72">
        <f>N146-N159-N171</f>
        <v/>
      </c>
      <c r="O174" s="72">
        <f>O146-O159-O171</f>
        <v/>
      </c>
      <c r="P174" s="72">
        <f>P146-P159-P171</f>
        <v/>
      </c>
      <c r="Q174" s="72">
        <f>Q146-Q159-Q171</f>
        <v/>
      </c>
    </row>
    <row r="175">
      <c r="B175" s="8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</row>
    <row r="176">
      <c r="A176" s="2" t="n"/>
      <c r="B176" s="18" t="inlineStr">
        <is>
          <t>Cash Flow</t>
        </is>
      </c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</row>
    <row r="177">
      <c r="B177" s="5" t="inlineStr">
        <is>
          <t>CFO</t>
        </is>
      </c>
    </row>
    <row r="178">
      <c r="A178" t="inlineStr">
        <is>
          <t>CF-EBITDA</t>
        </is>
      </c>
      <c r="B178" s="8" t="inlineStr">
        <is>
          <t>Statutory EBITDA</t>
        </is>
      </c>
      <c r="C178" t="inlineStr">
        <is>
          <t>AUDm</t>
        </is>
      </c>
      <c r="D178" s="4">
        <f>D38</f>
        <v/>
      </c>
      <c r="E178" s="4">
        <f>E38</f>
        <v/>
      </c>
      <c r="F178" s="4">
        <f>F38</f>
        <v/>
      </c>
      <c r="G178" s="4">
        <f>G38</f>
        <v/>
      </c>
      <c r="H178" s="72">
        <f>H38</f>
        <v/>
      </c>
      <c r="I178" s="72">
        <f>I38</f>
        <v/>
      </c>
      <c r="J178" s="72">
        <f>J38</f>
        <v/>
      </c>
      <c r="K178" s="72">
        <f>K38</f>
        <v/>
      </c>
      <c r="L178" s="72">
        <f>L38</f>
        <v/>
      </c>
      <c r="M178" s="72">
        <f>M38</f>
        <v/>
      </c>
      <c r="N178" s="72">
        <f>N38</f>
        <v/>
      </c>
      <c r="O178" s="72">
        <f>O38</f>
        <v/>
      </c>
      <c r="P178" s="72">
        <f>P38</f>
        <v/>
      </c>
      <c r="Q178" s="72">
        <f>Q38</f>
        <v/>
      </c>
    </row>
    <row r="179">
      <c r="A179" t="inlineStr">
        <is>
          <t>CF-WC Change</t>
        </is>
      </c>
      <c r="B179" t="inlineStr">
        <is>
          <t>Working Capital Change</t>
        </is>
      </c>
      <c r="C179" t="inlineStr">
        <is>
          <t>AUDm</t>
        </is>
      </c>
      <c r="D179" s="4" t="n"/>
      <c r="E179" s="60" t="n">
        <v>5.3</v>
      </c>
      <c r="F179" s="60" t="n">
        <v>3.4</v>
      </c>
      <c r="G179" s="60" t="n">
        <v>-1.9</v>
      </c>
      <c r="H179" s="72">
        <f>-(H138-G138)-(H139-G139)+(H154-G154)</f>
        <v/>
      </c>
      <c r="I179" s="72">
        <f>-(I138-H138)-(I139-H139)+(I154-H154)</f>
        <v/>
      </c>
      <c r="J179" s="72">
        <f>-(J138-I138)-(J139-I139)+(J154-I154)</f>
        <v/>
      </c>
      <c r="K179" s="72">
        <f>-(K138-J138)-(K139-J139)+(K154-J154)</f>
        <v/>
      </c>
      <c r="L179" s="72">
        <f>-(L138-K138)-(L139-K139)+(L154-K154)</f>
        <v/>
      </c>
      <c r="M179" s="72">
        <f>-(M138-L138)-(M139-L139)+(M154-L154)</f>
        <v/>
      </c>
      <c r="N179" s="72">
        <f>-(N138-M138)-(N139-M139)+(N154-M154)</f>
        <v/>
      </c>
      <c r="O179" s="72">
        <f>-(O138-N138)-(O139-N139)+(O154-N154)</f>
        <v/>
      </c>
      <c r="P179" s="72">
        <f>-(P138-O138)-(P139-O139)+(P154-O154)</f>
        <v/>
      </c>
      <c r="Q179" s="72">
        <f>-(Q138-P138)-(Q139-P139)+(Q154-P154)</f>
        <v/>
      </c>
    </row>
    <row r="180">
      <c r="A180" t="inlineStr">
        <is>
          <t>CF-Significant Items</t>
        </is>
      </c>
      <c r="B180" t="inlineStr">
        <is>
          <t>Significant Items/Non-Cash Items</t>
        </is>
      </c>
      <c r="C180" t="inlineStr">
        <is>
          <t>AUDm</t>
        </is>
      </c>
      <c r="D180" s="4" t="n"/>
      <c r="E180" s="60" t="n">
        <v>4.2</v>
      </c>
      <c r="F180" s="60" t="n">
        <v>11.1</v>
      </c>
      <c r="G180" s="60" t="n">
        <v>12</v>
      </c>
      <c r="H180" s="72">
        <f>-H43-H44</f>
        <v/>
      </c>
      <c r="I180" s="72">
        <f>-I43-I44</f>
        <v/>
      </c>
      <c r="J180" s="72">
        <f>-J43-J44</f>
        <v/>
      </c>
      <c r="K180" s="72">
        <f>-K43-K44</f>
        <v/>
      </c>
      <c r="L180" s="72">
        <f>-L43-L44</f>
        <v/>
      </c>
      <c r="M180" s="72">
        <f>-M43-M44</f>
        <v/>
      </c>
      <c r="N180" s="72">
        <f>-N43-N44</f>
        <v/>
      </c>
      <c r="O180" s="72">
        <f>-O43-O44</f>
        <v/>
      </c>
      <c r="P180" s="72">
        <f>-P43-P44</f>
        <v/>
      </c>
      <c r="Q180" s="72">
        <f>-Q43-Q44</f>
        <v/>
      </c>
    </row>
    <row r="181">
      <c r="B181" s="20" t="inlineStr">
        <is>
          <t>Gross Operating Cash Flow</t>
        </is>
      </c>
      <c r="C181" s="20" t="inlineStr">
        <is>
          <t>AUDm</t>
        </is>
      </c>
      <c r="D181" s="21">
        <f>SUM(D178:D180)</f>
        <v/>
      </c>
      <c r="E181" s="21">
        <f>SUM(E178:E180)</f>
        <v/>
      </c>
      <c r="F181" s="21">
        <f>SUM(F178:F180)</f>
        <v/>
      </c>
      <c r="G181" s="21">
        <f>SUM(G178:G180)</f>
        <v/>
      </c>
      <c r="H181" s="82">
        <f>SUM(H178:H180)</f>
        <v/>
      </c>
      <c r="I181" s="82">
        <f>SUM(I178:I180)</f>
        <v/>
      </c>
      <c r="J181" s="82">
        <f>SUM(J178:J180)</f>
        <v/>
      </c>
      <c r="K181" s="82">
        <f>SUM(K178:K180)</f>
        <v/>
      </c>
      <c r="L181" s="82">
        <f>SUM(L178:L180)</f>
        <v/>
      </c>
      <c r="M181" s="82">
        <f>SUM(M178:M180)</f>
        <v/>
      </c>
      <c r="N181" s="82">
        <f>SUM(N178:N180)</f>
        <v/>
      </c>
      <c r="O181" s="82">
        <f>SUM(O178:O180)</f>
        <v/>
      </c>
      <c r="P181" s="82">
        <f>SUM(P178:P180)</f>
        <v/>
      </c>
      <c r="Q181" s="82">
        <f>SUM(Q178:Q180)</f>
        <v/>
      </c>
    </row>
    <row r="182">
      <c r="A182" t="inlineStr">
        <is>
          <t>CF-Int Received</t>
        </is>
      </c>
      <c r="B182" t="inlineStr">
        <is>
          <t>Interest Received</t>
        </is>
      </c>
      <c r="C182" t="inlineStr">
        <is>
          <t>AUDm</t>
        </is>
      </c>
      <c r="D182" s="19" t="n"/>
      <c r="E182" s="60" t="n">
        <v>1</v>
      </c>
      <c r="F182" s="60" t="n">
        <v>6.1</v>
      </c>
      <c r="G182" s="60" t="n">
        <v>10.2</v>
      </c>
      <c r="H182" s="72">
        <f>H65+H66+H67</f>
        <v/>
      </c>
      <c r="I182" s="72">
        <f>I65+I66+I67</f>
        <v/>
      </c>
      <c r="J182" s="72">
        <f>J65+J66+J67</f>
        <v/>
      </c>
      <c r="K182" s="72">
        <f>K65+K66+K67</f>
        <v/>
      </c>
      <c r="L182" s="72">
        <f>L65+L66+L67</f>
        <v/>
      </c>
      <c r="M182" s="72">
        <f>M65+M66+M67</f>
        <v/>
      </c>
      <c r="N182" s="72">
        <f>N65+N66+N67</f>
        <v/>
      </c>
      <c r="O182" s="72">
        <f>O65+O66+O67</f>
        <v/>
      </c>
      <c r="P182" s="72">
        <f>P65+P66+P67</f>
        <v/>
      </c>
      <c r="Q182" s="72">
        <f>Q65+Q66+Q67</f>
        <v/>
      </c>
    </row>
    <row r="183">
      <c r="A183" t="inlineStr">
        <is>
          <t>CF-Interest Paid</t>
        </is>
      </c>
      <c r="B183" t="inlineStr">
        <is>
          <t>Interest Paid</t>
        </is>
      </c>
      <c r="C183" t="inlineStr">
        <is>
          <t>AUDm</t>
        </is>
      </c>
      <c r="D183" s="19" t="n"/>
      <c r="E183" s="60" t="n">
        <v>-0.3</v>
      </c>
      <c r="F183" s="60" t="n">
        <v>-0.3</v>
      </c>
      <c r="G183" s="60" t="n">
        <v>-0.1</v>
      </c>
      <c r="H183" s="72">
        <f>H69</f>
        <v/>
      </c>
      <c r="I183" s="72">
        <f>I69</f>
        <v/>
      </c>
      <c r="J183" s="72">
        <f>J69</f>
        <v/>
      </c>
      <c r="K183" s="72">
        <f>K69</f>
        <v/>
      </c>
      <c r="L183" s="72">
        <f>L69</f>
        <v/>
      </c>
      <c r="M183" s="72">
        <f>M69</f>
        <v/>
      </c>
      <c r="N183" s="72">
        <f>N69</f>
        <v/>
      </c>
      <c r="O183" s="72">
        <f>O69</f>
        <v/>
      </c>
      <c r="P183" s="72">
        <f>P69</f>
        <v/>
      </c>
      <c r="Q183" s="72">
        <f>Q69</f>
        <v/>
      </c>
    </row>
    <row r="184">
      <c r="A184" t="inlineStr">
        <is>
          <t>CF-Lease Int Paid</t>
        </is>
      </c>
      <c r="B184" t="inlineStr">
        <is>
          <t>Lease Interest Paid</t>
        </is>
      </c>
      <c r="C184" t="inlineStr">
        <is>
          <t>AUDm</t>
        </is>
      </c>
      <c r="D184" s="19" t="n"/>
      <c r="E184" s="60" t="n">
        <v>-4.6</v>
      </c>
      <c r="F184" s="60" t="n">
        <v>-6.3</v>
      </c>
      <c r="G184" s="60" t="n">
        <v>-8.6</v>
      </c>
      <c r="H184" s="72">
        <f>H68</f>
        <v/>
      </c>
      <c r="I184" s="72">
        <f>I68</f>
        <v/>
      </c>
      <c r="J184" s="72">
        <f>J68</f>
        <v/>
      </c>
      <c r="K184" s="72">
        <f>K68</f>
        <v/>
      </c>
      <c r="L184" s="72">
        <f>L68</f>
        <v/>
      </c>
      <c r="M184" s="72">
        <f>M68</f>
        <v/>
      </c>
      <c r="N184" s="72">
        <f>N68</f>
        <v/>
      </c>
      <c r="O184" s="72">
        <f>O68</f>
        <v/>
      </c>
      <c r="P184" s="72">
        <f>P68</f>
        <v/>
      </c>
      <c r="Q184" s="72">
        <f>Q68</f>
        <v/>
      </c>
    </row>
    <row r="185">
      <c r="A185" t="inlineStr">
        <is>
          <t>CF-Tax Paid</t>
        </is>
      </c>
      <c r="B185" t="inlineStr">
        <is>
          <t>Tax Paid</t>
        </is>
      </c>
      <c r="C185" t="inlineStr">
        <is>
          <t>AUDm</t>
        </is>
      </c>
      <c r="D185" s="19" t="n"/>
      <c r="E185" s="60" t="n">
        <v>-0.3</v>
      </c>
      <c r="F185" s="60" t="n">
        <v>-4.5</v>
      </c>
      <c r="G185" s="60" t="n">
        <v>-19.4</v>
      </c>
      <c r="H185" s="72">
        <f>H77</f>
        <v/>
      </c>
      <c r="I185" s="72">
        <f>I77</f>
        <v/>
      </c>
      <c r="J185" s="72">
        <f>J77</f>
        <v/>
      </c>
      <c r="K185" s="72">
        <f>K77</f>
        <v/>
      </c>
      <c r="L185" s="72">
        <f>L77</f>
        <v/>
      </c>
      <c r="M185" s="72">
        <f>M77</f>
        <v/>
      </c>
      <c r="N185" s="72">
        <f>N77</f>
        <v/>
      </c>
      <c r="O185" s="72">
        <f>O77</f>
        <v/>
      </c>
      <c r="P185" s="72">
        <f>P77</f>
        <v/>
      </c>
      <c r="Q185" s="72">
        <f>Q77</f>
        <v/>
      </c>
    </row>
    <row r="186">
      <c r="A186" t="inlineStr">
        <is>
          <t>CF-Net OCF</t>
        </is>
      </c>
      <c r="B186" s="20" t="inlineStr">
        <is>
          <t>Net Operating Cash Flow</t>
        </is>
      </c>
      <c r="C186" s="20" t="inlineStr">
        <is>
          <t>AUDm</t>
        </is>
      </c>
      <c r="D186" s="32">
        <f>D181+D182+D183+D184+D185</f>
        <v/>
      </c>
      <c r="E186" s="32">
        <f>E181+E182+E183+E184+E185</f>
        <v/>
      </c>
      <c r="F186" s="32">
        <f>F181+F182+F183+F184+F185</f>
        <v/>
      </c>
      <c r="G186" s="32">
        <f>G181+G182+G183+G184+G185</f>
        <v/>
      </c>
      <c r="H186" s="82">
        <f>H181+H182+H183+H184+H185</f>
        <v/>
      </c>
      <c r="I186" s="82">
        <f>I181+I182+I183+I184+I185</f>
        <v/>
      </c>
      <c r="J186" s="82">
        <f>J181+J182+J183+J184+J185</f>
        <v/>
      </c>
      <c r="K186" s="82">
        <f>K181+K182+K183+K184+K185</f>
        <v/>
      </c>
      <c r="L186" s="82">
        <f>L181+L182+L183+L184+L185</f>
        <v/>
      </c>
      <c r="M186" s="82">
        <f>M181+M182+M183+M184+M185</f>
        <v/>
      </c>
      <c r="N186" s="82">
        <f>N181+N182+N183+N184+N185</f>
        <v/>
      </c>
      <c r="O186" s="82">
        <f>O181+O182+O183+O184+O185</f>
        <v/>
      </c>
      <c r="P186" s="82">
        <f>P181+P182+P183+P184+P185</f>
        <v/>
      </c>
      <c r="Q186" s="82">
        <f>Q181+Q182+Q183+Q184+Q185</f>
        <v/>
      </c>
    </row>
    <row r="187">
      <c r="B187" t="inlineStr">
        <is>
          <t>OCF Growth</t>
        </is>
      </c>
      <c r="C187" t="inlineStr">
        <is>
          <t>% YoY</t>
        </is>
      </c>
      <c r="D187" s="6" t="n"/>
      <c r="E187" s="6">
        <f>IF(D186=0,"",E186/D186-1)</f>
        <v/>
      </c>
      <c r="F187" s="6">
        <f>IF(E186=0,"",F186/E186-1)</f>
        <v/>
      </c>
      <c r="G187" s="6">
        <f>IF(F186=0,"",G186/F186-1)</f>
        <v/>
      </c>
      <c r="H187" s="83">
        <f>IF(G186=0,"",H186/G186-1)</f>
        <v/>
      </c>
      <c r="I187" s="83">
        <f>IF(H186=0,"",I186/H186-1)</f>
        <v/>
      </c>
      <c r="J187" s="83">
        <f>IF(I186=0,"",J186/I186-1)</f>
        <v/>
      </c>
      <c r="K187" s="83">
        <f>IF(J186=0,"",K186/J186-1)</f>
        <v/>
      </c>
      <c r="L187" s="83">
        <f>IF(K186=0,"",L186/K186-1)</f>
        <v/>
      </c>
      <c r="M187" s="83">
        <f>IF(L186=0,"",M186/L186-1)</f>
        <v/>
      </c>
      <c r="N187" s="83">
        <f>IF(M186=0,"",N186/M186-1)</f>
        <v/>
      </c>
      <c r="O187" s="83">
        <f>IF(N186=0,"",O186/N186-1)</f>
        <v/>
      </c>
      <c r="P187" s="83">
        <f>IF(O186=0,"",P186/O186-1)</f>
        <v/>
      </c>
      <c r="Q187" s="83">
        <f>IF(P186=0,"",Q186/P186-1)</f>
        <v/>
      </c>
    </row>
    <row r="188">
      <c r="B188" t="inlineStr">
        <is>
          <t>EBITDA Cashflow conversion</t>
        </is>
      </c>
      <c r="C188" t="inlineStr">
        <is>
          <t>%</t>
        </is>
      </c>
      <c r="D188" s="6">
        <f>IF(D178=0,"",D181/D178)</f>
        <v/>
      </c>
      <c r="E188" s="6">
        <f>IF(E178=0,"",E181/E178)</f>
        <v/>
      </c>
      <c r="F188" s="6">
        <f>IF(F178=0,"",F181/F178)</f>
        <v/>
      </c>
      <c r="G188" s="6">
        <f>IF(G178=0,"",G181/G178)</f>
        <v/>
      </c>
      <c r="H188" s="83">
        <f>IF(H178=0,"",H181/H178)</f>
        <v/>
      </c>
      <c r="I188" s="83">
        <f>IF(I178=0,"",I181/I178)</f>
        <v/>
      </c>
      <c r="J188" s="83">
        <f>IF(J178=0,"",J181/J178)</f>
        <v/>
      </c>
      <c r="K188" s="83">
        <f>IF(K178=0,"",K181/K178)</f>
        <v/>
      </c>
      <c r="L188" s="83">
        <f>IF(L178=0,"",L181/L178)</f>
        <v/>
      </c>
      <c r="M188" s="83">
        <f>IF(M178=0,"",M181/M178)</f>
        <v/>
      </c>
      <c r="N188" s="83">
        <f>IF(N178=0,"",N181/N178)</f>
        <v/>
      </c>
      <c r="O188" s="83">
        <f>IF(O178=0,"",O181/O178)</f>
        <v/>
      </c>
      <c r="P188" s="83">
        <f>IF(P178=0,"",P181/P178)</f>
        <v/>
      </c>
      <c r="Q188" s="83">
        <f>IF(Q178=0,"",Q181/Q178)</f>
        <v/>
      </c>
    </row>
    <row r="189"/>
    <row r="190">
      <c r="B190" s="5" t="inlineStr">
        <is>
          <t>CFI</t>
        </is>
      </c>
    </row>
    <row r="191">
      <c r="A191" t="inlineStr">
        <is>
          <t>CF-Capex PPE</t>
        </is>
      </c>
      <c r="B191" t="inlineStr">
        <is>
          <t>Capex (PPE)</t>
        </is>
      </c>
      <c r="C191" t="inlineStr">
        <is>
          <t>AUDm</t>
        </is>
      </c>
      <c r="D191" s="19" t="n"/>
      <c r="E191" s="60" t="n">
        <v>-39.7</v>
      </c>
      <c r="F191" s="60" t="n">
        <v>-33.5</v>
      </c>
      <c r="G191" s="60" t="n">
        <v>-61.3</v>
      </c>
      <c r="H191" s="72">
        <f>H192*(H11+H18)</f>
        <v/>
      </c>
      <c r="I191" s="72">
        <f>I192*(I11+I18)</f>
        <v/>
      </c>
      <c r="J191" s="72">
        <f>J192*(J11+J18)</f>
        <v/>
      </c>
      <c r="K191" s="72">
        <f>K192*(K11+K18)</f>
        <v/>
      </c>
      <c r="L191" s="72">
        <f>L192*(L11+L18)</f>
        <v/>
      </c>
      <c r="M191" s="72">
        <f>M192*(M11+M18)</f>
        <v/>
      </c>
      <c r="N191" s="72">
        <f>N192*(N11+N18)</f>
        <v/>
      </c>
      <c r="O191" s="72">
        <f>O192*(O11+O18)</f>
        <v/>
      </c>
      <c r="P191" s="72">
        <f>P192*(P11+P18)</f>
        <v/>
      </c>
      <c r="Q191" s="72">
        <f>Q192*(Q11+Q18)</f>
        <v/>
      </c>
    </row>
    <row r="192">
      <c r="B192" s="25" t="inlineStr">
        <is>
          <t>Capex / Sales</t>
        </is>
      </c>
      <c r="C192" t="inlineStr">
        <is>
          <t>%</t>
        </is>
      </c>
      <c r="D192" s="6">
        <f>IF(D11+D18=0,"",(D191+D193)/(D11+D18))</f>
        <v/>
      </c>
      <c r="E192" s="6">
        <f>IF(E11+E18=0,"",(E191+E193)/(E11+E18))</f>
        <v/>
      </c>
      <c r="F192" s="6">
        <f>IF(F11+F18=0,"",(F191+F193)/(F11+F18))</f>
        <v/>
      </c>
      <c r="G192" s="6">
        <f>IF(G11+G18=0,"",(G191+G193)/(G11+G18))</f>
        <v/>
      </c>
      <c r="H192" s="74" t="n">
        <v>-0.131</v>
      </c>
      <c r="I192" s="74">
        <f>H192</f>
        <v/>
      </c>
      <c r="J192" s="74">
        <f>I192</f>
        <v/>
      </c>
      <c r="K192" s="74">
        <f>J192</f>
        <v/>
      </c>
      <c r="L192" s="74">
        <f>K192</f>
        <v/>
      </c>
      <c r="M192" s="74">
        <f>L192</f>
        <v/>
      </c>
      <c r="N192" s="74">
        <f>M192</f>
        <v/>
      </c>
      <c r="O192" s="74">
        <f>N192</f>
        <v/>
      </c>
      <c r="P192" s="74">
        <f>O192</f>
        <v/>
      </c>
      <c r="Q192" s="74">
        <f>P192</f>
        <v/>
      </c>
    </row>
    <row r="193">
      <c r="A193" t="inlineStr">
        <is>
          <t>CF-Capex Intang</t>
        </is>
      </c>
      <c r="B193" t="inlineStr">
        <is>
          <t>Capex (Intangibles)</t>
        </is>
      </c>
      <c r="C193" t="inlineStr">
        <is>
          <t>AUDm</t>
        </is>
      </c>
      <c r="D193" s="47" t="n"/>
      <c r="E193" s="60" t="n">
        <v>-2.9</v>
      </c>
      <c r="F193" s="60" t="n">
        <v>-0.1</v>
      </c>
      <c r="G193" s="60" t="n">
        <v>0</v>
      </c>
      <c r="H193" s="42" t="n">
        <v>0</v>
      </c>
      <c r="I193" s="42" t="n">
        <v>0</v>
      </c>
      <c r="J193" s="42" t="n">
        <v>0</v>
      </c>
      <c r="K193" s="42" t="n">
        <v>0</v>
      </c>
      <c r="L193" s="42" t="n">
        <v>0</v>
      </c>
      <c r="M193" s="42" t="n">
        <v>0</v>
      </c>
      <c r="N193" s="42" t="n">
        <v>0</v>
      </c>
      <c r="O193" s="42" t="n">
        <v>0</v>
      </c>
      <c r="P193" s="42" t="n">
        <v>0</v>
      </c>
      <c r="Q193" s="42" t="n">
        <v>0</v>
      </c>
    </row>
    <row r="194">
      <c r="A194" t="inlineStr">
        <is>
          <t>CF-Acquisitions</t>
        </is>
      </c>
      <c r="B194" t="inlineStr">
        <is>
          <t>Acquisitions</t>
        </is>
      </c>
      <c r="C194" t="inlineStr">
        <is>
          <t>AUDm</t>
        </is>
      </c>
      <c r="D194" s="19" t="n"/>
      <c r="E194" s="60" t="n">
        <v>-5.7</v>
      </c>
      <c r="F194" s="60" t="n">
        <v>-0.2</v>
      </c>
      <c r="G194" s="60" t="n">
        <v>-11.6</v>
      </c>
      <c r="H194" s="42" t="n">
        <v>0</v>
      </c>
      <c r="I194" s="42" t="n">
        <v>0</v>
      </c>
      <c r="J194" s="42" t="n">
        <v>0</v>
      </c>
      <c r="K194" s="42" t="n">
        <v>0</v>
      </c>
      <c r="L194" s="42" t="n">
        <v>0</v>
      </c>
      <c r="M194" s="42" t="n">
        <v>0</v>
      </c>
      <c r="N194" s="42" t="n">
        <v>0</v>
      </c>
      <c r="O194" s="42" t="n">
        <v>0</v>
      </c>
      <c r="P194" s="42" t="n">
        <v>0</v>
      </c>
      <c r="Q194" s="42" t="n">
        <v>0</v>
      </c>
    </row>
    <row r="195">
      <c r="A195" t="inlineStr">
        <is>
          <t>CF-Asset Sales</t>
        </is>
      </c>
      <c r="B195" t="inlineStr">
        <is>
          <t>Asset Sales</t>
        </is>
      </c>
      <c r="C195" t="inlineStr">
        <is>
          <t>AUDm</t>
        </is>
      </c>
      <c r="D195" s="19" t="n"/>
      <c r="E195" s="60" t="n">
        <v>0.7</v>
      </c>
      <c r="F195" s="60" t="n">
        <v>3</v>
      </c>
      <c r="G195" s="60" t="n">
        <v>3.9</v>
      </c>
      <c r="H195" s="42" t="n">
        <v>0</v>
      </c>
      <c r="I195" s="42" t="n">
        <v>0</v>
      </c>
      <c r="J195" s="42" t="n">
        <v>0</v>
      </c>
      <c r="K195" s="42" t="n">
        <v>0</v>
      </c>
      <c r="L195" s="42" t="n">
        <v>0</v>
      </c>
      <c r="M195" s="42" t="n">
        <v>0</v>
      </c>
      <c r="N195" s="42" t="n">
        <v>0</v>
      </c>
      <c r="O195" s="42" t="n">
        <v>0</v>
      </c>
      <c r="P195" s="42" t="n">
        <v>0</v>
      </c>
      <c r="Q195" s="42" t="n">
        <v>0</v>
      </c>
    </row>
    <row r="196">
      <c r="A196" t="inlineStr">
        <is>
          <t>CF-Other CFI</t>
        </is>
      </c>
      <c r="B196" t="inlineStr">
        <is>
          <t>Other</t>
        </is>
      </c>
      <c r="C196" t="inlineStr">
        <is>
          <t>AUDm</t>
        </is>
      </c>
      <c r="D196" s="4" t="n"/>
      <c r="E196" s="60" t="n">
        <v>0</v>
      </c>
      <c r="F196" s="60" t="n">
        <v>-278.1</v>
      </c>
      <c r="G196" s="60" t="n">
        <v>38.4</v>
      </c>
      <c r="H196" s="72">
        <f>G137-H137</f>
        <v/>
      </c>
      <c r="I196" s="72">
        <f>H137-I137</f>
        <v/>
      </c>
      <c r="J196" s="72">
        <f>I137-J137</f>
        <v/>
      </c>
      <c r="K196" s="72">
        <f>J137-K137</f>
        <v/>
      </c>
      <c r="L196" s="72">
        <f>K137-L137</f>
        <v/>
      </c>
      <c r="M196" s="72">
        <f>L137-M137</f>
        <v/>
      </c>
      <c r="N196" s="72">
        <f>M137-N137</f>
        <v/>
      </c>
      <c r="O196" s="72">
        <f>N137-O137</f>
        <v/>
      </c>
      <c r="P196" s="72">
        <f>O137-P137</f>
        <v/>
      </c>
      <c r="Q196" s="72">
        <f>P137-Q137</f>
        <v/>
      </c>
    </row>
    <row r="197">
      <c r="B197" s="20" t="inlineStr">
        <is>
          <t>Total Investing Cash Flow</t>
        </is>
      </c>
      <c r="C197" s="20" t="inlineStr">
        <is>
          <t>AUDm</t>
        </is>
      </c>
      <c r="D197" s="32">
        <f>SUM(D191,D193:D196)</f>
        <v/>
      </c>
      <c r="E197" s="32">
        <f>SUM(E191,E193:E196)</f>
        <v/>
      </c>
      <c r="F197" s="32">
        <f>SUM(F191,F193:F196)</f>
        <v/>
      </c>
      <c r="G197" s="32">
        <f>SUM(G191,G193:G196)</f>
        <v/>
      </c>
      <c r="H197" s="82">
        <f>SUM(H191,H193:H196)</f>
        <v/>
      </c>
      <c r="I197" s="82">
        <f>SUM(I191,I193:I196)</f>
        <v/>
      </c>
      <c r="J197" s="82">
        <f>SUM(J191,J193:J196)</f>
        <v/>
      </c>
      <c r="K197" s="82">
        <f>SUM(K191,K193:K196)</f>
        <v/>
      </c>
      <c r="L197" s="82">
        <f>SUM(L191,L193:L196)</f>
        <v/>
      </c>
      <c r="M197" s="82">
        <f>SUM(M191,M193:M196)</f>
        <v/>
      </c>
      <c r="N197" s="82">
        <f>SUM(N191,N193:N196)</f>
        <v/>
      </c>
      <c r="O197" s="82">
        <f>SUM(O191,O193:O196)</f>
        <v/>
      </c>
      <c r="P197" s="82">
        <f>SUM(P191,P193:P196)</f>
        <v/>
      </c>
      <c r="Q197" s="82">
        <f>SUM(Q191,Q193:Q196)</f>
        <v/>
      </c>
    </row>
    <row r="198"/>
    <row r="199">
      <c r="B199" s="5" t="inlineStr">
        <is>
          <t>CFF</t>
        </is>
      </c>
    </row>
    <row r="200">
      <c r="A200" t="inlineStr">
        <is>
          <t>CF-Dividends</t>
        </is>
      </c>
      <c r="B200" t="inlineStr">
        <is>
          <t>Dividends Paid</t>
        </is>
      </c>
      <c r="C200" t="inlineStr">
        <is>
          <t>AUDm</t>
        </is>
      </c>
      <c r="D200" s="19" t="n"/>
      <c r="E200" s="60" t="n">
        <v>0</v>
      </c>
      <c r="F200" s="60" t="n">
        <v>0</v>
      </c>
      <c r="G200" s="60" t="n">
        <v>0</v>
      </c>
      <c r="H200" s="72">
        <f>-H97</f>
        <v/>
      </c>
      <c r="I200" s="72">
        <f>-I97</f>
        <v/>
      </c>
      <c r="J200" s="72">
        <f>-J97</f>
        <v/>
      </c>
      <c r="K200" s="72">
        <f>-K97</f>
        <v/>
      </c>
      <c r="L200" s="72">
        <f>-L97</f>
        <v/>
      </c>
      <c r="M200" s="72">
        <f>-M97</f>
        <v/>
      </c>
      <c r="N200" s="72">
        <f>-N97</f>
        <v/>
      </c>
      <c r="O200" s="72">
        <f>-O97</f>
        <v/>
      </c>
      <c r="P200" s="72">
        <f>-P97</f>
        <v/>
      </c>
      <c r="Q200" s="72">
        <f>-Q97</f>
        <v/>
      </c>
    </row>
    <row r="201">
      <c r="A201" t="inlineStr">
        <is>
          <t>CF-Share Issues</t>
        </is>
      </c>
      <c r="B201" t="inlineStr">
        <is>
          <t>Share Issues / Buybacks</t>
        </is>
      </c>
      <c r="C201" t="inlineStr">
        <is>
          <t>AUDm</t>
        </is>
      </c>
      <c r="D201" s="4" t="n"/>
      <c r="E201" s="60" t="n">
        <v>5.1</v>
      </c>
      <c r="F201" s="60" t="n">
        <v>283.1</v>
      </c>
      <c r="G201" s="60" t="n">
        <v>2.3</v>
      </c>
      <c r="H201" s="42" t="n">
        <v>0</v>
      </c>
      <c r="I201" s="42" t="n">
        <v>0</v>
      </c>
      <c r="J201" s="42" t="n">
        <v>0</v>
      </c>
      <c r="K201" s="42" t="n">
        <v>0</v>
      </c>
      <c r="L201" s="42" t="n">
        <v>0</v>
      </c>
      <c r="M201" s="42" t="n">
        <v>0</v>
      </c>
      <c r="N201" s="42" t="n">
        <v>0</v>
      </c>
      <c r="O201" s="42" t="n">
        <v>0</v>
      </c>
      <c r="P201" s="42" t="n">
        <v>0</v>
      </c>
      <c r="Q201" s="42" t="n">
        <v>0</v>
      </c>
    </row>
    <row r="202">
      <c r="A202" t="inlineStr">
        <is>
          <t>CF-Lease Principal</t>
        </is>
      </c>
      <c r="B202" t="inlineStr">
        <is>
          <t>Lease Principal Payments</t>
        </is>
      </c>
      <c r="C202" t="inlineStr">
        <is>
          <t>AUDm</t>
        </is>
      </c>
      <c r="D202" s="19" t="n"/>
      <c r="E202" s="60" t="n">
        <v>-6.7</v>
      </c>
      <c r="F202" s="60" t="n">
        <v>-9.9</v>
      </c>
      <c r="G202" s="60" t="n">
        <v>-10.8</v>
      </c>
      <c r="H202" s="72">
        <f>-G157/H58</f>
        <v/>
      </c>
      <c r="I202" s="72">
        <f>-H157/I58</f>
        <v/>
      </c>
      <c r="J202" s="72">
        <f>-I157/J58</f>
        <v/>
      </c>
      <c r="K202" s="72">
        <f>-J157/K58</f>
        <v/>
      </c>
      <c r="L202" s="72">
        <f>-K157/L58</f>
        <v/>
      </c>
      <c r="M202" s="72">
        <f>-L157/M58</f>
        <v/>
      </c>
      <c r="N202" s="72">
        <f>-M157/N58</f>
        <v/>
      </c>
      <c r="O202" s="72">
        <f>-N157/O58</f>
        <v/>
      </c>
      <c r="P202" s="72">
        <f>-O157/P58</f>
        <v/>
      </c>
      <c r="Q202" s="72">
        <f>-P157/Q58</f>
        <v/>
      </c>
    </row>
    <row r="203">
      <c r="A203" t="inlineStr">
        <is>
          <t>CF-Debt Change</t>
        </is>
      </c>
      <c r="B203" t="inlineStr">
        <is>
          <t>Change in Debt</t>
        </is>
      </c>
      <c r="C203" t="inlineStr">
        <is>
          <t>AUDm</t>
        </is>
      </c>
      <c r="D203" s="4" t="n"/>
      <c r="E203" s="60" t="n">
        <v>-0.4</v>
      </c>
      <c r="F203" s="60" t="n">
        <v>-3</v>
      </c>
      <c r="G203" s="60" t="n">
        <v>0</v>
      </c>
      <c r="H203" s="42" t="n">
        <v>0</v>
      </c>
      <c r="I203" s="42" t="n">
        <v>0</v>
      </c>
      <c r="J203" s="42" t="n">
        <v>0</v>
      </c>
      <c r="K203" s="42" t="n">
        <v>0</v>
      </c>
      <c r="L203" s="42" t="n">
        <v>0</v>
      </c>
      <c r="M203" s="42" t="n">
        <v>0</v>
      </c>
      <c r="N203" s="42" t="n">
        <v>0</v>
      </c>
      <c r="O203" s="42" t="n">
        <v>0</v>
      </c>
      <c r="P203" s="42" t="n">
        <v>0</v>
      </c>
      <c r="Q203" s="42" t="n">
        <v>0</v>
      </c>
    </row>
    <row r="204">
      <c r="A204" t="inlineStr">
        <is>
          <t>CF-Other CFF</t>
        </is>
      </c>
      <c r="B204" t="inlineStr">
        <is>
          <t>Other</t>
        </is>
      </c>
      <c r="C204" t="inlineStr">
        <is>
          <t>AUDm</t>
        </is>
      </c>
      <c r="D204" s="4" t="n"/>
      <c r="E204" s="60" t="n">
        <v>1.4</v>
      </c>
      <c r="F204" s="60" t="n">
        <v>-7.8</v>
      </c>
      <c r="G204" s="60" t="n">
        <v>7.5</v>
      </c>
      <c r="H204" s="42" t="n">
        <v>0</v>
      </c>
      <c r="I204" s="42" t="n">
        <v>0</v>
      </c>
      <c r="J204" s="42" t="n">
        <v>0</v>
      </c>
      <c r="K204" s="42" t="n">
        <v>0</v>
      </c>
      <c r="L204" s="42" t="n">
        <v>0</v>
      </c>
      <c r="M204" s="42" t="n">
        <v>0</v>
      </c>
      <c r="N204" s="42" t="n">
        <v>0</v>
      </c>
      <c r="O204" s="42" t="n">
        <v>0</v>
      </c>
      <c r="P204" s="42" t="n">
        <v>0</v>
      </c>
      <c r="Q204" s="42" t="n">
        <v>0</v>
      </c>
    </row>
    <row r="205">
      <c r="B205" s="20" t="inlineStr">
        <is>
          <t>Total Financing Cash Flow</t>
        </is>
      </c>
      <c r="C205" s="20" t="inlineStr">
        <is>
          <t>AUDm</t>
        </is>
      </c>
      <c r="D205" s="32">
        <f>SUM(D200:D204)</f>
        <v/>
      </c>
      <c r="E205" s="32">
        <f>SUM(E200:E204)</f>
        <v/>
      </c>
      <c r="F205" s="32">
        <f>SUM(F200:F204)</f>
        <v/>
      </c>
      <c r="G205" s="32">
        <f>SUM(G200:G204)</f>
        <v/>
      </c>
      <c r="H205" s="82">
        <f>SUM(H200:H204)</f>
        <v/>
      </c>
      <c r="I205" s="82">
        <f>SUM(I200:I204)</f>
        <v/>
      </c>
      <c r="J205" s="82">
        <f>SUM(J200:J204)</f>
        <v/>
      </c>
      <c r="K205" s="82">
        <f>SUM(K200:K204)</f>
        <v/>
      </c>
      <c r="L205" s="82">
        <f>SUM(L200:L204)</f>
        <v/>
      </c>
      <c r="M205" s="82">
        <f>SUM(M200:M204)</f>
        <v/>
      </c>
      <c r="N205" s="82">
        <f>SUM(N200:N204)</f>
        <v/>
      </c>
      <c r="O205" s="82">
        <f>SUM(O200:O204)</f>
        <v/>
      </c>
      <c r="P205" s="82">
        <f>SUM(P200:P204)</f>
        <v/>
      </c>
      <c r="Q205" s="82">
        <f>SUM(Q200:Q204)</f>
        <v/>
      </c>
    </row>
    <row r="206"/>
    <row r="207">
      <c r="B207" s="20" t="inlineStr">
        <is>
          <t>Net Change in Cash</t>
        </is>
      </c>
      <c r="C207" s="20" t="inlineStr">
        <is>
          <t>AUDm</t>
        </is>
      </c>
      <c r="D207" s="21">
        <f>D186+D197+D205</f>
        <v/>
      </c>
      <c r="E207" s="21">
        <f>E186+E197+E205</f>
        <v/>
      </c>
      <c r="F207" s="21">
        <f>F186+F197+F205</f>
        <v/>
      </c>
      <c r="G207" s="21">
        <f>G186+G197+G205</f>
        <v/>
      </c>
      <c r="H207" s="82">
        <f>H186+H197+H205</f>
        <v/>
      </c>
      <c r="I207" s="82">
        <f>I186+I197+I205</f>
        <v/>
      </c>
      <c r="J207" s="82">
        <f>J186+J197+J205</f>
        <v/>
      </c>
      <c r="K207" s="82">
        <f>K186+K197+K205</f>
        <v/>
      </c>
      <c r="L207" s="82">
        <f>L186+L197+L205</f>
        <v/>
      </c>
      <c r="M207" s="82">
        <f>M186+M197+M205</f>
        <v/>
      </c>
      <c r="N207" s="82">
        <f>N186+N197+N205</f>
        <v/>
      </c>
      <c r="O207" s="82">
        <f>O186+O197+O205</f>
        <v/>
      </c>
      <c r="P207" s="82">
        <f>P186+P197+P205</f>
        <v/>
      </c>
      <c r="Q207" s="82">
        <f>Q186+Q197+Q205</f>
        <v/>
      </c>
    </row>
    <row r="208"/>
    <row r="209">
      <c r="A209" s="2" t="n"/>
      <c r="B209" s="18" t="inlineStr">
        <is>
          <t>Operating Free Cash Flow</t>
        </is>
      </c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</row>
    <row r="210">
      <c r="B210" s="8" t="inlineStr">
        <is>
          <t>Net OCF</t>
        </is>
      </c>
      <c r="C210" t="inlineStr">
        <is>
          <t>AUDm</t>
        </is>
      </c>
      <c r="D210" s="4">
        <f>D186</f>
        <v/>
      </c>
      <c r="E210" s="4">
        <f>E186</f>
        <v/>
      </c>
      <c r="F210" s="4">
        <f>F186</f>
        <v/>
      </c>
      <c r="G210" s="4">
        <f>G186</f>
        <v/>
      </c>
      <c r="H210" s="72">
        <f>H186</f>
        <v/>
      </c>
      <c r="I210" s="72">
        <f>I186</f>
        <v/>
      </c>
      <c r="J210" s="72">
        <f>J186</f>
        <v/>
      </c>
      <c r="K210" s="72">
        <f>K186</f>
        <v/>
      </c>
      <c r="L210" s="72">
        <f>L186</f>
        <v/>
      </c>
      <c r="M210" s="72">
        <f>M186</f>
        <v/>
      </c>
      <c r="N210" s="72">
        <f>N186</f>
        <v/>
      </c>
      <c r="O210" s="72">
        <f>O186</f>
        <v/>
      </c>
      <c r="P210" s="72">
        <f>P186</f>
        <v/>
      </c>
      <c r="Q210" s="72">
        <f>Q186</f>
        <v/>
      </c>
    </row>
    <row r="211">
      <c r="B211" s="8" t="inlineStr">
        <is>
          <t>Net Capex</t>
        </is>
      </c>
      <c r="C211" t="inlineStr">
        <is>
          <t>AUDm</t>
        </is>
      </c>
      <c r="D211" s="4">
        <f>D191+D193</f>
        <v/>
      </c>
      <c r="E211" s="4">
        <f>E191+E193</f>
        <v/>
      </c>
      <c r="F211" s="4">
        <f>F191+F193</f>
        <v/>
      </c>
      <c r="G211" s="4">
        <f>G191+G193</f>
        <v/>
      </c>
      <c r="H211" s="72">
        <f>H191+H193</f>
        <v/>
      </c>
      <c r="I211" s="72">
        <f>I191+I193</f>
        <v/>
      </c>
      <c r="J211" s="72">
        <f>J191+J193</f>
        <v/>
      </c>
      <c r="K211" s="72">
        <f>K191+K193</f>
        <v/>
      </c>
      <c r="L211" s="72">
        <f>L191+L193</f>
        <v/>
      </c>
      <c r="M211" s="72">
        <f>M191+M193</f>
        <v/>
      </c>
      <c r="N211" s="72">
        <f>N191+N193</f>
        <v/>
      </c>
      <c r="O211" s="72">
        <f>O191+O193</f>
        <v/>
      </c>
      <c r="P211" s="72">
        <f>P191+P193</f>
        <v/>
      </c>
      <c r="Q211" s="72">
        <f>Q191+Q193</f>
        <v/>
      </c>
    </row>
    <row r="212">
      <c r="B212" s="8" t="inlineStr">
        <is>
          <t>Lease Principal</t>
        </is>
      </c>
      <c r="C212" t="inlineStr">
        <is>
          <t>AUDm</t>
        </is>
      </c>
      <c r="D212" s="4">
        <f>D202</f>
        <v/>
      </c>
      <c r="E212" s="4">
        <f>E202</f>
        <v/>
      </c>
      <c r="F212" s="4">
        <f>F202</f>
        <v/>
      </c>
      <c r="G212" s="4">
        <f>G202</f>
        <v/>
      </c>
      <c r="H212" s="72">
        <f>H202</f>
        <v/>
      </c>
      <c r="I212" s="72">
        <f>I202</f>
        <v/>
      </c>
      <c r="J212" s="72">
        <f>J202</f>
        <v/>
      </c>
      <c r="K212" s="72">
        <f>K202</f>
        <v/>
      </c>
      <c r="L212" s="72">
        <f>L202</f>
        <v/>
      </c>
      <c r="M212" s="72">
        <f>M202</f>
        <v/>
      </c>
      <c r="N212" s="72">
        <f>N202</f>
        <v/>
      </c>
      <c r="O212" s="72">
        <f>O202</f>
        <v/>
      </c>
      <c r="P212" s="72">
        <f>P202</f>
        <v/>
      </c>
      <c r="Q212" s="72">
        <f>Q202</f>
        <v/>
      </c>
    </row>
    <row r="213">
      <c r="B213" s="20" t="inlineStr">
        <is>
          <t>Operating Free Cash Flow</t>
        </is>
      </c>
      <c r="C213" s="20" t="inlineStr">
        <is>
          <t>AUDm</t>
        </is>
      </c>
      <c r="D213" s="21">
        <f>D210+D211+D212</f>
        <v/>
      </c>
      <c r="E213" s="21">
        <f>E210+E211+E212</f>
        <v/>
      </c>
      <c r="F213" s="21">
        <f>F210+F211+F212</f>
        <v/>
      </c>
      <c r="G213" s="21">
        <f>G210+G211+G212</f>
        <v/>
      </c>
      <c r="H213" s="82">
        <f>H210+H211+H212</f>
        <v/>
      </c>
      <c r="I213" s="82">
        <f>I210+I211+I212</f>
        <v/>
      </c>
      <c r="J213" s="82">
        <f>J210+J211+J212</f>
        <v/>
      </c>
      <c r="K213" s="82">
        <f>K210+K211+K212</f>
        <v/>
      </c>
      <c r="L213" s="82">
        <f>L210+L211+L212</f>
        <v/>
      </c>
      <c r="M213" s="82">
        <f>M210+M211+M212</f>
        <v/>
      </c>
      <c r="N213" s="82">
        <f>N210+N211+N212</f>
        <v/>
      </c>
      <c r="O213" s="82">
        <f>O210+O211+O212</f>
        <v/>
      </c>
      <c r="P213" s="82">
        <f>P210+P211+P212</f>
        <v/>
      </c>
      <c r="Q213" s="82">
        <f>Q210+Q211+Q212</f>
        <v/>
      </c>
    </row>
    <row r="214">
      <c r="B214" s="8" t="inlineStr">
        <is>
          <t>FCF per Share</t>
        </is>
      </c>
      <c r="C214" t="inlineStr">
        <is>
          <t>AUDps</t>
        </is>
      </c>
      <c r="D214" s="9">
        <f>IF(D90=0,"",D213/D90)</f>
        <v/>
      </c>
      <c r="E214" s="9">
        <f>IF(E90=0,"",E213/E90)</f>
        <v/>
      </c>
      <c r="F214" s="9">
        <f>IF(F90=0,"",F213/F90)</f>
        <v/>
      </c>
      <c r="G214" s="9">
        <f>IF(G90=0,"",G213/G90)</f>
        <v/>
      </c>
      <c r="H214" s="87">
        <f>IF(H90=0,"",H213/H90)</f>
        <v/>
      </c>
      <c r="I214" s="87">
        <f>IF(I90=0,"",I213/I90)</f>
        <v/>
      </c>
      <c r="J214" s="87">
        <f>IF(J90=0,"",J213/J90)</f>
        <v/>
      </c>
      <c r="K214" s="87">
        <f>IF(K90=0,"",K213/K90)</f>
        <v/>
      </c>
      <c r="L214" s="87">
        <f>IF(L90=0,"",L213/L90)</f>
        <v/>
      </c>
      <c r="M214" s="87">
        <f>IF(M90=0,"",M213/M90)</f>
        <v/>
      </c>
      <c r="N214" s="87">
        <f>IF(N90=0,"",N213/N90)</f>
        <v/>
      </c>
      <c r="O214" s="87">
        <f>IF(O90=0,"",O213/O90)</f>
        <v/>
      </c>
      <c r="P214" s="87">
        <f>IF(P90=0,"",P213/P90)</f>
        <v/>
      </c>
      <c r="Q214" s="87">
        <f>IF(Q90=0,"",Q213/Q90)</f>
        <v/>
      </c>
    </row>
    <row r="215">
      <c r="B215" s="8" t="inlineStr">
        <is>
          <t>FCF Yield</t>
        </is>
      </c>
      <c r="C215" t="inlineStr">
        <is>
          <t>%</t>
        </is>
      </c>
      <c r="D215" s="6">
        <f>IF(Value!$C$4=0,"",D214/Value!$C$4)</f>
        <v/>
      </c>
      <c r="E215" s="6">
        <f>IF(Value!$C$4=0,"",E214/Value!$C$4)</f>
        <v/>
      </c>
      <c r="F215" s="6">
        <f>IF(Value!$C$4=0,"",F214/Value!$C$4)</f>
        <v/>
      </c>
      <c r="G215" s="6">
        <f>IF(Value!$C$4=0,"",G214/Value!$C$4)</f>
        <v/>
      </c>
      <c r="H215" s="83">
        <f>IF(Value!$C$4=0,"",H214/Value!$C$4)</f>
        <v/>
      </c>
      <c r="I215" s="83">
        <f>IF(Value!$C$4=0,"",I214/Value!$C$4)</f>
        <v/>
      </c>
      <c r="J215" s="83">
        <f>IF(Value!$C$4=0,"",J214/Value!$C$4)</f>
        <v/>
      </c>
      <c r="K215" s="83">
        <f>IF(Value!$C$4=0,"",K214/Value!$C$4)</f>
        <v/>
      </c>
      <c r="L215" s="83">
        <f>IF(Value!$C$4=0,"",L214/Value!$C$4)</f>
        <v/>
      </c>
      <c r="M215" s="83">
        <f>IF(Value!$C$4=0,"",M214/Value!$C$4)</f>
        <v/>
      </c>
      <c r="N215" s="83">
        <f>IF(Value!$C$4=0,"",N214/Value!$C$4)</f>
        <v/>
      </c>
      <c r="O215" s="83">
        <f>IF(Value!$C$4=0,"",O214/Value!$C$4)</f>
        <v/>
      </c>
      <c r="P215" s="83">
        <f>IF(Value!$C$4=0,"",P214/Value!$C$4)</f>
        <v/>
      </c>
      <c r="Q215" s="83">
        <f>IF(Value!$C$4=0,"",Q214/Value!$C$4)</f>
        <v/>
      </c>
    </row>
    <row r="216">
      <c r="B216" s="8" t="inlineStr">
        <is>
          <t>FCF Margin</t>
        </is>
      </c>
      <c r="C216" t="inlineStr">
        <is>
          <t>%</t>
        </is>
      </c>
      <c r="D216" s="6">
        <f>IF(D11+D18=0,"",D213/(D11+D18))</f>
        <v/>
      </c>
      <c r="E216" s="6">
        <f>IF(E11+E18=0,"",E213/(E11+E18))</f>
        <v/>
      </c>
      <c r="F216" s="6">
        <f>IF(F11+F18=0,"",F213/(F11+F18))</f>
        <v/>
      </c>
      <c r="G216" s="6">
        <f>IF(G11+G18=0,"",G213/(G11+G18))</f>
        <v/>
      </c>
      <c r="H216" s="83">
        <f>IF(H11+H18=0,"",H213/(H11+H18))</f>
        <v/>
      </c>
      <c r="I216" s="83">
        <f>IF(I11+I18=0,"",I213/(I11+I18))</f>
        <v/>
      </c>
      <c r="J216" s="83">
        <f>IF(J11+J18=0,"",J213/(J11+J18))</f>
        <v/>
      </c>
      <c r="K216" s="83">
        <f>IF(K11+K18=0,"",K213/(K11+K18))</f>
        <v/>
      </c>
      <c r="L216" s="83">
        <f>IF(L11+L18=0,"",L213/(L11+L18))</f>
        <v/>
      </c>
      <c r="M216" s="83">
        <f>IF(M11+M18=0,"",M213/(M11+M18))</f>
        <v/>
      </c>
      <c r="N216" s="83">
        <f>IF(N11+N18=0,"",N213/(N11+N18))</f>
        <v/>
      </c>
      <c r="O216" s="83">
        <f>IF(O11+O18=0,"",O213/(O11+O18))</f>
        <v/>
      </c>
      <c r="P216" s="83">
        <f>IF(P11+P18=0,"",P213/(P11+P18))</f>
        <v/>
      </c>
      <c r="Q216" s="83">
        <f>IF(Q11+Q18=0,"",Q213/(Q11+Q18))</f>
        <v/>
      </c>
    </row>
    <row r="217"/>
    <row r="218"/>
    <row r="219">
      <c r="A219" s="2" t="n"/>
      <c r="B219" s="18" t="inlineStr">
        <is>
          <t>ROIC</t>
        </is>
      </c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</row>
    <row r="220">
      <c r="B220" s="8" t="inlineStr">
        <is>
          <t>Invested Capital</t>
        </is>
      </c>
      <c r="C220" t="inlineStr">
        <is>
          <t>AUDm</t>
        </is>
      </c>
      <c r="D220" s="4">
        <f>D171+D161</f>
        <v/>
      </c>
      <c r="E220" s="4">
        <f>E171+E161</f>
        <v/>
      </c>
      <c r="F220" s="4">
        <f>F171+F161</f>
        <v/>
      </c>
      <c r="G220" s="4">
        <f>G171+G161</f>
        <v/>
      </c>
      <c r="H220" s="72">
        <f>H171+H161</f>
        <v/>
      </c>
      <c r="I220" s="72">
        <f>I171+I161</f>
        <v/>
      </c>
      <c r="J220" s="72">
        <f>J171+J161</f>
        <v/>
      </c>
      <c r="K220" s="72">
        <f>K171+K161</f>
        <v/>
      </c>
      <c r="L220" s="72">
        <f>L171+L161</f>
        <v/>
      </c>
      <c r="M220" s="72">
        <f>M171+M161</f>
        <v/>
      </c>
      <c r="N220" s="72">
        <f>N171+N161</f>
        <v/>
      </c>
      <c r="O220" s="72">
        <f>O171+O161</f>
        <v/>
      </c>
      <c r="P220" s="72">
        <f>P171+P161</f>
        <v/>
      </c>
      <c r="Q220" s="72">
        <f>Q171+Q161</f>
        <v/>
      </c>
    </row>
    <row r="221">
      <c r="B221" s="8" t="inlineStr">
        <is>
          <t>Underlying EBIT</t>
        </is>
      </c>
      <c r="C221" t="inlineStr">
        <is>
          <t>AUDm</t>
        </is>
      </c>
      <c r="D221" s="4">
        <f>D60</f>
        <v/>
      </c>
      <c r="E221" s="4">
        <f>E60</f>
        <v/>
      </c>
      <c r="F221" s="4">
        <f>F60</f>
        <v/>
      </c>
      <c r="G221" s="4">
        <f>G60</f>
        <v/>
      </c>
      <c r="H221" s="72">
        <f>H60</f>
        <v/>
      </c>
      <c r="I221" s="72">
        <f>I60</f>
        <v/>
      </c>
      <c r="J221" s="72">
        <f>J60</f>
        <v/>
      </c>
      <c r="K221" s="72">
        <f>K60</f>
        <v/>
      </c>
      <c r="L221" s="72">
        <f>L60</f>
        <v/>
      </c>
      <c r="M221" s="72">
        <f>M60</f>
        <v/>
      </c>
      <c r="N221" s="72">
        <f>N60</f>
        <v/>
      </c>
      <c r="O221" s="72">
        <f>O60</f>
        <v/>
      </c>
      <c r="P221" s="72">
        <f>P60</f>
        <v/>
      </c>
      <c r="Q221" s="72">
        <f>Q60</f>
        <v/>
      </c>
    </row>
    <row r="222">
      <c r="B222" s="8" t="inlineStr">
        <is>
          <t>ROFE</t>
        </is>
      </c>
      <c r="C222" t="inlineStr">
        <is>
          <t>%</t>
        </is>
      </c>
      <c r="D222" s="6">
        <f>IF(D220=0,"",D221/D220)</f>
        <v/>
      </c>
      <c r="E222" s="6">
        <f>IF(E220=0,"",E221/E220)</f>
        <v/>
      </c>
      <c r="F222" s="6">
        <f>IF(F220=0,"",F221/F220)</f>
        <v/>
      </c>
      <c r="G222" s="6">
        <f>IF(G220=0,"",G221/G220)</f>
        <v/>
      </c>
      <c r="H222" s="83">
        <f>IF(H220=0,"",H221/H220)</f>
        <v/>
      </c>
      <c r="I222" s="83">
        <f>IF(I220=0,"",I221/I220)</f>
        <v/>
      </c>
      <c r="J222" s="83">
        <f>IF(J220=0,"",J221/J220)</f>
        <v/>
      </c>
      <c r="K222" s="83">
        <f>IF(K220=0,"",K221/K220)</f>
        <v/>
      </c>
      <c r="L222" s="83">
        <f>IF(L220=0,"",L221/L220)</f>
        <v/>
      </c>
      <c r="M222" s="83">
        <f>IF(M220=0,"",M221/M220)</f>
        <v/>
      </c>
      <c r="N222" s="83">
        <f>IF(N220=0,"",N221/N220)</f>
        <v/>
      </c>
      <c r="O222" s="83">
        <f>IF(O220=0,"",O221/O220)</f>
        <v/>
      </c>
      <c r="P222" s="83">
        <f>IF(P220=0,"",P221/P220)</f>
        <v/>
      </c>
      <c r="Q222" s="83">
        <f>IF(Q220=0,"",Q221/Q220)</f>
        <v/>
      </c>
    </row>
    <row r="223">
      <c r="B223" s="8" t="inlineStr">
        <is>
          <t>NOPAT</t>
        </is>
      </c>
      <c r="C223" t="inlineStr">
        <is>
          <t>AUDm</t>
        </is>
      </c>
      <c r="D223" s="4">
        <f>D221*(1-D78)</f>
        <v/>
      </c>
      <c r="E223" s="4">
        <f>E221*(1-E78)</f>
        <v/>
      </c>
      <c r="F223" s="4">
        <f>F221*(1-F78)</f>
        <v/>
      </c>
      <c r="G223" s="4">
        <f>G221*(1-G78)</f>
        <v/>
      </c>
      <c r="H223" s="72">
        <f>H221*(1-H78)</f>
        <v/>
      </c>
      <c r="I223" s="72">
        <f>I221*(1-I78)</f>
        <v/>
      </c>
      <c r="J223" s="72">
        <f>J221*(1-J78)</f>
        <v/>
      </c>
      <c r="K223" s="72">
        <f>K221*(1-K78)</f>
        <v/>
      </c>
      <c r="L223" s="72">
        <f>L221*(1-L78)</f>
        <v/>
      </c>
      <c r="M223" s="72">
        <f>M221*(1-M78)</f>
        <v/>
      </c>
      <c r="N223" s="72">
        <f>N221*(1-N78)</f>
        <v/>
      </c>
      <c r="O223" s="72">
        <f>O221*(1-O78)</f>
        <v/>
      </c>
      <c r="P223" s="72">
        <f>P221*(1-P78)</f>
        <v/>
      </c>
      <c r="Q223" s="72">
        <f>Q221*(1-Q78)</f>
        <v/>
      </c>
    </row>
    <row r="224">
      <c r="B224" s="8" t="inlineStr">
        <is>
          <t>ROIC</t>
        </is>
      </c>
      <c r="C224" t="inlineStr">
        <is>
          <t>%</t>
        </is>
      </c>
      <c r="D224" s="6">
        <f>IF(D220=0,"",D223/D220)</f>
        <v/>
      </c>
      <c r="E224" s="6">
        <f>IF(E220=0,"",E223/E220)</f>
        <v/>
      </c>
      <c r="F224" s="6">
        <f>IF(F220=0,"",F223/F220)</f>
        <v/>
      </c>
      <c r="G224" s="6">
        <f>IF(G220=0,"",G223/G220)</f>
        <v/>
      </c>
      <c r="H224" s="83">
        <f>IF(H220=0,"",H223/H220)</f>
        <v/>
      </c>
      <c r="I224" s="83">
        <f>IF(I220=0,"",I223/I220)</f>
        <v/>
      </c>
      <c r="J224" s="83">
        <f>IF(J220=0,"",J223/J220)</f>
        <v/>
      </c>
      <c r="K224" s="83">
        <f>IF(K220=0,"",K223/K220)</f>
        <v/>
      </c>
      <c r="L224" s="83">
        <f>IF(L220=0,"",L223/L220)</f>
        <v/>
      </c>
      <c r="M224" s="83">
        <f>IF(M220=0,"",M223/M220)</f>
        <v/>
      </c>
      <c r="N224" s="83">
        <f>IF(N220=0,"",N223/N220)</f>
        <v/>
      </c>
      <c r="O224" s="83">
        <f>IF(O220=0,"",O223/O220)</f>
        <v/>
      </c>
      <c r="P224" s="83">
        <f>IF(P220=0,"",P223/P220)</f>
        <v/>
      </c>
      <c r="Q224" s="83">
        <f>IF(Q220=0,"",Q223/Q220)</f>
        <v/>
      </c>
    </row>
    <row r="225"/>
    <row r="226"/>
    <row r="227">
      <c r="B227" s="18" t="n"/>
    </row>
    <row r="228">
      <c r="B228" s="25" t="n"/>
      <c r="D228" s="6" t="n"/>
      <c r="E228" s="6" t="n"/>
      <c r="F228" s="6" t="n"/>
      <c r="G228" s="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</row>
    <row r="229">
      <c r="B229" s="25" t="n"/>
      <c r="D229" s="3" t="n"/>
      <c r="E229" s="3" t="n"/>
      <c r="F229" s="3" t="n"/>
      <c r="G229" s="3" t="n"/>
      <c r="H229" s="48" t="n"/>
      <c r="I229" s="48" t="n"/>
      <c r="J229" s="48" t="n"/>
      <c r="K229" s="48" t="n"/>
      <c r="L229" s="48" t="n"/>
      <c r="M229" s="48" t="n"/>
      <c r="N229" s="48" t="n"/>
      <c r="O229" s="48" t="n"/>
      <c r="P229" s="48" t="n"/>
      <c r="Q229" s="48" t="n"/>
    </row>
    <row r="230">
      <c r="B230" s="25" t="n"/>
      <c r="D230" s="3" t="n"/>
      <c r="E230" s="3" t="n"/>
      <c r="F230" s="3" t="n"/>
      <c r="G230" s="3" t="n"/>
      <c r="H230" s="48" t="n"/>
      <c r="I230" s="48" t="n"/>
      <c r="J230" s="48" t="n"/>
      <c r="K230" s="48" t="n"/>
      <c r="L230" s="48" t="n"/>
      <c r="M230" s="48" t="n"/>
      <c r="N230" s="48" t="n"/>
      <c r="O230" s="48" t="n"/>
      <c r="P230" s="48" t="n"/>
      <c r="Q230" s="48" t="n"/>
    </row>
  </sheetData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14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N114" sqref="N114"/>
    </sheetView>
  </sheetViews>
  <sheetFormatPr baseColWidth="8" defaultRowHeight="14.5"/>
  <cols>
    <col hidden="1" width="30" customWidth="1" min="1" max="1"/>
    <col width="32" customWidth="1" min="2" max="2"/>
    <col width="8" customWidth="1" min="3" max="3"/>
    <col width="11" customWidth="1" min="4" max="33"/>
  </cols>
  <sheetData>
    <row r="1">
      <c r="D1" t="n">
        <v>2023</v>
      </c>
      <c r="E1" t="n">
        <v>2023</v>
      </c>
      <c r="F1" t="n">
        <v>2024</v>
      </c>
      <c r="G1" t="n">
        <v>2024</v>
      </c>
      <c r="H1" t="n">
        <v>2025</v>
      </c>
      <c r="I1" t="n">
        <v>2025</v>
      </c>
      <c r="J1" t="n">
        <v>2026</v>
      </c>
      <c r="K1" t="n">
        <v>2026</v>
      </c>
      <c r="L1" t="n">
        <v>2027</v>
      </c>
      <c r="M1" t="n">
        <v>2027</v>
      </c>
      <c r="N1" t="n">
        <v>2028</v>
      </c>
      <c r="O1" t="n">
        <v>2028</v>
      </c>
      <c r="P1" t="n">
        <v>2029</v>
      </c>
      <c r="Q1" t="n">
        <v>2029</v>
      </c>
      <c r="R1" t="n">
        <v>2030</v>
      </c>
      <c r="S1" t="n">
        <v>2030</v>
      </c>
      <c r="T1" t="n">
        <v>2031</v>
      </c>
      <c r="U1" t="n">
        <v>2031</v>
      </c>
      <c r="V1" t="n">
        <v>2032</v>
      </c>
      <c r="W1" t="n">
        <v>2032</v>
      </c>
      <c r="X1" t="n">
        <v>2033</v>
      </c>
      <c r="Y1" t="n">
        <v>2033</v>
      </c>
      <c r="Z1" t="n">
        <v>2034</v>
      </c>
      <c r="AA1" t="n">
        <v>2034</v>
      </c>
    </row>
    <row r="2" ht="18.5" customHeight="1">
      <c r="B2" s="14" t="inlineStr">
        <is>
          <t>VSL Segments (Half-Year)</t>
        </is>
      </c>
      <c r="D2" s="15" t="inlineStr">
        <is>
          <t>Actual ----------&gt;</t>
        </is>
      </c>
      <c r="E2" s="15" t="n"/>
      <c r="F2" s="15" t="n"/>
      <c r="G2" s="15" t="n"/>
      <c r="H2" s="15" t="n"/>
      <c r="I2" s="15" t="n"/>
      <c r="J2" s="15" t="n"/>
      <c r="K2" s="16" t="inlineStr">
        <is>
          <t>Forecast -----&gt;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  <c r="AA2" s="16" t="n"/>
      <c r="AB2" s="16" t="n"/>
      <c r="AC2" s="16" t="n"/>
    </row>
    <row r="3">
      <c r="B3" t="inlineStr">
        <is>
          <t>Guzman y Gomez (GYG.AX)</t>
        </is>
      </c>
      <c r="C3" t="inlineStr">
        <is>
          <t>Units</t>
        </is>
      </c>
      <c r="D3" s="7" t="inlineStr">
        <is>
          <t>1H24</t>
        </is>
      </c>
      <c r="E3" s="7" t="inlineStr">
        <is>
          <t>2H24</t>
        </is>
      </c>
      <c r="F3" s="7" t="inlineStr">
        <is>
          <t>1H25</t>
        </is>
      </c>
      <c r="G3" s="7" t="inlineStr">
        <is>
          <t>2H25</t>
        </is>
      </c>
      <c r="H3" s="7" t="inlineStr">
        <is>
          <t>1H26</t>
        </is>
      </c>
      <c r="I3" s="7" t="inlineStr">
        <is>
          <t>2H26E</t>
        </is>
      </c>
      <c r="J3" s="7" t="inlineStr">
        <is>
          <t>1H27E</t>
        </is>
      </c>
      <c r="K3" s="7" t="inlineStr">
        <is>
          <t>2H27E</t>
        </is>
      </c>
      <c r="L3" s="7" t="inlineStr">
        <is>
          <t>1H28E</t>
        </is>
      </c>
      <c r="M3" s="7" t="inlineStr">
        <is>
          <t>2H28E</t>
        </is>
      </c>
      <c r="N3" s="7" t="inlineStr">
        <is>
          <t>1H29E</t>
        </is>
      </c>
      <c r="O3" s="7" t="inlineStr">
        <is>
          <t>2H29E</t>
        </is>
      </c>
      <c r="P3" s="7" t="inlineStr">
        <is>
          <t>1H30E</t>
        </is>
      </c>
      <c r="Q3" s="7" t="inlineStr">
        <is>
          <t>2H30E</t>
        </is>
      </c>
      <c r="R3" s="7" t="inlineStr">
        <is>
          <t>1H31E</t>
        </is>
      </c>
      <c r="S3" s="7" t="inlineStr">
        <is>
          <t>2H31E</t>
        </is>
      </c>
      <c r="T3" s="7" t="inlineStr">
        <is>
          <t>1H32E</t>
        </is>
      </c>
      <c r="U3" s="7" t="inlineStr">
        <is>
          <t>2H32E</t>
        </is>
      </c>
      <c r="V3" s="7" t="inlineStr">
        <is>
          <t>1H33E</t>
        </is>
      </c>
      <c r="W3" s="7" t="inlineStr">
        <is>
          <t>2H33E</t>
        </is>
      </c>
      <c r="X3" s="7" t="inlineStr">
        <is>
          <t>1H34E</t>
        </is>
      </c>
      <c r="Y3" s="7" t="inlineStr">
        <is>
          <t>2H34E</t>
        </is>
      </c>
      <c r="Z3" s="7" t="inlineStr">
        <is>
          <t>1H35E</t>
        </is>
      </c>
      <c r="AA3" s="7" t="inlineStr">
        <is>
          <t>2H35E</t>
        </is>
      </c>
      <c r="AB3" s="7" t="n"/>
      <c r="AC3" s="7" t="n"/>
    </row>
    <row r="4">
      <c r="D4" s="17" t="n">
        <v>45291</v>
      </c>
      <c r="E4" s="17" t="n">
        <v>45473</v>
      </c>
      <c r="F4" s="17" t="n">
        <v>45657</v>
      </c>
      <c r="G4" s="17" t="n">
        <v>45838</v>
      </c>
      <c r="H4" s="17" t="n">
        <v>46022</v>
      </c>
      <c r="I4" s="17" t="n">
        <v>46203</v>
      </c>
      <c r="J4" s="17" t="n">
        <v>46022</v>
      </c>
      <c r="K4" s="17" t="n">
        <v>46203</v>
      </c>
      <c r="L4" s="17" t="n">
        <v>46387</v>
      </c>
      <c r="M4" s="17" t="n">
        <v>46568</v>
      </c>
      <c r="N4" s="17" t="n">
        <v>46752</v>
      </c>
      <c r="O4" s="17" t="n">
        <v>46934</v>
      </c>
      <c r="P4" s="17" t="n">
        <v>47118</v>
      </c>
      <c r="Q4" s="17" t="n">
        <v>47299</v>
      </c>
      <c r="R4" s="17" t="n">
        <v>47483</v>
      </c>
      <c r="S4" s="17" t="n">
        <v>47664</v>
      </c>
      <c r="T4" s="17" t="n">
        <v>47848</v>
      </c>
      <c r="U4" s="17" t="n">
        <v>48029</v>
      </c>
      <c r="V4" s="17" t="n">
        <v>48213</v>
      </c>
      <c r="W4" s="17" t="n">
        <v>48395</v>
      </c>
      <c r="X4" s="17" t="n">
        <v>48579</v>
      </c>
      <c r="Y4" s="17" t="n">
        <v>48760</v>
      </c>
      <c r="Z4" s="17" t="n">
        <v>48944</v>
      </c>
      <c r="AA4" s="17" t="n">
        <v>49125</v>
      </c>
      <c r="AB4" s="17" t="n"/>
      <c r="AC4" s="17" t="n"/>
    </row>
    <row r="5">
      <c r="A5" s="2" t="n"/>
      <c r="B5" s="18" t="inlineStr">
        <is>
          <t>P&amp;L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</row>
    <row r="6">
      <c r="B6" s="5" t="inlineStr">
        <is>
          <t>Revenue</t>
        </is>
      </c>
    </row>
    <row r="7">
      <c r="A7" t="inlineStr">
        <is>
          <t>Rev-AU Corp Sales</t>
        </is>
      </c>
      <c r="B7" t="inlineStr">
        <is>
          <t>AU Corporate Restaurant Sales</t>
        </is>
      </c>
      <c r="C7" t="inlineStr">
        <is>
          <t>AUDm</t>
        </is>
      </c>
      <c r="D7" s="60" t="n">
        <v>136.155</v>
      </c>
      <c r="E7" s="60" t="n">
        <v>142.745</v>
      </c>
      <c r="F7" s="60" t="n">
        <v>176.051</v>
      </c>
      <c r="G7" s="60" t="n">
        <v>183.649</v>
      </c>
      <c r="H7" s="60" t="n">
        <v>215.116</v>
      </c>
      <c r="I7" s="72">
        <f>I119</f>
        <v/>
      </c>
      <c r="J7" s="72">
        <f>J119</f>
        <v/>
      </c>
      <c r="K7" s="72">
        <f>K119</f>
        <v/>
      </c>
      <c r="L7" s="72">
        <f>L119</f>
        <v/>
      </c>
      <c r="M7" s="72">
        <f>M119</f>
        <v/>
      </c>
      <c r="N7" s="72">
        <f>N119</f>
        <v/>
      </c>
      <c r="O7" s="72">
        <f>O119</f>
        <v/>
      </c>
      <c r="P7" s="72">
        <f>P119</f>
        <v/>
      </c>
      <c r="Q7" s="72">
        <f>Q119</f>
        <v/>
      </c>
      <c r="R7" s="72">
        <f>R119</f>
        <v/>
      </c>
      <c r="S7" s="72">
        <f>S119</f>
        <v/>
      </c>
      <c r="T7" s="72">
        <f>T119</f>
        <v/>
      </c>
      <c r="U7" s="72">
        <f>U119</f>
        <v/>
      </c>
      <c r="V7" s="72">
        <f>V119</f>
        <v/>
      </c>
      <c r="W7" s="72">
        <f>W119</f>
        <v/>
      </c>
      <c r="X7" s="72">
        <f>X119</f>
        <v/>
      </c>
      <c r="Y7" s="72">
        <f>Y119</f>
        <v/>
      </c>
      <c r="Z7" s="72">
        <f>Z119</f>
        <v/>
      </c>
      <c r="AA7" s="72">
        <f>AA119</f>
        <v/>
      </c>
      <c r="AB7" s="4" t="n"/>
      <c r="AC7" s="4" t="n"/>
    </row>
    <row r="8">
      <c r="A8" t="inlineStr">
        <is>
          <t>Rev-US Corp Sales</t>
        </is>
      </c>
      <c r="B8" t="inlineStr">
        <is>
          <t>US Corporate Restaurant Sales</t>
        </is>
      </c>
      <c r="C8" t="inlineStr">
        <is>
          <t>AUDm</t>
        </is>
      </c>
      <c r="D8" s="60" t="n">
        <v>5.618</v>
      </c>
      <c r="E8" s="60" t="n">
        <v>5.182</v>
      </c>
      <c r="F8" s="60" t="n">
        <v>3.232</v>
      </c>
      <c r="G8" s="60" t="n">
        <v>5.668</v>
      </c>
      <c r="H8" s="60" t="n">
        <v>6.46</v>
      </c>
      <c r="I8" s="72">
        <f>I143</f>
        <v/>
      </c>
      <c r="J8" s="72">
        <f>J143</f>
        <v/>
      </c>
      <c r="K8" s="72">
        <f>K143</f>
        <v/>
      </c>
      <c r="L8" s="72">
        <f>L143</f>
        <v/>
      </c>
      <c r="M8" s="72">
        <f>M143</f>
        <v/>
      </c>
      <c r="N8" s="72">
        <f>N143</f>
        <v/>
      </c>
      <c r="O8" s="72">
        <f>O143</f>
        <v/>
      </c>
      <c r="P8" s="72">
        <f>P143</f>
        <v/>
      </c>
      <c r="Q8" s="72">
        <f>Q143</f>
        <v/>
      </c>
      <c r="R8" s="72">
        <f>R143</f>
        <v/>
      </c>
      <c r="S8" s="72">
        <f>S143</f>
        <v/>
      </c>
      <c r="T8" s="72">
        <f>T143</f>
        <v/>
      </c>
      <c r="U8" s="72">
        <f>U143</f>
        <v/>
      </c>
      <c r="V8" s="72">
        <f>V143</f>
        <v/>
      </c>
      <c r="W8" s="72">
        <f>W143</f>
        <v/>
      </c>
      <c r="X8" s="72">
        <f>X143</f>
        <v/>
      </c>
      <c r="Y8" s="72">
        <f>Y143</f>
        <v/>
      </c>
      <c r="Z8" s="72">
        <f>Z143</f>
        <v/>
      </c>
      <c r="AA8" s="72">
        <f>AA143</f>
        <v/>
      </c>
      <c r="AB8" s="4" t="n"/>
      <c r="AC8" s="4" t="n"/>
    </row>
    <row r="9">
      <c r="A9" t="inlineStr">
        <is>
          <t>Rev-Franchise Royalty</t>
        </is>
      </c>
      <c r="B9" s="20" t="inlineStr">
        <is>
          <t>Franchise Royalty Revenue</t>
        </is>
      </c>
      <c r="C9" s="20" t="inlineStr">
        <is>
          <t>AUDm</t>
        </is>
      </c>
      <c r="D9" s="62" t="n">
        <v>25.063</v>
      </c>
      <c r="E9" s="62" t="n">
        <v>26.837</v>
      </c>
      <c r="F9" s="62" t="n">
        <v>32.187</v>
      </c>
      <c r="G9" s="62" t="n">
        <v>34.613</v>
      </c>
      <c r="H9" s="62" t="n">
        <v>39.325</v>
      </c>
      <c r="I9" s="82">
        <f>I127</f>
        <v/>
      </c>
      <c r="J9" s="82">
        <f>J127</f>
        <v/>
      </c>
      <c r="K9" s="82">
        <f>K127</f>
        <v/>
      </c>
      <c r="L9" s="82">
        <f>L127</f>
        <v/>
      </c>
      <c r="M9" s="82">
        <f>M127</f>
        <v/>
      </c>
      <c r="N9" s="82">
        <f>N127</f>
        <v/>
      </c>
      <c r="O9" s="82">
        <f>O127</f>
        <v/>
      </c>
      <c r="P9" s="82">
        <f>P127</f>
        <v/>
      </c>
      <c r="Q9" s="82">
        <f>Q127</f>
        <v/>
      </c>
      <c r="R9" s="82">
        <f>R127</f>
        <v/>
      </c>
      <c r="S9" s="82">
        <f>S127</f>
        <v/>
      </c>
      <c r="T9" s="82">
        <f>T127</f>
        <v/>
      </c>
      <c r="U9" s="82">
        <f>U127</f>
        <v/>
      </c>
      <c r="V9" s="82">
        <f>V127</f>
        <v/>
      </c>
      <c r="W9" s="82">
        <f>W127</f>
        <v/>
      </c>
      <c r="X9" s="82">
        <f>X127</f>
        <v/>
      </c>
      <c r="Y9" s="82">
        <f>Y127</f>
        <v/>
      </c>
      <c r="Z9" s="82">
        <f>Z127</f>
        <v/>
      </c>
      <c r="AA9" s="82">
        <f>AA127</f>
        <v/>
      </c>
      <c r="AB9" s="21" t="n"/>
      <c r="AC9" s="21" t="n"/>
    </row>
    <row r="10">
      <c r="A10" t="inlineStr">
        <is>
          <t>Rev-Franchise Fee</t>
        </is>
      </c>
      <c r="B10" t="inlineStr">
        <is>
          <t>Franchise Fee Revenue</t>
        </is>
      </c>
      <c r="C10" t="inlineStr">
        <is>
          <t>AUDm</t>
        </is>
      </c>
      <c r="D10" s="60" t="n">
        <v>0.451</v>
      </c>
      <c r="E10" s="60" t="n">
        <v>0.149</v>
      </c>
      <c r="F10" s="60" t="n">
        <v>0.949</v>
      </c>
      <c r="G10" s="60" t="n">
        <v>-0.349</v>
      </c>
      <c r="H10" s="60" t="n">
        <v>0.3</v>
      </c>
      <c r="I10" s="74">
        <f>G10</f>
        <v/>
      </c>
      <c r="J10" s="74">
        <f>H10</f>
        <v/>
      </c>
      <c r="K10" s="74">
        <f>I10</f>
        <v/>
      </c>
      <c r="L10" s="74">
        <f>J10</f>
        <v/>
      </c>
      <c r="M10" s="74">
        <f>K10</f>
        <v/>
      </c>
      <c r="N10" s="74">
        <f>L10</f>
        <v/>
      </c>
      <c r="O10" s="74">
        <f>M10</f>
        <v/>
      </c>
      <c r="P10" s="74">
        <f>N10</f>
        <v/>
      </c>
      <c r="Q10" s="74">
        <f>O10</f>
        <v/>
      </c>
      <c r="R10" s="74">
        <f>P10</f>
        <v/>
      </c>
      <c r="S10" s="74">
        <f>Q10</f>
        <v/>
      </c>
      <c r="T10" s="74">
        <f>R10</f>
        <v/>
      </c>
      <c r="U10" s="74">
        <f>S10</f>
        <v/>
      </c>
      <c r="V10" s="74">
        <f>T10</f>
        <v/>
      </c>
      <c r="W10" s="74">
        <f>U10</f>
        <v/>
      </c>
      <c r="X10" s="74">
        <f>V10</f>
        <v/>
      </c>
      <c r="Y10" s="74">
        <f>W10</f>
        <v/>
      </c>
      <c r="Z10" s="74">
        <f>X10</f>
        <v/>
      </c>
      <c r="AA10" s="74">
        <f>Y10</f>
        <v/>
      </c>
      <c r="AB10" s="6" t="n"/>
      <c r="AC10" s="6" t="n"/>
    </row>
    <row r="11">
      <c r="A11" t="inlineStr">
        <is>
          <t>Rev-Total Revenue</t>
        </is>
      </c>
      <c r="B11" t="inlineStr">
        <is>
          <t>Total Revenue</t>
        </is>
      </c>
      <c r="C11" t="inlineStr">
        <is>
          <t>AUDm</t>
        </is>
      </c>
      <c r="D11">
        <f>SUM(D7:D10)</f>
        <v/>
      </c>
      <c r="E11">
        <f>SUM(E7:E10)</f>
        <v/>
      </c>
      <c r="F11">
        <f>SUM(F7:F10)</f>
        <v/>
      </c>
      <c r="G11">
        <f>SUM(G7:G10)</f>
        <v/>
      </c>
      <c r="H11">
        <f>SUM(H7:H10)</f>
        <v/>
      </c>
      <c r="I11" s="92">
        <f>SUM(I7:I10)</f>
        <v/>
      </c>
      <c r="J11" s="92">
        <f>SUM(J7:J10)</f>
        <v/>
      </c>
      <c r="K11" s="92">
        <f>SUM(K7:K10)</f>
        <v/>
      </c>
      <c r="L11" s="92">
        <f>SUM(L7:L10)</f>
        <v/>
      </c>
      <c r="M11" s="92">
        <f>SUM(M7:M10)</f>
        <v/>
      </c>
      <c r="N11" s="92">
        <f>SUM(N7:N10)</f>
        <v/>
      </c>
      <c r="O11" s="92">
        <f>SUM(O7:O10)</f>
        <v/>
      </c>
      <c r="P11" s="92">
        <f>SUM(P7:P10)</f>
        <v/>
      </c>
      <c r="Q11" s="92">
        <f>SUM(Q7:Q10)</f>
        <v/>
      </c>
      <c r="R11" s="92">
        <f>SUM(R7:R10)</f>
        <v/>
      </c>
      <c r="S11" s="92">
        <f>SUM(S7:S10)</f>
        <v/>
      </c>
      <c r="T11" s="92">
        <f>SUM(T7:T10)</f>
        <v/>
      </c>
      <c r="U11" s="92">
        <f>SUM(U7:U10)</f>
        <v/>
      </c>
      <c r="V11" s="92">
        <f>SUM(V7:V10)</f>
        <v/>
      </c>
      <c r="W11" s="92">
        <f>SUM(W7:W10)</f>
        <v/>
      </c>
      <c r="X11" s="92">
        <f>SUM(X7:X10)</f>
        <v/>
      </c>
      <c r="Y11" s="92">
        <f>SUM(Y7:Y10)</f>
        <v/>
      </c>
      <c r="Z11" s="92">
        <f>SUM(Z7:Z10)</f>
        <v/>
      </c>
      <c r="AA11" s="92">
        <f>SUM(AA7:AA10)</f>
        <v/>
      </c>
    </row>
    <row r="12">
      <c r="B12" s="5" t="n"/>
    </row>
    <row r="13">
      <c r="D13" s="54" t="n"/>
      <c r="E13" s="4" t="n"/>
      <c r="F13" s="54" t="n"/>
      <c r="G13" s="4" t="n"/>
      <c r="H13" s="54" t="n"/>
      <c r="I13" s="4" t="n"/>
      <c r="J13" s="5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</row>
    <row r="14">
      <c r="D14" s="54" t="n"/>
      <c r="E14" s="4" t="n"/>
      <c r="F14" s="54" t="n"/>
      <c r="G14" s="4" t="n"/>
      <c r="H14" s="54" t="n"/>
      <c r="I14" s="4" t="n"/>
      <c r="J14" s="5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</row>
    <row r="15">
      <c r="A15" t="inlineStr">
        <is>
          <t>Rev-Marketing Levy</t>
        </is>
      </c>
      <c r="B15" t="inlineStr">
        <is>
          <t>Marketing Levy Revenue</t>
        </is>
      </c>
      <c r="C15" t="inlineStr">
        <is>
          <t>AUDm</t>
        </is>
      </c>
      <c r="D15" s="60" t="n">
        <v>7.658</v>
      </c>
      <c r="E15" s="60" t="n">
        <v>8.741999999999997</v>
      </c>
      <c r="F15" s="60" t="n">
        <v>10.976</v>
      </c>
      <c r="G15" s="60" t="n">
        <v>8.723999999999998</v>
      </c>
      <c r="H15" s="60" t="n">
        <v>11.893</v>
      </c>
      <c r="I15" s="42">
        <f>G15</f>
        <v/>
      </c>
      <c r="J15" s="42">
        <f>H15</f>
        <v/>
      </c>
      <c r="K15" s="42">
        <f>I15</f>
        <v/>
      </c>
      <c r="L15" s="42">
        <f>J15</f>
        <v/>
      </c>
      <c r="M15" s="42">
        <f>K15</f>
        <v/>
      </c>
      <c r="N15" s="42">
        <f>L15</f>
        <v/>
      </c>
      <c r="O15" s="42">
        <f>M15</f>
        <v/>
      </c>
      <c r="P15" s="42">
        <f>N15</f>
        <v/>
      </c>
      <c r="Q15" s="42">
        <f>O15</f>
        <v/>
      </c>
      <c r="R15" s="42">
        <f>P15</f>
        <v/>
      </c>
      <c r="S15" s="42">
        <f>Q15</f>
        <v/>
      </c>
      <c r="T15" s="42">
        <f>R15</f>
        <v/>
      </c>
      <c r="U15" s="42">
        <f>S15</f>
        <v/>
      </c>
      <c r="V15" s="42">
        <f>T15</f>
        <v/>
      </c>
      <c r="W15" s="42">
        <f>U15</f>
        <v/>
      </c>
      <c r="X15" s="42">
        <f>V15</f>
        <v/>
      </c>
      <c r="Y15" s="42">
        <f>W15</f>
        <v/>
      </c>
      <c r="Z15" s="42">
        <f>X15</f>
        <v/>
      </c>
      <c r="AA15" s="42">
        <f>Y15</f>
        <v/>
      </c>
      <c r="AB15" s="4" t="n"/>
      <c r="AC15" s="4" t="n"/>
    </row>
    <row r="16">
      <c r="A16" t="inlineStr">
        <is>
          <t>Rev-Other Franchise</t>
        </is>
      </c>
      <c r="B16" s="20" t="inlineStr">
        <is>
          <t>Other Franchise Revenue</t>
        </is>
      </c>
      <c r="C16" s="20" t="inlineStr">
        <is>
          <t>AUDm</t>
        </is>
      </c>
      <c r="D16" s="62" t="n">
        <v>2.573</v>
      </c>
      <c r="E16" s="62" t="n">
        <v>3.627</v>
      </c>
      <c r="F16" s="62" t="n">
        <v>3.423</v>
      </c>
      <c r="G16" s="62" t="n">
        <v>5.477</v>
      </c>
      <c r="H16" s="62" t="n">
        <v>3.343</v>
      </c>
      <c r="I16" s="82">
        <f>I128</f>
        <v/>
      </c>
      <c r="J16" s="82">
        <f>J128</f>
        <v/>
      </c>
      <c r="K16" s="82">
        <f>K128</f>
        <v/>
      </c>
      <c r="L16" s="82">
        <f>L128</f>
        <v/>
      </c>
      <c r="M16" s="82">
        <f>M128</f>
        <v/>
      </c>
      <c r="N16" s="82">
        <f>N128</f>
        <v/>
      </c>
      <c r="O16" s="82">
        <f>O128</f>
        <v/>
      </c>
      <c r="P16" s="82">
        <f>P128</f>
        <v/>
      </c>
      <c r="Q16" s="82">
        <f>Q128</f>
        <v/>
      </c>
      <c r="R16" s="82">
        <f>R128</f>
        <v/>
      </c>
      <c r="S16" s="82">
        <f>S128</f>
        <v/>
      </c>
      <c r="T16" s="82">
        <f>T128</f>
        <v/>
      </c>
      <c r="U16" s="82">
        <f>U128</f>
        <v/>
      </c>
      <c r="V16" s="82">
        <f>V128</f>
        <v/>
      </c>
      <c r="W16" s="82">
        <f>W128</f>
        <v/>
      </c>
      <c r="X16" s="82">
        <f>X128</f>
        <v/>
      </c>
      <c r="Y16" s="82">
        <f>Y128</f>
        <v/>
      </c>
      <c r="Z16" s="82">
        <f>Z128</f>
        <v/>
      </c>
      <c r="AA16" s="82">
        <f>AA128</f>
        <v/>
      </c>
      <c r="AB16" s="21" t="n"/>
      <c r="AC16" s="21" t="n"/>
    </row>
    <row r="17">
      <c r="A17" t="inlineStr">
        <is>
          <t>Rev-Other Income</t>
        </is>
      </c>
      <c r="B17" t="inlineStr">
        <is>
          <t>Other Income</t>
        </is>
      </c>
      <c r="C17" t="inlineStr">
        <is>
          <t>AUDm</t>
        </is>
      </c>
      <c r="D17" s="60" t="n">
        <v>1.337</v>
      </c>
      <c r="E17" s="60" t="n">
        <v>-1.137</v>
      </c>
      <c r="F17" s="60" t="n">
        <v>0.312</v>
      </c>
      <c r="G17" s="60" t="n">
        <v>3.088</v>
      </c>
      <c r="H17" s="60" t="n">
        <v>2.127</v>
      </c>
      <c r="I17" s="93">
        <f>G17</f>
        <v/>
      </c>
      <c r="J17" s="93">
        <f>H17</f>
        <v/>
      </c>
      <c r="K17" s="93">
        <f>I17</f>
        <v/>
      </c>
      <c r="L17" s="93">
        <f>J17</f>
        <v/>
      </c>
      <c r="M17" s="93">
        <f>K17</f>
        <v/>
      </c>
      <c r="N17" s="93">
        <f>L17</f>
        <v/>
      </c>
      <c r="O17" s="93">
        <f>M17</f>
        <v/>
      </c>
      <c r="P17" s="93">
        <f>N17</f>
        <v/>
      </c>
      <c r="Q17" s="93">
        <f>O17</f>
        <v/>
      </c>
      <c r="R17" s="93">
        <f>P17</f>
        <v/>
      </c>
      <c r="S17" s="93">
        <f>Q17</f>
        <v/>
      </c>
      <c r="T17" s="93">
        <f>R17</f>
        <v/>
      </c>
      <c r="U17" s="93">
        <f>S17</f>
        <v/>
      </c>
      <c r="V17" s="93">
        <f>T17</f>
        <v/>
      </c>
      <c r="W17" s="93">
        <f>U17</f>
        <v/>
      </c>
      <c r="X17" s="93">
        <f>V17</f>
        <v/>
      </c>
      <c r="Y17" s="93">
        <f>W17</f>
        <v/>
      </c>
      <c r="Z17" s="93">
        <f>X17</f>
        <v/>
      </c>
      <c r="AA17" s="93">
        <f>Y17</f>
        <v/>
      </c>
    </row>
    <row r="18">
      <c r="A18" t="inlineStr">
        <is>
          <t>Rev-Total Other Revenue</t>
        </is>
      </c>
      <c r="B18" s="5" t="inlineStr">
        <is>
          <t>Total Other Revenue</t>
        </is>
      </c>
      <c r="C18" t="inlineStr">
        <is>
          <t>AUDm</t>
        </is>
      </c>
      <c r="D18">
        <f>SUM(D15:D17)</f>
        <v/>
      </c>
      <c r="E18">
        <f>SUM(E15:E17)</f>
        <v/>
      </c>
      <c r="F18">
        <f>SUM(F15:F17)</f>
        <v/>
      </c>
      <c r="G18">
        <f>SUM(G15:G17)</f>
        <v/>
      </c>
      <c r="H18">
        <f>SUM(H15:H17)</f>
        <v/>
      </c>
      <c r="I18" s="92">
        <f>SUM(I15:I17)</f>
        <v/>
      </c>
      <c r="J18" s="92">
        <f>SUM(J15:J17)</f>
        <v/>
      </c>
      <c r="K18" s="92">
        <f>SUM(K15:K17)</f>
        <v/>
      </c>
      <c r="L18" s="92">
        <f>SUM(L15:L17)</f>
        <v/>
      </c>
      <c r="M18" s="92">
        <f>SUM(M15:M17)</f>
        <v/>
      </c>
      <c r="N18" s="92">
        <f>SUM(N15:N17)</f>
        <v/>
      </c>
      <c r="O18" s="92">
        <f>SUM(O15:O17)</f>
        <v/>
      </c>
      <c r="P18" s="92">
        <f>SUM(P15:P17)</f>
        <v/>
      </c>
      <c r="Q18" s="92">
        <f>SUM(Q15:Q17)</f>
        <v/>
      </c>
      <c r="R18" s="92">
        <f>SUM(R15:R17)</f>
        <v/>
      </c>
      <c r="S18" s="92">
        <f>SUM(S15:S17)</f>
        <v/>
      </c>
      <c r="T18" s="92">
        <f>SUM(T15:T17)</f>
        <v/>
      </c>
      <c r="U18" s="92">
        <f>SUM(U15:U17)</f>
        <v/>
      </c>
      <c r="V18" s="92">
        <f>SUM(V15:V17)</f>
        <v/>
      </c>
      <c r="W18" s="92">
        <f>SUM(W15:W17)</f>
        <v/>
      </c>
      <c r="X18" s="92">
        <f>SUM(X15:X17)</f>
        <v/>
      </c>
      <c r="Y18" s="92">
        <f>SUM(Y15:Y17)</f>
        <v/>
      </c>
      <c r="Z18" s="92">
        <f>SUM(Z15:Z17)</f>
        <v/>
      </c>
      <c r="AA18" s="92">
        <f>SUM(AA15:AA17)</f>
        <v/>
      </c>
    </row>
    <row r="19"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</row>
    <row r="20"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</row>
    <row r="21">
      <c r="A21" t="inlineStr">
        <is>
          <t>COGS-Food Packaging</t>
        </is>
      </c>
      <c r="B21" t="inlineStr">
        <is>
          <t>Food &amp; Packaging</t>
        </is>
      </c>
      <c r="C21" t="inlineStr">
        <is>
          <t>AUDm</t>
        </is>
      </c>
      <c r="D21" s="60" t="n">
        <v>-43.192</v>
      </c>
      <c r="E21" s="60" t="n">
        <v>-44.40799999999999</v>
      </c>
      <c r="F21" s="60" t="n">
        <v>-55.071</v>
      </c>
      <c r="G21" s="60" t="n">
        <v>-58.82900000000001</v>
      </c>
      <c r="H21" s="60" t="n">
        <v>-67.126</v>
      </c>
      <c r="I21" s="72">
        <f>(G21/(G11+G18))*(I11+I18)</f>
        <v/>
      </c>
      <c r="J21" s="72">
        <f>(H21/(H11+H18))*(J11+J18)</f>
        <v/>
      </c>
      <c r="K21" s="72">
        <f>(I21/(I11+I18))*(K11+K18)</f>
        <v/>
      </c>
      <c r="L21" s="72">
        <f>(J21/(J11+J18))*(L11+L18)</f>
        <v/>
      </c>
      <c r="M21" s="72">
        <f>(K21/(K11+K18))*(M11+M18)</f>
        <v/>
      </c>
      <c r="N21" s="72">
        <f>(L21/(L11+L18))*(N11+N18)</f>
        <v/>
      </c>
      <c r="O21" s="72">
        <f>(M21/(M11+M18))*(O11+O18)</f>
        <v/>
      </c>
      <c r="P21" s="72">
        <f>(N21/(N11+N18))*(P11+P18)</f>
        <v/>
      </c>
      <c r="Q21" s="72">
        <f>(O21/(O11+O18))*(Q11+Q18)</f>
        <v/>
      </c>
      <c r="R21" s="72">
        <f>(P21/(P11+P18))*(R11+R18)</f>
        <v/>
      </c>
      <c r="S21" s="72">
        <f>(Q21/(Q11+Q18))*(S11+S18)</f>
        <v/>
      </c>
      <c r="T21" s="72">
        <f>(R21/(R11+R18))*(T11+T18)</f>
        <v/>
      </c>
      <c r="U21" s="72">
        <f>(S21/(S11+S18))*(U11+U18)</f>
        <v/>
      </c>
      <c r="V21" s="72">
        <f>(T21/(T11+T18))*(V11+V18)</f>
        <v/>
      </c>
      <c r="W21" s="72">
        <f>(U21/(U11+U18))*(W11+W18)</f>
        <v/>
      </c>
      <c r="X21" s="72">
        <f>(V21/(V11+V18))*(X11+X18)</f>
        <v/>
      </c>
      <c r="Y21" s="72">
        <f>(W21/(W11+W18))*(Y11+Y18)</f>
        <v/>
      </c>
      <c r="Z21" s="72">
        <f>(X21/(X11+X18))*(Z11+Z18)</f>
        <v/>
      </c>
      <c r="AA21" s="72">
        <f>(Y21/(Y11+Y18))*(AA11+AA18)</f>
        <v/>
      </c>
      <c r="AB21" s="4" t="n"/>
      <c r="AC21" s="4" t="n"/>
    </row>
    <row r="22">
      <c r="A22" t="inlineStr">
        <is>
          <t>COGS-Total COGS</t>
        </is>
      </c>
      <c r="B22" s="20" t="inlineStr">
        <is>
          <t>Total COGS</t>
        </is>
      </c>
      <c r="C22" s="20" t="inlineStr">
        <is>
          <t>AUDm</t>
        </is>
      </c>
      <c r="D22" s="21">
        <f>SUM(D21:D21)</f>
        <v/>
      </c>
      <c r="E22" s="21">
        <f>SUM(E21:E21)</f>
        <v/>
      </c>
      <c r="F22" s="21">
        <f>SUM(F21:F21)</f>
        <v/>
      </c>
      <c r="G22" s="21">
        <f>SUM(G21:G21)</f>
        <v/>
      </c>
      <c r="H22" s="21">
        <f>SUM(H21:H21)</f>
        <v/>
      </c>
      <c r="I22" s="82">
        <f>SUM(I21:I21)</f>
        <v/>
      </c>
      <c r="J22" s="82">
        <f>SUM(J21:J21)</f>
        <v/>
      </c>
      <c r="K22" s="82">
        <f>SUM(K21:K21)</f>
        <v/>
      </c>
      <c r="L22" s="82">
        <f>SUM(L21:L21)</f>
        <v/>
      </c>
      <c r="M22" s="82">
        <f>SUM(M21:M21)</f>
        <v/>
      </c>
      <c r="N22" s="82">
        <f>SUM(N21:N21)</f>
        <v/>
      </c>
      <c r="O22" s="82">
        <f>SUM(O21:O21)</f>
        <v/>
      </c>
      <c r="P22" s="82">
        <f>SUM(P21:P21)</f>
        <v/>
      </c>
      <c r="Q22" s="82">
        <f>SUM(Q21:Q21)</f>
        <v/>
      </c>
      <c r="R22" s="82">
        <f>SUM(R21:R21)</f>
        <v/>
      </c>
      <c r="S22" s="82">
        <f>SUM(S21:S21)</f>
        <v/>
      </c>
      <c r="T22" s="82">
        <f>SUM(T21:T21)</f>
        <v/>
      </c>
      <c r="U22" s="82">
        <f>SUM(U21:U21)</f>
        <v/>
      </c>
      <c r="V22" s="82">
        <f>SUM(V21:V21)</f>
        <v/>
      </c>
      <c r="W22" s="82">
        <f>SUM(W21:W21)</f>
        <v/>
      </c>
      <c r="X22" s="82">
        <f>SUM(X21:X21)</f>
        <v/>
      </c>
      <c r="Y22" s="82">
        <f>SUM(Y21:Y21)</f>
        <v/>
      </c>
      <c r="Z22" s="82">
        <f>SUM(Z21:Z21)</f>
        <v/>
      </c>
      <c r="AA22" s="82">
        <f>SUM(AA21:AA21)</f>
        <v/>
      </c>
      <c r="AB22" s="21" t="n"/>
      <c r="AC22" s="21" t="n"/>
    </row>
    <row r="23"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</row>
    <row r="24"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</row>
    <row r="25">
      <c r="A25" t="inlineStr">
        <is>
          <t>GP-Gross Profit</t>
        </is>
      </c>
      <c r="B25" t="inlineStr">
        <is>
          <t>Gross Profit</t>
        </is>
      </c>
      <c r="C25" t="inlineStr">
        <is>
          <t>AUDm</t>
        </is>
      </c>
      <c r="D25" s="6">
        <f>D11+D18+D22</f>
        <v/>
      </c>
      <c r="E25" s="6">
        <f>E11+E18+E22</f>
        <v/>
      </c>
      <c r="F25" s="6">
        <f>F11+F18+F22</f>
        <v/>
      </c>
      <c r="G25" s="6">
        <f>G11+G18+G22</f>
        <v/>
      </c>
      <c r="H25" s="6">
        <f>H11+H18+H22</f>
        <v/>
      </c>
      <c r="I25" s="83">
        <f>I11+I18+I22</f>
        <v/>
      </c>
      <c r="J25" s="83">
        <f>J11+J18+J22</f>
        <v/>
      </c>
      <c r="K25" s="83">
        <f>K11+K18+K22</f>
        <v/>
      </c>
      <c r="L25" s="83">
        <f>L11+L18+L22</f>
        <v/>
      </c>
      <c r="M25" s="83">
        <f>M11+M18+M22</f>
        <v/>
      </c>
      <c r="N25" s="83">
        <f>N11+N18+N22</f>
        <v/>
      </c>
      <c r="O25" s="83">
        <f>O11+O18+O22</f>
        <v/>
      </c>
      <c r="P25" s="83">
        <f>P11+P18+P22</f>
        <v/>
      </c>
      <c r="Q25" s="83">
        <f>Q11+Q18+Q22</f>
        <v/>
      </c>
      <c r="R25" s="83">
        <f>R11+R18+R22</f>
        <v/>
      </c>
      <c r="S25" s="83">
        <f>S11+S18+S22</f>
        <v/>
      </c>
      <c r="T25" s="83">
        <f>T11+T18+T22</f>
        <v/>
      </c>
      <c r="U25" s="83">
        <f>U11+U18+U22</f>
        <v/>
      </c>
      <c r="V25" s="83">
        <f>V11+V18+V22</f>
        <v/>
      </c>
      <c r="W25" s="83">
        <f>W11+W18+W22</f>
        <v/>
      </c>
      <c r="X25" s="83">
        <f>X11+X18+X22</f>
        <v/>
      </c>
      <c r="Y25" s="83">
        <f>Y11+Y18+Y22</f>
        <v/>
      </c>
      <c r="Z25" s="83">
        <f>Z11+Z18+Z22</f>
        <v/>
      </c>
      <c r="AA25" s="83">
        <f>AA11+AA18+AA22</f>
        <v/>
      </c>
      <c r="AB25" s="6" t="n"/>
      <c r="AC25" s="6" t="n"/>
    </row>
    <row r="26"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/>
    <row r="28">
      <c r="B28" s="5" t="n"/>
    </row>
    <row r="29">
      <c r="D29" s="19" t="n"/>
      <c r="E29" s="4" t="n"/>
      <c r="F29" s="19" t="n"/>
      <c r="G29" s="4" t="n"/>
      <c r="H29" s="19" t="n"/>
      <c r="I29" s="4" t="n"/>
      <c r="J29" s="19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</row>
    <row r="30">
      <c r="A30" t="inlineStr">
        <is>
          <t>OPEX-Employee Benefits</t>
        </is>
      </c>
      <c r="B30" t="inlineStr">
        <is>
          <t>Employee Benefits</t>
        </is>
      </c>
      <c r="C30" t="inlineStr">
        <is>
          <t>AUDm</t>
        </is>
      </c>
      <c r="D30" s="60" t="n">
        <v>-73.32599999999999</v>
      </c>
      <c r="E30" s="60" t="n">
        <v>-80.374</v>
      </c>
      <c r="F30" s="60" t="n">
        <v>-89.003</v>
      </c>
      <c r="G30" s="60" t="n">
        <v>-95.69699999999999</v>
      </c>
      <c r="H30" s="60" t="n">
        <v>-110.669</v>
      </c>
      <c r="I30" s="72">
        <f>(G30/(G11+G18))*(I11+I18)</f>
        <v/>
      </c>
      <c r="J30" s="72">
        <f>(H30/(H11+H18))*(J11+J18)</f>
        <v/>
      </c>
      <c r="K30" s="72">
        <f>(I30/(I11+I18))*(K11+K18)</f>
        <v/>
      </c>
      <c r="L30" s="72">
        <f>(J30/(J11+J18))*(L11+L18)</f>
        <v/>
      </c>
      <c r="M30" s="72">
        <f>(K30/(K11+K18))*(M11+M18)</f>
        <v/>
      </c>
      <c r="N30" s="72">
        <f>(L30/(L11+L18))*(N11+N18)</f>
        <v/>
      </c>
      <c r="O30" s="72">
        <f>(M30/(M11+M18))*(O11+O18)</f>
        <v/>
      </c>
      <c r="P30" s="72">
        <f>(N30/(N11+N18))*(P11+P18)</f>
        <v/>
      </c>
      <c r="Q30" s="72">
        <f>(O30/(O11+O18))*(Q11+Q18)</f>
        <v/>
      </c>
      <c r="R30" s="72">
        <f>(P30/(P11+P18))*(R11+R18)</f>
        <v/>
      </c>
      <c r="S30" s="72">
        <f>(Q30/(Q11+Q18))*(S11+S18)</f>
        <v/>
      </c>
      <c r="T30" s="72">
        <f>(R30/(R11+R18))*(T11+T18)</f>
        <v/>
      </c>
      <c r="U30" s="72">
        <f>(S30/(S11+S18))*(U11+U18)</f>
        <v/>
      </c>
      <c r="V30" s="72">
        <f>(T30/(T11+T18))*(V11+V18)</f>
        <v/>
      </c>
      <c r="W30" s="72">
        <f>(U30/(U11+U18))*(W11+W18)</f>
        <v/>
      </c>
      <c r="X30" s="72">
        <f>(V30/(V11+V18))*(X11+X18)</f>
        <v/>
      </c>
      <c r="Y30" s="72">
        <f>(W30/(W11+W18))*(Y11+Y18)</f>
        <v/>
      </c>
      <c r="Z30" s="72">
        <f>(X30/(X11+X18))*(Z11+Z18)</f>
        <v/>
      </c>
      <c r="AA30" s="72">
        <f>(Y30/(Y11+Y18))*(AA11+AA18)</f>
        <v/>
      </c>
      <c r="AB30" s="4" t="n"/>
      <c r="AC30" s="4" t="n"/>
    </row>
    <row r="31">
      <c r="A31" t="inlineStr">
        <is>
          <t>OPEX-Admin</t>
        </is>
      </c>
      <c r="B31" t="inlineStr">
        <is>
          <t>Administrative Expenses</t>
        </is>
      </c>
      <c r="C31" t="inlineStr">
        <is>
          <t>AUDm</t>
        </is>
      </c>
      <c r="D31" s="60" t="n">
        <v>-25.346</v>
      </c>
      <c r="E31" s="60" t="n">
        <v>-35.254</v>
      </c>
      <c r="F31" s="60" t="n">
        <v>-25.865</v>
      </c>
      <c r="G31" s="60" t="n">
        <v>-27.735</v>
      </c>
      <c r="H31" s="60" t="n">
        <v>-28.718</v>
      </c>
      <c r="I31" s="72">
        <f>(G31/(G11+G18))*(I11+I18)</f>
        <v/>
      </c>
      <c r="J31" s="72">
        <f>(H31/(H11+H18))*(J11+J18)</f>
        <v/>
      </c>
      <c r="K31" s="72">
        <f>(I31/(I11+I18))*(K11+K18)</f>
        <v/>
      </c>
      <c r="L31" s="72">
        <f>(J31/(J11+J18))*(L11+L18)</f>
        <v/>
      </c>
      <c r="M31" s="72">
        <f>(K31/(K11+K18))*(M11+M18)</f>
        <v/>
      </c>
      <c r="N31" s="72">
        <f>(L31/(L11+L18))*(N11+N18)</f>
        <v/>
      </c>
      <c r="O31" s="72">
        <f>(M31/(M11+M18))*(O11+O18)</f>
        <v/>
      </c>
      <c r="P31" s="72">
        <f>(N31/(N11+N18))*(P11+P18)</f>
        <v/>
      </c>
      <c r="Q31" s="72">
        <f>(O31/(O11+O18))*(Q11+Q18)</f>
        <v/>
      </c>
      <c r="R31" s="72">
        <f>(P31/(P11+P18))*(R11+R18)</f>
        <v/>
      </c>
      <c r="S31" s="72">
        <f>(Q31/(Q11+Q18))*(S11+S18)</f>
        <v/>
      </c>
      <c r="T31" s="72">
        <f>(R31/(R11+R18))*(T11+T18)</f>
        <v/>
      </c>
      <c r="U31" s="72">
        <f>(S31/(S11+S18))*(U11+U18)</f>
        <v/>
      </c>
      <c r="V31" s="72">
        <f>(T31/(T11+T18))*(V11+V18)</f>
        <v/>
      </c>
      <c r="W31" s="72">
        <f>(U31/(U11+U18))*(W11+W18)</f>
        <v/>
      </c>
      <c r="X31" s="72">
        <f>(V31/(V11+V18))*(X11+X18)</f>
        <v/>
      </c>
      <c r="Y31" s="72">
        <f>(W31/(W11+W18))*(Y11+Y18)</f>
        <v/>
      </c>
      <c r="Z31" s="72">
        <f>(X31/(X11+X18))*(Z11+Z18)</f>
        <v/>
      </c>
      <c r="AA31" s="72">
        <f>(Y31/(Y11+Y18))*(AA11+AA18)</f>
        <v/>
      </c>
      <c r="AB31" s="4" t="n"/>
      <c r="AC31" s="4" t="n"/>
    </row>
    <row r="32">
      <c r="A32" t="inlineStr">
        <is>
          <t>OPEX-Marketing</t>
        </is>
      </c>
      <c r="B32" t="inlineStr">
        <is>
          <t>Marketing Expenses</t>
        </is>
      </c>
      <c r="C32" t="inlineStr">
        <is>
          <t>AUDm</t>
        </is>
      </c>
      <c r="D32" s="60" t="n">
        <v>-8.537000000000001</v>
      </c>
      <c r="E32" s="60" t="n">
        <v>-9.362999999999998</v>
      </c>
      <c r="F32" s="60" t="n">
        <v>-11.302</v>
      </c>
      <c r="G32" s="60" t="n">
        <v>-9.998000000000001</v>
      </c>
      <c r="H32" s="60" t="n">
        <v>-13.706</v>
      </c>
      <c r="I32" s="72">
        <f>(G32/(G11+G18))*(I11+I18)</f>
        <v/>
      </c>
      <c r="J32" s="72">
        <f>(H32/(H11+H18))*(J11+J18)</f>
        <v/>
      </c>
      <c r="K32" s="72">
        <f>(I32/(I11+I18))*(K11+K18)</f>
        <v/>
      </c>
      <c r="L32" s="72">
        <f>(J32/(J11+J18))*(L11+L18)</f>
        <v/>
      </c>
      <c r="M32" s="72">
        <f>(K32/(K11+K18))*(M11+M18)</f>
        <v/>
      </c>
      <c r="N32" s="72">
        <f>(L32/(L11+L18))*(N11+N18)</f>
        <v/>
      </c>
      <c r="O32" s="72">
        <f>(M32/(M11+M18))*(O11+O18)</f>
        <v/>
      </c>
      <c r="P32" s="72">
        <f>(N32/(N11+N18))*(P11+P18)</f>
        <v/>
      </c>
      <c r="Q32" s="72">
        <f>(O32/(O11+O18))*(Q11+Q18)</f>
        <v/>
      </c>
      <c r="R32" s="72">
        <f>(P32/(P11+P18))*(R11+R18)</f>
        <v/>
      </c>
      <c r="S32" s="72">
        <f>(Q32/(Q11+Q18))*(S11+S18)</f>
        <v/>
      </c>
      <c r="T32" s="72">
        <f>(R32/(R11+R18))*(T11+T18)</f>
        <v/>
      </c>
      <c r="U32" s="72">
        <f>(S32/(S11+S18))*(U11+U18)</f>
        <v/>
      </c>
      <c r="V32" s="72">
        <f>(T32/(T11+T18))*(V11+V18)</f>
        <v/>
      </c>
      <c r="W32" s="72">
        <f>(U32/(U11+U18))*(W11+W18)</f>
        <v/>
      </c>
      <c r="X32" s="72">
        <f>(V32/(V11+V18))*(X11+X18)</f>
        <v/>
      </c>
      <c r="Y32" s="72">
        <f>(W32/(W11+W18))*(Y11+Y18)</f>
        <v/>
      </c>
      <c r="Z32" s="72">
        <f>(X32/(X11+X18))*(Z11+Z18)</f>
        <v/>
      </c>
      <c r="AA32" s="72">
        <f>(Y32/(Y11+Y18))*(AA11+AA18)</f>
        <v/>
      </c>
      <c r="AB32" s="4" t="n"/>
      <c r="AC32" s="4" t="n"/>
    </row>
    <row r="33">
      <c r="A33" t="inlineStr">
        <is>
          <t>OPEX-Other</t>
        </is>
      </c>
      <c r="B33" s="20" t="inlineStr">
        <is>
          <t>Other Expenses</t>
        </is>
      </c>
      <c r="C33" s="20" t="inlineStr">
        <is>
          <t>AUDm</t>
        </is>
      </c>
      <c r="D33" s="62" t="n">
        <v>-9.550000000000001</v>
      </c>
      <c r="E33" s="62" t="n">
        <v>-8.349999999999998</v>
      </c>
      <c r="F33" s="62" t="n">
        <v>-14.311</v>
      </c>
      <c r="G33" s="62" t="n">
        <v>-15.089</v>
      </c>
      <c r="H33" s="62" t="n">
        <v>-17.407</v>
      </c>
      <c r="I33" s="82">
        <f>(G33/(G11+G18))*(I11+I18)</f>
        <v/>
      </c>
      <c r="J33" s="82">
        <f>(H33/(H11+H18))*(J11+J18)</f>
        <v/>
      </c>
      <c r="K33" s="82">
        <f>(I33/(I11+I18))*(K11+K18)</f>
        <v/>
      </c>
      <c r="L33" s="82">
        <f>(J33/(J11+J18))*(L11+L18)</f>
        <v/>
      </c>
      <c r="M33" s="82">
        <f>(K33/(K11+K18))*(M11+M18)</f>
        <v/>
      </c>
      <c r="N33" s="82">
        <f>(L33/(L11+L18))*(N11+N18)</f>
        <v/>
      </c>
      <c r="O33" s="82">
        <f>(M33/(M11+M18))*(O11+O18)</f>
        <v/>
      </c>
      <c r="P33" s="82">
        <f>(N33/(N11+N18))*(P11+P18)</f>
        <v/>
      </c>
      <c r="Q33" s="82">
        <f>(O33/(O11+O18))*(Q11+Q18)</f>
        <v/>
      </c>
      <c r="R33" s="82">
        <f>(P33/(P11+P18))*(R11+R18)</f>
        <v/>
      </c>
      <c r="S33" s="82">
        <f>(Q33/(Q11+Q18))*(S11+S18)</f>
        <v/>
      </c>
      <c r="T33" s="82">
        <f>(R33/(R11+R18))*(T11+T18)</f>
        <v/>
      </c>
      <c r="U33" s="82">
        <f>(S33/(S11+S18))*(U11+U18)</f>
        <v/>
      </c>
      <c r="V33" s="82">
        <f>(T33/(T11+T18))*(V11+V18)</f>
        <v/>
      </c>
      <c r="W33" s="82">
        <f>(U33/(U11+U18))*(W11+W18)</f>
        <v/>
      </c>
      <c r="X33" s="82">
        <f>(V33/(V11+V18))*(X11+X18)</f>
        <v/>
      </c>
      <c r="Y33" s="82">
        <f>(W33/(W11+W18))*(Y11+Y18)</f>
        <v/>
      </c>
      <c r="Z33" s="82">
        <f>(X33/(X11+X18))*(Z11+Z18)</f>
        <v/>
      </c>
      <c r="AA33" s="82">
        <f>(Y33/(Y11+Y18))*(AA11+AA18)</f>
        <v/>
      </c>
      <c r="AB33" s="21" t="n"/>
      <c r="AC33" s="21" t="n"/>
    </row>
    <row r="34">
      <c r="A34" t="inlineStr">
        <is>
          <t>OPEX-Total OpEx</t>
        </is>
      </c>
      <c r="B34" t="inlineStr">
        <is>
          <t>Total Operating Expenses</t>
        </is>
      </c>
      <c r="C34" t="inlineStr">
        <is>
          <t>AUDm</t>
        </is>
      </c>
      <c r="D34" s="6">
        <f>SUM(D30:D33)</f>
        <v/>
      </c>
      <c r="E34" s="6">
        <f>SUM(E30:E33)</f>
        <v/>
      </c>
      <c r="F34" s="6">
        <f>SUM(F30:F33)</f>
        <v/>
      </c>
      <c r="G34" s="6">
        <f>SUM(G30:G33)</f>
        <v/>
      </c>
      <c r="H34" s="6">
        <f>SUM(H30:H33)</f>
        <v/>
      </c>
      <c r="I34" s="83">
        <f>SUM(I30:I33)</f>
        <v/>
      </c>
      <c r="J34" s="83">
        <f>SUM(J30:J33)</f>
        <v/>
      </c>
      <c r="K34" s="83">
        <f>SUM(K30:K33)</f>
        <v/>
      </c>
      <c r="L34" s="83">
        <f>SUM(L30:L33)</f>
        <v/>
      </c>
      <c r="M34" s="83">
        <f>SUM(M30:M33)</f>
        <v/>
      </c>
      <c r="N34" s="83">
        <f>SUM(N30:N33)</f>
        <v/>
      </c>
      <c r="O34" s="83">
        <f>SUM(O30:O33)</f>
        <v/>
      </c>
      <c r="P34" s="83">
        <f>SUM(P30:P33)</f>
        <v/>
      </c>
      <c r="Q34" s="83">
        <f>SUM(Q30:Q33)</f>
        <v/>
      </c>
      <c r="R34" s="83">
        <f>SUM(R30:R33)</f>
        <v/>
      </c>
      <c r="S34" s="83">
        <f>SUM(S30:S33)</f>
        <v/>
      </c>
      <c r="T34" s="83">
        <f>SUM(T30:T33)</f>
        <v/>
      </c>
      <c r="U34" s="83">
        <f>SUM(U30:U33)</f>
        <v/>
      </c>
      <c r="V34" s="83">
        <f>SUM(V30:V33)</f>
        <v/>
      </c>
      <c r="W34" s="83">
        <f>SUM(W30:W33)</f>
        <v/>
      </c>
      <c r="X34" s="83">
        <f>SUM(X30:X33)</f>
        <v/>
      </c>
      <c r="Y34" s="83">
        <f>SUM(Y30:Y33)</f>
        <v/>
      </c>
      <c r="Z34" s="83">
        <f>SUM(Z30:Z33)</f>
        <v/>
      </c>
      <c r="AA34" s="83">
        <f>SUM(AA30:AA33)</f>
        <v/>
      </c>
      <c r="AB34" s="6" t="n"/>
      <c r="AC34" s="6" t="n"/>
    </row>
    <row r="35"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</row>
    <row r="36"/>
    <row r="37">
      <c r="B37" s="5" t="n"/>
    </row>
    <row r="38">
      <c r="A38" t="inlineStr">
        <is>
          <t>EBITDA-Statutory EBITDA</t>
        </is>
      </c>
      <c r="B38" t="inlineStr">
        <is>
          <t>Statutory EBITDA</t>
        </is>
      </c>
      <c r="C38" t="inlineStr">
        <is>
          <t>AUDm</t>
        </is>
      </c>
      <c r="D38" s="19">
        <f>D25+D34</f>
        <v/>
      </c>
      <c r="E38" s="4">
        <f>E25+E34</f>
        <v/>
      </c>
      <c r="F38" s="19">
        <f>F25+F34</f>
        <v/>
      </c>
      <c r="G38" s="4">
        <f>G25+G34</f>
        <v/>
      </c>
      <c r="H38" s="19">
        <f>H25+H34</f>
        <v/>
      </c>
      <c r="I38" s="72">
        <f>I25+I34</f>
        <v/>
      </c>
      <c r="J38" s="72">
        <f>J25+J34</f>
        <v/>
      </c>
      <c r="K38" s="72">
        <f>K25+K34</f>
        <v/>
      </c>
      <c r="L38" s="72">
        <f>L25+L34</f>
        <v/>
      </c>
      <c r="M38" s="72">
        <f>M25+M34</f>
        <v/>
      </c>
      <c r="N38" s="72">
        <f>N25+N34</f>
        <v/>
      </c>
      <c r="O38" s="72">
        <f>O25+O34</f>
        <v/>
      </c>
      <c r="P38" s="72">
        <f>P25+P34</f>
        <v/>
      </c>
      <c r="Q38" s="72">
        <f>Q25+Q34</f>
        <v/>
      </c>
      <c r="R38" s="72">
        <f>R25+R34</f>
        <v/>
      </c>
      <c r="S38" s="72">
        <f>S25+S34</f>
        <v/>
      </c>
      <c r="T38" s="72">
        <f>T25+T34</f>
        <v/>
      </c>
      <c r="U38" s="72">
        <f>U25+U34</f>
        <v/>
      </c>
      <c r="V38" s="72">
        <f>V25+V34</f>
        <v/>
      </c>
      <c r="W38" s="72">
        <f>W25+W34</f>
        <v/>
      </c>
      <c r="X38" s="72">
        <f>X25+X34</f>
        <v/>
      </c>
      <c r="Y38" s="72">
        <f>Y25+Y34</f>
        <v/>
      </c>
      <c r="Z38" s="72">
        <f>Z25+Z34</f>
        <v/>
      </c>
      <c r="AA38" s="72">
        <f>AA25+AA34</f>
        <v/>
      </c>
      <c r="AB38" s="4" t="n"/>
      <c r="AC38" s="4" t="n"/>
    </row>
    <row r="39">
      <c r="D39" s="19" t="n"/>
      <c r="E39" s="4" t="n"/>
      <c r="F39" s="19" t="n"/>
      <c r="G39" s="4" t="n"/>
      <c r="H39" s="19" t="n"/>
      <c r="I39" s="4" t="n"/>
      <c r="J39" s="19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</row>
    <row r="40">
      <c r="D40" s="19" t="n"/>
      <c r="E40" s="4" t="n"/>
      <c r="F40" s="19" t="n"/>
      <c r="G40" s="4" t="n"/>
      <c r="H40" s="19" t="n"/>
      <c r="I40" s="4" t="n"/>
      <c r="J40" s="19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</row>
    <row r="41">
      <c r="B41" s="25" t="n"/>
      <c r="D41" s="6" t="n"/>
      <c r="E41" s="6" t="n"/>
      <c r="F41" s="6" t="n"/>
      <c r="G41" s="6" t="n"/>
      <c r="H41" s="6" t="n"/>
      <c r="I41" s="6" t="n"/>
      <c r="J41" s="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  <c r="AA41" s="26" t="n"/>
      <c r="AB41" s="26" t="n"/>
      <c r="AC41" s="26" t="n"/>
    </row>
    <row r="42">
      <c r="B42" s="20" t="n"/>
      <c r="C42" s="20" t="n"/>
      <c r="D42" s="21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</row>
    <row r="43">
      <c r="A43" t="inlineStr">
        <is>
          <t>Stat-SBP</t>
        </is>
      </c>
      <c r="B43" t="inlineStr">
        <is>
          <t>Share-based payments</t>
        </is>
      </c>
      <c r="C43" t="inlineStr">
        <is>
          <t>AUDm</t>
        </is>
      </c>
      <c r="D43" s="60" t="n">
        <v>-3.648</v>
      </c>
      <c r="E43" s="60" t="n">
        <v>-7.452</v>
      </c>
      <c r="F43" s="60" t="n">
        <v>-4.587</v>
      </c>
      <c r="G43" s="60" t="n">
        <v>-4.413</v>
      </c>
      <c r="H43" s="60" t="n">
        <v>-4.72</v>
      </c>
      <c r="I43" s="74">
        <f>G43</f>
        <v/>
      </c>
      <c r="J43" s="74">
        <f>H43</f>
        <v/>
      </c>
      <c r="K43" s="74">
        <f>I43</f>
        <v/>
      </c>
      <c r="L43" s="74">
        <f>J43</f>
        <v/>
      </c>
      <c r="M43" s="74">
        <f>K43</f>
        <v/>
      </c>
      <c r="N43" s="74">
        <f>L43</f>
        <v/>
      </c>
      <c r="O43" s="74">
        <f>M43</f>
        <v/>
      </c>
      <c r="P43" s="74">
        <f>N43</f>
        <v/>
      </c>
      <c r="Q43" s="74">
        <f>O43</f>
        <v/>
      </c>
      <c r="R43" s="74">
        <f>P43</f>
        <v/>
      </c>
      <c r="S43" s="74">
        <f>Q43</f>
        <v/>
      </c>
      <c r="T43" s="74">
        <f>R43</f>
        <v/>
      </c>
      <c r="U43" s="74">
        <f>S43</f>
        <v/>
      </c>
      <c r="V43" s="74">
        <f>T43</f>
        <v/>
      </c>
      <c r="W43" s="74">
        <f>U43</f>
        <v/>
      </c>
      <c r="X43" s="74">
        <f>V43</f>
        <v/>
      </c>
      <c r="Y43" s="74">
        <f>W43</f>
        <v/>
      </c>
      <c r="Z43" s="74">
        <f>X43</f>
        <v/>
      </c>
      <c r="AA43" s="74">
        <f>Y43</f>
        <v/>
      </c>
      <c r="AB43" s="6" t="n"/>
      <c r="AC43" s="6" t="n"/>
    </row>
    <row r="44">
      <c r="A44" t="inlineStr">
        <is>
          <t>Stat-Other Costs</t>
        </is>
      </c>
      <c r="B44" t="inlineStr">
        <is>
          <t>Other Non-Recurring Costs</t>
        </is>
      </c>
      <c r="C44" t="inlineStr">
        <is>
          <t>AUDm</t>
        </is>
      </c>
      <c r="D44" s="60" t="n">
        <v>-6.819</v>
      </c>
      <c r="E44" s="60" t="n">
        <v>-12.881</v>
      </c>
      <c r="F44" s="60" t="n">
        <v>0</v>
      </c>
      <c r="G44" s="60" t="n">
        <v>2.9</v>
      </c>
      <c r="H44" s="60" t="n">
        <v>1.885</v>
      </c>
      <c r="I44" s="74" t="n">
        <v>0</v>
      </c>
      <c r="J44" s="74" t="n">
        <v>0</v>
      </c>
      <c r="K44" s="74" t="n">
        <v>0</v>
      </c>
      <c r="L44" s="74" t="n">
        <v>0</v>
      </c>
      <c r="M44" s="74" t="n">
        <v>0</v>
      </c>
      <c r="N44" s="74" t="n">
        <v>0</v>
      </c>
      <c r="O44" s="74" t="n">
        <v>0</v>
      </c>
      <c r="P44" s="74" t="n">
        <v>0</v>
      </c>
      <c r="Q44" s="74" t="n">
        <v>0</v>
      </c>
      <c r="R44" s="74" t="n">
        <v>0</v>
      </c>
      <c r="S44" s="74" t="n">
        <v>0</v>
      </c>
      <c r="T44" s="74" t="n">
        <v>0</v>
      </c>
      <c r="U44" s="74" t="n">
        <v>0</v>
      </c>
      <c r="V44" s="74" t="n">
        <v>0</v>
      </c>
      <c r="W44" s="74" t="n">
        <v>0</v>
      </c>
      <c r="X44" s="74" t="n">
        <v>0</v>
      </c>
      <c r="Y44" s="74" t="n">
        <v>0</v>
      </c>
      <c r="Z44" s="74" t="n">
        <v>0</v>
      </c>
      <c r="AA44" s="74" t="n">
        <v>0</v>
      </c>
      <c r="AB44" s="6" t="n"/>
      <c r="AC44" s="6" t="n"/>
    </row>
    <row r="45">
      <c r="A45" t="inlineStr">
        <is>
          <t>Stat-Cash Rent</t>
        </is>
      </c>
      <c r="B45" t="inlineStr">
        <is>
          <t>Cash Rent (AASB 16 Reversal)</t>
        </is>
      </c>
      <c r="C45" t="inlineStr">
        <is>
          <t>AUDm</t>
        </is>
      </c>
      <c r="D45" s="60" t="n">
        <v>8.217000000000001</v>
      </c>
      <c r="E45" s="60" t="n">
        <v>8.883000000000001</v>
      </c>
      <c r="F45" s="60" t="n">
        <v>9.398</v>
      </c>
      <c r="G45" s="60" t="n">
        <v>9.102</v>
      </c>
      <c r="H45" s="60" t="n">
        <v>10.767</v>
      </c>
      <c r="I45" s="74">
        <f>G45*(I101/G101)</f>
        <v/>
      </c>
      <c r="J45" s="74">
        <f>H45*(J101/H101)</f>
        <v/>
      </c>
      <c r="K45" s="74">
        <f>I45*(K101/I101)</f>
        <v/>
      </c>
      <c r="L45" s="74">
        <f>J45*(L101/J101)</f>
        <v/>
      </c>
      <c r="M45" s="74">
        <f>K45*(M101/K101)</f>
        <v/>
      </c>
      <c r="N45" s="74">
        <f>L45*(N101/L101)</f>
        <v/>
      </c>
      <c r="O45" s="74">
        <f>M45*(O101/M101)</f>
        <v/>
      </c>
      <c r="P45" s="74">
        <f>N45*(P101/N101)</f>
        <v/>
      </c>
      <c r="Q45" s="74">
        <f>O45*(Q101/O101)</f>
        <v/>
      </c>
      <c r="R45" s="74">
        <f>P45*(R101/P101)</f>
        <v/>
      </c>
      <c r="S45" s="74">
        <f>Q45*(S101/Q101)</f>
        <v/>
      </c>
      <c r="T45" s="74">
        <f>R45*(T101/R101)</f>
        <v/>
      </c>
      <c r="U45" s="74">
        <f>S45*(U101/S101)</f>
        <v/>
      </c>
      <c r="V45" s="74">
        <f>T45*(V101/T101)</f>
        <v/>
      </c>
      <c r="W45" s="74">
        <f>U45*(W101/U101)</f>
        <v/>
      </c>
      <c r="X45" s="74">
        <f>V45*(X101/V101)</f>
        <v/>
      </c>
      <c r="Y45" s="74">
        <f>W45*(Y101/W101)</f>
        <v/>
      </c>
      <c r="Z45" s="74">
        <f>X45*(Z101/X101)</f>
        <v/>
      </c>
      <c r="AA45" s="74">
        <f>Y45*(AA101/Y101)</f>
        <v/>
      </c>
      <c r="AB45" s="6" t="n"/>
      <c r="AC45" s="6" t="n"/>
    </row>
    <row r="46">
      <c r="A46" t="inlineStr">
        <is>
          <t>EBITDA-AU Segment EBITDA</t>
        </is>
      </c>
      <c r="B46" t="inlineStr">
        <is>
          <t>AU Segment Underlying EBITDA</t>
        </is>
      </c>
      <c r="C46" t="inlineStr">
        <is>
          <t>AUDm</t>
        </is>
      </c>
      <c r="D46" s="60" t="n">
        <v>23.142</v>
      </c>
      <c r="E46" s="60" t="n">
        <v>24.358</v>
      </c>
      <c r="F46" s="60" t="n">
        <v>31.781</v>
      </c>
      <c r="G46" s="60" t="n">
        <v>34.219</v>
      </c>
      <c r="H46" s="60" t="n">
        <v>41.314</v>
      </c>
      <c r="I46" s="83">
        <f>I134</f>
        <v/>
      </c>
      <c r="J46" s="83">
        <f>J134</f>
        <v/>
      </c>
      <c r="K46" s="83">
        <f>K134</f>
        <v/>
      </c>
      <c r="L46" s="83">
        <f>L134</f>
        <v/>
      </c>
      <c r="M46" s="83">
        <f>M134</f>
        <v/>
      </c>
      <c r="N46" s="83">
        <f>N134</f>
        <v/>
      </c>
      <c r="O46" s="83">
        <f>O134</f>
        <v/>
      </c>
      <c r="P46" s="83">
        <f>P134</f>
        <v/>
      </c>
      <c r="Q46" s="83">
        <f>Q134</f>
        <v/>
      </c>
      <c r="R46" s="83">
        <f>R134</f>
        <v/>
      </c>
      <c r="S46" s="83">
        <f>S134</f>
        <v/>
      </c>
      <c r="T46" s="83">
        <f>T134</f>
        <v/>
      </c>
      <c r="U46" s="83">
        <f>U134</f>
        <v/>
      </c>
      <c r="V46" s="83">
        <f>V134</f>
        <v/>
      </c>
      <c r="W46" s="83">
        <f>W134</f>
        <v/>
      </c>
      <c r="X46" s="83">
        <f>X134</f>
        <v/>
      </c>
      <c r="Y46" s="83">
        <f>Y134</f>
        <v/>
      </c>
      <c r="Z46" s="83">
        <f>Z134</f>
        <v/>
      </c>
      <c r="AA46" s="83">
        <f>AA134</f>
        <v/>
      </c>
      <c r="AB46" s="6" t="n"/>
      <c r="AC46" s="6" t="n"/>
    </row>
    <row r="47">
      <c r="A47" t="inlineStr">
        <is>
          <t>EBITDA-US Segment EBITDA</t>
        </is>
      </c>
      <c r="B47" t="inlineStr">
        <is>
          <t>US Segment Underlying EBITDA</t>
        </is>
      </c>
      <c r="C47" t="inlineStr">
        <is>
          <t>AUDm</t>
        </is>
      </c>
      <c r="D47" s="60" t="n">
        <v>-3.095</v>
      </c>
      <c r="E47" s="60" t="n">
        <v>-3.405</v>
      </c>
      <c r="F47" s="60" t="n">
        <v>-5.014</v>
      </c>
      <c r="G47" s="60" t="n">
        <v>-8.186</v>
      </c>
      <c r="H47" s="60" t="n">
        <v>-8.308</v>
      </c>
      <c r="I47" s="92">
        <f>I148</f>
        <v/>
      </c>
      <c r="J47" s="92">
        <f>J148</f>
        <v/>
      </c>
      <c r="K47" s="92">
        <f>K148</f>
        <v/>
      </c>
      <c r="L47" s="92">
        <f>L148</f>
        <v/>
      </c>
      <c r="M47" s="92">
        <f>M148</f>
        <v/>
      </c>
      <c r="N47" s="92">
        <f>N148</f>
        <v/>
      </c>
      <c r="O47" s="92">
        <f>O148</f>
        <v/>
      </c>
      <c r="P47" s="92">
        <f>P148</f>
        <v/>
      </c>
      <c r="Q47" s="92">
        <f>Q148</f>
        <v/>
      </c>
      <c r="R47" s="92">
        <f>R148</f>
        <v/>
      </c>
      <c r="S47" s="92">
        <f>S148</f>
        <v/>
      </c>
      <c r="T47" s="92">
        <f>T148</f>
        <v/>
      </c>
      <c r="U47" s="92">
        <f>U148</f>
        <v/>
      </c>
      <c r="V47" s="92">
        <f>V148</f>
        <v/>
      </c>
      <c r="W47" s="92">
        <f>W148</f>
        <v/>
      </c>
      <c r="X47" s="92">
        <f>X148</f>
        <v/>
      </c>
      <c r="Y47" s="92">
        <f>Y148</f>
        <v/>
      </c>
      <c r="Z47" s="92">
        <f>Z148</f>
        <v/>
      </c>
      <c r="AA47" s="92">
        <f>AA148</f>
        <v/>
      </c>
    </row>
    <row r="48">
      <c r="A48" t="inlineStr">
        <is>
          <t>EBITDA-Group Segment EBITDA</t>
        </is>
      </c>
      <c r="B48" t="inlineStr">
        <is>
          <t>Group Segment Underlying EBITDA</t>
        </is>
      </c>
      <c r="C48" t="inlineStr">
        <is>
          <t>AUDm</t>
        </is>
      </c>
      <c r="D48" s="19">
        <f>D46+D47</f>
        <v/>
      </c>
      <c r="E48" s="4">
        <f>E46+E47</f>
        <v/>
      </c>
      <c r="F48" s="19">
        <f>F46+F47</f>
        <v/>
      </c>
      <c r="G48" s="4">
        <f>G46+G47</f>
        <v/>
      </c>
      <c r="H48" s="19">
        <f>H46+H47</f>
        <v/>
      </c>
      <c r="I48" s="72">
        <f>I46+I47</f>
        <v/>
      </c>
      <c r="J48" s="72">
        <f>J46+J47</f>
        <v/>
      </c>
      <c r="K48" s="72">
        <f>K46+K47</f>
        <v/>
      </c>
      <c r="L48" s="72">
        <f>L46+L47</f>
        <v/>
      </c>
      <c r="M48" s="72">
        <f>M46+M47</f>
        <v/>
      </c>
      <c r="N48" s="72">
        <f>N46+N47</f>
        <v/>
      </c>
      <c r="O48" s="72">
        <f>O46+O47</f>
        <v/>
      </c>
      <c r="P48" s="72">
        <f>P46+P47</f>
        <v/>
      </c>
      <c r="Q48" s="72">
        <f>Q46+Q47</f>
        <v/>
      </c>
      <c r="R48" s="72">
        <f>R46+R47</f>
        <v/>
      </c>
      <c r="S48" s="72">
        <f>S46+S47</f>
        <v/>
      </c>
      <c r="T48" s="72">
        <f>T46+T47</f>
        <v/>
      </c>
      <c r="U48" s="72">
        <f>U46+U47</f>
        <v/>
      </c>
      <c r="V48" s="72">
        <f>V46+V47</f>
        <v/>
      </c>
      <c r="W48" s="72">
        <f>W46+W47</f>
        <v/>
      </c>
      <c r="X48" s="72">
        <f>X46+X47</f>
        <v/>
      </c>
      <c r="Y48" s="72">
        <f>Y46+Y47</f>
        <v/>
      </c>
      <c r="Z48" s="72">
        <f>Z46+Z47</f>
        <v/>
      </c>
      <c r="AA48" s="72">
        <f>AA46+AA47</f>
        <v/>
      </c>
      <c r="AB48" s="4" t="n"/>
      <c r="AC48" s="4" t="n"/>
    </row>
    <row r="49">
      <c r="B49" s="20" t="n"/>
      <c r="C49" s="20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</row>
    <row r="50"/>
    <row r="51">
      <c r="B51" s="5" t="n"/>
    </row>
    <row r="52">
      <c r="A52" t="inlineStr">
        <is>
          <t>DA-Depreciation PPE</t>
        </is>
      </c>
      <c r="B52" t="inlineStr">
        <is>
          <t>PPE Depreciation</t>
        </is>
      </c>
      <c r="C52" t="inlineStr">
        <is>
          <t>AUDm</t>
        </is>
      </c>
      <c r="D52" s="60" t="n">
        <v>-6.062</v>
      </c>
      <c r="E52" s="60" t="n">
        <v>-6.938</v>
      </c>
      <c r="F52" s="60" t="n">
        <v>-7.832</v>
      </c>
      <c r="G52" s="60" t="n">
        <v>-11.468</v>
      </c>
      <c r="H52" s="60" t="n">
        <v>-11.469</v>
      </c>
      <c r="I52" s="72">
        <f>IF(G56=0,0,I56*(G52/G56))</f>
        <v/>
      </c>
      <c r="J52" s="72">
        <f>IF(H56=0,0,J56*(H52/H56))</f>
        <v/>
      </c>
      <c r="K52" s="72">
        <f>IF(I56=0,0,K56*(I52/I56))</f>
        <v/>
      </c>
      <c r="L52" s="72">
        <f>IF(J56=0,0,L56*(J52/J56))</f>
        <v/>
      </c>
      <c r="M52" s="72">
        <f>IF(K56=0,0,M56*(K52/K56))</f>
        <v/>
      </c>
      <c r="N52" s="72">
        <f>IF(L56=0,0,N56*(L52/L56))</f>
        <v/>
      </c>
      <c r="O52" s="72">
        <f>IF(M56=0,0,O56*(M52/M56))</f>
        <v/>
      </c>
      <c r="P52" s="72">
        <f>IF(N56=0,0,P56*(N52/N56))</f>
        <v/>
      </c>
      <c r="Q52" s="72">
        <f>IF(O56=0,0,Q56*(O52/O56))</f>
        <v/>
      </c>
      <c r="R52" s="72">
        <f>IF(P56=0,0,R56*(P52/P56))</f>
        <v/>
      </c>
      <c r="S52" s="72">
        <f>IF(Q56=0,0,S56*(Q52/Q56))</f>
        <v/>
      </c>
      <c r="T52" s="72">
        <f>IF(R56=0,0,T56*(R52/R56))</f>
        <v/>
      </c>
      <c r="U52" s="72">
        <f>IF(S56=0,0,U56*(S52/S56))</f>
        <v/>
      </c>
      <c r="V52" s="72">
        <f>IF(T56=0,0,V56*(T52/T56))</f>
        <v/>
      </c>
      <c r="W52" s="72">
        <f>IF(U56=0,0,W56*(U52/U56))</f>
        <v/>
      </c>
      <c r="X52" s="72">
        <f>IF(V56=0,0,X56*(V52/V56))</f>
        <v/>
      </c>
      <c r="Y52" s="72">
        <f>IF(W56=0,0,Y56*(W52/W56))</f>
        <v/>
      </c>
      <c r="Z52" s="72">
        <f>IF(X56=0,0,Z56*(X52/X56))</f>
        <v/>
      </c>
      <c r="AA52" s="72">
        <f>IF(Y56=0,0,AA56*(Y52/Y56))</f>
        <v/>
      </c>
      <c r="AB52" s="4" t="n"/>
      <c r="AC52" s="4" t="n"/>
    </row>
    <row r="53">
      <c r="A53" t="inlineStr">
        <is>
          <t>DA-ROU Amortisation</t>
        </is>
      </c>
      <c r="B53" t="inlineStr">
        <is>
          <t>ROU Assets Depreciation</t>
        </is>
      </c>
      <c r="C53" t="inlineStr">
        <is>
          <t>AUDm</t>
        </is>
      </c>
      <c r="D53" s="60" t="n">
        <v>-6.324</v>
      </c>
      <c r="E53" s="60" t="n">
        <v>-4.875999999999999</v>
      </c>
      <c r="F53" s="60" t="n">
        <v>-7.743</v>
      </c>
      <c r="G53" s="60" t="n">
        <v>-6.157</v>
      </c>
      <c r="H53" s="60" t="n">
        <v>-8.071</v>
      </c>
      <c r="I53" s="72">
        <f>IF(G56=0,0,I56*(G53/G56))</f>
        <v/>
      </c>
      <c r="J53" s="72">
        <f>IF(H56=0,0,J56*(H53/H56))</f>
        <v/>
      </c>
      <c r="K53" s="72">
        <f>IF(I56=0,0,K56*(I53/I56))</f>
        <v/>
      </c>
      <c r="L53" s="72">
        <f>IF(J56=0,0,L56*(J53/J56))</f>
        <v/>
      </c>
      <c r="M53" s="72">
        <f>IF(K56=0,0,M56*(K53/K56))</f>
        <v/>
      </c>
      <c r="N53" s="72">
        <f>IF(L56=0,0,N56*(L53/L56))</f>
        <v/>
      </c>
      <c r="O53" s="72">
        <f>IF(M56=0,0,O56*(M53/M56))</f>
        <v/>
      </c>
      <c r="P53" s="72">
        <f>IF(N56=0,0,P56*(N53/N56))</f>
        <v/>
      </c>
      <c r="Q53" s="72">
        <f>IF(O56=0,0,Q56*(O53/O56))</f>
        <v/>
      </c>
      <c r="R53" s="72">
        <f>IF(P56=0,0,R56*(P53/P56))</f>
        <v/>
      </c>
      <c r="S53" s="72">
        <f>IF(Q56=0,0,S56*(Q53/Q56))</f>
        <v/>
      </c>
      <c r="T53" s="72">
        <f>IF(R56=0,0,T56*(R53/R56))</f>
        <v/>
      </c>
      <c r="U53" s="72">
        <f>IF(S56=0,0,U56*(S53/S56))</f>
        <v/>
      </c>
      <c r="V53" s="72">
        <f>IF(T56=0,0,V56*(T53/T56))</f>
        <v/>
      </c>
      <c r="W53" s="72">
        <f>IF(U56=0,0,W56*(U53/U56))</f>
        <v/>
      </c>
      <c r="X53" s="72">
        <f>IF(V56=0,0,X56*(V53/V56))</f>
        <v/>
      </c>
      <c r="Y53" s="72">
        <f>IF(W56=0,0,Y56*(W53/W56))</f>
        <v/>
      </c>
      <c r="Z53" s="72">
        <f>IF(X56=0,0,Z56*(X53/X56))</f>
        <v/>
      </c>
      <c r="AA53" s="72">
        <f>IF(Y56=0,0,AA56*(Y53/Y56))</f>
        <v/>
      </c>
      <c r="AB53" s="4" t="n"/>
      <c r="AC53" s="4" t="n"/>
    </row>
    <row r="54">
      <c r="A54" t="inlineStr">
        <is>
          <t>DA-Reacq Amort</t>
        </is>
      </c>
      <c r="B54" s="20" t="inlineStr">
        <is>
          <t>Amortisation of Reacquired Rights</t>
        </is>
      </c>
      <c r="C54" s="20" t="inlineStr">
        <is>
          <t>AUDm</t>
        </is>
      </c>
      <c r="D54" s="62" t="n">
        <v>-1.434</v>
      </c>
      <c r="E54" s="62" t="n">
        <v>-1.466</v>
      </c>
      <c r="F54" s="62" t="n">
        <v>-1.89</v>
      </c>
      <c r="G54" s="62" t="n">
        <v>-1.81</v>
      </c>
      <c r="H54" s="62" t="n">
        <v>-1.231</v>
      </c>
      <c r="I54" s="82">
        <f>IF(G56=0,0,I56*(G54/G56))</f>
        <v/>
      </c>
      <c r="J54" s="82">
        <f>IF(H56=0,0,J56*(H54/H56))</f>
        <v/>
      </c>
      <c r="K54" s="82">
        <f>IF(I56=0,0,K56*(I54/I56))</f>
        <v/>
      </c>
      <c r="L54" s="82">
        <f>IF(J56=0,0,L56*(J54/J56))</f>
        <v/>
      </c>
      <c r="M54" s="82">
        <f>IF(K56=0,0,M56*(K54/K56))</f>
        <v/>
      </c>
      <c r="N54" s="82">
        <f>IF(L56=0,0,N56*(L54/L56))</f>
        <v/>
      </c>
      <c r="O54" s="82">
        <f>IF(M56=0,0,O56*(M54/M56))</f>
        <v/>
      </c>
      <c r="P54" s="82">
        <f>IF(N56=0,0,P56*(N54/N56))</f>
        <v/>
      </c>
      <c r="Q54" s="82">
        <f>IF(O56=0,0,Q56*(O54/O56))</f>
        <v/>
      </c>
      <c r="R54" s="82">
        <f>IF(P56=0,0,R56*(P54/P56))</f>
        <v/>
      </c>
      <c r="S54" s="82">
        <f>IF(Q56=0,0,S56*(Q54/Q56))</f>
        <v/>
      </c>
      <c r="T54" s="82">
        <f>IF(R56=0,0,T56*(R54/R56))</f>
        <v/>
      </c>
      <c r="U54" s="82">
        <f>IF(S56=0,0,U56*(S54/S56))</f>
        <v/>
      </c>
      <c r="V54" s="82">
        <f>IF(T56=0,0,V56*(T54/T56))</f>
        <v/>
      </c>
      <c r="W54" s="82">
        <f>IF(U56=0,0,W56*(U54/U56))</f>
        <v/>
      </c>
      <c r="X54" s="82">
        <f>IF(V56=0,0,X56*(V54/V56))</f>
        <v/>
      </c>
      <c r="Y54" s="82">
        <f>IF(W56=0,0,Y56*(W54/W56))</f>
        <v/>
      </c>
      <c r="Z54" s="82">
        <f>IF(X56=0,0,Z56*(X54/X56))</f>
        <v/>
      </c>
      <c r="AA54" s="82">
        <f>IF(Y56=0,0,AA56*(Y54/Y56))</f>
        <v/>
      </c>
      <c r="AB54" s="21" t="n"/>
      <c r="AC54" s="21" t="n"/>
    </row>
    <row r="55">
      <c r="A55" t="inlineStr">
        <is>
          <t>DA-Other Amort</t>
        </is>
      </c>
      <c r="B55" s="25" t="inlineStr">
        <is>
          <t>Other Amortisation</t>
        </is>
      </c>
      <c r="C55" t="inlineStr">
        <is>
          <t>AUDm</t>
        </is>
      </c>
      <c r="D55" s="60" t="n">
        <v>-2.08</v>
      </c>
      <c r="E55" s="60" t="n">
        <v>-1.92</v>
      </c>
      <c r="F55" s="60" t="n">
        <v>-1.615</v>
      </c>
      <c r="G55" s="60" t="n">
        <v>-1.185</v>
      </c>
      <c r="H55" s="60" t="n">
        <v>-0.41</v>
      </c>
      <c r="I55" s="83">
        <f>IF(G56=0,0,I56*(G55/G56))</f>
        <v/>
      </c>
      <c r="J55" s="83">
        <f>IF(H56=0,0,J56*(H55/H56))</f>
        <v/>
      </c>
      <c r="K55" s="83">
        <f>IF(I56=0,0,K56*(I55/I56))</f>
        <v/>
      </c>
      <c r="L55" s="83">
        <f>IF(J56=0,0,L56*(J55/J56))</f>
        <v/>
      </c>
      <c r="M55" s="83">
        <f>IF(K56=0,0,M56*(K55/K56))</f>
        <v/>
      </c>
      <c r="N55" s="83">
        <f>IF(L56=0,0,N56*(L55/L56))</f>
        <v/>
      </c>
      <c r="O55" s="83">
        <f>IF(M56=0,0,O56*(M55/M56))</f>
        <v/>
      </c>
      <c r="P55" s="83">
        <f>IF(N56=0,0,P56*(N55/N56))</f>
        <v/>
      </c>
      <c r="Q55" s="83">
        <f>IF(O56=0,0,Q56*(O55/O56))</f>
        <v/>
      </c>
      <c r="R55" s="83">
        <f>IF(P56=0,0,R56*(P55/P56))</f>
        <v/>
      </c>
      <c r="S55" s="83">
        <f>IF(Q56=0,0,S56*(Q55/Q56))</f>
        <v/>
      </c>
      <c r="T55" s="83">
        <f>IF(R56=0,0,T56*(R55/R56))</f>
        <v/>
      </c>
      <c r="U55" s="83">
        <f>IF(S56=0,0,U56*(S55/S56))</f>
        <v/>
      </c>
      <c r="V55" s="83">
        <f>IF(T56=0,0,V56*(T55/T56))</f>
        <v/>
      </c>
      <c r="W55" s="83">
        <f>IF(U56=0,0,W56*(U55/U56))</f>
        <v/>
      </c>
      <c r="X55" s="83">
        <f>IF(V56=0,0,X56*(V55/V56))</f>
        <v/>
      </c>
      <c r="Y55" s="83">
        <f>IF(W56=0,0,Y56*(W55/W56))</f>
        <v/>
      </c>
      <c r="Z55" s="83">
        <f>IF(X56=0,0,Z56*(X55/X56))</f>
        <v/>
      </c>
      <c r="AA55" s="83">
        <f>IF(Y56=0,0,AA56*(Y55/Y56))</f>
        <v/>
      </c>
      <c r="AB55" s="26" t="n"/>
      <c r="AC55" s="26" t="n"/>
    </row>
    <row r="56">
      <c r="A56" t="inlineStr">
        <is>
          <t>DA-Total DA</t>
        </is>
      </c>
      <c r="B56" t="inlineStr">
        <is>
          <t>Total D&amp;A</t>
        </is>
      </c>
      <c r="C56" t="inlineStr">
        <is>
          <t>AUDm</t>
        </is>
      </c>
      <c r="D56">
        <f>SUM(D52:D55)</f>
        <v/>
      </c>
      <c r="E56">
        <f>SUM(E52:E55)</f>
        <v/>
      </c>
      <c r="F56">
        <f>SUM(F52:F55)</f>
        <v/>
      </c>
      <c r="G56">
        <f>SUM(G52:G55)</f>
        <v/>
      </c>
      <c r="H56">
        <f>SUM(H52:H55)</f>
        <v/>
      </c>
      <c r="I56" s="92">
        <f>(G56/(G11+G18))*(I11+I18)</f>
        <v/>
      </c>
      <c r="J56" s="92">
        <f>(H56/(H11+H18))*(J11+J18)</f>
        <v/>
      </c>
      <c r="K56" s="92">
        <f>(I56/(I11+I18))*(K11+K18)</f>
        <v/>
      </c>
      <c r="L56" s="92">
        <f>(J56/(J11+J18))*(L11+L18)</f>
        <v/>
      </c>
      <c r="M56" s="92">
        <f>(K56/(K11+K18))*(M11+M18)</f>
        <v/>
      </c>
      <c r="N56" s="92">
        <f>(L56/(L11+L18))*(N11+N18)</f>
        <v/>
      </c>
      <c r="O56" s="92">
        <f>(M56/(M11+M18))*(O11+O18)</f>
        <v/>
      </c>
      <c r="P56" s="92">
        <f>(N56/(N11+N18))*(P11+P18)</f>
        <v/>
      </c>
      <c r="Q56" s="92">
        <f>(O56/(O11+O18))*(Q11+Q18)</f>
        <v/>
      </c>
      <c r="R56" s="92">
        <f>(P56/(P11+P18))*(R11+R18)</f>
        <v/>
      </c>
      <c r="S56" s="92">
        <f>(Q56/(Q11+Q18))*(S11+S18)</f>
        <v/>
      </c>
      <c r="T56" s="92">
        <f>(R56/(R11+R18))*(T11+T18)</f>
        <v/>
      </c>
      <c r="U56" s="92">
        <f>(S56/(S11+S18))*(U11+U18)</f>
        <v/>
      </c>
      <c r="V56" s="92">
        <f>(T56/(T11+T18))*(V11+V18)</f>
        <v/>
      </c>
      <c r="W56" s="92">
        <f>(U56/(U11+U18))*(W11+W18)</f>
        <v/>
      </c>
      <c r="X56" s="92">
        <f>(V56/(V11+V18))*(X11+X18)</f>
        <v/>
      </c>
      <c r="Y56" s="92">
        <f>(W56/(W11+W18))*(Y11+Y18)</f>
        <v/>
      </c>
      <c r="Z56" s="92">
        <f>(X56/(X11+X18))*(Z11+Z18)</f>
        <v/>
      </c>
      <c r="AA56" s="92">
        <f>(Y56/(Y11+Y18))*(AA11+AA18)</f>
        <v/>
      </c>
    </row>
    <row r="57">
      <c r="B57" s="5" t="n"/>
    </row>
    <row r="58">
      <c r="B58" s="20" t="n"/>
      <c r="C58" s="20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</row>
    <row r="59"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</row>
    <row r="60">
      <c r="A60" t="inlineStr">
        <is>
          <t>EBIT-Underlying EBIT</t>
        </is>
      </c>
      <c r="B60" t="inlineStr">
        <is>
          <t>Underlying EBIT</t>
        </is>
      </c>
      <c r="C60" t="inlineStr">
        <is>
          <t>AUDm</t>
        </is>
      </c>
      <c r="D60" s="6">
        <f>D38+D56</f>
        <v/>
      </c>
      <c r="E60" s="6">
        <f>E38+E56</f>
        <v/>
      </c>
      <c r="F60" s="6">
        <f>F38+F56</f>
        <v/>
      </c>
      <c r="G60" s="6">
        <f>G38+G56</f>
        <v/>
      </c>
      <c r="H60" s="6">
        <f>H38+H56</f>
        <v/>
      </c>
      <c r="I60" s="83">
        <f>I38+I56</f>
        <v/>
      </c>
      <c r="J60" s="83">
        <f>J38+J56</f>
        <v/>
      </c>
      <c r="K60" s="83">
        <f>K38+K56</f>
        <v/>
      </c>
      <c r="L60" s="83">
        <f>L38+L56</f>
        <v/>
      </c>
      <c r="M60" s="83">
        <f>M38+M56</f>
        <v/>
      </c>
      <c r="N60" s="83">
        <f>N38+N56</f>
        <v/>
      </c>
      <c r="O60" s="83">
        <f>O38+O56</f>
        <v/>
      </c>
      <c r="P60" s="83">
        <f>P38+P56</f>
        <v/>
      </c>
      <c r="Q60" s="83">
        <f>Q38+Q56</f>
        <v/>
      </c>
      <c r="R60" s="83">
        <f>R38+R56</f>
        <v/>
      </c>
      <c r="S60" s="83">
        <f>S38+S56</f>
        <v/>
      </c>
      <c r="T60" s="83">
        <f>T38+T56</f>
        <v/>
      </c>
      <c r="U60" s="83">
        <f>U38+U56</f>
        <v/>
      </c>
      <c r="V60" s="83">
        <f>V38+V56</f>
        <v/>
      </c>
      <c r="W60" s="83">
        <f>W38+W56</f>
        <v/>
      </c>
      <c r="X60" s="83">
        <f>X38+X56</f>
        <v/>
      </c>
      <c r="Y60" s="83">
        <f>Y38+Y56</f>
        <v/>
      </c>
      <c r="Z60" s="83">
        <f>Z38+Z56</f>
        <v/>
      </c>
      <c r="AA60" s="83">
        <f>AA38+AA56</f>
        <v/>
      </c>
      <c r="AB60" s="6" t="n"/>
      <c r="AC60" s="6" t="n"/>
    </row>
    <row r="61"/>
    <row r="62">
      <c r="B62" s="5" t="n"/>
    </row>
    <row r="63">
      <c r="D63" s="19" t="n"/>
      <c r="E63" s="4" t="n"/>
      <c r="F63" s="19" t="n"/>
      <c r="G63" s="4" t="n"/>
      <c r="H63" s="19" t="n"/>
      <c r="I63" s="4" t="n"/>
      <c r="J63" s="19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</row>
    <row r="64">
      <c r="D64" s="46" t="n"/>
      <c r="E64" s="4" t="n"/>
      <c r="F64" s="46" t="n"/>
      <c r="G64" s="4" t="n"/>
      <c r="H64" s="46" t="n"/>
      <c r="I64" s="4" t="n"/>
      <c r="J64" s="47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</row>
    <row r="65">
      <c r="A65" t="inlineStr">
        <is>
          <t>Int-Term Deposit</t>
        </is>
      </c>
      <c r="B65" t="inlineStr">
        <is>
          <t>Term Deposit Interest</t>
        </is>
      </c>
      <c r="C65" t="inlineStr">
        <is>
          <t>AUDm</t>
        </is>
      </c>
      <c r="D65" s="60" t="n">
        <v>0.459</v>
      </c>
      <c r="E65" s="60" t="n">
        <v>0.641</v>
      </c>
      <c r="F65" s="60" t="n">
        <v>6.632</v>
      </c>
      <c r="G65" s="60" t="n">
        <v>5.868</v>
      </c>
      <c r="H65" s="60" t="n">
        <v>5.051</v>
      </c>
      <c r="I65" s="42">
        <f>G65</f>
        <v/>
      </c>
      <c r="J65" s="42">
        <f>H65</f>
        <v/>
      </c>
      <c r="K65" s="42">
        <f>I65</f>
        <v/>
      </c>
      <c r="L65" s="42">
        <f>J65</f>
        <v/>
      </c>
      <c r="M65" s="42">
        <f>K65</f>
        <v/>
      </c>
      <c r="N65" s="42">
        <f>L65</f>
        <v/>
      </c>
      <c r="O65" s="42">
        <f>M65</f>
        <v/>
      </c>
      <c r="P65" s="42">
        <f>N65</f>
        <v/>
      </c>
      <c r="Q65" s="42">
        <f>O65</f>
        <v/>
      </c>
      <c r="R65" s="42">
        <f>P65</f>
        <v/>
      </c>
      <c r="S65" s="42">
        <f>Q65</f>
        <v/>
      </c>
      <c r="T65" s="42">
        <f>R65</f>
        <v/>
      </c>
      <c r="U65" s="42">
        <f>S65</f>
        <v/>
      </c>
      <c r="V65" s="42">
        <f>T65</f>
        <v/>
      </c>
      <c r="W65" s="42">
        <f>U65</f>
        <v/>
      </c>
      <c r="X65" s="42">
        <f>V65</f>
        <v/>
      </c>
      <c r="Y65" s="42">
        <f>W65</f>
        <v/>
      </c>
      <c r="Z65" s="42">
        <f>X65</f>
        <v/>
      </c>
      <c r="AA65" s="42">
        <f>Y65</f>
        <v/>
      </c>
      <c r="AB65" s="4" t="n"/>
      <c r="AC65" s="4" t="n"/>
    </row>
    <row r="66">
      <c r="A66" t="inlineStr">
        <is>
          <t>Int-Lease Receivable</t>
        </is>
      </c>
      <c r="B66" s="20" t="inlineStr">
        <is>
          <t>Lease Receivable Interest</t>
        </is>
      </c>
      <c r="C66" s="20" t="inlineStr">
        <is>
          <t>AUDm</t>
        </is>
      </c>
      <c r="D66" s="62" t="n">
        <v>1.824</v>
      </c>
      <c r="E66" s="62" t="n">
        <v>2.976</v>
      </c>
      <c r="F66" s="62" t="n">
        <v>4.752</v>
      </c>
      <c r="G66" s="62" t="n">
        <v>5.248</v>
      </c>
      <c r="H66" s="62" t="n">
        <v>6.378</v>
      </c>
      <c r="I66" s="94">
        <f>G66</f>
        <v/>
      </c>
      <c r="J66" s="94">
        <f>H66</f>
        <v/>
      </c>
      <c r="K66" s="94">
        <f>I66</f>
        <v/>
      </c>
      <c r="L66" s="94">
        <f>J66</f>
        <v/>
      </c>
      <c r="M66" s="94">
        <f>K66</f>
        <v/>
      </c>
      <c r="N66" s="94">
        <f>L66</f>
        <v/>
      </c>
      <c r="O66" s="94">
        <f>M66</f>
        <v/>
      </c>
      <c r="P66" s="94">
        <f>N66</f>
        <v/>
      </c>
      <c r="Q66" s="94">
        <f>O66</f>
        <v/>
      </c>
      <c r="R66" s="94">
        <f>P66</f>
        <v/>
      </c>
      <c r="S66" s="94">
        <f>Q66</f>
        <v/>
      </c>
      <c r="T66" s="94">
        <f>R66</f>
        <v/>
      </c>
      <c r="U66" s="94">
        <f>S66</f>
        <v/>
      </c>
      <c r="V66" s="94">
        <f>T66</f>
        <v/>
      </c>
      <c r="W66" s="94">
        <f>U66</f>
        <v/>
      </c>
      <c r="X66" s="94">
        <f>V66</f>
        <v/>
      </c>
      <c r="Y66" s="94">
        <f>W66</f>
        <v/>
      </c>
      <c r="Z66" s="94">
        <f>X66</f>
        <v/>
      </c>
      <c r="AA66" s="94">
        <f>Y66</f>
        <v/>
      </c>
      <c r="AB66" s="21" t="n"/>
      <c r="AC66" s="21" t="n"/>
    </row>
    <row r="67">
      <c r="A67" t="inlineStr">
        <is>
          <t>Int-Other Income</t>
        </is>
      </c>
      <c r="B67" s="25" t="inlineStr">
        <is>
          <t>Other Finance Income</t>
        </is>
      </c>
      <c r="C67" t="inlineStr">
        <is>
          <t>AUDm</t>
        </is>
      </c>
      <c r="D67" s="60" t="n">
        <v>0.044</v>
      </c>
      <c r="E67" s="60" t="n">
        <v>1.056</v>
      </c>
      <c r="F67" s="60" t="n">
        <v>0.061</v>
      </c>
      <c r="G67" s="60" t="n">
        <v>0.03900000000000001</v>
      </c>
      <c r="H67" s="60" t="n">
        <v>0.003</v>
      </c>
      <c r="I67" s="74" t="n">
        <v>0</v>
      </c>
      <c r="J67" s="74" t="n">
        <v>0</v>
      </c>
      <c r="K67" s="74" t="n">
        <v>0</v>
      </c>
      <c r="L67" s="74" t="n">
        <v>0</v>
      </c>
      <c r="M67" s="74" t="n">
        <v>0</v>
      </c>
      <c r="N67" s="74" t="n">
        <v>0</v>
      </c>
      <c r="O67" s="74" t="n">
        <v>0</v>
      </c>
      <c r="P67" s="74" t="n">
        <v>0</v>
      </c>
      <c r="Q67" s="74" t="n">
        <v>0</v>
      </c>
      <c r="R67" s="74" t="n">
        <v>0</v>
      </c>
      <c r="S67" s="74" t="n">
        <v>0</v>
      </c>
      <c r="T67" s="74" t="n">
        <v>0</v>
      </c>
      <c r="U67" s="74" t="n">
        <v>0</v>
      </c>
      <c r="V67" s="74" t="n">
        <v>0</v>
      </c>
      <c r="W67" s="74" t="n">
        <v>0</v>
      </c>
      <c r="X67" s="74" t="n">
        <v>0</v>
      </c>
      <c r="Y67" s="74" t="n">
        <v>0</v>
      </c>
      <c r="Z67" s="74" t="n">
        <v>0</v>
      </c>
      <c r="AA67" s="74" t="n">
        <v>0</v>
      </c>
      <c r="AB67" s="26" t="n"/>
      <c r="AC67" s="26" t="n"/>
    </row>
    <row r="68">
      <c r="A68" t="inlineStr">
        <is>
          <t>Int-Lease Interest</t>
        </is>
      </c>
      <c r="B68" s="25" t="inlineStr">
        <is>
          <t>Lease Liability Interest</t>
        </is>
      </c>
      <c r="C68" t="inlineStr">
        <is>
          <t>AUDm</t>
        </is>
      </c>
      <c r="D68" s="60" t="n">
        <v>-6.261</v>
      </c>
      <c r="E68" s="60" t="n">
        <v>-7.139</v>
      </c>
      <c r="F68" s="60" t="n">
        <v>-8.686</v>
      </c>
      <c r="G68" s="60" t="n">
        <v>-10.114</v>
      </c>
      <c r="H68" s="60" t="n">
        <v>-11.946</v>
      </c>
      <c r="I68" s="74">
        <f>G68</f>
        <v/>
      </c>
      <c r="J68" s="74">
        <f>H68</f>
        <v/>
      </c>
      <c r="K68" s="74">
        <f>I68</f>
        <v/>
      </c>
      <c r="L68" s="74">
        <f>J68</f>
        <v/>
      </c>
      <c r="M68" s="74">
        <f>K68</f>
        <v/>
      </c>
      <c r="N68" s="74">
        <f>L68</f>
        <v/>
      </c>
      <c r="O68" s="74">
        <f>M68</f>
        <v/>
      </c>
      <c r="P68" s="74">
        <f>N68</f>
        <v/>
      </c>
      <c r="Q68" s="74">
        <f>O68</f>
        <v/>
      </c>
      <c r="R68" s="74">
        <f>P68</f>
        <v/>
      </c>
      <c r="S68" s="74">
        <f>Q68</f>
        <v/>
      </c>
      <c r="T68" s="74">
        <f>R68</f>
        <v/>
      </c>
      <c r="U68" s="74">
        <f>S68</f>
        <v/>
      </c>
      <c r="V68" s="74">
        <f>T68</f>
        <v/>
      </c>
      <c r="W68" s="74">
        <f>U68</f>
        <v/>
      </c>
      <c r="X68" s="74">
        <f>V68</f>
        <v/>
      </c>
      <c r="Y68" s="74">
        <f>W68</f>
        <v/>
      </c>
      <c r="Z68" s="74">
        <f>X68</f>
        <v/>
      </c>
      <c r="AA68" s="74">
        <f>Y68</f>
        <v/>
      </c>
      <c r="AB68" s="26" t="n"/>
      <c r="AC68" s="26" t="n"/>
    </row>
    <row r="69">
      <c r="A69" t="inlineStr">
        <is>
          <t>Int-Other Costs</t>
        </is>
      </c>
      <c r="B69" s="25" t="inlineStr">
        <is>
          <t>Other Finance Costs</t>
        </is>
      </c>
      <c r="C69" t="inlineStr">
        <is>
          <t>AUDm</t>
        </is>
      </c>
      <c r="D69" s="60" t="n">
        <v>-0.149</v>
      </c>
      <c r="E69" s="60" t="n">
        <v>-0.151</v>
      </c>
      <c r="F69" s="60" t="n">
        <v>-0.066</v>
      </c>
      <c r="G69" s="60" t="n">
        <v>-0.034</v>
      </c>
      <c r="H69" s="60" t="n">
        <v>-0.068</v>
      </c>
      <c r="I69" s="74" t="n">
        <v>0</v>
      </c>
      <c r="J69" s="74" t="n">
        <v>0</v>
      </c>
      <c r="K69" s="74" t="n">
        <v>0</v>
      </c>
      <c r="L69" s="74" t="n">
        <v>0</v>
      </c>
      <c r="M69" s="74" t="n">
        <v>0</v>
      </c>
      <c r="N69" s="74" t="n">
        <v>0</v>
      </c>
      <c r="O69" s="74" t="n">
        <v>0</v>
      </c>
      <c r="P69" s="74" t="n">
        <v>0</v>
      </c>
      <c r="Q69" s="74" t="n">
        <v>0</v>
      </c>
      <c r="R69" s="74" t="n">
        <v>0</v>
      </c>
      <c r="S69" s="74" t="n">
        <v>0</v>
      </c>
      <c r="T69" s="74" t="n">
        <v>0</v>
      </c>
      <c r="U69" s="74" t="n">
        <v>0</v>
      </c>
      <c r="V69" s="74" t="n">
        <v>0</v>
      </c>
      <c r="W69" s="74" t="n">
        <v>0</v>
      </c>
      <c r="X69" s="74" t="n">
        <v>0</v>
      </c>
      <c r="Y69" s="74" t="n">
        <v>0</v>
      </c>
      <c r="Z69" s="74" t="n">
        <v>0</v>
      </c>
      <c r="AA69" s="74" t="n">
        <v>0</v>
      </c>
      <c r="AB69" s="26" t="n"/>
      <c r="AC69" s="26" t="n"/>
    </row>
    <row r="70">
      <c r="A70" t="inlineStr">
        <is>
          <t>Int-Net Finance Costs</t>
        </is>
      </c>
      <c r="B70" t="inlineStr">
        <is>
          <t>Net Finance Costs</t>
        </is>
      </c>
      <c r="C70" t="inlineStr">
        <is>
          <t>AUDm</t>
        </is>
      </c>
      <c r="D70">
        <f>SUM(D65:D69)</f>
        <v/>
      </c>
      <c r="E70">
        <f>SUM(E65:E69)</f>
        <v/>
      </c>
      <c r="F70">
        <f>SUM(F65:F69)</f>
        <v/>
      </c>
      <c r="G70">
        <f>SUM(G65:G69)</f>
        <v/>
      </c>
      <c r="H70">
        <f>SUM(H65:H69)</f>
        <v/>
      </c>
      <c r="I70" s="92">
        <f>SUM(I65:I69)</f>
        <v/>
      </c>
      <c r="J70" s="92">
        <f>SUM(J65:J69)</f>
        <v/>
      </c>
      <c r="K70" s="92">
        <f>SUM(K65:K69)</f>
        <v/>
      </c>
      <c r="L70" s="92">
        <f>SUM(L65:L69)</f>
        <v/>
      </c>
      <c r="M70" s="92">
        <f>SUM(M65:M69)</f>
        <v/>
      </c>
      <c r="N70" s="92">
        <f>SUM(N65:N69)</f>
        <v/>
      </c>
      <c r="O70" s="92">
        <f>SUM(O65:O69)</f>
        <v/>
      </c>
      <c r="P70" s="92">
        <f>SUM(P65:P69)</f>
        <v/>
      </c>
      <c r="Q70" s="92">
        <f>SUM(Q65:Q69)</f>
        <v/>
      </c>
      <c r="R70" s="92">
        <f>SUM(R65:R69)</f>
        <v/>
      </c>
      <c r="S70" s="92">
        <f>SUM(S65:S69)</f>
        <v/>
      </c>
      <c r="T70" s="92">
        <f>SUM(T65:T69)</f>
        <v/>
      </c>
      <c r="U70" s="92">
        <f>SUM(U65:U69)</f>
        <v/>
      </c>
      <c r="V70" s="92">
        <f>SUM(V65:V69)</f>
        <v/>
      </c>
      <c r="W70" s="92">
        <f>SUM(W65:W69)</f>
        <v/>
      </c>
      <c r="X70" s="92">
        <f>SUM(X65:X69)</f>
        <v/>
      </c>
      <c r="Y70" s="92">
        <f>SUM(Y65:Y69)</f>
        <v/>
      </c>
      <c r="Z70" s="92">
        <f>SUM(Z65:Z69)</f>
        <v/>
      </c>
      <c r="AA70" s="92">
        <f>SUM(AA65:AA69)</f>
        <v/>
      </c>
    </row>
    <row r="71">
      <c r="B71" s="20" t="n"/>
      <c r="C71" s="20" t="n"/>
      <c r="D71" s="21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</row>
    <row r="72">
      <c r="D72" s="19" t="n"/>
      <c r="E72" s="4" t="n"/>
      <c r="F72" s="19" t="n"/>
      <c r="G72" s="4" t="n"/>
      <c r="H72" s="19" t="n"/>
      <c r="I72" s="4" t="n"/>
      <c r="J72" s="19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</row>
    <row r="73">
      <c r="B73" s="25" t="n"/>
      <c r="D73" s="6" t="n"/>
      <c r="E73" s="6" t="n"/>
      <c r="F73" s="6" t="n"/>
      <c r="G73" s="6" t="n"/>
      <c r="H73" s="6" t="n"/>
      <c r="I73" s="6" t="n"/>
      <c r="J73" s="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  <c r="AA73" s="26" t="n"/>
      <c r="AB73" s="26" t="n"/>
      <c r="AC73" s="26" t="n"/>
    </row>
    <row r="74">
      <c r="B74" s="49" t="n"/>
      <c r="D74" s="19" t="n"/>
      <c r="E74" s="4" t="n"/>
      <c r="F74" s="19" t="n"/>
      <c r="G74" s="4" t="n"/>
      <c r="H74" s="19" t="n"/>
      <c r="I74" s="4" t="n"/>
      <c r="J74" s="19" t="n"/>
      <c r="K74" s="40" t="n"/>
      <c r="L74" s="40" t="n"/>
      <c r="M74" s="40" t="n"/>
      <c r="N74" s="40" t="n"/>
      <c r="O74" s="40" t="n"/>
      <c r="P74" s="40" t="n"/>
      <c r="Q74" s="40" t="n"/>
      <c r="R74" s="40" t="n"/>
      <c r="S74" s="40" t="n"/>
      <c r="T74" s="40" t="n"/>
      <c r="U74" s="40" t="n"/>
      <c r="V74" s="40" t="n"/>
      <c r="W74" s="40" t="n"/>
      <c r="X74" s="40" t="n"/>
      <c r="Y74" s="40" t="n"/>
      <c r="Z74" s="40" t="n"/>
      <c r="AA74" s="40" t="n"/>
      <c r="AB74" s="40" t="n"/>
      <c r="AC74" s="40" t="n"/>
    </row>
    <row r="75">
      <c r="B75" s="20" t="n"/>
      <c r="C75" s="20" t="n"/>
      <c r="D75" s="21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</row>
    <row r="76">
      <c r="A76" t="inlineStr">
        <is>
          <t>PBT-PBT</t>
        </is>
      </c>
      <c r="B76" t="inlineStr">
        <is>
          <t>PBT</t>
        </is>
      </c>
      <c r="C76" t="inlineStr">
        <is>
          <t>AUDm</t>
        </is>
      </c>
      <c r="D76" s="19">
        <f>D60+D70</f>
        <v/>
      </c>
      <c r="E76" s="4">
        <f>E60+E70</f>
        <v/>
      </c>
      <c r="F76" s="19">
        <f>F60+F70</f>
        <v/>
      </c>
      <c r="G76" s="4">
        <f>G60+G70</f>
        <v/>
      </c>
      <c r="H76" s="19">
        <f>H60+H70</f>
        <v/>
      </c>
      <c r="I76" s="72">
        <f>I60+I70</f>
        <v/>
      </c>
      <c r="J76" s="72">
        <f>J60+J70</f>
        <v/>
      </c>
      <c r="K76" s="72">
        <f>K60+K70</f>
        <v/>
      </c>
      <c r="L76" s="72">
        <f>L60+L70</f>
        <v/>
      </c>
      <c r="M76" s="72">
        <f>M60+M70</f>
        <v/>
      </c>
      <c r="N76" s="72">
        <f>N60+N70</f>
        <v/>
      </c>
      <c r="O76" s="72">
        <f>O60+O70</f>
        <v/>
      </c>
      <c r="P76" s="72">
        <f>P60+P70</f>
        <v/>
      </c>
      <c r="Q76" s="72">
        <f>Q60+Q70</f>
        <v/>
      </c>
      <c r="R76" s="72">
        <f>R60+R70</f>
        <v/>
      </c>
      <c r="S76" s="72">
        <f>S60+S70</f>
        <v/>
      </c>
      <c r="T76" s="72">
        <f>T60+T70</f>
        <v/>
      </c>
      <c r="U76" s="72">
        <f>U60+U70</f>
        <v/>
      </c>
      <c r="V76" s="72">
        <f>V60+V70</f>
        <v/>
      </c>
      <c r="W76" s="72">
        <f>W60+W70</f>
        <v/>
      </c>
      <c r="X76" s="72">
        <f>X60+X70</f>
        <v/>
      </c>
      <c r="Y76" s="72">
        <f>Y60+Y70</f>
        <v/>
      </c>
      <c r="Z76" s="72">
        <f>Z60+Z70</f>
        <v/>
      </c>
      <c r="AA76" s="72">
        <f>AA60+AA70</f>
        <v/>
      </c>
      <c r="AB76" s="4" t="n"/>
      <c r="AC76" s="4" t="n"/>
    </row>
    <row r="77">
      <c r="A77" t="inlineStr">
        <is>
          <t>Tax-Tax Expense</t>
        </is>
      </c>
      <c r="B77" s="20" t="inlineStr">
        <is>
          <t>Tax Expense</t>
        </is>
      </c>
      <c r="C77" s="20" t="inlineStr">
        <is>
          <t>AUDm</t>
        </is>
      </c>
      <c r="D77" s="62" t="n">
        <v>-2.881</v>
      </c>
      <c r="E77" s="62" t="n">
        <v>0.6809999999999996</v>
      </c>
      <c r="F77" s="62" t="n">
        <v>-7.89</v>
      </c>
      <c r="G77" s="62" t="n">
        <v>-6.81</v>
      </c>
      <c r="H77" s="62" t="n">
        <v>-8.595000000000001</v>
      </c>
      <c r="I77" s="82">
        <f>-I76*0.30</f>
        <v/>
      </c>
      <c r="J77" s="82">
        <f>-J76*0.30</f>
        <v/>
      </c>
      <c r="K77" s="82">
        <f>-K76*0.30</f>
        <v/>
      </c>
      <c r="L77" s="82">
        <f>-L76*0.30</f>
        <v/>
      </c>
      <c r="M77" s="82">
        <f>-M76*0.30</f>
        <v/>
      </c>
      <c r="N77" s="82">
        <f>-N76*0.30</f>
        <v/>
      </c>
      <c r="O77" s="82">
        <f>-O76*0.30</f>
        <v/>
      </c>
      <c r="P77" s="82">
        <f>-P76*0.30</f>
        <v/>
      </c>
      <c r="Q77" s="82">
        <f>-Q76*0.30</f>
        <v/>
      </c>
      <c r="R77" s="82">
        <f>-R76*0.30</f>
        <v/>
      </c>
      <c r="S77" s="82">
        <f>-S76*0.30</f>
        <v/>
      </c>
      <c r="T77" s="82">
        <f>-T76*0.30</f>
        <v/>
      </c>
      <c r="U77" s="82">
        <f>-U76*0.30</f>
        <v/>
      </c>
      <c r="V77" s="82">
        <f>-V76*0.30</f>
        <v/>
      </c>
      <c r="W77" s="82">
        <f>-W76*0.30</f>
        <v/>
      </c>
      <c r="X77" s="82">
        <f>-X76*0.30</f>
        <v/>
      </c>
      <c r="Y77" s="82">
        <f>-Y76*0.30</f>
        <v/>
      </c>
      <c r="Z77" s="82">
        <f>-Z76*0.30</f>
        <v/>
      </c>
      <c r="AA77" s="82">
        <f>-AA76*0.30</f>
        <v/>
      </c>
      <c r="AB77" s="21" t="n"/>
      <c r="AC77" s="21" t="n"/>
    </row>
    <row r="78"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  <c r="AB78" s="6" t="n"/>
      <c r="AC78" s="6" t="n"/>
    </row>
    <row r="79">
      <c r="A79" t="inlineStr">
        <is>
          <t>NPAT-NCI</t>
        </is>
      </c>
      <c r="B79" t="inlineStr">
        <is>
          <t>Non-controlling Interests</t>
        </is>
      </c>
      <c r="C79" t="inlineStr">
        <is>
          <t>AUDm</t>
        </is>
      </c>
      <c r="D79" s="60" t="n">
        <v>0</v>
      </c>
      <c r="E79" s="60" t="n">
        <v>0</v>
      </c>
      <c r="F79" s="60" t="n">
        <v>0</v>
      </c>
      <c r="G79" s="60" t="n">
        <v>0</v>
      </c>
      <c r="H79" s="60" t="n">
        <v>0</v>
      </c>
      <c r="I79" s="93" t="n">
        <v>0</v>
      </c>
      <c r="J79" s="93" t="n">
        <v>0</v>
      </c>
      <c r="K79" s="93" t="n">
        <v>0</v>
      </c>
      <c r="L79" s="93" t="n">
        <v>0</v>
      </c>
      <c r="M79" s="93" t="n">
        <v>0</v>
      </c>
      <c r="N79" s="93" t="n">
        <v>0</v>
      </c>
      <c r="O79" s="93" t="n">
        <v>0</v>
      </c>
      <c r="P79" s="93" t="n">
        <v>0</v>
      </c>
      <c r="Q79" s="93" t="n">
        <v>0</v>
      </c>
      <c r="R79" s="93" t="n">
        <v>0</v>
      </c>
      <c r="S79" s="93" t="n">
        <v>0</v>
      </c>
      <c r="T79" s="93" t="n">
        <v>0</v>
      </c>
      <c r="U79" s="93" t="n">
        <v>0</v>
      </c>
      <c r="V79" s="93" t="n">
        <v>0</v>
      </c>
      <c r="W79" s="93" t="n">
        <v>0</v>
      </c>
      <c r="X79" s="93" t="n">
        <v>0</v>
      </c>
      <c r="Y79" s="93" t="n">
        <v>0</v>
      </c>
      <c r="Z79" s="93" t="n">
        <v>0</v>
      </c>
      <c r="AA79" s="93" t="n">
        <v>0</v>
      </c>
    </row>
    <row r="80">
      <c r="A80" s="27" t="inlineStr">
        <is>
          <t>NPAT-Underlying NPAT</t>
        </is>
      </c>
      <c r="B80" s="28" t="inlineStr">
        <is>
          <t>Underlying NPAT</t>
        </is>
      </c>
      <c r="C80" s="27" t="inlineStr">
        <is>
          <t>AUDm</t>
        </is>
      </c>
      <c r="D80" s="27">
        <f>D76+D77+D79</f>
        <v/>
      </c>
      <c r="E80" s="27">
        <f>E76+E77+E79</f>
        <v/>
      </c>
      <c r="F80" s="27">
        <f>F76+F77+F79</f>
        <v/>
      </c>
      <c r="G80" s="27">
        <f>G76+G77+G79</f>
        <v/>
      </c>
      <c r="H80" s="27">
        <f>H76+H77+H79</f>
        <v/>
      </c>
      <c r="I80" s="95">
        <f>I76+I77+I79</f>
        <v/>
      </c>
      <c r="J80" s="95">
        <f>J76+J77+J79</f>
        <v/>
      </c>
      <c r="K80" s="95">
        <f>K76+K77+K79</f>
        <v/>
      </c>
      <c r="L80" s="95">
        <f>L76+L77+L79</f>
        <v/>
      </c>
      <c r="M80" s="95">
        <f>M76+M77+M79</f>
        <v/>
      </c>
      <c r="N80" s="95">
        <f>N76+N77+N79</f>
        <v/>
      </c>
      <c r="O80" s="95">
        <f>O76+O77+O79</f>
        <v/>
      </c>
      <c r="P80" s="95">
        <f>P76+P77+P79</f>
        <v/>
      </c>
      <c r="Q80" s="95">
        <f>Q76+Q77+Q79</f>
        <v/>
      </c>
      <c r="R80" s="95">
        <f>R76+R77+R79</f>
        <v/>
      </c>
      <c r="S80" s="95">
        <f>S76+S77+S79</f>
        <v/>
      </c>
      <c r="T80" s="95">
        <f>T76+T77+T79</f>
        <v/>
      </c>
      <c r="U80" s="95">
        <f>U76+U77+U79</f>
        <v/>
      </c>
      <c r="V80" s="95">
        <f>V76+V77+V79</f>
        <v/>
      </c>
      <c r="W80" s="95">
        <f>W76+W77+W79</f>
        <v/>
      </c>
      <c r="X80" s="95">
        <f>X76+X77+X79</f>
        <v/>
      </c>
      <c r="Y80" s="95">
        <f>Y76+Y77+Y79</f>
        <v/>
      </c>
      <c r="Z80" s="95">
        <f>Z76+Z77+Z79</f>
        <v/>
      </c>
      <c r="AA80" s="95">
        <f>AA76+AA77+AA79</f>
        <v/>
      </c>
      <c r="AB80" s="27" t="n"/>
      <c r="AC80" s="27" t="n"/>
    </row>
    <row r="81">
      <c r="A81" t="inlineStr">
        <is>
          <t>NPAT-Sig Items AT</t>
        </is>
      </c>
      <c r="B81" t="inlineStr">
        <is>
          <t>Significant Items After Tax</t>
        </is>
      </c>
      <c r="C81" t="inlineStr">
        <is>
          <t>AUDm</t>
        </is>
      </c>
      <c r="D81" s="60" t="n">
        <v>0</v>
      </c>
      <c r="E81" s="60" t="n">
        <v>0</v>
      </c>
      <c r="F81" s="60" t="n">
        <v>0</v>
      </c>
      <c r="G81" s="60" t="n">
        <v>0</v>
      </c>
      <c r="H81" s="60" t="n">
        <v>0</v>
      </c>
      <c r="I81" s="42" t="n">
        <v>0</v>
      </c>
      <c r="J81" s="42" t="n">
        <v>0</v>
      </c>
      <c r="K81" s="42" t="n">
        <v>0</v>
      </c>
      <c r="L81" s="42" t="n">
        <v>0</v>
      </c>
      <c r="M81" s="42" t="n">
        <v>0</v>
      </c>
      <c r="N81" s="42" t="n">
        <v>0</v>
      </c>
      <c r="O81" s="42" t="n">
        <v>0</v>
      </c>
      <c r="P81" s="42" t="n">
        <v>0</v>
      </c>
      <c r="Q81" s="42" t="n">
        <v>0</v>
      </c>
      <c r="R81" s="42" t="n">
        <v>0</v>
      </c>
      <c r="S81" s="42" t="n">
        <v>0</v>
      </c>
      <c r="T81" s="42" t="n">
        <v>0</v>
      </c>
      <c r="U81" s="42" t="n">
        <v>0</v>
      </c>
      <c r="V81" s="42" t="n">
        <v>0</v>
      </c>
      <c r="W81" s="42" t="n">
        <v>0</v>
      </c>
      <c r="X81" s="42" t="n">
        <v>0</v>
      </c>
      <c r="Y81" s="42" t="n">
        <v>0</v>
      </c>
      <c r="Z81" s="42" t="n">
        <v>0</v>
      </c>
      <c r="AA81" s="42" t="n">
        <v>0</v>
      </c>
      <c r="AB81" s="4" t="n"/>
      <c r="AC81" s="4" t="n"/>
    </row>
    <row r="82">
      <c r="A82" t="inlineStr">
        <is>
          <t>NPAT-Statutory NPAT</t>
        </is>
      </c>
      <c r="B82" t="inlineStr">
        <is>
          <t>Statutory NPAT</t>
        </is>
      </c>
      <c r="C82" t="inlineStr">
        <is>
          <t>AUDm</t>
        </is>
      </c>
      <c r="D82" s="19">
        <f>D80+D81</f>
        <v/>
      </c>
      <c r="E82" s="4">
        <f>E80+E81</f>
        <v/>
      </c>
      <c r="F82" s="19">
        <f>F80+F81</f>
        <v/>
      </c>
      <c r="G82" s="4">
        <f>G80+G81</f>
        <v/>
      </c>
      <c r="H82" s="19">
        <f>H80+H81</f>
        <v/>
      </c>
      <c r="I82" s="72">
        <f>I80+I81</f>
        <v/>
      </c>
      <c r="J82" s="72">
        <f>J80+J81</f>
        <v/>
      </c>
      <c r="K82" s="72">
        <f>K80+K81</f>
        <v/>
      </c>
      <c r="L82" s="72">
        <f>L80+L81</f>
        <v/>
      </c>
      <c r="M82" s="72">
        <f>M80+M81</f>
        <v/>
      </c>
      <c r="N82" s="72">
        <f>N80+N81</f>
        <v/>
      </c>
      <c r="O82" s="72">
        <f>O80+O81</f>
        <v/>
      </c>
      <c r="P82" s="72">
        <f>P80+P81</f>
        <v/>
      </c>
      <c r="Q82" s="72">
        <f>Q80+Q81</f>
        <v/>
      </c>
      <c r="R82" s="72">
        <f>R80+R81</f>
        <v/>
      </c>
      <c r="S82" s="72">
        <f>S80+S81</f>
        <v/>
      </c>
      <c r="T82" s="72">
        <f>T80+T81</f>
        <v/>
      </c>
      <c r="U82" s="72">
        <f>U80+U81</f>
        <v/>
      </c>
      <c r="V82" s="72">
        <f>V80+V81</f>
        <v/>
      </c>
      <c r="W82" s="72">
        <f>W80+W81</f>
        <v/>
      </c>
      <c r="X82" s="72">
        <f>X80+X81</f>
        <v/>
      </c>
      <c r="Y82" s="72">
        <f>Y80+Y81</f>
        <v/>
      </c>
      <c r="Z82" s="72">
        <f>Z80+Z81</f>
        <v/>
      </c>
      <c r="AA82" s="72">
        <f>AA80+AA81</f>
        <v/>
      </c>
      <c r="AB82" s="4" t="n"/>
      <c r="AC82" s="4" t="n"/>
    </row>
    <row r="83">
      <c r="B83" s="20" t="n"/>
      <c r="C83" s="20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</row>
    <row r="84">
      <c r="B84" s="8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  <c r="AA84" s="29" t="n"/>
      <c r="AB84" s="29" t="n"/>
      <c r="AC84" s="29" t="n"/>
    </row>
    <row r="85">
      <c r="B85" s="8" t="n"/>
      <c r="D85" s="29" t="n"/>
      <c r="E85" s="29" t="n"/>
      <c r="F85" s="29" t="n"/>
      <c r="G85" s="29" t="n"/>
      <c r="H85" s="29" t="n"/>
      <c r="I85" s="29" t="n"/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  <c r="AA85" s="29" t="n"/>
      <c r="AB85" s="29" t="n"/>
      <c r="AC85" s="29" t="n"/>
    </row>
    <row r="86">
      <c r="B86" s="8" t="n"/>
      <c r="D86" s="29" t="n"/>
      <c r="E86" s="29" t="n"/>
      <c r="F86" s="29" t="n"/>
      <c r="G86" s="29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  <c r="AA86" s="29" t="n"/>
      <c r="AB86" s="29" t="n"/>
      <c r="AC86" s="29" t="n"/>
    </row>
    <row r="87">
      <c r="A87" t="inlineStr">
        <is>
          <t>EPS-Basic EPS</t>
        </is>
      </c>
      <c r="B87" s="8" t="inlineStr">
        <is>
          <t>Basic EPS</t>
        </is>
      </c>
      <c r="C87" t="inlineStr">
        <is>
          <t>cps</t>
        </is>
      </c>
      <c r="D87" s="66" t="n">
        <v>-4.7</v>
      </c>
      <c r="E87" s="29" t="n"/>
      <c r="F87" s="66" t="n">
        <v>7.2</v>
      </c>
      <c r="G87" s="29" t="n"/>
      <c r="H87" s="66" t="n">
        <v>10.4</v>
      </c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  <c r="AA87" s="29" t="n"/>
      <c r="AB87" s="29" t="n"/>
      <c r="AC87" s="29" t="n"/>
    </row>
    <row r="88">
      <c r="A88" t="inlineStr">
        <is>
          <t>EPS-Diluted EPS</t>
        </is>
      </c>
      <c r="B88" t="inlineStr">
        <is>
          <t>Diluted EPS</t>
        </is>
      </c>
      <c r="C88" t="inlineStr">
        <is>
          <t>cps</t>
        </is>
      </c>
      <c r="D88" s="66" t="n">
        <v>-4.7</v>
      </c>
      <c r="E88" s="29" t="n"/>
      <c r="F88" s="66" t="n">
        <v>6.9</v>
      </c>
      <c r="G88" s="29" t="n"/>
      <c r="H88" s="66" t="n">
        <v>10.1</v>
      </c>
      <c r="I88" s="29" t="n"/>
      <c r="J88" s="30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  <c r="AA88" s="29" t="n"/>
      <c r="AB88" s="29" t="n"/>
      <c r="AC88" s="29" t="n"/>
    </row>
    <row r="89">
      <c r="A89" t="inlineStr">
        <is>
          <t>Div-DPS</t>
        </is>
      </c>
      <c r="B89" t="inlineStr">
        <is>
          <t>DPS</t>
        </is>
      </c>
      <c r="C89" t="inlineStr">
        <is>
          <t>AUDps</t>
        </is>
      </c>
      <c r="D89" s="30" t="n"/>
      <c r="E89" s="29" t="n"/>
      <c r="F89" s="30" t="n"/>
      <c r="G89" s="29" t="n"/>
      <c r="H89" s="63" t="n">
        <v>0.074</v>
      </c>
      <c r="I89" s="90">
        <f>G89</f>
        <v/>
      </c>
      <c r="J89" s="90">
        <f>H89</f>
        <v/>
      </c>
      <c r="K89" s="90">
        <f>I89</f>
        <v/>
      </c>
      <c r="L89" s="90">
        <f>J89</f>
        <v/>
      </c>
      <c r="M89" s="90">
        <f>K89</f>
        <v/>
      </c>
      <c r="N89" s="90">
        <f>L89</f>
        <v/>
      </c>
      <c r="O89" s="90">
        <f>M89</f>
        <v/>
      </c>
      <c r="P89" s="90">
        <f>N89</f>
        <v/>
      </c>
      <c r="Q89" s="90">
        <f>O89</f>
        <v/>
      </c>
      <c r="R89" s="90">
        <f>P89</f>
        <v/>
      </c>
      <c r="S89" s="90">
        <f>Q89</f>
        <v/>
      </c>
      <c r="T89" s="90">
        <f>R89</f>
        <v/>
      </c>
      <c r="U89" s="90">
        <f>S89</f>
        <v/>
      </c>
      <c r="V89" s="90">
        <f>T89</f>
        <v/>
      </c>
      <c r="W89" s="90">
        <f>U89</f>
        <v/>
      </c>
      <c r="X89" s="90">
        <f>V89</f>
        <v/>
      </c>
      <c r="Y89" s="90">
        <f>W89</f>
        <v/>
      </c>
      <c r="Z89" s="90">
        <f>X89</f>
        <v/>
      </c>
      <c r="AA89" s="90">
        <f>Y89</f>
        <v/>
      </c>
      <c r="AB89" s="29" t="n"/>
      <c r="AC89" s="29" t="n"/>
    </row>
    <row r="90">
      <c r="D90" s="6" t="n"/>
      <c r="E90" s="6" t="n"/>
      <c r="F90" s="6" t="n"/>
      <c r="G90" s="6" t="n"/>
      <c r="H90" s="6" t="n"/>
      <c r="I90" s="6" t="n"/>
      <c r="J90" s="31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</row>
    <row r="91"/>
    <row r="92">
      <c r="A92" s="27" t="n"/>
      <c r="B92" s="28" t="n"/>
      <c r="C92" s="27" t="n"/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  <c r="AA92" s="27" t="n"/>
      <c r="AB92" s="27" t="n"/>
      <c r="AC92" s="27" t="n"/>
    </row>
    <row r="93">
      <c r="B93" s="8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</row>
    <row r="94">
      <c r="B94" s="25" t="n"/>
      <c r="D94" s="6" t="n"/>
      <c r="E94" s="6" t="n"/>
      <c r="F94" s="6" t="n"/>
      <c r="G94" s="6" t="n"/>
      <c r="H94" s="6" t="n"/>
      <c r="I94" s="6" t="n"/>
      <c r="J94" s="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  <c r="AA94" s="26" t="n"/>
      <c r="AB94" s="26" t="n"/>
      <c r="AC94" s="26" t="n"/>
    </row>
    <row r="95">
      <c r="B95" s="67" t="inlineStr">
        <is>
          <t>Australia Segment Drivers</t>
        </is>
      </c>
      <c r="D95" s="29" t="n"/>
      <c r="E95" s="29" t="n"/>
      <c r="F95" s="29" t="n"/>
      <c r="G95" s="29" t="n"/>
      <c r="H95" s="29" t="n"/>
      <c r="I95" s="29" t="n"/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  <c r="AA95" s="29" t="n"/>
      <c r="AB95" s="29" t="n"/>
      <c r="AC95" s="29" t="n"/>
    </row>
    <row r="96">
      <c r="B96" s="25" t="n"/>
      <c r="D96" s="6" t="n"/>
      <c r="E96" s="6" t="n"/>
      <c r="F96" s="6" t="n"/>
      <c r="G96" s="6" t="n"/>
      <c r="H96" s="6" t="n"/>
      <c r="I96" s="6" t="n"/>
      <c r="J96" s="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  <c r="AA96" s="26" t="n"/>
      <c r="AB96" s="26" t="n"/>
      <c r="AC96" s="26" t="n"/>
    </row>
    <row r="97">
      <c r="B97" s="67" t="inlineStr">
        <is>
          <t>Network Build</t>
        </is>
      </c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</row>
    <row r="98">
      <c r="A98" t="inlineStr">
        <is>
          <t>AU-DT Count</t>
        </is>
      </c>
      <c r="B98" s="25" t="inlineStr">
        <is>
          <t>AU Drive-Thru Count (period end)</t>
        </is>
      </c>
      <c r="C98" t="inlineStr">
        <is>
          <t>#</t>
        </is>
      </c>
      <c r="D98" s="31" t="n"/>
      <c r="E98" s="6" t="n"/>
      <c r="F98" s="31" t="n"/>
      <c r="G98" s="64" t="n">
        <v>117</v>
      </c>
      <c r="H98" s="64" t="n">
        <v>126</v>
      </c>
      <c r="I98" s="74" t="n">
        <v>135</v>
      </c>
      <c r="J98" s="74">
        <f>H98+9</f>
        <v/>
      </c>
      <c r="K98" s="74">
        <f>I98+9</f>
        <v/>
      </c>
      <c r="L98" s="74">
        <f>J98+9</f>
        <v/>
      </c>
      <c r="M98" s="74">
        <f>K98+9</f>
        <v/>
      </c>
      <c r="N98" s="74">
        <f>L98+9</f>
        <v/>
      </c>
      <c r="O98" s="74">
        <f>M98+9</f>
        <v/>
      </c>
      <c r="P98" s="74">
        <f>N98+9</f>
        <v/>
      </c>
      <c r="Q98" s="74">
        <f>O98+9</f>
        <v/>
      </c>
      <c r="R98" s="74">
        <f>P98+9</f>
        <v/>
      </c>
      <c r="S98" s="74">
        <f>Q98+9</f>
        <v/>
      </c>
      <c r="T98" s="74">
        <f>R98+9</f>
        <v/>
      </c>
      <c r="U98" s="74">
        <f>S98+9</f>
        <v/>
      </c>
      <c r="V98" s="74">
        <f>T98+9</f>
        <v/>
      </c>
      <c r="W98" s="74">
        <f>U98+9</f>
        <v/>
      </c>
      <c r="X98" s="74">
        <f>V98+9</f>
        <v/>
      </c>
      <c r="Y98" s="74">
        <f>W98+9</f>
        <v/>
      </c>
      <c r="Z98" s="74">
        <f>X98+9</f>
        <v/>
      </c>
      <c r="AA98" s="74">
        <f>Y98+9</f>
        <v/>
      </c>
      <c r="AB98" s="26" t="n"/>
      <c r="AC98" s="26" t="n"/>
    </row>
    <row r="99">
      <c r="A99" t="inlineStr">
        <is>
          <t>AU-Strip Count</t>
        </is>
      </c>
      <c r="B99" s="8" t="inlineStr">
        <is>
          <t>AU Strip Count (period end)</t>
        </is>
      </c>
      <c r="C99" t="inlineStr">
        <is>
          <t>#</t>
        </is>
      </c>
      <c r="D99" s="4" t="n"/>
      <c r="E99" s="4" t="n"/>
      <c r="F99" s="4" t="n"/>
      <c r="G99" s="64" t="n">
        <v>68</v>
      </c>
      <c r="H99" s="64" t="n">
        <v>73</v>
      </c>
      <c r="I99" s="42" t="n">
        <v>76</v>
      </c>
      <c r="J99" s="42">
        <f>H99+3</f>
        <v/>
      </c>
      <c r="K99" s="42">
        <f>I99+3</f>
        <v/>
      </c>
      <c r="L99" s="42">
        <f>J99+3</f>
        <v/>
      </c>
      <c r="M99" s="42">
        <f>K99+3</f>
        <v/>
      </c>
      <c r="N99" s="42">
        <f>L99+3</f>
        <v/>
      </c>
      <c r="O99" s="42">
        <f>M99+3</f>
        <v/>
      </c>
      <c r="P99" s="42">
        <f>N99+3</f>
        <v/>
      </c>
      <c r="Q99" s="42">
        <f>O99+3</f>
        <v/>
      </c>
      <c r="R99" s="42">
        <f>P99+3</f>
        <v/>
      </c>
      <c r="S99" s="42">
        <f>Q99+3</f>
        <v/>
      </c>
      <c r="T99" s="42">
        <f>R99+3</f>
        <v/>
      </c>
      <c r="U99" s="42">
        <f>S99+3</f>
        <v/>
      </c>
      <c r="V99" s="42">
        <f>T99+3</f>
        <v/>
      </c>
      <c r="W99" s="42">
        <f>U99+3</f>
        <v/>
      </c>
      <c r="X99" s="42">
        <f>V99+3</f>
        <v/>
      </c>
      <c r="Y99" s="42">
        <f>W99+3</f>
        <v/>
      </c>
      <c r="Z99" s="42">
        <f>X99+3</f>
        <v/>
      </c>
      <c r="AA99" s="42">
        <f>Y99+3</f>
        <v/>
      </c>
      <c r="AB99" s="4" t="n"/>
      <c r="AC99" s="4" t="n"/>
    </row>
    <row r="100">
      <c r="A100" t="inlineStr">
        <is>
          <t>AU-Other Count</t>
        </is>
      </c>
      <c r="B100" s="8" t="inlineStr">
        <is>
          <t>AU Other Count (period end)</t>
        </is>
      </c>
      <c r="C100" t="inlineStr">
        <is>
          <t>#</t>
        </is>
      </c>
      <c r="D100" s="4" t="n"/>
      <c r="E100" s="4" t="n"/>
      <c r="F100" s="4" t="n"/>
      <c r="G100" s="64" t="n">
        <v>39</v>
      </c>
      <c r="H100" s="64" t="n">
        <v>38</v>
      </c>
      <c r="I100" s="42">
        <f>G100</f>
        <v/>
      </c>
      <c r="J100" s="42">
        <f>H100</f>
        <v/>
      </c>
      <c r="K100" s="42">
        <f>I100</f>
        <v/>
      </c>
      <c r="L100" s="42">
        <f>J100</f>
        <v/>
      </c>
      <c r="M100" s="42">
        <f>K100</f>
        <v/>
      </c>
      <c r="N100" s="42">
        <f>L100</f>
        <v/>
      </c>
      <c r="O100" s="42">
        <f>M100</f>
        <v/>
      </c>
      <c r="P100" s="42">
        <f>N100</f>
        <v/>
      </c>
      <c r="Q100" s="42">
        <f>O100</f>
        <v/>
      </c>
      <c r="R100" s="42">
        <f>P100</f>
        <v/>
      </c>
      <c r="S100" s="42">
        <f>Q100</f>
        <v/>
      </c>
      <c r="T100" s="42">
        <f>R100</f>
        <v/>
      </c>
      <c r="U100" s="42">
        <f>S100</f>
        <v/>
      </c>
      <c r="V100" s="42">
        <f>T100</f>
        <v/>
      </c>
      <c r="W100" s="42">
        <f>U100</f>
        <v/>
      </c>
      <c r="X100" s="42">
        <f>V100</f>
        <v/>
      </c>
      <c r="Y100" s="42">
        <f>W100</f>
        <v/>
      </c>
      <c r="Z100" s="42">
        <f>X100</f>
        <v/>
      </c>
      <c r="AA100" s="42">
        <f>Y100</f>
        <v/>
      </c>
      <c r="AB100" s="4" t="n"/>
      <c r="AC100" s="4" t="n"/>
    </row>
    <row r="101">
      <c r="A101" t="inlineStr">
        <is>
          <t>AU-Total Network</t>
        </is>
      </c>
      <c r="B101" s="25" t="inlineStr">
        <is>
          <t>AU Total Network Restaurants</t>
        </is>
      </c>
      <c r="C101" t="inlineStr">
        <is>
          <t>#</t>
        </is>
      </c>
      <c r="D101" s="6">
        <f>SUM(D98:D100)</f>
        <v/>
      </c>
      <c r="E101" s="6">
        <f>SUM(E98:E100)</f>
        <v/>
      </c>
      <c r="F101" s="6">
        <f>SUM(F98:F100)</f>
        <v/>
      </c>
      <c r="G101" s="6">
        <f>SUM(G98:G100)</f>
        <v/>
      </c>
      <c r="H101" s="6">
        <f>SUM(H98:H100)</f>
        <v/>
      </c>
      <c r="I101" s="83">
        <f>SUM(I98:I100)</f>
        <v/>
      </c>
      <c r="J101" s="83">
        <f>SUM(J98:J100)</f>
        <v/>
      </c>
      <c r="K101" s="83">
        <f>SUM(K98:K100)</f>
        <v/>
      </c>
      <c r="L101" s="83">
        <f>SUM(L98:L100)</f>
        <v/>
      </c>
      <c r="M101" s="83">
        <f>SUM(M98:M100)</f>
        <v/>
      </c>
      <c r="N101" s="83">
        <f>SUM(N98:N100)</f>
        <v/>
      </c>
      <c r="O101" s="83">
        <f>SUM(O98:O100)</f>
        <v/>
      </c>
      <c r="P101" s="83">
        <f>SUM(P98:P100)</f>
        <v/>
      </c>
      <c r="Q101" s="83">
        <f>SUM(Q98:Q100)</f>
        <v/>
      </c>
      <c r="R101" s="83">
        <f>SUM(R98:R100)</f>
        <v/>
      </c>
      <c r="S101" s="83">
        <f>SUM(S98:S100)</f>
        <v/>
      </c>
      <c r="T101" s="83">
        <f>SUM(T98:T100)</f>
        <v/>
      </c>
      <c r="U101" s="83">
        <f>SUM(U98:U100)</f>
        <v/>
      </c>
      <c r="V101" s="83">
        <f>SUM(V98:V100)</f>
        <v/>
      </c>
      <c r="W101" s="83">
        <f>SUM(W98:W100)</f>
        <v/>
      </c>
      <c r="X101" s="83">
        <f>SUM(X98:X100)</f>
        <v/>
      </c>
      <c r="Y101" s="83">
        <f>SUM(Y98:Y100)</f>
        <v/>
      </c>
      <c r="Z101" s="83">
        <f>SUM(Z98:Z100)</f>
        <v/>
      </c>
      <c r="AA101" s="83">
        <f>SUM(AA98:AA100)</f>
        <v/>
      </c>
      <c r="AB101" s="26" t="n"/>
      <c r="AC101" s="26" t="n"/>
    </row>
    <row r="102">
      <c r="A102" t="inlineStr">
        <is>
          <t>AU-DT AUV</t>
        </is>
      </c>
      <c r="B102" s="8" t="inlineStr">
        <is>
          <t>Drive-Thru AUV (annualised)</t>
        </is>
      </c>
      <c r="C102" t="inlineStr">
        <is>
          <t>AUDm</t>
        </is>
      </c>
      <c r="D102" s="29" t="n"/>
      <c r="E102" s="29" t="n"/>
      <c r="F102" s="60" t="n">
        <v>6.9</v>
      </c>
      <c r="G102" s="29" t="n"/>
      <c r="H102" s="60" t="n">
        <v>6.9</v>
      </c>
      <c r="I102" s="90" t="n">
        <v>6.9</v>
      </c>
      <c r="J102" s="90">
        <f>H102*(1+J103)</f>
        <v/>
      </c>
      <c r="K102" s="90">
        <f>I102*(1+K103)</f>
        <v/>
      </c>
      <c r="L102" s="90">
        <f>J102*(1+L103)</f>
        <v/>
      </c>
      <c r="M102" s="90">
        <f>K102*(1+M103)</f>
        <v/>
      </c>
      <c r="N102" s="90">
        <f>L102*(1+N103)</f>
        <v/>
      </c>
      <c r="O102" s="90">
        <f>M102*(1+O103)</f>
        <v/>
      </c>
      <c r="P102" s="90">
        <f>N102*(1+P103)</f>
        <v/>
      </c>
      <c r="Q102" s="90">
        <f>O102*(1+Q103)</f>
        <v/>
      </c>
      <c r="R102" s="90">
        <f>P102*(1+R103)</f>
        <v/>
      </c>
      <c r="S102" s="90">
        <f>Q102*(1+S103)</f>
        <v/>
      </c>
      <c r="T102" s="90">
        <f>R102*(1+T103)</f>
        <v/>
      </c>
      <c r="U102" s="90">
        <f>S102*(1+U103)</f>
        <v/>
      </c>
      <c r="V102" s="90">
        <f>T102*(1+V103)</f>
        <v/>
      </c>
      <c r="W102" s="90">
        <f>U102*(1+W103)</f>
        <v/>
      </c>
      <c r="X102" s="90">
        <f>V102*(1+X103)</f>
        <v/>
      </c>
      <c r="Y102" s="90">
        <f>W102*(1+Y103)</f>
        <v/>
      </c>
      <c r="Z102" s="90">
        <f>X102*(1+Z103)</f>
        <v/>
      </c>
      <c r="AA102" s="90">
        <f>Y102*(1+AA103)</f>
        <v/>
      </c>
      <c r="AB102" s="29" t="n"/>
      <c r="AC102" s="29" t="n"/>
    </row>
    <row r="103">
      <c r="A103" t="inlineStr">
        <is>
          <t>AU-DT AUV Growth</t>
        </is>
      </c>
      <c r="B103" s="20" t="inlineStr">
        <is>
          <t>DT AUV Growth</t>
        </is>
      </c>
      <c r="C103" s="20" t="inlineStr">
        <is>
          <t>%</t>
        </is>
      </c>
      <c r="D103" s="21" t="n"/>
      <c r="E103" s="21" t="n"/>
      <c r="F103" s="21" t="n"/>
      <c r="G103" s="21" t="n"/>
      <c r="H103" s="21" t="n"/>
      <c r="I103" s="94" t="n">
        <v>0.025</v>
      </c>
      <c r="J103" s="94" t="n">
        <v>0.025</v>
      </c>
      <c r="K103" s="94" t="n">
        <v>0.025</v>
      </c>
      <c r="L103" s="94" t="n">
        <v>0.025</v>
      </c>
      <c r="M103" s="94" t="n">
        <v>0.025</v>
      </c>
      <c r="N103" s="94" t="n">
        <v>0.025</v>
      </c>
      <c r="O103" s="94" t="n">
        <v>0.025</v>
      </c>
      <c r="P103" s="94" t="n">
        <v>0.025</v>
      </c>
      <c r="Q103" s="94" t="n">
        <v>0.025</v>
      </c>
      <c r="R103" s="94" t="n">
        <v>0.025</v>
      </c>
      <c r="S103" s="94" t="n">
        <v>0.025</v>
      </c>
      <c r="T103" s="94" t="n">
        <v>0.025</v>
      </c>
      <c r="U103" s="94" t="n">
        <v>0.025</v>
      </c>
      <c r="V103" s="94" t="n">
        <v>0.025</v>
      </c>
      <c r="W103" s="94" t="n">
        <v>0.025</v>
      </c>
      <c r="X103" s="94" t="n">
        <v>0.025</v>
      </c>
      <c r="Y103" s="94" t="n">
        <v>0.025</v>
      </c>
      <c r="Z103" s="94" t="n">
        <v>0.025</v>
      </c>
      <c r="AA103" s="94" t="n">
        <v>0.025</v>
      </c>
      <c r="AB103" s="21" t="n"/>
      <c r="AC103" s="21" t="n"/>
    </row>
    <row r="104">
      <c r="A104" t="inlineStr">
        <is>
          <t>AU-Strip AUV</t>
        </is>
      </c>
      <c r="B104" t="inlineStr">
        <is>
          <t>Strip AUV (annualised)</t>
        </is>
      </c>
      <c r="C104" t="inlineStr">
        <is>
          <t>AUDm</t>
        </is>
      </c>
      <c r="F104" s="60" t="n">
        <v>5</v>
      </c>
      <c r="H104" s="60" t="n">
        <v>5.2</v>
      </c>
      <c r="I104" s="93" t="n">
        <v>5.2</v>
      </c>
      <c r="J104" s="93">
        <f>H104*(1+J105)</f>
        <v/>
      </c>
      <c r="K104" s="93">
        <f>I104*(1+K105)</f>
        <v/>
      </c>
      <c r="L104" s="93">
        <f>J104*(1+L105)</f>
        <v/>
      </c>
      <c r="M104" s="93">
        <f>K104*(1+M105)</f>
        <v/>
      </c>
      <c r="N104" s="93">
        <f>L104*(1+N105)</f>
        <v/>
      </c>
      <c r="O104" s="93">
        <f>M104*(1+O105)</f>
        <v/>
      </c>
      <c r="P104" s="93">
        <f>N104*(1+P105)</f>
        <v/>
      </c>
      <c r="Q104" s="93">
        <f>O104*(1+Q105)</f>
        <v/>
      </c>
      <c r="R104" s="93">
        <f>P104*(1+R105)</f>
        <v/>
      </c>
      <c r="S104" s="93">
        <f>Q104*(1+S105)</f>
        <v/>
      </c>
      <c r="T104" s="93">
        <f>R104*(1+T105)</f>
        <v/>
      </c>
      <c r="U104" s="93">
        <f>S104*(1+U105)</f>
        <v/>
      </c>
      <c r="V104" s="93">
        <f>T104*(1+V105)</f>
        <v/>
      </c>
      <c r="W104" s="93">
        <f>U104*(1+W105)</f>
        <v/>
      </c>
      <c r="X104" s="93">
        <f>V104*(1+X105)</f>
        <v/>
      </c>
      <c r="Y104" s="93">
        <f>W104*(1+Y105)</f>
        <v/>
      </c>
      <c r="Z104" s="93">
        <f>X104*(1+Z105)</f>
        <v/>
      </c>
      <c r="AA104" s="93">
        <f>Y104*(1+AA105)</f>
        <v/>
      </c>
    </row>
    <row r="105">
      <c r="A105" s="27" t="inlineStr">
        <is>
          <t>AU-Strip AUV Growth</t>
        </is>
      </c>
      <c r="B105" s="28" t="inlineStr">
        <is>
          <t>Strip AUV Growth</t>
        </is>
      </c>
      <c r="C105" s="27" t="inlineStr">
        <is>
          <t>%</t>
        </is>
      </c>
      <c r="D105" s="27" t="n"/>
      <c r="E105" s="27" t="n"/>
      <c r="F105" s="27" t="n"/>
      <c r="G105" s="27" t="n"/>
      <c r="H105" s="27" t="n"/>
      <c r="I105" s="96" t="n">
        <v>0.025</v>
      </c>
      <c r="J105" s="96" t="n">
        <v>0.025</v>
      </c>
      <c r="K105" s="96" t="n">
        <v>0.025</v>
      </c>
      <c r="L105" s="96" t="n">
        <v>0.025</v>
      </c>
      <c r="M105" s="96" t="n">
        <v>0.025</v>
      </c>
      <c r="N105" s="96" t="n">
        <v>0.025</v>
      </c>
      <c r="O105" s="96" t="n">
        <v>0.025</v>
      </c>
      <c r="P105" s="96" t="n">
        <v>0.025</v>
      </c>
      <c r="Q105" s="96" t="n">
        <v>0.025</v>
      </c>
      <c r="R105" s="96" t="n">
        <v>0.025</v>
      </c>
      <c r="S105" s="96" t="n">
        <v>0.025</v>
      </c>
      <c r="T105" s="96" t="n">
        <v>0.025</v>
      </c>
      <c r="U105" s="96" t="n">
        <v>0.025</v>
      </c>
      <c r="V105" s="96" t="n">
        <v>0.025</v>
      </c>
      <c r="W105" s="96" t="n">
        <v>0.025</v>
      </c>
      <c r="X105" s="96" t="n">
        <v>0.025</v>
      </c>
      <c r="Y105" s="96" t="n">
        <v>0.025</v>
      </c>
      <c r="Z105" s="96" t="n">
        <v>0.025</v>
      </c>
      <c r="AA105" s="96" t="n">
        <v>0.025</v>
      </c>
      <c r="AB105" s="27" t="n"/>
      <c r="AC105" s="27" t="n"/>
    </row>
    <row r="106">
      <c r="A106" t="inlineStr">
        <is>
          <t>AU-Other AUV</t>
        </is>
      </c>
      <c r="B106" s="8" t="inlineStr">
        <is>
          <t>Other AUV (annualised)</t>
        </is>
      </c>
      <c r="C106" t="inlineStr">
        <is>
          <t>AUDm</t>
        </is>
      </c>
      <c r="D106" s="4" t="n"/>
      <c r="E106" s="4" t="n"/>
      <c r="F106" s="4" t="n"/>
      <c r="G106" s="4" t="n"/>
      <c r="H106" s="4" t="n"/>
      <c r="I106" s="42" t="n">
        <v>4</v>
      </c>
      <c r="J106" s="42">
        <f>H106</f>
        <v/>
      </c>
      <c r="K106" s="42">
        <f>I106</f>
        <v/>
      </c>
      <c r="L106" s="42">
        <f>J106</f>
        <v/>
      </c>
      <c r="M106" s="42">
        <f>K106</f>
        <v/>
      </c>
      <c r="N106" s="42">
        <f>L106</f>
        <v/>
      </c>
      <c r="O106" s="42">
        <f>M106</f>
        <v/>
      </c>
      <c r="P106" s="42">
        <f>N106</f>
        <v/>
      </c>
      <c r="Q106" s="42">
        <f>O106</f>
        <v/>
      </c>
      <c r="R106" s="42">
        <f>P106</f>
        <v/>
      </c>
      <c r="S106" s="42">
        <f>Q106</f>
        <v/>
      </c>
      <c r="T106" s="42">
        <f>R106</f>
        <v/>
      </c>
      <c r="U106" s="42">
        <f>S106</f>
        <v/>
      </c>
      <c r="V106" s="42">
        <f>T106</f>
        <v/>
      </c>
      <c r="W106" s="42">
        <f>U106</f>
        <v/>
      </c>
      <c r="X106" s="42">
        <f>V106</f>
        <v/>
      </c>
      <c r="Y106" s="42">
        <f>W106</f>
        <v/>
      </c>
      <c r="Z106" s="42">
        <f>X106</f>
        <v/>
      </c>
      <c r="AA106" s="42">
        <f>Y106</f>
        <v/>
      </c>
      <c r="AB106" s="4" t="n"/>
      <c r="AC106" s="4" t="n"/>
    </row>
    <row r="107">
      <c r="A107" t="inlineStr">
        <is>
          <t>AU-Network Sales</t>
        </is>
      </c>
      <c r="B107" s="25" t="inlineStr">
        <is>
          <t>AU Network Sales</t>
        </is>
      </c>
      <c r="C107" t="inlineStr">
        <is>
          <t>AUDm</t>
        </is>
      </c>
      <c r="D107" s="60" t="n">
        <v>439</v>
      </c>
      <c r="E107" s="60" t="n">
        <v>456</v>
      </c>
      <c r="F107" s="60" t="n">
        <v>538.24</v>
      </c>
      <c r="G107" s="60" t="n">
        <v>556</v>
      </c>
      <c r="H107" s="60" t="n">
        <v>632.1</v>
      </c>
      <c r="I107" s="83">
        <f>I98*I102/2+I99*I104/2+I100*I106/2</f>
        <v/>
      </c>
      <c r="J107" s="83">
        <f>J98*J102/2+J99*J104/2+J100*J106/2</f>
        <v/>
      </c>
      <c r="K107" s="83">
        <f>K98*K102/2+K99*K104/2+K100*K106/2</f>
        <v/>
      </c>
      <c r="L107" s="83">
        <f>L98*L102/2+L99*L104/2+L100*L106/2</f>
        <v/>
      </c>
      <c r="M107" s="83">
        <f>M98*M102/2+M99*M104/2+M100*M106/2</f>
        <v/>
      </c>
      <c r="N107" s="83">
        <f>N98*N102/2+N99*N104/2+N100*N106/2</f>
        <v/>
      </c>
      <c r="O107" s="83">
        <f>O98*O102/2+O99*O104/2+O100*O106/2</f>
        <v/>
      </c>
      <c r="P107" s="83">
        <f>P98*P102/2+P99*P104/2+P100*P106/2</f>
        <v/>
      </c>
      <c r="Q107" s="83">
        <f>Q98*Q102/2+Q99*Q104/2+Q100*Q106/2</f>
        <v/>
      </c>
      <c r="R107" s="83">
        <f>R98*R102/2+R99*R104/2+R100*R106/2</f>
        <v/>
      </c>
      <c r="S107" s="83">
        <f>S98*S102/2+S99*S104/2+S100*S106/2</f>
        <v/>
      </c>
      <c r="T107" s="83">
        <f>T98*T102/2+T99*T104/2+T100*T106/2</f>
        <v/>
      </c>
      <c r="U107" s="83">
        <f>U98*U102/2+U99*U104/2+U100*U106/2</f>
        <v/>
      </c>
      <c r="V107" s="83">
        <f>V98*V102/2+V99*V104/2+V100*V106/2</f>
        <v/>
      </c>
      <c r="W107" s="83">
        <f>W98*W102/2+W99*W104/2+W100*W106/2</f>
        <v/>
      </c>
      <c r="X107" s="83">
        <f>X98*X102/2+X99*X104/2+X100*X106/2</f>
        <v/>
      </c>
      <c r="Y107" s="83">
        <f>Y98*Y102/2+Y99*Y104/2+Y100*Y106/2</f>
        <v/>
      </c>
      <c r="Z107" s="83">
        <f>Z98*Z102/2+Z99*Z104/2+Z100*Z106/2</f>
        <v/>
      </c>
      <c r="AA107" s="83">
        <f>AA98*AA102/2+AA99*AA104/2+AA100*AA106/2</f>
        <v/>
      </c>
      <c r="AB107" s="26" t="n"/>
      <c r="AC107" s="26" t="n"/>
    </row>
    <row r="108">
      <c r="A108" t="inlineStr">
        <is>
          <t>SG-Network Sales</t>
        </is>
      </c>
      <c r="B108" s="8" t="inlineStr">
        <is>
          <t>SG Network Sales</t>
        </is>
      </c>
      <c r="C108" t="inlineStr">
        <is>
          <t>AUDm</t>
        </is>
      </c>
      <c r="D108" s="60" t="n">
        <v>22.245</v>
      </c>
      <c r="E108" s="60" t="n">
        <v>24.155</v>
      </c>
      <c r="F108" s="60" t="n">
        <v>30.194</v>
      </c>
      <c r="G108" s="60" t="n">
        <v>34.506</v>
      </c>
      <c r="H108" s="29" t="n"/>
      <c r="I108" s="89">
        <f>G108*(1+I109)</f>
        <v/>
      </c>
      <c r="J108" s="89">
        <f>H108*(1+J109)</f>
        <v/>
      </c>
      <c r="K108" s="89">
        <f>I108*(1+K109)</f>
        <v/>
      </c>
      <c r="L108" s="89">
        <f>J108*(1+L109)</f>
        <v/>
      </c>
      <c r="M108" s="89">
        <f>K108*(1+M109)</f>
        <v/>
      </c>
      <c r="N108" s="89">
        <f>L108*(1+N109)</f>
        <v/>
      </c>
      <c r="O108" s="89">
        <f>M108*(1+O109)</f>
        <v/>
      </c>
      <c r="P108" s="89">
        <f>N108*(1+P109)</f>
        <v/>
      </c>
      <c r="Q108" s="89">
        <f>O108*(1+Q109)</f>
        <v/>
      </c>
      <c r="R108" s="89">
        <f>P108*(1+R109)</f>
        <v/>
      </c>
      <c r="S108" s="89">
        <f>Q108*(1+S109)</f>
        <v/>
      </c>
      <c r="T108" s="89">
        <f>R108*(1+T109)</f>
        <v/>
      </c>
      <c r="U108" s="89">
        <f>S108*(1+U109)</f>
        <v/>
      </c>
      <c r="V108" s="89">
        <f>T108*(1+V109)</f>
        <v/>
      </c>
      <c r="W108" s="89">
        <f>U108*(1+W109)</f>
        <v/>
      </c>
      <c r="X108" s="89">
        <f>V108*(1+X109)</f>
        <v/>
      </c>
      <c r="Y108" s="89">
        <f>W108*(1+Y109)</f>
        <v/>
      </c>
      <c r="Z108" s="89">
        <f>X108*(1+Z109)</f>
        <v/>
      </c>
      <c r="AA108" s="89">
        <f>Y108*(1+AA109)</f>
        <v/>
      </c>
      <c r="AB108" s="29" t="n"/>
      <c r="AC108" s="29" t="n"/>
    </row>
    <row r="109">
      <c r="A109" t="inlineStr">
        <is>
          <t>SG-Growth</t>
        </is>
      </c>
      <c r="B109" s="25" t="inlineStr">
        <is>
          <t>SG Sales Growth</t>
        </is>
      </c>
      <c r="C109" t="inlineStr">
        <is>
          <t>%</t>
        </is>
      </c>
      <c r="D109" s="6" t="n"/>
      <c r="E109" s="6" t="n"/>
      <c r="F109" s="6" t="n"/>
      <c r="G109" s="6" t="n"/>
      <c r="H109" s="6" t="n"/>
      <c r="I109" s="74" t="n">
        <v>0.1</v>
      </c>
      <c r="J109" s="74">
        <f>H109</f>
        <v/>
      </c>
      <c r="K109" s="74">
        <f>I109</f>
        <v/>
      </c>
      <c r="L109" s="74">
        <f>J109</f>
        <v/>
      </c>
      <c r="M109" s="74">
        <f>K109</f>
        <v/>
      </c>
      <c r="N109" s="74">
        <f>L109</f>
        <v/>
      </c>
      <c r="O109" s="74">
        <f>M109</f>
        <v/>
      </c>
      <c r="P109" s="74">
        <f>N109</f>
        <v/>
      </c>
      <c r="Q109" s="74">
        <f>O109</f>
        <v/>
      </c>
      <c r="R109" s="74">
        <f>P109</f>
        <v/>
      </c>
      <c r="S109" s="74">
        <f>Q109</f>
        <v/>
      </c>
      <c r="T109" s="74">
        <f>R109</f>
        <v/>
      </c>
      <c r="U109" s="74">
        <f>S109</f>
        <v/>
      </c>
      <c r="V109" s="74">
        <f>T109</f>
        <v/>
      </c>
      <c r="W109" s="74">
        <f>U109</f>
        <v/>
      </c>
      <c r="X109" s="74">
        <f>V109</f>
        <v/>
      </c>
      <c r="Y109" s="74">
        <f>W109</f>
        <v/>
      </c>
      <c r="Z109" s="74">
        <f>X109</f>
        <v/>
      </c>
      <c r="AA109" s="74">
        <f>Y109</f>
        <v/>
      </c>
      <c r="AB109" s="26" t="n"/>
      <c r="AC109" s="26" t="n"/>
    </row>
    <row r="110">
      <c r="A110" t="inlineStr">
        <is>
          <t>JP-Network Sales</t>
        </is>
      </c>
      <c r="B110" s="8" t="inlineStr">
        <is>
          <t>JP Network Sales</t>
        </is>
      </c>
      <c r="C110" t="inlineStr">
        <is>
          <t>AUDm</t>
        </is>
      </c>
      <c r="D110" s="60" t="n">
        <v>4.241</v>
      </c>
      <c r="E110" s="60" t="n">
        <v>3.659000000000001</v>
      </c>
      <c r="F110" s="60" t="n">
        <v>4.606</v>
      </c>
      <c r="G110" s="60" t="n">
        <v>4.494</v>
      </c>
      <c r="H110" s="4" t="n"/>
      <c r="I110" s="72">
        <f>G110*(1+I111)</f>
        <v/>
      </c>
      <c r="J110" s="72">
        <f>H110*(1+J111)</f>
        <v/>
      </c>
      <c r="K110" s="72">
        <f>I110*(1+K111)</f>
        <v/>
      </c>
      <c r="L110" s="72">
        <f>J110*(1+L111)</f>
        <v/>
      </c>
      <c r="M110" s="72">
        <f>K110*(1+M111)</f>
        <v/>
      </c>
      <c r="N110" s="72">
        <f>L110*(1+N111)</f>
        <v/>
      </c>
      <c r="O110" s="72">
        <f>M110*(1+O111)</f>
        <v/>
      </c>
      <c r="P110" s="72">
        <f>N110*(1+P111)</f>
        <v/>
      </c>
      <c r="Q110" s="72">
        <f>O110*(1+Q111)</f>
        <v/>
      </c>
      <c r="R110" s="72">
        <f>P110*(1+R111)</f>
        <v/>
      </c>
      <c r="S110" s="72">
        <f>Q110*(1+S111)</f>
        <v/>
      </c>
      <c r="T110" s="72">
        <f>R110*(1+T111)</f>
        <v/>
      </c>
      <c r="U110" s="72">
        <f>S110*(1+U111)</f>
        <v/>
      </c>
      <c r="V110" s="72">
        <f>T110*(1+V111)</f>
        <v/>
      </c>
      <c r="W110" s="72">
        <f>U110*(1+W111)</f>
        <v/>
      </c>
      <c r="X110" s="72">
        <f>V110*(1+X111)</f>
        <v/>
      </c>
      <c r="Y110" s="72">
        <f>W110*(1+Y111)</f>
        <v/>
      </c>
      <c r="Z110" s="72">
        <f>X110*(1+Z111)</f>
        <v/>
      </c>
      <c r="AA110" s="72">
        <f>Y110*(1+AA111)</f>
        <v/>
      </c>
      <c r="AB110" s="4" t="n"/>
      <c r="AC110" s="4" t="n"/>
    </row>
    <row r="111">
      <c r="A111" t="inlineStr">
        <is>
          <t>JP-Growth</t>
        </is>
      </c>
      <c r="B111" s="25" t="inlineStr">
        <is>
          <t>JP Sales Growth</t>
        </is>
      </c>
      <c r="C111" t="inlineStr">
        <is>
          <t>%</t>
        </is>
      </c>
      <c r="D111" s="31" t="n"/>
      <c r="E111" s="6" t="n"/>
      <c r="F111" s="31" t="n"/>
      <c r="G111" s="6" t="n"/>
      <c r="H111" s="31" t="n"/>
      <c r="I111" s="74" t="n">
        <v>0.1</v>
      </c>
      <c r="J111" s="74">
        <f>H111</f>
        <v/>
      </c>
      <c r="K111" s="74">
        <f>I111</f>
        <v/>
      </c>
      <c r="L111" s="74">
        <f>J111</f>
        <v/>
      </c>
      <c r="M111" s="74">
        <f>K111</f>
        <v/>
      </c>
      <c r="N111" s="74">
        <f>L111</f>
        <v/>
      </c>
      <c r="O111" s="74">
        <f>M111</f>
        <v/>
      </c>
      <c r="P111" s="74">
        <f>N111</f>
        <v/>
      </c>
      <c r="Q111" s="74">
        <f>O111</f>
        <v/>
      </c>
      <c r="R111" s="74">
        <f>P111</f>
        <v/>
      </c>
      <c r="S111" s="74">
        <f>Q111</f>
        <v/>
      </c>
      <c r="T111" s="74">
        <f>R111</f>
        <v/>
      </c>
      <c r="U111" s="74">
        <f>S111</f>
        <v/>
      </c>
      <c r="V111" s="74">
        <f>T111</f>
        <v/>
      </c>
      <c r="W111" s="74">
        <f>U111</f>
        <v/>
      </c>
      <c r="X111" s="74">
        <f>V111</f>
        <v/>
      </c>
      <c r="Y111" s="74">
        <f>W111</f>
        <v/>
      </c>
      <c r="Z111" s="74">
        <f>X111</f>
        <v/>
      </c>
      <c r="AA111" s="74">
        <f>Y111</f>
        <v/>
      </c>
      <c r="AB111" s="26" t="n"/>
      <c r="AC111" s="26" t="n"/>
    </row>
    <row r="112">
      <c r="A112" t="inlineStr">
        <is>
          <t>AU-Total Seg NS</t>
        </is>
      </c>
      <c r="B112" s="8" t="inlineStr">
        <is>
          <t>Total AU Segment Network Sales</t>
        </is>
      </c>
      <c r="C112" t="inlineStr">
        <is>
          <t>AUDm</t>
        </is>
      </c>
      <c r="D112" s="4">
        <f>D107+D108+D110</f>
        <v/>
      </c>
      <c r="E112" s="4">
        <f>E107+E108+E110</f>
        <v/>
      </c>
      <c r="F112" s="4">
        <f>F107+F108+F110</f>
        <v/>
      </c>
      <c r="G112" s="4">
        <f>G107+G108+G110</f>
        <v/>
      </c>
      <c r="H112" s="4">
        <f>H107+H108+H110</f>
        <v/>
      </c>
      <c r="I112" s="72">
        <f>I107+I108+I110</f>
        <v/>
      </c>
      <c r="J112" s="72">
        <f>J107+J108+J110</f>
        <v/>
      </c>
      <c r="K112" s="72">
        <f>K107+K108+K110</f>
        <v/>
      </c>
      <c r="L112" s="72">
        <f>L107+L108+L110</f>
        <v/>
      </c>
      <c r="M112" s="72">
        <f>M107+M108+M110</f>
        <v/>
      </c>
      <c r="N112" s="72">
        <f>N107+N108+N110</f>
        <v/>
      </c>
      <c r="O112" s="72">
        <f>O107+O108+O110</f>
        <v/>
      </c>
      <c r="P112" s="72">
        <f>P107+P108+P110</f>
        <v/>
      </c>
      <c r="Q112" s="72">
        <f>Q107+Q108+Q110</f>
        <v/>
      </c>
      <c r="R112" s="72">
        <f>R107+R108+R110</f>
        <v/>
      </c>
      <c r="S112" s="72">
        <f>S107+S108+S110</f>
        <v/>
      </c>
      <c r="T112" s="72">
        <f>T107+T108+T110</f>
        <v/>
      </c>
      <c r="U112" s="72">
        <f>U107+U108+U110</f>
        <v/>
      </c>
      <c r="V112" s="72">
        <f>V107+V108+V110</f>
        <v/>
      </c>
      <c r="W112" s="72">
        <f>W107+W108+W110</f>
        <v/>
      </c>
      <c r="X112" s="72">
        <f>X107+X108+X110</f>
        <v/>
      </c>
      <c r="Y112" s="72">
        <f>Y107+Y108+Y110</f>
        <v/>
      </c>
      <c r="Z112" s="72">
        <f>Z107+Z108+Z110</f>
        <v/>
      </c>
      <c r="AA112" s="72">
        <f>AA107+AA108+AA110</f>
        <v/>
      </c>
      <c r="AB112" s="4" t="n"/>
      <c r="AC112" s="4" t="n"/>
    </row>
    <row r="113">
      <c r="B113" s="8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</row>
    <row r="114">
      <c r="B114" s="67" t="inlineStr">
        <is>
          <t>Corporate Build</t>
        </is>
      </c>
      <c r="D114" s="6" t="n"/>
      <c r="E114" s="6" t="n"/>
      <c r="F114" s="6" t="n"/>
      <c r="G114" s="6" t="n"/>
      <c r="H114" s="6" t="n"/>
      <c r="I114" s="6" t="n"/>
      <c r="J114" s="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  <c r="AA114" s="26" t="n"/>
      <c r="AB114" s="26" t="n"/>
      <c r="AC114" s="26" t="n"/>
    </row>
    <row r="115">
      <c r="A115" t="inlineStr">
        <is>
          <t>Corp-DT Count</t>
        </is>
      </c>
      <c r="B115" s="8" t="inlineStr">
        <is>
          <t>Corp Drive-Thru Count</t>
        </is>
      </c>
      <c r="C115" t="inlineStr">
        <is>
          <t>#</t>
        </is>
      </c>
      <c r="D115" s="29" t="n"/>
      <c r="E115" s="29" t="n"/>
      <c r="F115" s="29" t="n"/>
      <c r="G115" s="29" t="n"/>
      <c r="H115" s="29" t="n"/>
      <c r="I115" s="29" t="n"/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  <c r="AA115" s="29" t="n"/>
      <c r="AB115" s="29" t="n"/>
      <c r="AC115" s="29" t="n"/>
    </row>
    <row r="116">
      <c r="A116" t="inlineStr">
        <is>
          <t>Corp-Other Count</t>
        </is>
      </c>
      <c r="B116" s="20" t="inlineStr">
        <is>
          <t>Corp Strip/Other Count</t>
        </is>
      </c>
      <c r="C116" s="20" t="inlineStr">
        <is>
          <t>#</t>
        </is>
      </c>
      <c r="D116" s="21" t="n"/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  <c r="AA116" s="21" t="n"/>
      <c r="AB116" s="21" t="n"/>
      <c r="AC116" s="21" t="n"/>
    </row>
    <row r="117">
      <c r="A117" t="inlineStr">
        <is>
          <t>Corp-Total</t>
        </is>
      </c>
      <c r="B117" t="inlineStr">
        <is>
          <t>Total Corp Count</t>
        </is>
      </c>
      <c r="C117" t="inlineStr">
        <is>
          <t>#</t>
        </is>
      </c>
      <c r="D117" s="64" t="n">
        <v>62</v>
      </c>
      <c r="E117" s="64" t="n">
        <v>64</v>
      </c>
      <c r="F117" s="64" t="n">
        <v>74</v>
      </c>
      <c r="G117" s="64" t="n">
        <v>81</v>
      </c>
      <c r="H117" s="64" t="n">
        <v>85</v>
      </c>
      <c r="I117" s="92">
        <f>G117+I118</f>
        <v/>
      </c>
      <c r="J117" s="92">
        <f>H117+J118</f>
        <v/>
      </c>
      <c r="K117" s="92">
        <f>I117+K118</f>
        <v/>
      </c>
      <c r="L117" s="92">
        <f>J117+L118</f>
        <v/>
      </c>
      <c r="M117" s="92">
        <f>K117+M118</f>
        <v/>
      </c>
      <c r="N117" s="92">
        <f>L117+N118</f>
        <v/>
      </c>
      <c r="O117" s="92">
        <f>M117+O118</f>
        <v/>
      </c>
      <c r="P117" s="92">
        <f>N117+P118</f>
        <v/>
      </c>
      <c r="Q117" s="92">
        <f>O117+Q118</f>
        <v/>
      </c>
      <c r="R117" s="92">
        <f>P117+R118</f>
        <v/>
      </c>
      <c r="S117" s="92">
        <f>Q117+S118</f>
        <v/>
      </c>
      <c r="T117" s="92">
        <f>R117+T118</f>
        <v/>
      </c>
      <c r="U117" s="92">
        <f>S117+U118</f>
        <v/>
      </c>
      <c r="V117" s="92">
        <f>T117+V118</f>
        <v/>
      </c>
      <c r="W117" s="92">
        <f>U117+W118</f>
        <v/>
      </c>
      <c r="X117" s="92">
        <f>V117+X118</f>
        <v/>
      </c>
      <c r="Y117" s="92">
        <f>W117+Y118</f>
        <v/>
      </c>
      <c r="Z117" s="92">
        <f>X117+Z118</f>
        <v/>
      </c>
      <c r="AA117" s="92">
        <f>Y117+AA118</f>
        <v/>
      </c>
    </row>
    <row r="118">
      <c r="A118" t="inlineStr">
        <is>
          <t>Corp-New</t>
        </is>
      </c>
      <c r="B118" t="inlineStr">
        <is>
          <t>New Corp Openings</t>
        </is>
      </c>
      <c r="C118" t="inlineStr">
        <is>
          <t>#</t>
        </is>
      </c>
      <c r="I118" s="93" t="n">
        <v>4</v>
      </c>
      <c r="J118" s="93">
        <f>H118</f>
        <v/>
      </c>
      <c r="K118" s="93">
        <f>I118</f>
        <v/>
      </c>
      <c r="L118" s="93">
        <f>J118</f>
        <v/>
      </c>
      <c r="M118" s="93">
        <f>K118</f>
        <v/>
      </c>
      <c r="N118" s="93">
        <f>L118</f>
        <v/>
      </c>
      <c r="O118" s="93">
        <f>M118</f>
        <v/>
      </c>
      <c r="P118" s="93">
        <f>N118</f>
        <v/>
      </c>
      <c r="Q118" s="93">
        <f>O118</f>
        <v/>
      </c>
      <c r="R118" s="93">
        <f>P118</f>
        <v/>
      </c>
      <c r="S118" s="93">
        <f>Q118</f>
        <v/>
      </c>
      <c r="T118" s="93">
        <f>R118</f>
        <v/>
      </c>
      <c r="U118" s="93">
        <f>S118</f>
        <v/>
      </c>
      <c r="V118" s="93">
        <f>T118</f>
        <v/>
      </c>
      <c r="W118" s="93">
        <f>U118</f>
        <v/>
      </c>
      <c r="X118" s="93">
        <f>V118</f>
        <v/>
      </c>
      <c r="Y118" s="93">
        <f>W118</f>
        <v/>
      </c>
      <c r="Z118" s="93">
        <f>X118</f>
        <v/>
      </c>
      <c r="AA118" s="93">
        <f>Y118</f>
        <v/>
      </c>
    </row>
    <row r="119">
      <c r="A119" t="inlineStr">
        <is>
          <t>Corp-Sales</t>
        </is>
      </c>
      <c r="B119" t="inlineStr">
        <is>
          <t>Corp Restaurant Sales</t>
        </is>
      </c>
      <c r="C119" t="inlineStr">
        <is>
          <t>AUDm</t>
        </is>
      </c>
      <c r="D119" s="60" t="n">
        <v>136.155</v>
      </c>
      <c r="E119" s="60" t="n">
        <v>142.745</v>
      </c>
      <c r="F119" s="60" t="n">
        <v>176.051</v>
      </c>
      <c r="G119" s="60" t="n">
        <v>183.649</v>
      </c>
      <c r="H119" s="60" t="n">
        <v>215.116</v>
      </c>
      <c r="I119" s="92">
        <f>(I117/I101)*I107</f>
        <v/>
      </c>
      <c r="J119" s="92">
        <f>(J117/J101)*J107</f>
        <v/>
      </c>
      <c r="K119" s="92">
        <f>(K117/K101)*K107</f>
        <v/>
      </c>
      <c r="L119" s="92">
        <f>(L117/L101)*L107</f>
        <v/>
      </c>
      <c r="M119" s="92">
        <f>(M117/M101)*M107</f>
        <v/>
      </c>
      <c r="N119" s="92">
        <f>(N117/N101)*N107</f>
        <v/>
      </c>
      <c r="O119" s="92">
        <f>(O117/O101)*O107</f>
        <v/>
      </c>
      <c r="P119" s="92">
        <f>(P117/P101)*P107</f>
        <v/>
      </c>
      <c r="Q119" s="92">
        <f>(Q117/Q101)*Q107</f>
        <v/>
      </c>
      <c r="R119" s="92">
        <f>(R117/R101)*R107</f>
        <v/>
      </c>
      <c r="S119" s="92">
        <f>(S117/S101)*S107</f>
        <v/>
      </c>
      <c r="T119" s="92">
        <f>(T117/T101)*T107</f>
        <v/>
      </c>
      <c r="U119" s="92">
        <f>(U117/U101)*U107</f>
        <v/>
      </c>
      <c r="V119" s="92">
        <f>(V117/V101)*V107</f>
        <v/>
      </c>
      <c r="W119" s="92">
        <f>(W117/W101)*W107</f>
        <v/>
      </c>
      <c r="X119" s="92">
        <f>(X117/X101)*X107</f>
        <v/>
      </c>
      <c r="Y119" s="92">
        <f>(Y117/Y101)*Y107</f>
        <v/>
      </c>
      <c r="Z119" s="92">
        <f>(Z117/Z101)*Z107</f>
        <v/>
      </c>
      <c r="AA119" s="92">
        <f>(AA117/AA101)*AA107</f>
        <v/>
      </c>
    </row>
    <row r="120">
      <c r="A120" t="inlineStr">
        <is>
          <t>Corp-Margin%</t>
        </is>
      </c>
      <c r="B120" t="inlineStr">
        <is>
          <t>Corp Restaurant Margin %</t>
        </is>
      </c>
      <c r="C120" t="inlineStr">
        <is>
          <t>%</t>
        </is>
      </c>
      <c r="D120" s="65" t="n">
        <v>0.1755352355770996</v>
      </c>
      <c r="E120" s="65" t="n">
        <v>0.1653297838803461</v>
      </c>
      <c r="F120" s="65" t="n">
        <v>0.1801807430801302</v>
      </c>
      <c r="G120" s="65" t="n">
        <v>0.1866549777020294</v>
      </c>
      <c r="H120" s="65" t="n">
        <v>0.1760910392532401</v>
      </c>
      <c r="I120" s="93">
        <f>G120</f>
        <v/>
      </c>
      <c r="J120" s="93">
        <f>H120</f>
        <v/>
      </c>
      <c r="K120" s="93">
        <f>I120</f>
        <v/>
      </c>
      <c r="L120" s="93">
        <f>J120</f>
        <v/>
      </c>
      <c r="M120" s="93">
        <f>K120</f>
        <v/>
      </c>
      <c r="N120" s="93">
        <f>L120</f>
        <v/>
      </c>
      <c r="O120" s="93">
        <f>M120</f>
        <v/>
      </c>
      <c r="P120" s="93">
        <f>N120</f>
        <v/>
      </c>
      <c r="Q120" s="93">
        <f>O120</f>
        <v/>
      </c>
      <c r="R120" s="93">
        <f>P120</f>
        <v/>
      </c>
      <c r="S120" s="93">
        <f>Q120</f>
        <v/>
      </c>
      <c r="T120" s="93">
        <f>R120</f>
        <v/>
      </c>
      <c r="U120" s="93">
        <f>S120</f>
        <v/>
      </c>
      <c r="V120" s="93">
        <f>T120</f>
        <v/>
      </c>
      <c r="W120" s="93">
        <f>U120</f>
        <v/>
      </c>
      <c r="X120" s="93">
        <f>V120</f>
        <v/>
      </c>
      <c r="Y120" s="93">
        <f>W120</f>
        <v/>
      </c>
      <c r="Z120" s="93">
        <f>X120</f>
        <v/>
      </c>
      <c r="AA120" s="93">
        <f>Y120</f>
        <v/>
      </c>
    </row>
    <row r="121">
      <c r="A121" t="inlineStr">
        <is>
          <t>Corp-Margin$</t>
        </is>
      </c>
      <c r="B121" t="inlineStr">
        <is>
          <t>Corp Restaurant Margin ($)</t>
        </is>
      </c>
      <c r="C121" t="inlineStr">
        <is>
          <t>AUDm</t>
        </is>
      </c>
      <c r="D121" s="60" t="n">
        <v>23.9</v>
      </c>
      <c r="E121" s="60" t="n">
        <v>23.6</v>
      </c>
      <c r="F121" s="60" t="n">
        <v>31.721</v>
      </c>
      <c r="G121" s="60" t="n">
        <v>34.279</v>
      </c>
      <c r="H121" s="60" t="n">
        <v>37.88</v>
      </c>
      <c r="I121" s="92">
        <f>I119*I120</f>
        <v/>
      </c>
      <c r="J121" s="92">
        <f>J119*J120</f>
        <v/>
      </c>
      <c r="K121" s="92">
        <f>K119*K120</f>
        <v/>
      </c>
      <c r="L121" s="92">
        <f>L119*L120</f>
        <v/>
      </c>
      <c r="M121" s="92">
        <f>M119*M120</f>
        <v/>
      </c>
      <c r="N121" s="92">
        <f>N119*N120</f>
        <v/>
      </c>
      <c r="O121" s="92">
        <f>O119*O120</f>
        <v/>
      </c>
      <c r="P121" s="92">
        <f>P119*P120</f>
        <v/>
      </c>
      <c r="Q121" s="92">
        <f>Q119*Q120</f>
        <v/>
      </c>
      <c r="R121" s="92">
        <f>R119*R120</f>
        <v/>
      </c>
      <c r="S121" s="92">
        <f>S119*S120</f>
        <v/>
      </c>
      <c r="T121" s="92">
        <f>T119*T120</f>
        <v/>
      </c>
      <c r="U121" s="92">
        <f>U119*U120</f>
        <v/>
      </c>
      <c r="V121" s="92">
        <f>V119*V120</f>
        <v/>
      </c>
      <c r="W121" s="92">
        <f>W119*W120</f>
        <v/>
      </c>
      <c r="X121" s="92">
        <f>X119*X120</f>
        <v/>
      </c>
      <c r="Y121" s="92">
        <f>Y119*Y120</f>
        <v/>
      </c>
      <c r="Z121" s="92">
        <f>Z119*Z120</f>
        <v/>
      </c>
      <c r="AA121" s="92">
        <f>AA119*AA120</f>
        <v/>
      </c>
    </row>
    <row r="122"/>
    <row r="123">
      <c r="B123" s="67" t="inlineStr">
        <is>
          <t>Franchise Build</t>
        </is>
      </c>
    </row>
    <row r="124">
      <c r="A124" t="inlineStr">
        <is>
          <t>Fran-Count</t>
        </is>
      </c>
      <c r="B124" t="inlineStr">
        <is>
          <t>Franchise Count (AU)</t>
        </is>
      </c>
      <c r="C124" t="inlineStr">
        <is>
          <t>#</t>
        </is>
      </c>
      <c r="D124" s="64" t="n">
        <v>121</v>
      </c>
      <c r="E124" s="64" t="n">
        <v>130</v>
      </c>
      <c r="F124" s="64" t="n">
        <v>136</v>
      </c>
      <c r="G124" s="64" t="n">
        <v>143</v>
      </c>
      <c r="H124" s="64" t="n"/>
      <c r="I124" s="92">
        <f>I101-I117</f>
        <v/>
      </c>
      <c r="J124" s="92">
        <f>J101-J117</f>
        <v/>
      </c>
      <c r="K124" s="92">
        <f>K101-K117</f>
        <v/>
      </c>
      <c r="L124" s="92">
        <f>L101-L117</f>
        <v/>
      </c>
      <c r="M124" s="92">
        <f>M101-M117</f>
        <v/>
      </c>
      <c r="N124" s="92">
        <f>N101-N117</f>
        <v/>
      </c>
      <c r="O124" s="92">
        <f>O101-O117</f>
        <v/>
      </c>
      <c r="P124" s="92">
        <f>P101-P117</f>
        <v/>
      </c>
      <c r="Q124" s="92">
        <f>Q101-Q117</f>
        <v/>
      </c>
      <c r="R124" s="92">
        <f>R101-R117</f>
        <v/>
      </c>
      <c r="S124" s="92">
        <f>S101-S117</f>
        <v/>
      </c>
      <c r="T124" s="92">
        <f>T101-T117</f>
        <v/>
      </c>
      <c r="U124" s="92">
        <f>U101-U117</f>
        <v/>
      </c>
      <c r="V124" s="92">
        <f>V101-V117</f>
        <v/>
      </c>
      <c r="W124" s="92">
        <f>W101-W117</f>
        <v/>
      </c>
      <c r="X124" s="92">
        <f>X101-X117</f>
        <v/>
      </c>
      <c r="Y124" s="92">
        <f>Y101-Y117</f>
        <v/>
      </c>
      <c r="Z124" s="92">
        <f>Z101-Z117</f>
        <v/>
      </c>
      <c r="AA124" s="92">
        <f>AA101-AA117</f>
        <v/>
      </c>
    </row>
    <row r="125">
      <c r="A125" t="inlineStr">
        <is>
          <t>Fran-New</t>
        </is>
      </c>
      <c r="B125" t="inlineStr">
        <is>
          <t>New Franchise Openings</t>
        </is>
      </c>
      <c r="C125" t="inlineStr">
        <is>
          <t>#</t>
        </is>
      </c>
      <c r="I125" s="92">
        <f>I124-G124</f>
        <v/>
      </c>
      <c r="J125" s="92">
        <f>J124-H124</f>
        <v/>
      </c>
      <c r="K125" s="92">
        <f>K124-I124</f>
        <v/>
      </c>
      <c r="L125" s="92">
        <f>L124-J124</f>
        <v/>
      </c>
      <c r="M125" s="92">
        <f>M124-K124</f>
        <v/>
      </c>
      <c r="N125" s="92">
        <f>N124-L124</f>
        <v/>
      </c>
      <c r="O125" s="92">
        <f>O124-M124</f>
        <v/>
      </c>
      <c r="P125" s="92">
        <f>P124-N124</f>
        <v/>
      </c>
      <c r="Q125" s="92">
        <f>Q124-O124</f>
        <v/>
      </c>
      <c r="R125" s="92">
        <f>R124-P124</f>
        <v/>
      </c>
      <c r="S125" s="92">
        <f>S124-Q124</f>
        <v/>
      </c>
      <c r="T125" s="92">
        <f>T124-R124</f>
        <v/>
      </c>
      <c r="U125" s="92">
        <f>U124-S124</f>
        <v/>
      </c>
      <c r="V125" s="92">
        <f>V124-T124</f>
        <v/>
      </c>
      <c r="W125" s="92">
        <f>W124-U124</f>
        <v/>
      </c>
      <c r="X125" s="92">
        <f>X124-V124</f>
        <v/>
      </c>
      <c r="Y125" s="92">
        <f>Y124-W124</f>
        <v/>
      </c>
      <c r="Z125" s="92">
        <f>Z124-X124</f>
        <v/>
      </c>
      <c r="AA125" s="92">
        <f>AA124-Y124</f>
        <v/>
      </c>
    </row>
    <row r="126">
      <c r="A126" t="inlineStr">
        <is>
          <t>Fran-Royalty%</t>
        </is>
      </c>
      <c r="B126" t="inlineStr">
        <is>
          <t>Implied Franchise Royalty Rate</t>
        </is>
      </c>
      <c r="C126" t="inlineStr">
        <is>
          <t>%</t>
        </is>
      </c>
      <c r="D126" s="65" t="n">
        <v>0.07610276591028478</v>
      </c>
      <c r="F126" s="65" t="n">
        <v>0.083</v>
      </c>
      <c r="H126" s="65" t="n">
        <v>0.08599999999999999</v>
      </c>
      <c r="I126" s="93" t="n">
        <v>0.08599999999999999</v>
      </c>
      <c r="J126" s="93">
        <f>H126</f>
        <v/>
      </c>
      <c r="K126" s="93">
        <f>I126</f>
        <v/>
      </c>
      <c r="L126" s="93">
        <f>J126</f>
        <v/>
      </c>
      <c r="M126" s="93">
        <f>K126</f>
        <v/>
      </c>
      <c r="N126" s="93">
        <f>L126</f>
        <v/>
      </c>
      <c r="O126" s="93">
        <f>M126</f>
        <v/>
      </c>
      <c r="P126" s="93">
        <f>N126</f>
        <v/>
      </c>
      <c r="Q126" s="93">
        <f>O126</f>
        <v/>
      </c>
      <c r="R126" s="93">
        <f>P126</f>
        <v/>
      </c>
      <c r="S126" s="93">
        <f>Q126</f>
        <v/>
      </c>
      <c r="T126" s="93">
        <f>R126</f>
        <v/>
      </c>
      <c r="U126" s="93">
        <f>S126</f>
        <v/>
      </c>
      <c r="V126" s="93">
        <f>T126</f>
        <v/>
      </c>
      <c r="W126" s="93">
        <f>U126</f>
        <v/>
      </c>
      <c r="X126" s="93">
        <f>V126</f>
        <v/>
      </c>
      <c r="Y126" s="93">
        <f>W126</f>
        <v/>
      </c>
      <c r="Z126" s="93">
        <f>X126</f>
        <v/>
      </c>
      <c r="AA126" s="93">
        <f>Y126</f>
        <v/>
      </c>
    </row>
    <row r="127">
      <c r="A127" t="inlineStr">
        <is>
          <t>Fran-Royalty$</t>
        </is>
      </c>
      <c r="B127" t="inlineStr">
        <is>
          <t>Franchise Royalty Revenue</t>
        </is>
      </c>
      <c r="C127" t="inlineStr">
        <is>
          <t>AUDm</t>
        </is>
      </c>
      <c r="D127" s="60" t="n">
        <v>25.063</v>
      </c>
      <c r="E127" s="60" t="n">
        <v>26.837</v>
      </c>
      <c r="F127" s="60" t="n">
        <v>32.187</v>
      </c>
      <c r="G127" s="60" t="n">
        <v>34.613</v>
      </c>
      <c r="H127" s="60" t="n">
        <v>39.325</v>
      </c>
      <c r="I127" s="92">
        <f>I107*(I124/I101)*I126</f>
        <v/>
      </c>
      <c r="J127" s="92">
        <f>J107*(J124/J101)*J126</f>
        <v/>
      </c>
      <c r="K127" s="92">
        <f>K107*(K124/K101)*K126</f>
        <v/>
      </c>
      <c r="L127" s="92">
        <f>L107*(L124/L101)*L126</f>
        <v/>
      </c>
      <c r="M127" s="92">
        <f>M107*(M124/M101)*M126</f>
        <v/>
      </c>
      <c r="N127" s="92">
        <f>N107*(N124/N101)*N126</f>
        <v/>
      </c>
      <c r="O127" s="92">
        <f>O107*(O124/O101)*O126</f>
        <v/>
      </c>
      <c r="P127" s="92">
        <f>P107*(P124/P101)*P126</f>
        <v/>
      </c>
      <c r="Q127" s="92">
        <f>Q107*(Q124/Q101)*Q126</f>
        <v/>
      </c>
      <c r="R127" s="92">
        <f>R107*(R124/R101)*R126</f>
        <v/>
      </c>
      <c r="S127" s="92">
        <f>S107*(S124/S101)*S126</f>
        <v/>
      </c>
      <c r="T127" s="92">
        <f>T107*(T124/T101)*T126</f>
        <v/>
      </c>
      <c r="U127" s="92">
        <f>U107*(U124/U101)*U126</f>
        <v/>
      </c>
      <c r="V127" s="92">
        <f>V107*(V124/V101)*V126</f>
        <v/>
      </c>
      <c r="W127" s="92">
        <f>W107*(W124/W101)*W126</f>
        <v/>
      </c>
      <c r="X127" s="92">
        <f>X107*(X124/X101)*X126</f>
        <v/>
      </c>
      <c r="Y127" s="92">
        <f>Y107*(Y124/Y101)*Y126</f>
        <v/>
      </c>
      <c r="Z127" s="92">
        <f>Z107*(Z124/Z101)*Z126</f>
        <v/>
      </c>
      <c r="AA127" s="92">
        <f>AA107*(AA124/AA101)*AA126</f>
        <v/>
      </c>
    </row>
    <row r="128">
      <c r="A128" t="inlineStr">
        <is>
          <t>Fran-Other$</t>
        </is>
      </c>
      <c r="B128" t="inlineStr">
        <is>
          <t>Other Franchise &amp; Fee Revenue</t>
        </is>
      </c>
      <c r="C128" t="inlineStr">
        <is>
          <t>AUDm</t>
        </is>
      </c>
      <c r="D128" s="60" t="n">
        <v>3.024</v>
      </c>
      <c r="E128" s="60" t="n">
        <v>3.776</v>
      </c>
      <c r="F128" s="60" t="n">
        <v>4.372</v>
      </c>
      <c r="G128" s="68" t="n">
        <v>5.128</v>
      </c>
      <c r="H128" s="60" t="n">
        <v>3.643</v>
      </c>
      <c r="I128" s="93">
        <f>G128</f>
        <v/>
      </c>
      <c r="J128" s="93">
        <f>H128</f>
        <v/>
      </c>
      <c r="K128" s="93">
        <f>I128</f>
        <v/>
      </c>
      <c r="L128" s="93">
        <f>J128</f>
        <v/>
      </c>
      <c r="M128" s="93">
        <f>K128</f>
        <v/>
      </c>
      <c r="N128" s="93">
        <f>L128</f>
        <v/>
      </c>
      <c r="O128" s="93">
        <f>M128</f>
        <v/>
      </c>
      <c r="P128" s="93">
        <f>N128</f>
        <v/>
      </c>
      <c r="Q128" s="93">
        <f>O128</f>
        <v/>
      </c>
      <c r="R128" s="93">
        <f>P128</f>
        <v/>
      </c>
      <c r="S128" s="93">
        <f>Q128</f>
        <v/>
      </c>
      <c r="T128" s="93">
        <f>R128</f>
        <v/>
      </c>
      <c r="U128" s="93">
        <f>S128</f>
        <v/>
      </c>
      <c r="V128" s="93">
        <f>T128</f>
        <v/>
      </c>
      <c r="W128" s="93">
        <f>U128</f>
        <v/>
      </c>
      <c r="X128" s="93">
        <f>V128</f>
        <v/>
      </c>
      <c r="Y128" s="93">
        <f>W128</f>
        <v/>
      </c>
      <c r="Z128" s="93">
        <f>X128</f>
        <v/>
      </c>
      <c r="AA128" s="93">
        <f>Y128</f>
        <v/>
      </c>
    </row>
    <row r="129">
      <c r="A129" t="inlineStr">
        <is>
          <t>Fran-Total$</t>
        </is>
      </c>
      <c r="B129" t="inlineStr">
        <is>
          <t>Total Franchise &amp; Other Revenue</t>
        </is>
      </c>
      <c r="C129" t="inlineStr">
        <is>
          <t>AUDm</t>
        </is>
      </c>
      <c r="D129">
        <f>D127+D128</f>
        <v/>
      </c>
      <c r="E129">
        <f>E127+E128</f>
        <v/>
      </c>
      <c r="F129">
        <f>F127+F128</f>
        <v/>
      </c>
      <c r="G129">
        <f>G127+G128</f>
        <v/>
      </c>
      <c r="H129">
        <f>H127+H128</f>
        <v/>
      </c>
      <c r="I129" s="92">
        <f>I127+I128</f>
        <v/>
      </c>
      <c r="J129" s="92">
        <f>J127+J128</f>
        <v/>
      </c>
      <c r="K129" s="92">
        <f>K127+K128</f>
        <v/>
      </c>
      <c r="L129" s="92">
        <f>L127+L128</f>
        <v/>
      </c>
      <c r="M129" s="92">
        <f>M127+M128</f>
        <v/>
      </c>
      <c r="N129" s="92">
        <f>N127+N128</f>
        <v/>
      </c>
      <c r="O129" s="92">
        <f>O127+O128</f>
        <v/>
      </c>
      <c r="P129" s="92">
        <f>P127+P128</f>
        <v/>
      </c>
      <c r="Q129" s="92">
        <f>Q127+Q128</f>
        <v/>
      </c>
      <c r="R129" s="92">
        <f>R127+R128</f>
        <v/>
      </c>
      <c r="S129" s="92">
        <f>S127+S128</f>
        <v/>
      </c>
      <c r="T129" s="92">
        <f>T127+T128</f>
        <v/>
      </c>
      <c r="U129" s="92">
        <f>U127+U128</f>
        <v/>
      </c>
      <c r="V129" s="92">
        <f>V127+V128</f>
        <v/>
      </c>
      <c r="W129" s="92">
        <f>W127+W128</f>
        <v/>
      </c>
      <c r="X129" s="92">
        <f>X127+X128</f>
        <v/>
      </c>
      <c r="Y129" s="92">
        <f>Y127+Y128</f>
        <v/>
      </c>
      <c r="Z129" s="92">
        <f>Z127+Z128</f>
        <v/>
      </c>
      <c r="AA129" s="92">
        <f>AA127+AA128</f>
        <v/>
      </c>
    </row>
    <row r="130"/>
    <row r="131">
      <c r="B131" s="67" t="inlineStr">
        <is>
          <t>Segment EBITDA</t>
        </is>
      </c>
    </row>
    <row r="132">
      <c r="A132" t="inlineStr">
        <is>
          <t>AU-G&amp;A%</t>
        </is>
      </c>
      <c r="B132" t="inlineStr">
        <is>
          <t>G&amp;A as % of Network Sales</t>
        </is>
      </c>
      <c r="C132" t="inlineStr">
        <is>
          <t>%</t>
        </is>
      </c>
      <c r="D132" s="65" t="n">
        <v>0.06495361836875867</v>
      </c>
      <c r="F132" s="65" t="n">
        <v>0.06655207315370655</v>
      </c>
      <c r="H132" s="65" t="n">
        <v>0.05848426365795725</v>
      </c>
      <c r="I132" s="93" t="n">
        <v>0.058</v>
      </c>
      <c r="J132" s="93">
        <f>H132</f>
        <v/>
      </c>
      <c r="K132" s="93">
        <f>I132</f>
        <v/>
      </c>
      <c r="L132" s="93">
        <f>J132</f>
        <v/>
      </c>
      <c r="M132" s="93">
        <f>K132</f>
        <v/>
      </c>
      <c r="N132" s="93">
        <f>L132</f>
        <v/>
      </c>
      <c r="O132" s="93">
        <f>M132</f>
        <v/>
      </c>
      <c r="P132" s="93">
        <f>N132</f>
        <v/>
      </c>
      <c r="Q132" s="93">
        <f>O132</f>
        <v/>
      </c>
      <c r="R132" s="93">
        <f>P132</f>
        <v/>
      </c>
      <c r="S132" s="93">
        <f>Q132</f>
        <v/>
      </c>
      <c r="T132" s="93">
        <f>R132</f>
        <v/>
      </c>
      <c r="U132" s="93">
        <f>S132</f>
        <v/>
      </c>
      <c r="V132" s="93">
        <f>T132</f>
        <v/>
      </c>
      <c r="W132" s="93">
        <f>U132</f>
        <v/>
      </c>
      <c r="X132" s="93">
        <f>V132</f>
        <v/>
      </c>
      <c r="Y132" s="93">
        <f>W132</f>
        <v/>
      </c>
      <c r="Z132" s="93">
        <f>X132</f>
        <v/>
      </c>
      <c r="AA132" s="93">
        <f>Y132</f>
        <v/>
      </c>
    </row>
    <row r="133">
      <c r="A133" t="inlineStr">
        <is>
          <t>AU-G&amp;A$</t>
        </is>
      </c>
      <c r="B133" t="inlineStr">
        <is>
          <t>G&amp;A Costs</t>
        </is>
      </c>
      <c r="C133" t="inlineStr">
        <is>
          <t>AUDm</t>
        </is>
      </c>
      <c r="D133" s="60" t="n">
        <v>-30.235</v>
      </c>
      <c r="F133" s="60" t="n">
        <v>-38.137</v>
      </c>
      <c r="H133" s="60" t="n">
        <v>-39.395</v>
      </c>
      <c r="I133" s="92">
        <f>-I112*I132</f>
        <v/>
      </c>
      <c r="J133" s="92">
        <f>-J112*J132</f>
        <v/>
      </c>
      <c r="K133" s="92">
        <f>-K112*K132</f>
        <v/>
      </c>
      <c r="L133" s="92">
        <f>-L112*L132</f>
        <v/>
      </c>
      <c r="M133" s="92">
        <f>-M112*M132</f>
        <v/>
      </c>
      <c r="N133" s="92">
        <f>-N112*N132</f>
        <v/>
      </c>
      <c r="O133" s="92">
        <f>-O112*O132</f>
        <v/>
      </c>
      <c r="P133" s="92">
        <f>-P112*P132</f>
        <v/>
      </c>
      <c r="Q133" s="92">
        <f>-Q112*Q132</f>
        <v/>
      </c>
      <c r="R133" s="92">
        <f>-R112*R132</f>
        <v/>
      </c>
      <c r="S133" s="92">
        <f>-S112*S132</f>
        <v/>
      </c>
      <c r="T133" s="92">
        <f>-T112*T132</f>
        <v/>
      </c>
      <c r="U133" s="92">
        <f>-U112*U132</f>
        <v/>
      </c>
      <c r="V133" s="92">
        <f>-V112*V132</f>
        <v/>
      </c>
      <c r="W133" s="92">
        <f>-W112*W132</f>
        <v/>
      </c>
      <c r="X133" s="92">
        <f>-X112*X132</f>
        <v/>
      </c>
      <c r="Y133" s="92">
        <f>-Y112*Y132</f>
        <v/>
      </c>
      <c r="Z133" s="92">
        <f>-Z112*Z132</f>
        <v/>
      </c>
      <c r="AA133" s="92">
        <f>-AA112*AA132</f>
        <v/>
      </c>
    </row>
    <row r="134">
      <c r="A134" t="inlineStr">
        <is>
          <t>AU-Seg EBITDA</t>
        </is>
      </c>
      <c r="B134" t="inlineStr">
        <is>
          <t>AU Segment Underlying EBITDA</t>
        </is>
      </c>
      <c r="C134" t="inlineStr">
        <is>
          <t>AUDm</t>
        </is>
      </c>
      <c r="D134" s="60" t="n">
        <v>23.142</v>
      </c>
      <c r="E134" s="60" t="n">
        <v>24.358</v>
      </c>
      <c r="F134" s="60" t="n">
        <v>31.781</v>
      </c>
      <c r="G134" s="60" t="n">
        <v>34.219</v>
      </c>
      <c r="H134" s="60" t="n">
        <v>41.314</v>
      </c>
      <c r="I134" s="92">
        <f>I121+I129+I133</f>
        <v/>
      </c>
      <c r="J134" s="92">
        <f>J121+J129+J133</f>
        <v/>
      </c>
      <c r="K134" s="92">
        <f>K121+K129+K133</f>
        <v/>
      </c>
      <c r="L134" s="92">
        <f>L121+L129+L133</f>
        <v/>
      </c>
      <c r="M134" s="92">
        <f>M121+M129+M133</f>
        <v/>
      </c>
      <c r="N134" s="92">
        <f>N121+N129+N133</f>
        <v/>
      </c>
      <c r="O134" s="92">
        <f>O121+O129+O133</f>
        <v/>
      </c>
      <c r="P134" s="92">
        <f>P121+P129+P133</f>
        <v/>
      </c>
      <c r="Q134" s="92">
        <f>Q121+Q129+Q133</f>
        <v/>
      </c>
      <c r="R134" s="92">
        <f>R121+R129+R133</f>
        <v/>
      </c>
      <c r="S134" s="92">
        <f>S121+S129+S133</f>
        <v/>
      </c>
      <c r="T134" s="92">
        <f>T121+T129+T133</f>
        <v/>
      </c>
      <c r="U134" s="92">
        <f>U121+U129+U133</f>
        <v/>
      </c>
      <c r="V134" s="92">
        <f>V121+V129+V133</f>
        <v/>
      </c>
      <c r="W134" s="92">
        <f>W121+W129+W133</f>
        <v/>
      </c>
      <c r="X134" s="92">
        <f>X121+X129+X133</f>
        <v/>
      </c>
      <c r="Y134" s="92">
        <f>Y121+Y129+Y133</f>
        <v/>
      </c>
      <c r="Z134" s="92">
        <f>Z121+Z129+Z133</f>
        <v/>
      </c>
      <c r="AA134" s="92">
        <f>AA121+AA129+AA133</f>
        <v/>
      </c>
    </row>
    <row r="135">
      <c r="A135" t="inlineStr">
        <is>
          <t>AU-Seg EBITDA%</t>
        </is>
      </c>
      <c r="B135" t="inlineStr">
        <is>
          <t>AU Segment EBITDA % Network Sales</t>
        </is>
      </c>
      <c r="C135" t="inlineStr">
        <is>
          <t>%</t>
        </is>
      </c>
      <c r="D135" s="65" t="n">
        <v>0.04971578092574213</v>
      </c>
      <c r="F135" s="65" t="n">
        <v>0.05546035180790172</v>
      </c>
      <c r="H135" s="65" t="n">
        <v>0.06133313539192399</v>
      </c>
      <c r="I135" s="92">
        <f>IF(I112=0,"",I134/I112)</f>
        <v/>
      </c>
      <c r="J135" s="92">
        <f>IF(J112=0,"",J134/J112)</f>
        <v/>
      </c>
      <c r="K135" s="92">
        <f>IF(K112=0,"",K134/K112)</f>
        <v/>
      </c>
      <c r="L135" s="92">
        <f>IF(L112=0,"",L134/L112)</f>
        <v/>
      </c>
      <c r="M135" s="92">
        <f>IF(M112=0,"",M134/M112)</f>
        <v/>
      </c>
      <c r="N135" s="92">
        <f>IF(N112=0,"",N134/N112)</f>
        <v/>
      </c>
      <c r="O135" s="92">
        <f>IF(O112=0,"",O134/O112)</f>
        <v/>
      </c>
      <c r="P135" s="92">
        <f>IF(P112=0,"",P134/P112)</f>
        <v/>
      </c>
      <c r="Q135" s="92">
        <f>IF(Q112=0,"",Q134/Q112)</f>
        <v/>
      </c>
      <c r="R135" s="92">
        <f>IF(R112=0,"",R134/R112)</f>
        <v/>
      </c>
      <c r="S135" s="92">
        <f>IF(S112=0,"",S134/S112)</f>
        <v/>
      </c>
      <c r="T135" s="92">
        <f>IF(T112=0,"",T134/T112)</f>
        <v/>
      </c>
      <c r="U135" s="92">
        <f>IF(U112=0,"",U134/U112)</f>
        <v/>
      </c>
      <c r="V135" s="92">
        <f>IF(V112=0,"",V134/V112)</f>
        <v/>
      </c>
      <c r="W135" s="92">
        <f>IF(W112=0,"",W134/W112)</f>
        <v/>
      </c>
      <c r="X135" s="92">
        <f>IF(X112=0,"",X134/X112)</f>
        <v/>
      </c>
      <c r="Y135" s="92">
        <f>IF(Y112=0,"",Y134/Y112)</f>
        <v/>
      </c>
      <c r="Z135" s="92">
        <f>IF(Z112=0,"",Z134/Z112)</f>
        <v/>
      </c>
      <c r="AA135" s="92">
        <f>IF(AA112=0,"",AA134/AA112)</f>
        <v/>
      </c>
    </row>
    <row r="136"/>
    <row r="137"/>
    <row r="138">
      <c r="B138" s="67" t="inlineStr">
        <is>
          <t>US Segment Drivers</t>
        </is>
      </c>
    </row>
    <row r="139"/>
    <row r="140">
      <c r="A140" t="inlineStr">
        <is>
          <t>US-Count</t>
        </is>
      </c>
      <c r="B140" t="inlineStr">
        <is>
          <t>US Restaurant Count</t>
        </is>
      </c>
      <c r="C140" t="inlineStr">
        <is>
          <t>#</t>
        </is>
      </c>
      <c r="D140" s="64" t="n">
        <v>4</v>
      </c>
      <c r="E140" s="64" t="n">
        <v>4</v>
      </c>
      <c r="F140" s="64" t="n">
        <v>4</v>
      </c>
      <c r="G140" s="64" t="n">
        <v>6</v>
      </c>
      <c r="H140" s="64" t="n">
        <v>8</v>
      </c>
      <c r="I140" s="92">
        <f>G140+I141</f>
        <v/>
      </c>
      <c r="J140" s="92">
        <f>H140+J141</f>
        <v/>
      </c>
      <c r="K140" s="92">
        <f>I140+K141</f>
        <v/>
      </c>
      <c r="L140" s="92">
        <f>J140+L141</f>
        <v/>
      </c>
      <c r="M140" s="92">
        <f>K140+M141</f>
        <v/>
      </c>
      <c r="N140" s="92">
        <f>L140+N141</f>
        <v/>
      </c>
      <c r="O140" s="92">
        <f>M140+O141</f>
        <v/>
      </c>
      <c r="P140" s="92">
        <f>N140+P141</f>
        <v/>
      </c>
      <c r="Q140" s="92">
        <f>O140+Q141</f>
        <v/>
      </c>
      <c r="R140" s="92">
        <f>P140+R141</f>
        <v/>
      </c>
      <c r="S140" s="92">
        <f>Q140+S141</f>
        <v/>
      </c>
      <c r="T140" s="92">
        <f>R140+T141</f>
        <v/>
      </c>
      <c r="U140" s="92">
        <f>S140+U141</f>
        <v/>
      </c>
      <c r="V140" s="92">
        <f>T140+V141</f>
        <v/>
      </c>
      <c r="W140" s="92">
        <f>U140+W141</f>
        <v/>
      </c>
      <c r="X140" s="92">
        <f>V140+X141</f>
        <v/>
      </c>
      <c r="Y140" s="92">
        <f>W140+Y141</f>
        <v/>
      </c>
      <c r="Z140" s="92">
        <f>X140+Z141</f>
        <v/>
      </c>
      <c r="AA140" s="92">
        <f>Y140+AA141</f>
        <v/>
      </c>
    </row>
    <row r="141">
      <c r="A141" t="inlineStr">
        <is>
          <t>US-New</t>
        </is>
      </c>
      <c r="B141" t="inlineStr">
        <is>
          <t>US New Openings</t>
        </is>
      </c>
      <c r="C141" t="inlineStr">
        <is>
          <t>#</t>
        </is>
      </c>
      <c r="I141" s="93" t="n">
        <v>1</v>
      </c>
      <c r="J141" s="93">
        <f>H141</f>
        <v/>
      </c>
      <c r="K141" s="93">
        <f>I141</f>
        <v/>
      </c>
      <c r="L141" s="93">
        <f>J141</f>
        <v/>
      </c>
      <c r="M141" s="93">
        <f>K141</f>
        <v/>
      </c>
      <c r="N141" s="93">
        <f>L141</f>
        <v/>
      </c>
      <c r="O141" s="93">
        <f>M141</f>
        <v/>
      </c>
      <c r="P141" s="93">
        <f>N141</f>
        <v/>
      </c>
      <c r="Q141" s="93">
        <f>O141</f>
        <v/>
      </c>
      <c r="R141" s="93">
        <f>P141</f>
        <v/>
      </c>
      <c r="S141" s="93">
        <f>Q141</f>
        <v/>
      </c>
      <c r="T141" s="93">
        <f>R141</f>
        <v/>
      </c>
      <c r="U141" s="93">
        <f>S141</f>
        <v/>
      </c>
      <c r="V141" s="93">
        <f>T141</f>
        <v/>
      </c>
      <c r="W141" s="93">
        <f>U141</f>
        <v/>
      </c>
      <c r="X141" s="93">
        <f>V141</f>
        <v/>
      </c>
      <c r="Y141" s="93">
        <f>W141</f>
        <v/>
      </c>
      <c r="Z141" s="93">
        <f>X141</f>
        <v/>
      </c>
      <c r="AA141" s="93">
        <f>Y141</f>
        <v/>
      </c>
    </row>
    <row r="142">
      <c r="A142" t="inlineStr">
        <is>
          <t>US-Network Sales</t>
        </is>
      </c>
      <c r="B142" t="inlineStr">
        <is>
          <t>US Network Sales</t>
        </is>
      </c>
      <c r="C142" t="inlineStr">
        <is>
          <t>AUDm</t>
        </is>
      </c>
      <c r="D142" s="60" t="n">
        <v>5.618</v>
      </c>
      <c r="E142" s="60" t="n">
        <v>5.182</v>
      </c>
      <c r="F142" s="60" t="n">
        <v>4.907</v>
      </c>
      <c r="G142" s="60" t="n">
        <v>7.292999999999999</v>
      </c>
      <c r="H142" s="60" t="n">
        <v>8.193</v>
      </c>
      <c r="I142" s="92">
        <f>G142*(I140/G140)</f>
        <v/>
      </c>
      <c r="J142" s="92">
        <f>H142*(J140/H140)</f>
        <v/>
      </c>
      <c r="K142" s="92">
        <f>I142*(K140/I140)</f>
        <v/>
      </c>
      <c r="L142" s="92">
        <f>J142*(L140/J140)</f>
        <v/>
      </c>
      <c r="M142" s="92">
        <f>K142*(M140/K140)</f>
        <v/>
      </c>
      <c r="N142" s="92">
        <f>L142*(N140/L140)</f>
        <v/>
      </c>
      <c r="O142" s="92">
        <f>M142*(O140/M140)</f>
        <v/>
      </c>
      <c r="P142" s="92">
        <f>N142*(P140/N140)</f>
        <v/>
      </c>
      <c r="Q142" s="92">
        <f>O142*(Q140/O140)</f>
        <v/>
      </c>
      <c r="R142" s="92">
        <f>P142*(R140/P140)</f>
        <v/>
      </c>
      <c r="S142" s="92">
        <f>Q142*(S140/Q140)</f>
        <v/>
      </c>
      <c r="T142" s="92">
        <f>R142*(T140/R140)</f>
        <v/>
      </c>
      <c r="U142" s="92">
        <f>S142*(U140/S140)</f>
        <v/>
      </c>
      <c r="V142" s="92">
        <f>T142*(V140/T140)</f>
        <v/>
      </c>
      <c r="W142" s="92">
        <f>U142*(W140/U140)</f>
        <v/>
      </c>
      <c r="X142" s="92">
        <f>V142*(X140/V140)</f>
        <v/>
      </c>
      <c r="Y142" s="92">
        <f>W142*(Y140/W140)</f>
        <v/>
      </c>
      <c r="Z142" s="92">
        <f>X142*(Z140/X140)</f>
        <v/>
      </c>
      <c r="AA142" s="92">
        <f>Y142*(AA140/Y140)</f>
        <v/>
      </c>
    </row>
    <row r="143">
      <c r="A143" t="inlineStr">
        <is>
          <t>US-Corp Sales</t>
        </is>
      </c>
      <c r="B143" t="inlineStr">
        <is>
          <t>US Corp Sales</t>
        </is>
      </c>
      <c r="C143" t="inlineStr">
        <is>
          <t>AUDm</t>
        </is>
      </c>
      <c r="D143" s="60" t="n">
        <v>5.618</v>
      </c>
      <c r="E143" s="60" t="n">
        <v>5.182</v>
      </c>
      <c r="F143" s="60" t="n">
        <v>3.232</v>
      </c>
      <c r="G143" s="60" t="n">
        <v>5.668</v>
      </c>
      <c r="H143" s="60" t="n">
        <v>6.46</v>
      </c>
      <c r="I143" s="92">
        <f>I142</f>
        <v/>
      </c>
      <c r="J143" s="92">
        <f>J142</f>
        <v/>
      </c>
      <c r="K143" s="92">
        <f>K142</f>
        <v/>
      </c>
      <c r="L143" s="92">
        <f>L142</f>
        <v/>
      </c>
      <c r="M143" s="92">
        <f>M142</f>
        <v/>
      </c>
      <c r="N143" s="92">
        <f>N142</f>
        <v/>
      </c>
      <c r="O143" s="92">
        <f>O142</f>
        <v/>
      </c>
      <c r="P143" s="92">
        <f>P142</f>
        <v/>
      </c>
      <c r="Q143" s="92">
        <f>Q142</f>
        <v/>
      </c>
      <c r="R143" s="92">
        <f>R142</f>
        <v/>
      </c>
      <c r="S143" s="92">
        <f>S142</f>
        <v/>
      </c>
      <c r="T143" s="92">
        <f>T142</f>
        <v/>
      </c>
      <c r="U143" s="92">
        <f>U142</f>
        <v/>
      </c>
      <c r="V143" s="92">
        <f>V142</f>
        <v/>
      </c>
      <c r="W143" s="92">
        <f>W142</f>
        <v/>
      </c>
      <c r="X143" s="92">
        <f>X142</f>
        <v/>
      </c>
      <c r="Y143" s="92">
        <f>Y142</f>
        <v/>
      </c>
      <c r="Z143" s="92">
        <f>Z142</f>
        <v/>
      </c>
      <c r="AA143" s="92">
        <f>AA142</f>
        <v/>
      </c>
    </row>
    <row r="144">
      <c r="A144" t="inlineStr">
        <is>
          <t>US-Corp Margin%</t>
        </is>
      </c>
      <c r="B144" t="inlineStr">
        <is>
          <t>US Corp Margin %</t>
        </is>
      </c>
      <c r="C144" t="inlineStr">
        <is>
          <t>%</t>
        </is>
      </c>
      <c r="D144" s="65" t="n">
        <v>-0.09024563901744392</v>
      </c>
      <c r="F144" s="65" t="n">
        <v>-0.4081064356435644</v>
      </c>
      <c r="H144" s="65" t="n">
        <v>-0.6959752321981424</v>
      </c>
      <c r="I144" s="93" t="n">
        <v>-0.5</v>
      </c>
      <c r="J144" s="93">
        <f>MIN(0,H144+0.05)</f>
        <v/>
      </c>
      <c r="K144" s="93">
        <f>MIN(0,I144+0.05)</f>
        <v/>
      </c>
      <c r="L144" s="93">
        <f>MIN(0,J144+0.05)</f>
        <v/>
      </c>
      <c r="M144" s="93">
        <f>MIN(0,K144+0.05)</f>
        <v/>
      </c>
      <c r="N144" s="93">
        <f>MIN(0,L144+0.05)</f>
        <v/>
      </c>
      <c r="O144" s="93">
        <f>MIN(0,M144+0.05)</f>
        <v/>
      </c>
      <c r="P144" s="93">
        <f>MIN(0,N144+0.05)</f>
        <v/>
      </c>
      <c r="Q144" s="93">
        <f>MIN(0,O144+0.05)</f>
        <v/>
      </c>
      <c r="R144" s="93">
        <f>MIN(0,P144+0.05)</f>
        <v/>
      </c>
      <c r="S144" s="93">
        <f>MIN(0,Q144+0.05)</f>
        <v/>
      </c>
      <c r="T144" s="93">
        <f>MIN(0,R144+0.05)</f>
        <v/>
      </c>
      <c r="U144" s="93">
        <f>MIN(0,S144+0.05)</f>
        <v/>
      </c>
      <c r="V144" s="93">
        <f>MIN(0,T144+0.05)</f>
        <v/>
      </c>
      <c r="W144" s="93">
        <f>MIN(0,U144+0.05)</f>
        <v/>
      </c>
      <c r="X144" s="93">
        <f>MIN(0,V144+0.05)</f>
        <v/>
      </c>
      <c r="Y144" s="93">
        <f>MIN(0,W144+0.05)</f>
        <v/>
      </c>
      <c r="Z144" s="93">
        <f>MIN(0,X144+0.05)</f>
        <v/>
      </c>
      <c r="AA144" s="93">
        <f>MIN(0,Y144+0.05)</f>
        <v/>
      </c>
    </row>
    <row r="145">
      <c r="A145" t="inlineStr">
        <is>
          <t>US-Corp Margin$</t>
        </is>
      </c>
      <c r="B145" t="inlineStr">
        <is>
          <t>US Corp Margin ($)</t>
        </is>
      </c>
      <c r="C145" t="inlineStr">
        <is>
          <t>AUDm</t>
        </is>
      </c>
      <c r="D145" s="60" t="n">
        <v>-0.507</v>
      </c>
      <c r="E145" s="60" t="n">
        <v>-24.417</v>
      </c>
      <c r="F145" s="60" t="n">
        <v>-1.319</v>
      </c>
      <c r="H145" s="60" t="n">
        <v>-4.496</v>
      </c>
      <c r="I145" s="92">
        <f>I143*I144</f>
        <v/>
      </c>
      <c r="J145" s="92">
        <f>J143*J144</f>
        <v/>
      </c>
      <c r="K145" s="92">
        <f>K143*K144</f>
        <v/>
      </c>
      <c r="L145" s="92">
        <f>L143*L144</f>
        <v/>
      </c>
      <c r="M145" s="92">
        <f>M143*M144</f>
        <v/>
      </c>
      <c r="N145" s="92">
        <f>N143*N144</f>
        <v/>
      </c>
      <c r="O145" s="92">
        <f>O143*O144</f>
        <v/>
      </c>
      <c r="P145" s="92">
        <f>P143*P144</f>
        <v/>
      </c>
      <c r="Q145" s="92">
        <f>Q143*Q144</f>
        <v/>
      </c>
      <c r="R145" s="92">
        <f>R143*R144</f>
        <v/>
      </c>
      <c r="S145" s="92">
        <f>S143*S144</f>
        <v/>
      </c>
      <c r="T145" s="92">
        <f>T143*T144</f>
        <v/>
      </c>
      <c r="U145" s="92">
        <f>U143*U144</f>
        <v/>
      </c>
      <c r="V145" s="92">
        <f>V143*V144</f>
        <v/>
      </c>
      <c r="W145" s="92">
        <f>W143*W144</f>
        <v/>
      </c>
      <c r="X145" s="92">
        <f>X143*X144</f>
        <v/>
      </c>
      <c r="Y145" s="92">
        <f>Y143*Y144</f>
        <v/>
      </c>
      <c r="Z145" s="92">
        <f>Z143*Z144</f>
        <v/>
      </c>
      <c r="AA145" s="92">
        <f>AA143*AA144</f>
        <v/>
      </c>
    </row>
    <row r="146">
      <c r="A146" t="inlineStr">
        <is>
          <t>US-Fran$</t>
        </is>
      </c>
      <c r="B146" t="inlineStr">
        <is>
          <t>US Franchise &amp; Other Revenue</t>
        </is>
      </c>
      <c r="C146" t="inlineStr">
        <is>
          <t>AUDm</t>
        </is>
      </c>
      <c r="D146" s="69" t="n">
        <v>0</v>
      </c>
      <c r="F146" s="69" t="n">
        <v>0.136</v>
      </c>
      <c r="H146" s="69" t="n">
        <v>0.141</v>
      </c>
      <c r="I146" s="93">
        <f>G146</f>
        <v/>
      </c>
      <c r="J146" s="93">
        <f>H146</f>
        <v/>
      </c>
      <c r="K146" s="93">
        <f>I146</f>
        <v/>
      </c>
      <c r="L146" s="93">
        <f>J146</f>
        <v/>
      </c>
      <c r="M146" s="93">
        <f>K146</f>
        <v/>
      </c>
      <c r="N146" s="93">
        <f>L146</f>
        <v/>
      </c>
      <c r="O146" s="93">
        <f>M146</f>
        <v/>
      </c>
      <c r="P146" s="93">
        <f>N146</f>
        <v/>
      </c>
      <c r="Q146" s="93">
        <f>O146</f>
        <v/>
      </c>
      <c r="R146" s="93">
        <f>P146</f>
        <v/>
      </c>
      <c r="S146" s="93">
        <f>Q146</f>
        <v/>
      </c>
      <c r="T146" s="93">
        <f>R146</f>
        <v/>
      </c>
      <c r="U146" s="93">
        <f>S146</f>
        <v/>
      </c>
      <c r="V146" s="93">
        <f>T146</f>
        <v/>
      </c>
      <c r="W146" s="93">
        <f>U146</f>
        <v/>
      </c>
      <c r="X146" s="93">
        <f>V146</f>
        <v/>
      </c>
      <c r="Y146" s="93">
        <f>W146</f>
        <v/>
      </c>
      <c r="Z146" s="93">
        <f>X146</f>
        <v/>
      </c>
      <c r="AA146" s="93">
        <f>Y146</f>
        <v/>
      </c>
    </row>
    <row r="147">
      <c r="A147" t="inlineStr">
        <is>
          <t>US-G&amp;A$</t>
        </is>
      </c>
      <c r="B147" t="inlineStr">
        <is>
          <t>US G&amp;A Costs</t>
        </is>
      </c>
      <c r="C147" t="inlineStr">
        <is>
          <t>AUDm</t>
        </is>
      </c>
      <c r="D147" s="60" t="n">
        <v>-2.588</v>
      </c>
      <c r="F147" s="60" t="n">
        <v>-3.831</v>
      </c>
      <c r="H147" s="60" t="n">
        <v>-3.953</v>
      </c>
      <c r="I147" s="93">
        <f>G147</f>
        <v/>
      </c>
      <c r="J147" s="93">
        <f>H147</f>
        <v/>
      </c>
      <c r="K147" s="93">
        <f>I147</f>
        <v/>
      </c>
      <c r="L147" s="93">
        <f>J147</f>
        <v/>
      </c>
      <c r="M147" s="93">
        <f>K147</f>
        <v/>
      </c>
      <c r="N147" s="93">
        <f>L147</f>
        <v/>
      </c>
      <c r="O147" s="93">
        <f>M147</f>
        <v/>
      </c>
      <c r="P147" s="93">
        <f>N147</f>
        <v/>
      </c>
      <c r="Q147" s="93">
        <f>O147</f>
        <v/>
      </c>
      <c r="R147" s="93">
        <f>P147</f>
        <v/>
      </c>
      <c r="S147" s="93">
        <f>Q147</f>
        <v/>
      </c>
      <c r="T147" s="93">
        <f>R147</f>
        <v/>
      </c>
      <c r="U147" s="93">
        <f>S147</f>
        <v/>
      </c>
      <c r="V147" s="93">
        <f>T147</f>
        <v/>
      </c>
      <c r="W147" s="93">
        <f>U147</f>
        <v/>
      </c>
      <c r="X147" s="93">
        <f>V147</f>
        <v/>
      </c>
      <c r="Y147" s="93">
        <f>W147</f>
        <v/>
      </c>
      <c r="Z147" s="93">
        <f>X147</f>
        <v/>
      </c>
      <c r="AA147" s="93">
        <f>Y147</f>
        <v/>
      </c>
    </row>
    <row r="148">
      <c r="A148" t="inlineStr">
        <is>
          <t>US-Seg EBITDA</t>
        </is>
      </c>
      <c r="B148" t="inlineStr">
        <is>
          <t>US Segment EBITDA</t>
        </is>
      </c>
      <c r="C148" t="inlineStr">
        <is>
          <t>AUDm</t>
        </is>
      </c>
      <c r="D148" s="60" t="n">
        <v>-3.095</v>
      </c>
      <c r="E148" s="60" t="n">
        <v>-3.405</v>
      </c>
      <c r="F148" s="60" t="n">
        <v>-5.014</v>
      </c>
      <c r="G148" s="60" t="n">
        <v>-8.186</v>
      </c>
      <c r="H148" s="60" t="n">
        <v>-8.308</v>
      </c>
      <c r="I148" s="92">
        <f>I145+I146+I147</f>
        <v/>
      </c>
      <c r="J148" s="92">
        <f>J145+J146+J147</f>
        <v/>
      </c>
      <c r="K148" s="92">
        <f>K145+K146+K147</f>
        <v/>
      </c>
      <c r="L148" s="92">
        <f>L145+L146+L147</f>
        <v/>
      </c>
      <c r="M148" s="92">
        <f>M145+M146+M147</f>
        <v/>
      </c>
      <c r="N148" s="92">
        <f>N145+N146+N147</f>
        <v/>
      </c>
      <c r="O148" s="92">
        <f>O145+O146+O147</f>
        <v/>
      </c>
      <c r="P148" s="92">
        <f>P145+P146+P147</f>
        <v/>
      </c>
      <c r="Q148" s="92">
        <f>Q145+Q146+Q147</f>
        <v/>
      </c>
      <c r="R148" s="92">
        <f>R145+R146+R147</f>
        <v/>
      </c>
      <c r="S148" s="92">
        <f>S145+S146+S147</f>
        <v/>
      </c>
      <c r="T148" s="92">
        <f>T145+T146+T147</f>
        <v/>
      </c>
      <c r="U148" s="92">
        <f>U145+U146+U147</f>
        <v/>
      </c>
      <c r="V148" s="92">
        <f>V145+V146+V147</f>
        <v/>
      </c>
      <c r="W148" s="92">
        <f>W145+W146+W147</f>
        <v/>
      </c>
      <c r="X148" s="92">
        <f>X145+X146+X147</f>
        <v/>
      </c>
      <c r="Y148" s="92">
        <f>Y145+Y146+Y147</f>
        <v/>
      </c>
      <c r="Z148" s="92">
        <f>Z145+Z146+Z147</f>
        <v/>
      </c>
      <c r="AA148" s="92">
        <f>AA145+AA146+AA147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2026-03-02T02:03:35Z</dcterms:created>
  <dcterms:modified xsi:type="dcterms:W3CDTF">2026-03-15T07:33:14Z</dcterms:modified>
  <cp:lastModifiedBy>Peter Wilson</cp:lastModifiedBy>
</cp:coreProperties>
</file>