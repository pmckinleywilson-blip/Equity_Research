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xmlns:r="http://schemas.openxmlformats.org/officeDocument/2006/relationships" name="Value" sheetId="1" state="visible" r:id="rId1"/>
    <sheet xmlns:r="http://schemas.openxmlformats.org/officeDocument/2006/relationships" name="Annual" sheetId="2" state="visible" r:id="rId2"/>
    <sheet xmlns:r="http://schemas.openxmlformats.org/officeDocument/2006/relationships" name="HY &amp; Segmen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#,##0.0"/>
    <numFmt numFmtId="166" formatCode="0.0%"/>
    <numFmt numFmtId="167" formatCode="0.000"/>
    <numFmt numFmtId="168" formatCode="0.0\x"/>
    <numFmt numFmtId="169" formatCode="d/mm/yy"/>
    <numFmt numFmtId="170" formatCode="dd\-mmm\-yy"/>
  </numFmts>
  <fonts count="21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sz val="11"/>
      <u val="single"/>
    </font>
    <font>
      <name val="Calibri"/>
      <family val="2"/>
      <color rgb="FFC00000"/>
      <sz val="11"/>
    </font>
    <font>
      <name val="Calibri"/>
      <family val="2"/>
      <b val="1"/>
      <sz val="12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1"/>
      <u val="single"/>
    </font>
    <font>
      <name val="Calibri"/>
      <color rgb="FF0000CC"/>
      <sz val="11"/>
    </font>
    <font>
      <name val="Calibri"/>
      <b val="1"/>
      <color rgb="FF0000CC"/>
      <sz val="11"/>
    </font>
    <font>
      <name val="Calibri"/>
      <color rgb="FF0000FF"/>
      <sz val="11"/>
    </font>
    <font>
      <name val="Calibri"/>
      <color rgb="FF000000"/>
      <sz val="11"/>
    </font>
    <font>
      <name val="Calibri"/>
      <color rgb="FFC00000"/>
      <sz val="11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b val="1"/>
      <color rgb="FFC00000"/>
      <sz val="11"/>
    </font>
    <font>
      <name val="Calibri"/>
      <b val="1"/>
      <color rgb="FF0000FF"/>
      <sz val="11"/>
    </font>
  </fonts>
  <fills count="9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C5D9F1"/>
        <bgColor rgb="FFC5D9F1"/>
      </patternFill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/>
      <bottom style="thin"/>
    </border>
  </borders>
  <cellStyleXfs count="1">
    <xf numFmtId="0" fontId="0" fillId="0" borderId="4"/>
  </cellStyleXfs>
  <cellXfs count="100">
    <xf numFmtId="0" fontId="0" fillId="0" borderId="0" pivotButton="0" quotePrefix="0" xfId="0"/>
    <xf numFmtId="0" fontId="1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6" fontId="0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167" fontId="0" fillId="0" borderId="0" pivotButton="0" quotePrefix="0" xfId="0"/>
    <xf numFmtId="165" fontId="3" fillId="0" borderId="0" pivotButton="0" quotePrefix="0" xfId="0"/>
    <xf numFmtId="2" fontId="6" fillId="0" borderId="0" pivotButton="0" quotePrefix="0" xfId="0"/>
    <xf numFmtId="168" fontId="5" fillId="5" borderId="0" pivotButton="0" quotePrefix="0" xfId="0"/>
    <xf numFmtId="168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169" fontId="0" fillId="0" borderId="0" pivotButton="0" quotePrefix="0" xfId="0"/>
    <xf numFmtId="0" fontId="3" fillId="4" borderId="0" pivotButton="0" quotePrefix="0" xfId="0"/>
    <xf numFmtId="0" fontId="3" fillId="0" borderId="1" pivotButton="0" quotePrefix="0" xfId="0"/>
    <xf numFmtId="0" fontId="5" fillId="0" borderId="0" pivotButton="0" quotePrefix="0" xfId="0"/>
    <xf numFmtId="166" fontId="5" fillId="0" borderId="0" pivotButton="0" quotePrefix="0" xfId="0"/>
    <xf numFmtId="0" fontId="7" fillId="0" borderId="1" pivotButton="0" quotePrefix="0" xfId="0"/>
    <xf numFmtId="165" fontId="7" fillId="0" borderId="1" pivotButton="0" quotePrefix="0" xfId="0"/>
    <xf numFmtId="165" fontId="0" fillId="0" borderId="2" pivotButton="0" quotePrefix="0" xfId="0"/>
    <xf numFmtId="0" fontId="0" fillId="0" borderId="3" pivotButton="0" quotePrefix="0" xfId="0"/>
    <xf numFmtId="165" fontId="0" fillId="0" borderId="3" pivotButton="0" quotePrefix="0" xfId="0"/>
    <xf numFmtId="0" fontId="0" fillId="0" borderId="2" pivotButton="0" quotePrefix="0" xfId="0"/>
    <xf numFmtId="165" fontId="3" fillId="0" borderId="2" pivotButton="0" quotePrefix="0" xfId="0"/>
    <xf numFmtId="2" fontId="5" fillId="0" borderId="0" pivotButton="0" quotePrefix="0" xfId="0"/>
    <xf numFmtId="166" fontId="5" fillId="0" borderId="3" pivotButton="0" quotePrefix="0" xfId="0"/>
    <xf numFmtId="170" fontId="8" fillId="6" borderId="0" pivotButton="0" quotePrefix="0" xfId="0"/>
    <xf numFmtId="2" fontId="0" fillId="0" borderId="0" pivotButton="0" quotePrefix="0" xfId="0"/>
    <xf numFmtId="0" fontId="0" fillId="6" borderId="0" applyAlignment="1" pivotButton="0" quotePrefix="0" xfId="0">
      <alignment horizontal="right"/>
    </xf>
    <xf numFmtId="0" fontId="9" fillId="0" borderId="4" pivotButton="0" quotePrefix="0" xfId="0"/>
    <xf numFmtId="0" fontId="10" fillId="7" borderId="4" pivotButton="0" quotePrefix="0" xfId="0"/>
    <xf numFmtId="0" fontId="11" fillId="0" borderId="4" pivotButton="0" quotePrefix="0" xfId="0"/>
    <xf numFmtId="165" fontId="9" fillId="0" borderId="4" pivotButton="0" quotePrefix="0" xfId="0"/>
    <xf numFmtId="0" fontId="10" fillId="0" borderId="5" pivotButton="0" quotePrefix="0" xfId="0"/>
    <xf numFmtId="165" fontId="10" fillId="0" borderId="5" pivotButton="0" quotePrefix="0" xfId="0"/>
    <xf numFmtId="166" fontId="9" fillId="0" borderId="4" pivotButton="0" quotePrefix="0" xfId="0"/>
    <xf numFmtId="0" fontId="10" fillId="8" borderId="4" pivotButton="0" quotePrefix="0" xfId="0"/>
    <xf numFmtId="3" fontId="9" fillId="0" borderId="4" pivotButton="0" quotePrefix="0" xfId="0"/>
    <xf numFmtId="3" fontId="10" fillId="0" borderId="5" pivotButton="0" quotePrefix="0" xfId="0"/>
    <xf numFmtId="165" fontId="12" fillId="0" borderId="4" pivotButton="0" quotePrefix="0" xfId="0"/>
    <xf numFmtId="165" fontId="13" fillId="0" borderId="5" pivotButton="0" quotePrefix="0" xfId="0"/>
    <xf numFmtId="166" fontId="12" fillId="0" borderId="4" pivotButton="0" quotePrefix="0" xfId="0"/>
    <xf numFmtId="164" fontId="12" fillId="0" borderId="0" pivotButton="0" quotePrefix="0" xfId="0"/>
    <xf numFmtId="167" fontId="12" fillId="0" borderId="1" pivotButton="0" quotePrefix="0" xfId="0"/>
    <xf numFmtId="167" fontId="12" fillId="0" borderId="0" pivotButton="0" quotePrefix="0" xfId="0"/>
    <xf numFmtId="166" fontId="12" fillId="0" borderId="0" pivotButton="0" quotePrefix="0" xfId="0"/>
    <xf numFmtId="165" fontId="12" fillId="0" borderId="0" pivotButton="0" quotePrefix="0" xfId="0"/>
    <xf numFmtId="3" fontId="12" fillId="0" borderId="4" pivotButton="0" quotePrefix="0" xfId="0"/>
    <xf numFmtId="3" fontId="12" fillId="0" borderId="5" pivotButton="0" quotePrefix="0" xfId="0"/>
    <xf numFmtId="164" fontId="12" fillId="0" borderId="4" pivotButton="0" quotePrefix="0" xfId="0"/>
    <xf numFmtId="0" fontId="9" fillId="4" borderId="4" pivotButton="0" quotePrefix="0" xfId="0"/>
    <xf numFmtId="167" fontId="12" fillId="0" borderId="4" pivotButton="0" quotePrefix="0" xfId="0"/>
    <xf numFmtId="3" fontId="13" fillId="0" borderId="5" pivotButton="0" quotePrefix="0" xfId="0"/>
    <xf numFmtId="165" fontId="15" fillId="0" borderId="4" pivotButton="0" quotePrefix="0" xfId="0"/>
    <xf numFmtId="165" fontId="15" fillId="0" borderId="5" pivotButton="0" quotePrefix="0" xfId="0"/>
    <xf numFmtId="166" fontId="15" fillId="0" borderId="4" pivotButton="0" quotePrefix="0" xfId="0"/>
    <xf numFmtId="164" fontId="16" fillId="0" borderId="0" pivotButton="0" quotePrefix="0" xfId="0"/>
    <xf numFmtId="164" fontId="15" fillId="0" borderId="0" pivotButton="0" quotePrefix="0" xfId="0"/>
    <xf numFmtId="167" fontId="15" fillId="0" borderId="1" pivotButton="0" quotePrefix="0" xfId="0"/>
    <xf numFmtId="167" fontId="15" fillId="0" borderId="0" pivotButton="0" quotePrefix="0" xfId="0"/>
    <xf numFmtId="166" fontId="15" fillId="0" borderId="0" pivotButton="0" quotePrefix="0" xfId="0"/>
    <xf numFmtId="165" fontId="15" fillId="0" borderId="0" pivotButton="0" quotePrefix="0" xfId="0"/>
    <xf numFmtId="166" fontId="16" fillId="0" borderId="0" pivotButton="0" quotePrefix="0" xfId="0"/>
    <xf numFmtId="0" fontId="15" fillId="0" borderId="4" pivotButton="0" quotePrefix="0" xfId="0"/>
    <xf numFmtId="0" fontId="16" fillId="0" borderId="4" pivotButton="0" quotePrefix="0" xfId="0"/>
    <xf numFmtId="165" fontId="16" fillId="0" borderId="4" pivotButton="0" quotePrefix="0" xfId="0"/>
    <xf numFmtId="166" fontId="16" fillId="0" borderId="4" pivotButton="0" quotePrefix="0" xfId="0"/>
    <xf numFmtId="3" fontId="14" fillId="0" borderId="4" pivotButton="0" quotePrefix="0" xfId="0"/>
    <xf numFmtId="3" fontId="15" fillId="0" borderId="4" pivotButton="0" quotePrefix="0" xfId="0"/>
    <xf numFmtId="3" fontId="16" fillId="0" borderId="4" pivotButton="0" quotePrefix="0" xfId="0"/>
    <xf numFmtId="165" fontId="14" fillId="0" borderId="4" pivotButton="0" quotePrefix="0" xfId="0"/>
    <xf numFmtId="166" fontId="14" fillId="0" borderId="4" pivotButton="0" quotePrefix="0" xfId="0"/>
    <xf numFmtId="165" fontId="14" fillId="0" borderId="5" pivotButton="0" quotePrefix="0" xfId="0"/>
    <xf numFmtId="165" fontId="16" fillId="0" borderId="5" pivotButton="0" quotePrefix="0" xfId="0"/>
    <xf numFmtId="0" fontId="18" fillId="2" borderId="6" pivotButton="0" quotePrefix="0" xfId="0"/>
    <xf numFmtId="0" fontId="18" fillId="3" borderId="6" pivotButton="0" quotePrefix="0" xfId="0"/>
    <xf numFmtId="0" fontId="9" fillId="7" borderId="4" pivotButton="0" quotePrefix="0" xfId="0"/>
    <xf numFmtId="165" fontId="13" fillId="0" borderId="6" pivotButton="0" quotePrefix="0" xfId="0"/>
    <xf numFmtId="165" fontId="17" fillId="0" borderId="6" pivotButton="0" quotePrefix="0" xfId="0"/>
    <xf numFmtId="164" fontId="13" fillId="0" borderId="6" pivotButton="0" quotePrefix="0" xfId="0"/>
    <xf numFmtId="164" fontId="19" fillId="0" borderId="6" pivotButton="0" quotePrefix="0" xfId="0"/>
    <xf numFmtId="167" fontId="13" fillId="0" borderId="6" pivotButton="0" quotePrefix="0" xfId="0"/>
    <xf numFmtId="167" fontId="17" fillId="0" borderId="6" pivotButton="0" quotePrefix="0" xfId="0"/>
    <xf numFmtId="0" fontId="9" fillId="8" borderId="4" pivotButton="0" quotePrefix="0" xfId="0"/>
    <xf numFmtId="3" fontId="13" fillId="0" borderId="6" pivotButton="0" quotePrefix="0" xfId="0"/>
    <xf numFmtId="3" fontId="10" fillId="0" borderId="6" pivotButton="0" quotePrefix="0" xfId="0"/>
    <xf numFmtId="0" fontId="0" fillId="7" borderId="0" pivotButton="0" quotePrefix="0" xfId="0"/>
    <xf numFmtId="0" fontId="3" fillId="7" borderId="0" pivotButton="0" quotePrefix="0" xfId="0"/>
    <xf numFmtId="164" fontId="17" fillId="0" borderId="6" pivotButton="0" quotePrefix="0" xfId="0"/>
    <xf numFmtId="166" fontId="13" fillId="0" borderId="6" pivotButton="0" quotePrefix="0" xfId="0"/>
    <xf numFmtId="166" fontId="17" fillId="0" borderId="6" pivotButton="0" quotePrefix="0" xfId="0"/>
    <xf numFmtId="0" fontId="10" fillId="0" borderId="6" pivotButton="0" quotePrefix="0" xfId="0"/>
    <xf numFmtId="165" fontId="10" fillId="0" borderId="6" pivotButton="0" quotePrefix="0" xfId="0"/>
    <xf numFmtId="165" fontId="20" fillId="0" borderId="6" pivotButton="0" quotePrefix="0" xfId="0"/>
    <xf numFmtId="165" fontId="19" fillId="0" borderId="6" pivotButton="0" quotePrefix="0" xfId="0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68"/>
  <sheetViews>
    <sheetView workbookViewId="0">
      <selection activeCell="C7" sqref="C7"/>
    </sheetView>
  </sheetViews>
  <sheetFormatPr baseColWidth="8" defaultRowHeight="14.5"/>
  <cols>
    <col width="3" customWidth="1" min="1" max="1"/>
    <col width="30" customWidth="1" min="2" max="2"/>
    <col width="12" customWidth="1" min="3" max="18"/>
  </cols>
  <sheetData>
    <row r="1"/>
    <row r="2" ht="18.5" customHeight="1">
      <c r="B2" s="1" t="inlineStr">
        <is>
          <t>DCF Valuation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/>
    <row r="4">
      <c r="B4" t="inlineStr">
        <is>
          <t>Current Share Price (A$)</t>
        </is>
      </c>
      <c r="C4" s="29" t="n">
        <v>7.91</v>
      </c>
    </row>
    <row r="5">
      <c r="B5" t="inlineStr">
        <is>
          <t>Shares Outstanding (#m)</t>
        </is>
      </c>
      <c r="C5" s="3">
        <f>INDEX(Annual!$D:$P,MATCH("EPS-YE Shares",Annual!$A:$A,0),MATCH($D$24,Annual!$D$3:$P$3,0)-1)</f>
        <v/>
      </c>
    </row>
    <row r="6">
      <c r="B6" t="inlineStr">
        <is>
          <t>Market Cap (A$m)</t>
        </is>
      </c>
      <c r="C6" s="4">
        <f>C4*C5</f>
        <v/>
      </c>
    </row>
    <row r="7">
      <c r="B7" t="inlineStr">
        <is>
          <t>Net Debt (A$m)</t>
        </is>
      </c>
      <c r="C7" s="4">
        <f>INDEX(Annual!$D:$P,MATCH("BS-Total Banking Debt",Annual!$A:$A,0),MATCH($D$24,Annual!$D$3:$P$3,0)-1)-INDEX(Annual!$D:$P,MATCH("BS-Cash",Annual!$A:$A,0),MATCH($D$24,Annual!$D$3:$P$3,0)-1)</f>
        <v/>
      </c>
    </row>
    <row r="8">
      <c r="B8" t="inlineStr">
        <is>
          <t>Market EV (A$m)</t>
        </is>
      </c>
      <c r="C8" s="4">
        <f>C6+C7</f>
        <v/>
      </c>
    </row>
    <row r="9">
      <c r="B9" t="inlineStr">
        <is>
          <t>Valuation Date</t>
        </is>
      </c>
      <c r="C9" s="31" t="n">
        <v>46022</v>
      </c>
    </row>
    <row r="10"/>
    <row r="11">
      <c r="B11" s="5" t="inlineStr">
        <is>
          <t>WACC Inputs</t>
        </is>
      </c>
    </row>
    <row r="12">
      <c r="B12" t="inlineStr">
        <is>
          <t>Risk-free Rate</t>
        </is>
      </c>
      <c r="C12" s="21" t="n">
        <v>0.04</v>
      </c>
    </row>
    <row r="13">
      <c r="B13" t="inlineStr">
        <is>
          <t>Equity Risk Premium</t>
        </is>
      </c>
      <c r="C13" s="21" t="n">
        <v>0.06</v>
      </c>
    </row>
    <row r="14">
      <c r="B14" t="inlineStr">
        <is>
          <t>Beta</t>
        </is>
      </c>
      <c r="C14" s="29" t="n">
        <v>1</v>
      </c>
    </row>
    <row r="15">
      <c r="B15" t="inlineStr">
        <is>
          <t>Cost of Equity</t>
        </is>
      </c>
      <c r="C15" s="6">
        <f>C12+C13*C14</f>
        <v/>
      </c>
    </row>
    <row r="16">
      <c r="B16" t="inlineStr">
        <is>
          <t>Pre-tax Cost of Debt</t>
        </is>
      </c>
      <c r="C16" s="21" t="n">
        <v>0.06</v>
      </c>
    </row>
    <row r="17">
      <c r="B17" t="inlineStr">
        <is>
          <t>Tax Rate</t>
        </is>
      </c>
      <c r="C17" s="21" t="n">
        <v>0.3</v>
      </c>
    </row>
    <row r="18">
      <c r="B18" t="inlineStr">
        <is>
          <t>After-tax Cost of Debt</t>
        </is>
      </c>
      <c r="C18" s="6">
        <f>C16*(1-C17)</f>
        <v/>
      </c>
    </row>
    <row r="19">
      <c r="B19" s="25" t="inlineStr">
        <is>
          <t>Debt Weight (D/(D+E))</t>
        </is>
      </c>
      <c r="C19" s="30" t="n">
        <v>0.3</v>
      </c>
    </row>
    <row r="20">
      <c r="B20" t="inlineStr">
        <is>
          <t>WACC</t>
        </is>
      </c>
      <c r="C20" s="6">
        <f>C15*(1-C19)+C18*C19</f>
        <v/>
      </c>
    </row>
    <row r="21">
      <c r="B21" t="inlineStr">
        <is>
          <t>Terminal Growth Rate</t>
        </is>
      </c>
      <c r="C21" s="21" t="n">
        <v>0.025</v>
      </c>
    </row>
    <row r="22">
      <c r="B22" t="inlineStr">
        <is>
          <t>Stub Period</t>
        </is>
      </c>
      <c r="C22" s="32">
        <f>(INDEX(Annual!$D:$P,4,MATCH($D$24,Annual!$D$3:$P$3,0))-C9)/365.25</f>
        <v/>
      </c>
    </row>
    <row r="23">
      <c r="C23" s="9" t="n"/>
    </row>
    <row r="24">
      <c r="B24" s="5" t="inlineStr">
        <is>
          <t>FCF Projection</t>
        </is>
      </c>
      <c r="D24" s="7" t="inlineStr">
        <is>
          <t>FY26E</t>
        </is>
      </c>
      <c r="E24" s="7" t="inlineStr">
        <is>
          <t>FY27E</t>
        </is>
      </c>
      <c r="F24" s="7" t="inlineStr">
        <is>
          <t>FY28E</t>
        </is>
      </c>
      <c r="G24" s="7" t="inlineStr">
        <is>
          <t>FY29E</t>
        </is>
      </c>
      <c r="H24" s="7" t="inlineStr">
        <is>
          <t>FY30E</t>
        </is>
      </c>
      <c r="I24" s="7" t="inlineStr">
        <is>
          <t>FY31E</t>
        </is>
      </c>
      <c r="J24" s="7" t="inlineStr">
        <is>
          <t>FY32E</t>
        </is>
      </c>
      <c r="K24" s="7" t="inlineStr">
        <is>
          <t>FY33E</t>
        </is>
      </c>
      <c r="L24" s="7" t="inlineStr">
        <is>
          <t>FY34E</t>
        </is>
      </c>
      <c r="M24" s="7" t="inlineStr">
        <is>
          <t>FY35E</t>
        </is>
      </c>
    </row>
    <row r="25">
      <c r="B25" t="inlineStr">
        <is>
          <t>EBITDA</t>
        </is>
      </c>
      <c r="C25" t="inlineStr">
        <is>
          <t>A$m</t>
        </is>
      </c>
      <c r="D25" s="4">
        <f>INDEX(Annual!$D:$P,MATCH("EBITDA-Statutory EBITDA",Annual!$A:$A,0),MATCH(D$24,Annual!$D$3:$P$3,0))</f>
        <v/>
      </c>
      <c r="E25" s="4">
        <f>INDEX(Annual!$D:$P,MATCH("EBITDA-Statutory EBITDA",Annual!$A:$A,0),MATCH(E$24,Annual!$D$3:$P$3,0))</f>
        <v/>
      </c>
      <c r="F25" s="4">
        <f>INDEX(Annual!$D:$P,MATCH("EBITDA-Statutory EBITDA",Annual!$A:$A,0),MATCH(F$24,Annual!$D$3:$P$3,0))</f>
        <v/>
      </c>
      <c r="G25" s="4">
        <f>INDEX(Annual!$D:$P,MATCH("EBITDA-Statutory EBITDA",Annual!$A:$A,0),MATCH(G$24,Annual!$D$3:$P$3,0))</f>
        <v/>
      </c>
      <c r="H25" s="4">
        <f>INDEX(Annual!$D:$P,MATCH("EBITDA-Statutory EBITDA",Annual!$A:$A,0),MATCH(H$24,Annual!$D$3:$P$3,0))</f>
        <v/>
      </c>
      <c r="I25" s="4">
        <f>INDEX(Annual!$D:$P,MATCH("EBITDA-Statutory EBITDA",Annual!$A:$A,0),MATCH(I$24,Annual!$D$3:$P$3,0))</f>
        <v/>
      </c>
      <c r="J25" s="4">
        <f>INDEX(Annual!$D:$P,MATCH("EBITDA-Statutory EBITDA",Annual!$A:$A,0),MATCH(J$24,Annual!$D$3:$P$3,0))</f>
        <v/>
      </c>
      <c r="K25" s="4">
        <f>INDEX(Annual!$D:$P,MATCH("EBITDA-Statutory EBITDA",Annual!$A:$A,0),MATCH(K$24,Annual!$D$3:$P$3,0))</f>
        <v/>
      </c>
      <c r="L25" s="4">
        <f>INDEX(Annual!$D:$P,MATCH("EBITDA-Statutory EBITDA",Annual!$A:$A,0),MATCH(L$24,Annual!$D$3:$P$3,0))</f>
        <v/>
      </c>
      <c r="M25" s="4">
        <f>INDEX(Annual!$D:$P,MATCH("EBITDA-Statutory EBITDA",Annual!$A:$A,0),MATCH(M$24,Annual!$D$3:$P$3,0))</f>
        <v/>
      </c>
    </row>
    <row r="26">
      <c r="B26" t="inlineStr">
        <is>
          <t>less D&amp;A</t>
        </is>
      </c>
      <c r="C26" t="inlineStr">
        <is>
          <t>A$m</t>
        </is>
      </c>
      <c r="D26" s="4">
        <f>INDEX(Annual!$D:$P,MATCH("DA-Total DA",Annual!$A:$A,0),MATCH(D$24,Annual!$D$3:$P$3,0))</f>
        <v/>
      </c>
      <c r="E26" s="4">
        <f>INDEX(Annual!$D:$P,MATCH("DA-Total DA",Annual!$A:$A,0),MATCH(E$24,Annual!$D$3:$P$3,0))</f>
        <v/>
      </c>
      <c r="F26" s="4">
        <f>INDEX(Annual!$D:$P,MATCH("DA-Total DA",Annual!$A:$A,0),MATCH(F$24,Annual!$D$3:$P$3,0))</f>
        <v/>
      </c>
      <c r="G26" s="4">
        <f>INDEX(Annual!$D:$P,MATCH("DA-Total DA",Annual!$A:$A,0),MATCH(G$24,Annual!$D$3:$P$3,0))</f>
        <v/>
      </c>
      <c r="H26" s="4">
        <f>INDEX(Annual!$D:$P,MATCH("DA-Total DA",Annual!$A:$A,0),MATCH(H$24,Annual!$D$3:$P$3,0))</f>
        <v/>
      </c>
      <c r="I26" s="4">
        <f>INDEX(Annual!$D:$P,MATCH("DA-Total DA",Annual!$A:$A,0),MATCH(I$24,Annual!$D$3:$P$3,0))</f>
        <v/>
      </c>
      <c r="J26" s="4">
        <f>INDEX(Annual!$D:$P,MATCH("DA-Total DA",Annual!$A:$A,0),MATCH(J$24,Annual!$D$3:$P$3,0))</f>
        <v/>
      </c>
      <c r="K26" s="4">
        <f>INDEX(Annual!$D:$P,MATCH("DA-Total DA",Annual!$A:$A,0),MATCH(K$24,Annual!$D$3:$P$3,0))</f>
        <v/>
      </c>
      <c r="L26" s="4">
        <f>INDEX(Annual!$D:$P,MATCH("DA-Total DA",Annual!$A:$A,0),MATCH(L$24,Annual!$D$3:$P$3,0))</f>
        <v/>
      </c>
      <c r="M26" s="4">
        <f>INDEX(Annual!$D:$P,MATCH("DA-Total DA",Annual!$A:$A,0),MATCH(M$24,Annual!$D$3:$P$3,0))</f>
        <v/>
      </c>
    </row>
    <row r="27">
      <c r="B27" t="inlineStr">
        <is>
          <t>EBIT</t>
        </is>
      </c>
      <c r="C27" t="inlineStr">
        <is>
          <t>A$m</t>
        </is>
      </c>
      <c r="D27" s="4">
        <f>INDEX(Annual!$D:$P,MATCH("EBIT-EBIT",Annual!$A:$A,0),MATCH(D$24,Annual!$D$3:$P$3,0))</f>
        <v/>
      </c>
      <c r="E27" s="4">
        <f>INDEX(Annual!$D:$P,MATCH("EBIT-EBIT",Annual!$A:$A,0),MATCH(E$24,Annual!$D$3:$P$3,0))</f>
        <v/>
      </c>
      <c r="F27" s="4">
        <f>INDEX(Annual!$D:$P,MATCH("EBIT-EBIT",Annual!$A:$A,0),MATCH(F$24,Annual!$D$3:$P$3,0))</f>
        <v/>
      </c>
      <c r="G27" s="4">
        <f>INDEX(Annual!$D:$P,MATCH("EBIT-EBIT",Annual!$A:$A,0),MATCH(G$24,Annual!$D$3:$P$3,0))</f>
        <v/>
      </c>
      <c r="H27" s="4">
        <f>INDEX(Annual!$D:$P,MATCH("EBIT-EBIT",Annual!$A:$A,0),MATCH(H$24,Annual!$D$3:$P$3,0))</f>
        <v/>
      </c>
      <c r="I27" s="4">
        <f>INDEX(Annual!$D:$P,MATCH("EBIT-EBIT",Annual!$A:$A,0),MATCH(I$24,Annual!$D$3:$P$3,0))</f>
        <v/>
      </c>
      <c r="J27" s="4">
        <f>INDEX(Annual!$D:$P,MATCH("EBIT-EBIT",Annual!$A:$A,0),MATCH(J$24,Annual!$D$3:$P$3,0))</f>
        <v/>
      </c>
      <c r="K27" s="4">
        <f>INDEX(Annual!$D:$P,MATCH("EBIT-EBIT",Annual!$A:$A,0),MATCH(K$24,Annual!$D$3:$P$3,0))</f>
        <v/>
      </c>
      <c r="L27" s="4">
        <f>INDEX(Annual!$D:$P,MATCH("EBIT-EBIT",Annual!$A:$A,0),MATCH(L$24,Annual!$D$3:$P$3,0))</f>
        <v/>
      </c>
      <c r="M27" s="4">
        <f>INDEX(Annual!$D:$P,MATCH("EBIT-EBIT",Annual!$A:$A,0),MATCH(M$24,Annual!$D$3:$P$3,0))</f>
        <v/>
      </c>
    </row>
    <row r="28">
      <c r="B28" t="inlineStr">
        <is>
          <t>less Tax on EBIT</t>
        </is>
      </c>
      <c r="C28" t="inlineStr">
        <is>
          <t>A$m</t>
        </is>
      </c>
      <c r="D28" s="4">
        <f>-D27*$C$17</f>
        <v/>
      </c>
      <c r="E28" s="4">
        <f>-E27*$C$17</f>
        <v/>
      </c>
      <c r="F28" s="4">
        <f>-F27*$C$17</f>
        <v/>
      </c>
      <c r="G28" s="4">
        <f>-G27*$C$17</f>
        <v/>
      </c>
      <c r="H28" s="4">
        <f>-H27*$C$17</f>
        <v/>
      </c>
      <c r="I28" s="4">
        <f>-I27*$C$17</f>
        <v/>
      </c>
      <c r="J28" s="4">
        <f>-J27*$C$17</f>
        <v/>
      </c>
      <c r="K28" s="4">
        <f>-K27*$C$17</f>
        <v/>
      </c>
      <c r="L28" s="4">
        <f>-L27*$C$17</f>
        <v/>
      </c>
      <c r="M28" s="4">
        <f>-M27*$C$17</f>
        <v/>
      </c>
    </row>
    <row r="29">
      <c r="B29" t="inlineStr">
        <is>
          <t>NOPAT</t>
        </is>
      </c>
      <c r="C29" t="inlineStr">
        <is>
          <t>A$m</t>
        </is>
      </c>
      <c r="D29" s="4">
        <f>D27+D28</f>
        <v/>
      </c>
      <c r="E29" s="4">
        <f>E27+E28</f>
        <v/>
      </c>
      <c r="F29" s="4">
        <f>F27+F28</f>
        <v/>
      </c>
      <c r="G29" s="4">
        <f>G27+G28</f>
        <v/>
      </c>
      <c r="H29" s="4">
        <f>H27+H28</f>
        <v/>
      </c>
      <c r="I29" s="4">
        <f>I27+I28</f>
        <v/>
      </c>
      <c r="J29" s="4">
        <f>J27+J28</f>
        <v/>
      </c>
      <c r="K29" s="4">
        <f>K27+K28</f>
        <v/>
      </c>
      <c r="L29" s="4">
        <f>L27+L28</f>
        <v/>
      </c>
      <c r="M29" s="4">
        <f>M27+M28</f>
        <v/>
      </c>
    </row>
    <row r="30">
      <c r="B30" t="inlineStr">
        <is>
          <t>plus D&amp;A</t>
        </is>
      </c>
      <c r="C30" t="inlineStr">
        <is>
          <t>A$m</t>
        </is>
      </c>
      <c r="D30" s="4">
        <f>-D26</f>
        <v/>
      </c>
      <c r="E30" s="4">
        <f>-E26</f>
        <v/>
      </c>
      <c r="F30" s="4">
        <f>-F26</f>
        <v/>
      </c>
      <c r="G30" s="4">
        <f>-G26</f>
        <v/>
      </c>
      <c r="H30" s="4">
        <f>-H26</f>
        <v/>
      </c>
      <c r="I30" s="4">
        <f>-I26</f>
        <v/>
      </c>
      <c r="J30" s="4">
        <f>-J26</f>
        <v/>
      </c>
      <c r="K30" s="4">
        <f>-K26</f>
        <v/>
      </c>
      <c r="L30" s="4">
        <f>-L26</f>
        <v/>
      </c>
      <c r="M30" s="4">
        <f>-M26</f>
        <v/>
      </c>
    </row>
    <row r="31">
      <c r="B31" t="inlineStr">
        <is>
          <t>less Capex</t>
        </is>
      </c>
      <c r="C31" t="inlineStr">
        <is>
          <t>A$m</t>
        </is>
      </c>
      <c r="D31" s="4">
        <f>INDEX(Annual!$D:$P,MATCH("CF-Capex PPE",Annual!$A:$A,0),MATCH(D$24,Annual!$D$3:$P$3,0))+INDEX(Annual!$D:$P,MATCH("CF-Capex Intang",Annual!$A:$A,0),MATCH(D$24,Annual!$D$3:$P$3,0))</f>
        <v/>
      </c>
      <c r="E31" s="4">
        <f>INDEX(Annual!$D:$P,MATCH("CF-Capex PPE",Annual!$A:$A,0),MATCH(E$24,Annual!$D$3:$P$3,0))+INDEX(Annual!$D:$P,MATCH("CF-Capex Intang",Annual!$A:$A,0),MATCH(E$24,Annual!$D$3:$P$3,0))</f>
        <v/>
      </c>
      <c r="F31" s="4">
        <f>INDEX(Annual!$D:$P,MATCH("CF-Capex PPE",Annual!$A:$A,0),MATCH(F$24,Annual!$D$3:$P$3,0))+INDEX(Annual!$D:$P,MATCH("CF-Capex Intang",Annual!$A:$A,0),MATCH(F$24,Annual!$D$3:$P$3,0))</f>
        <v/>
      </c>
      <c r="G31" s="4">
        <f>INDEX(Annual!$D:$P,MATCH("CF-Capex PPE",Annual!$A:$A,0),MATCH(G$24,Annual!$D$3:$P$3,0))+INDEX(Annual!$D:$P,MATCH("CF-Capex Intang",Annual!$A:$A,0),MATCH(G$24,Annual!$D$3:$P$3,0))</f>
        <v/>
      </c>
      <c r="H31" s="4">
        <f>INDEX(Annual!$D:$P,MATCH("CF-Capex PPE",Annual!$A:$A,0),MATCH(H$24,Annual!$D$3:$P$3,0))+INDEX(Annual!$D:$P,MATCH("CF-Capex Intang",Annual!$A:$A,0),MATCH(H$24,Annual!$D$3:$P$3,0))</f>
        <v/>
      </c>
      <c r="I31" s="4">
        <f>INDEX(Annual!$D:$P,MATCH("CF-Capex PPE",Annual!$A:$A,0),MATCH(I$24,Annual!$D$3:$P$3,0))+INDEX(Annual!$D:$P,MATCH("CF-Capex Intang",Annual!$A:$A,0),MATCH(I$24,Annual!$D$3:$P$3,0))</f>
        <v/>
      </c>
      <c r="J31" s="4">
        <f>INDEX(Annual!$D:$P,MATCH("CF-Capex PPE",Annual!$A:$A,0),MATCH(J$24,Annual!$D$3:$P$3,0))+INDEX(Annual!$D:$P,MATCH("CF-Capex Intang",Annual!$A:$A,0),MATCH(J$24,Annual!$D$3:$P$3,0))</f>
        <v/>
      </c>
      <c r="K31" s="4">
        <f>INDEX(Annual!$D:$P,MATCH("CF-Capex PPE",Annual!$A:$A,0),MATCH(K$24,Annual!$D$3:$P$3,0))+INDEX(Annual!$D:$P,MATCH("CF-Capex Intang",Annual!$A:$A,0),MATCH(K$24,Annual!$D$3:$P$3,0))</f>
        <v/>
      </c>
      <c r="L31" s="4">
        <f>INDEX(Annual!$D:$P,MATCH("CF-Capex PPE",Annual!$A:$A,0),MATCH(L$24,Annual!$D$3:$P$3,0))+INDEX(Annual!$D:$P,MATCH("CF-Capex Intang",Annual!$A:$A,0),MATCH(L$24,Annual!$D$3:$P$3,0))</f>
        <v/>
      </c>
      <c r="M31" s="4">
        <f>INDEX(Annual!$D:$P,MATCH("CF-Capex PPE",Annual!$A:$A,0),MATCH(M$24,Annual!$D$3:$P$3,0))+INDEX(Annual!$D:$P,MATCH("CF-Capex Intang",Annual!$A:$A,0),MATCH(M$24,Annual!$D$3:$P$3,0))</f>
        <v/>
      </c>
    </row>
    <row r="32">
      <c r="B32" t="inlineStr">
        <is>
          <t>less WC Change</t>
        </is>
      </c>
      <c r="C32" t="inlineStr">
        <is>
          <t>A$m</t>
        </is>
      </c>
      <c r="D32" s="4">
        <f>INDEX(Annual!$D:$P,MATCH("CF-WC Change",Annual!$A:$A,0),MATCH(D$24,Annual!$D$3:$P$3,0))</f>
        <v/>
      </c>
      <c r="E32" s="4">
        <f>INDEX(Annual!$D:$P,MATCH("CF-WC Change",Annual!$A:$A,0),MATCH(E$24,Annual!$D$3:$P$3,0))</f>
        <v/>
      </c>
      <c r="F32" s="4">
        <f>INDEX(Annual!$D:$P,MATCH("CF-WC Change",Annual!$A:$A,0),MATCH(F$24,Annual!$D$3:$P$3,0))</f>
        <v/>
      </c>
      <c r="G32" s="4">
        <f>INDEX(Annual!$D:$P,MATCH("CF-WC Change",Annual!$A:$A,0),MATCH(G$24,Annual!$D$3:$P$3,0))</f>
        <v/>
      </c>
      <c r="H32" s="4">
        <f>INDEX(Annual!$D:$P,MATCH("CF-WC Change",Annual!$A:$A,0),MATCH(H$24,Annual!$D$3:$P$3,0))</f>
        <v/>
      </c>
      <c r="I32" s="4">
        <f>INDEX(Annual!$D:$P,MATCH("CF-WC Change",Annual!$A:$A,0),MATCH(I$24,Annual!$D$3:$P$3,0))</f>
        <v/>
      </c>
      <c r="J32" s="4">
        <f>INDEX(Annual!$D:$P,MATCH("CF-WC Change",Annual!$A:$A,0),MATCH(J$24,Annual!$D$3:$P$3,0))</f>
        <v/>
      </c>
      <c r="K32" s="4">
        <f>INDEX(Annual!$D:$P,MATCH("CF-WC Change",Annual!$A:$A,0),MATCH(K$24,Annual!$D$3:$P$3,0))</f>
        <v/>
      </c>
      <c r="L32" s="4">
        <f>INDEX(Annual!$D:$P,MATCH("CF-WC Change",Annual!$A:$A,0),MATCH(L$24,Annual!$D$3:$P$3,0))</f>
        <v/>
      </c>
      <c r="M32" s="4">
        <f>INDEX(Annual!$D:$P,MATCH("CF-WC Change",Annual!$A:$A,0),MATCH(M$24,Annual!$D$3:$P$3,0))</f>
        <v/>
      </c>
    </row>
    <row r="33">
      <c r="B33" s="22" t="inlineStr">
        <is>
          <t>FCFF</t>
        </is>
      </c>
      <c r="C33" s="22" t="inlineStr">
        <is>
          <t>A$m</t>
        </is>
      </c>
      <c r="D33" s="23">
        <f>D29+D30+D31+D32</f>
        <v/>
      </c>
      <c r="E33" s="23">
        <f>E29+E30+E31+E32</f>
        <v/>
      </c>
      <c r="F33" s="23">
        <f>F29+F30+F31+F32</f>
        <v/>
      </c>
      <c r="G33" s="23">
        <f>G29+G30+G31+G32</f>
        <v/>
      </c>
      <c r="H33" s="23">
        <f>H29+H30+H31+H32</f>
        <v/>
      </c>
      <c r="I33" s="23">
        <f>I29+I30+I31+I32</f>
        <v/>
      </c>
      <c r="J33" s="23">
        <f>J29+J30+J31+J32</f>
        <v/>
      </c>
      <c r="K33" s="23">
        <f>K29+K30+K31+K32</f>
        <v/>
      </c>
      <c r="L33" s="23">
        <f>L29+L30+L31+L32</f>
        <v/>
      </c>
      <c r="M33" s="23">
        <f>M29+M30+M31+M32</f>
        <v/>
      </c>
    </row>
    <row r="34" ht="15" customHeight="1" thickBot="1">
      <c r="B34" t="inlineStr">
        <is>
          <t>Normalised FCFF (capex=D&amp;A)</t>
        </is>
      </c>
      <c r="C34" t="inlineStr">
        <is>
          <t>A$m</t>
        </is>
      </c>
      <c r="M34" s="24">
        <f>M29+M32</f>
        <v/>
      </c>
    </row>
    <row r="35">
      <c r="B35" s="8" t="inlineStr">
        <is>
          <t>Terminal Value</t>
        </is>
      </c>
      <c r="M35" s="4">
        <f>M34*(1+$C$21)/($C$20-$C$21)</f>
        <v/>
      </c>
    </row>
    <row r="36"/>
    <row r="37">
      <c r="B37" t="inlineStr">
        <is>
          <t>Discount Factor</t>
        </is>
      </c>
      <c r="D37" s="32">
        <f>1/(1+$C$20)^($C$22+0)</f>
        <v/>
      </c>
      <c r="E37" s="32">
        <f>1/(1+$C$20)^($C$22+1)</f>
        <v/>
      </c>
      <c r="F37" s="32">
        <f>1/(1+$C$20)^($C$22+2)</f>
        <v/>
      </c>
      <c r="G37" s="32">
        <f>1/(1+$C$20)^($C$22+3)</f>
        <v/>
      </c>
      <c r="H37" s="32">
        <f>1/(1+$C$20)^($C$22+4)</f>
        <v/>
      </c>
      <c r="I37" s="32">
        <f>1/(1+$C$20)^($C$22+5)</f>
        <v/>
      </c>
      <c r="J37" s="32">
        <f>1/(1+$C$20)^($C$22+6)</f>
        <v/>
      </c>
      <c r="K37" s="32">
        <f>1/(1+$C$20)^($C$22+7)</f>
        <v/>
      </c>
      <c r="L37" s="32">
        <f>1/(1+$C$20)^($C$22+8)</f>
        <v/>
      </c>
      <c r="M37" s="32">
        <f>1/(1+$C$20)^($C$22+9)</f>
        <v/>
      </c>
    </row>
    <row r="38">
      <c r="B38" s="25" t="inlineStr">
        <is>
          <t>PV of FCFF</t>
        </is>
      </c>
      <c r="C38" s="25" t="n"/>
      <c r="D38" s="26">
        <f>D33*D37</f>
        <v/>
      </c>
      <c r="E38" s="26">
        <f>E33*E37</f>
        <v/>
      </c>
      <c r="F38" s="26">
        <f>F33*F37</f>
        <v/>
      </c>
      <c r="G38" s="26">
        <f>G33*G37</f>
        <v/>
      </c>
      <c r="H38" s="26">
        <f>H33*H37</f>
        <v/>
      </c>
      <c r="I38" s="26">
        <f>I33*I37</f>
        <v/>
      </c>
      <c r="J38" s="26">
        <f>J33*J37</f>
        <v/>
      </c>
      <c r="K38" s="26">
        <f>K33*K37</f>
        <v/>
      </c>
      <c r="L38" s="26">
        <f>L33*L37</f>
        <v/>
      </c>
      <c r="M38" s="26">
        <f>M33*M37</f>
        <v/>
      </c>
    </row>
    <row r="39">
      <c r="B39" t="inlineStr">
        <is>
          <t>PV of Terminal Value</t>
        </is>
      </c>
      <c r="M39" s="4">
        <f>M35*M37</f>
        <v/>
      </c>
    </row>
    <row r="40"/>
    <row r="41">
      <c r="B41" t="inlineStr">
        <is>
          <t>Sum of PV of FCFs</t>
        </is>
      </c>
      <c r="C41" s="4">
        <f>SUM(D38:M38)</f>
        <v/>
      </c>
    </row>
    <row r="42">
      <c r="B42" s="25" t="inlineStr">
        <is>
          <t>PV of Terminal Value</t>
        </is>
      </c>
      <c r="C42" s="26">
        <f>M39</f>
        <v/>
      </c>
    </row>
    <row r="43">
      <c r="B43" t="inlineStr">
        <is>
          <t>Enterprise Value</t>
        </is>
      </c>
      <c r="C43" s="10">
        <f>C41+C42</f>
        <v/>
      </c>
    </row>
    <row r="44"/>
    <row r="45">
      <c r="B45" t="inlineStr">
        <is>
          <t>less Net Debt</t>
        </is>
      </c>
      <c r="C45" s="4">
        <f>-C7</f>
        <v/>
      </c>
    </row>
    <row r="46">
      <c r="B46" t="inlineStr">
        <is>
          <t>less Lease Liabilities</t>
        </is>
      </c>
      <c r="C46" s="4">
        <f>-INDEX(Annual!$D:$P,MATCH("BS-Lease Liabilities",Annual!$A:$A,0),MATCH($D$24,Annual!$D$3:$P$3,0)-1)</f>
        <v/>
      </c>
    </row>
    <row r="47" ht="15" customHeight="1" thickBot="1">
      <c r="B47" s="27" t="inlineStr">
        <is>
          <t>Equity Value</t>
        </is>
      </c>
      <c r="C47" s="28">
        <f>C43+C45+C46</f>
        <v/>
      </c>
    </row>
    <row r="48" ht="15.5" customHeight="1">
      <c r="B48" t="inlineStr">
        <is>
          <t>Per Share Value (A$)</t>
        </is>
      </c>
      <c r="C48" s="11">
        <f>C47/C5</f>
        <v/>
      </c>
    </row>
    <row r="49">
      <c r="B49" t="inlineStr">
        <is>
          <t>Upside / Downside</t>
        </is>
      </c>
      <c r="C49" s="6">
        <f>IF(C4=0,"",C48/C4-1)</f>
        <v/>
      </c>
    </row>
    <row r="50"/>
    <row r="51"/>
    <row r="52" ht="18.5" customHeight="1">
      <c r="B52" s="1" t="inlineStr">
        <is>
          <t>EV/EBITDA SOTP</t>
        </is>
      </c>
      <c r="C52" s="2" t="n"/>
      <c r="D52" s="2" t="n"/>
      <c r="E52" s="2" t="n"/>
      <c r="F52" s="2" t="n"/>
      <c r="G52" s="2" t="n"/>
      <c r="H52" s="2" t="n"/>
      <c r="I52" s="2" t="n"/>
    </row>
    <row r="53"/>
    <row r="54">
      <c r="B54" t="inlineStr">
        <is>
          <t>Select FY:</t>
        </is>
      </c>
      <c r="C54" s="33" t="inlineStr">
        <is>
          <t>FY27E</t>
        </is>
      </c>
    </row>
    <row r="55"/>
    <row r="56">
      <c r="B56" s="8" t="inlineStr">
        <is>
          <t>Segment</t>
        </is>
      </c>
      <c r="C56" s="8">
        <f>$C$54&amp;" EBITDA"</f>
        <v/>
      </c>
      <c r="D56" s="8" t="inlineStr">
        <is>
          <t>Multiple</t>
        </is>
      </c>
      <c r="E56" s="8" t="inlineStr">
        <is>
          <t>Implied EV</t>
        </is>
      </c>
    </row>
    <row r="57">
      <c r="B57" t="inlineStr">
        <is>
          <t>Australia</t>
        </is>
      </c>
      <c r="C57" s="4">
        <f>INDEX(Annual!$D:$P,MATCH("SegEBITDA-Australia",Annual!$A:$A,0),MATCH($C$54,Annual!$D$3:$P$3,0))</f>
        <v/>
      </c>
      <c r="D57" s="12" t="n">
        <v>25</v>
      </c>
      <c r="E57" s="4">
        <f>C57*D57</f>
        <v/>
      </c>
    </row>
    <row r="58">
      <c r="B58" t="inlineStr">
        <is>
          <t>US</t>
        </is>
      </c>
      <c r="C58" s="4">
        <f>INDEX(Annual!$D:$P,MATCH("SegEBITDA-US",Annual!$A:$A,0),MATCH($C$54,Annual!$D$3:$P$3,0))</f>
        <v/>
      </c>
      <c r="D58" s="12" t="n">
        <v>15</v>
      </c>
      <c r="E58" s="4">
        <f>C58*D58</f>
        <v/>
      </c>
    </row>
    <row r="59">
      <c r="B59" t="inlineStr">
        <is>
          <t>Corporate</t>
        </is>
      </c>
      <c r="C59" s="4">
        <f>INDEX(Annual!$D:$P,MATCH("EBITDA-Statutory EBITDA",Annual!$A:$A,0),MATCH($C$54,Annual!$D$3:$P$3,0))-C57-C58</f>
        <v/>
      </c>
      <c r="D59" s="12">
        <f>IF((C57+C58)=0,"",(C57*D57+C58*D58)/(C57+C58))</f>
        <v/>
      </c>
      <c r="E59" s="4">
        <f>C59*D59</f>
        <v/>
      </c>
    </row>
    <row r="60"/>
    <row r="61">
      <c r="B61" s="8" t="inlineStr">
        <is>
          <t>Group EV</t>
        </is>
      </c>
      <c r="C61">
        <f>SUM(E57:E59)</f>
        <v/>
      </c>
      <c r="E61" s="10">
        <f>SUM(E57:E59)</f>
        <v/>
      </c>
    </row>
    <row r="62">
      <c r="B62" t="inlineStr">
        <is>
          <t>less Net Debt</t>
        </is>
      </c>
      <c r="C62">
        <f>-C7</f>
        <v/>
      </c>
      <c r="E62" s="4">
        <f>-C7</f>
        <v/>
      </c>
    </row>
    <row r="63">
      <c r="B63" t="inlineStr">
        <is>
          <t>less Lease Liabilities</t>
        </is>
      </c>
      <c r="C63">
        <f>-INDEX(Annual!$D:$P,MATCH("BS-Lease Liabilities",Annual!$A:$A,0),MATCH($D$24,Annual!$D$3:$P$3,0)-1)</f>
        <v/>
      </c>
      <c r="E63" s="4">
        <f>-INDEX(Annual!$D:$P,MATCH("BS-Lease Liabilities",Annual!$A:$A,0),MATCH($D$24,Annual!$D$3:$P$3,0)-1)</f>
        <v/>
      </c>
    </row>
    <row r="64">
      <c r="B64" t="inlineStr">
        <is>
          <t>Equity Value</t>
        </is>
      </c>
      <c r="C64">
        <f>C61+C62+C63</f>
        <v/>
      </c>
      <c r="E64" s="10">
        <f>E61+E62+E63</f>
        <v/>
      </c>
    </row>
    <row r="65" ht="15.5" customHeight="1">
      <c r="B65" t="inlineStr">
        <is>
          <t>Per Share Value (A$)</t>
        </is>
      </c>
      <c r="C65">
        <f>C64/C5</f>
        <v/>
      </c>
      <c r="E65" s="11">
        <f>E64/C5</f>
        <v/>
      </c>
    </row>
    <row r="66">
      <c r="B66" t="inlineStr">
        <is>
          <t>Upside / Downside</t>
        </is>
      </c>
      <c r="C66">
        <f>IF(C4=0,"",C65/C4-1)</f>
        <v/>
      </c>
      <c r="E66" s="6">
        <f>IF(C4=0,"",E65/C4-1)</f>
        <v/>
      </c>
    </row>
    <row r="67"/>
    <row r="68">
      <c r="B68" t="inlineStr">
        <is>
          <t>Implied Group EV/EBITDA</t>
        </is>
      </c>
      <c r="C68">
        <f>IF(C59+C57+C58=0,"",C61/(C57+C58+C59))</f>
        <v/>
      </c>
      <c r="E68" s="13">
        <f>IF(INDEX(Annual!$D:$P,MATCH("EBITDA-Statutory EBITDA",Annual!$A:$A,0),MATCH($C$54,Annual!$D$3:$P$3,0))=0,"",E61/INDEX(Annual!$D:$P,MATCH("EBITDA-Statutory EBITDA",Annual!$A:$A,0),MATCH($C$54,Annual!$D$3:$P$3,0)))</f>
        <v/>
      </c>
    </row>
  </sheetData>
  <conditionalFormatting sqref="C49">
    <cfRule type="cellIs" priority="3" operator="lessThan" dxfId="1">
      <formula>0</formula>
    </cfRule>
    <cfRule type="cellIs" priority="4" operator="greaterThan" dxfId="0">
      <formula>0</formula>
    </cfRule>
  </conditionalFormatting>
  <conditionalFormatting sqref="E66">
    <cfRule type="cellIs" priority="1" operator="lessThan" dxfId="1">
      <formula>0</formula>
    </cfRule>
    <cfRule type="cellIs" priority="2" operator="greater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S165" sqref="S165"/>
    </sheetView>
  </sheetViews>
  <sheetFormatPr baseColWidth="8" defaultRowHeight="14.5"/>
  <cols>
    <col hidden="1" width="30" customWidth="1" min="1" max="1"/>
    <col width="32" customWidth="1" min="2" max="2"/>
    <col width="8" customWidth="1" min="3" max="3"/>
    <col width="12" customWidth="1" min="4" max="18"/>
  </cols>
  <sheetData>
    <row r="1"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</row>
    <row r="2" ht="18.5" customHeight="1">
      <c r="B2" s="14" t="inlineStr">
        <is>
          <t>GYG Model Summary</t>
        </is>
      </c>
      <c r="D2" s="79" t="inlineStr">
        <is>
          <t>Actual ----------&gt;</t>
        </is>
      </c>
      <c r="E2" s="79" t="n"/>
      <c r="F2" s="79" t="n"/>
      <c r="G2" s="80" t="inlineStr">
        <is>
          <t>Forecast -----&gt;</t>
        </is>
      </c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</row>
    <row r="3">
      <c r="B3" t="inlineStr">
        <is>
          <t>Guzman y Gomez (GYG.AX)</t>
        </is>
      </c>
      <c r="C3" t="inlineStr">
        <is>
          <t>Units</t>
        </is>
      </c>
      <c r="D3" s="7" t="inlineStr">
        <is>
          <t>FY23A</t>
        </is>
      </c>
      <c r="E3" s="7" t="inlineStr">
        <is>
          <t>FY24A</t>
        </is>
      </c>
      <c r="F3" s="7" t="inlineStr">
        <is>
          <t>FY25A</t>
        </is>
      </c>
      <c r="G3" s="7" t="inlineStr">
        <is>
          <t>FY26E</t>
        </is>
      </c>
      <c r="H3" s="7" t="inlineStr">
        <is>
          <t>FY27E</t>
        </is>
      </c>
      <c r="I3" s="7" t="inlineStr">
        <is>
          <t>FY28E</t>
        </is>
      </c>
      <c r="J3" s="7" t="inlineStr">
        <is>
          <t>FY29E</t>
        </is>
      </c>
      <c r="K3" s="7" t="inlineStr">
        <is>
          <t>FY30E</t>
        </is>
      </c>
      <c r="L3" s="7" t="inlineStr">
        <is>
          <t>FY31E</t>
        </is>
      </c>
      <c r="M3" s="7" t="inlineStr">
        <is>
          <t>FY32E</t>
        </is>
      </c>
      <c r="N3" s="7" t="inlineStr">
        <is>
          <t>FY33E</t>
        </is>
      </c>
      <c r="O3" s="7" t="inlineStr">
        <is>
          <t>FY34E</t>
        </is>
      </c>
      <c r="P3" s="7" t="inlineStr">
        <is>
          <t>FY35E</t>
        </is>
      </c>
    </row>
    <row r="4">
      <c r="D4" s="17" t="n">
        <v>45107</v>
      </c>
      <c r="E4" s="17" t="n">
        <v>45473</v>
      </c>
      <c r="F4" s="17" t="n">
        <v>45838</v>
      </c>
      <c r="G4" s="17" t="n">
        <v>46203</v>
      </c>
      <c r="H4" s="17" t="n">
        <v>46568</v>
      </c>
      <c r="I4" s="17" t="n">
        <v>46934</v>
      </c>
      <c r="J4" s="17" t="n">
        <v>47299</v>
      </c>
      <c r="K4" s="17" t="n">
        <v>47664</v>
      </c>
      <c r="L4" s="17" t="n">
        <v>48029</v>
      </c>
      <c r="M4" s="17" t="n">
        <v>48395</v>
      </c>
      <c r="N4" s="17" t="n">
        <v>48760</v>
      </c>
      <c r="O4" s="17" t="n">
        <v>49125</v>
      </c>
      <c r="P4" s="17" t="n">
        <v>49490</v>
      </c>
    </row>
    <row r="5">
      <c r="A5" s="81" t="n"/>
      <c r="B5" s="35" t="inlineStr">
        <is>
          <t>P&amp;L</t>
        </is>
      </c>
      <c r="C5" s="81" t="n"/>
      <c r="D5" s="81" t="n"/>
      <c r="E5" s="81" t="n"/>
      <c r="F5" s="81" t="n"/>
      <c r="G5" s="81" t="n"/>
      <c r="H5" s="81" t="n"/>
      <c r="I5" s="81" t="n"/>
      <c r="J5" s="81" t="n"/>
      <c r="K5" s="81" t="n"/>
      <c r="L5" s="81" t="n"/>
      <c r="M5" s="81" t="n"/>
      <c r="N5" s="81" t="n"/>
      <c r="O5" s="81" t="n"/>
      <c r="P5" s="81" t="n"/>
    </row>
    <row r="6">
      <c r="A6" s="34" t="n"/>
      <c r="B6" s="36" t="inlineStr">
        <is>
          <t>Revenue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</row>
    <row r="7">
      <c r="A7" s="34" t="inlineStr">
        <is>
          <t>Rev-Corp Restaurant Sales Aus</t>
        </is>
      </c>
      <c r="B7" s="34" t="inlineStr">
        <is>
          <t>Corp Restaurant Sales - Australia</t>
        </is>
      </c>
      <c r="C7" s="34" t="inlineStr">
        <is>
          <t>A$m</t>
        </is>
      </c>
      <c r="D7" s="44" t="n">
        <v>211.975</v>
      </c>
      <c r="E7" s="44" t="n">
        <v>278.877</v>
      </c>
      <c r="F7" s="44" t="n">
        <v>359.722</v>
      </c>
      <c r="G7" s="58">
        <f>INDEX('HY &amp; Segments'!$A:$AG,MATCH($A7,'HY &amp; Segments'!$A:$A,0),MATCH("1H"&amp;RIGHT(G$1,2),'HY &amp; Segments'!$3:$3,0))+INDEX('HY &amp; Segments'!$A:$AG,MATCH($A7,'HY &amp; Segments'!$A:$A,0),MATCH("2H"&amp;RIGHT(G$1,2),'HY &amp; Segments'!$3:$3,0))</f>
        <v/>
      </c>
      <c r="H7" s="58">
        <f>INDEX('HY &amp; Segments'!$A:$AG,MATCH($A7,'HY &amp; Segments'!$A:$A,0),MATCH("1H"&amp;RIGHT(H$1,2),'HY &amp; Segments'!$3:$3,0))+INDEX('HY &amp; Segments'!$A:$AG,MATCH($A7,'HY &amp; Segments'!$A:$A,0),MATCH("2H"&amp;RIGHT(H$1,2),'HY &amp; Segments'!$3:$3,0))</f>
        <v/>
      </c>
      <c r="I7" s="58">
        <f>INDEX('HY &amp; Segments'!$A:$AG,MATCH($A7,'HY &amp; Segments'!$A:$A,0),MATCH("1H"&amp;RIGHT(I$1,2),'HY &amp; Segments'!$3:$3,0))+INDEX('HY &amp; Segments'!$A:$AG,MATCH($A7,'HY &amp; Segments'!$A:$A,0),MATCH("2H"&amp;RIGHT(I$1,2),'HY &amp; Segments'!$3:$3,0))</f>
        <v/>
      </c>
      <c r="J7" s="58">
        <f>INDEX('HY &amp; Segments'!$A:$AG,MATCH($A7,'HY &amp; Segments'!$A:$A,0),MATCH("1H"&amp;RIGHT(J$1,2),'HY &amp; Segments'!$3:$3,0))+INDEX('HY &amp; Segments'!$A:$AG,MATCH($A7,'HY &amp; Segments'!$A:$A,0),MATCH("2H"&amp;RIGHT(J$1,2),'HY &amp; Segments'!$3:$3,0))</f>
        <v/>
      </c>
      <c r="K7" s="58">
        <f>INDEX('HY &amp; Segments'!$A:$AG,MATCH($A7,'HY &amp; Segments'!$A:$A,0),MATCH("1H"&amp;RIGHT(K$1,2),'HY &amp; Segments'!$3:$3,0))+INDEX('HY &amp; Segments'!$A:$AG,MATCH($A7,'HY &amp; Segments'!$A:$A,0),MATCH("2H"&amp;RIGHT(K$1,2),'HY &amp; Segments'!$3:$3,0))</f>
        <v/>
      </c>
      <c r="L7" s="58">
        <f>INDEX('HY &amp; Segments'!$A:$AG,MATCH($A7,'HY &amp; Segments'!$A:$A,0),MATCH("1H"&amp;RIGHT(L$1,2),'HY &amp; Segments'!$3:$3,0))+INDEX('HY &amp; Segments'!$A:$AG,MATCH($A7,'HY &amp; Segments'!$A:$A,0),MATCH("2H"&amp;RIGHT(L$1,2),'HY &amp; Segments'!$3:$3,0))</f>
        <v/>
      </c>
      <c r="M7" s="58">
        <f>INDEX('HY &amp; Segments'!$A:$AG,MATCH($A7,'HY &amp; Segments'!$A:$A,0),MATCH("1H"&amp;RIGHT(M$1,2),'HY &amp; Segments'!$3:$3,0))+INDEX('HY &amp; Segments'!$A:$AG,MATCH($A7,'HY &amp; Segments'!$A:$A,0),MATCH("2H"&amp;RIGHT(M$1,2),'HY &amp; Segments'!$3:$3,0))</f>
        <v/>
      </c>
      <c r="N7" s="58">
        <f>INDEX('HY &amp; Segments'!$A:$AG,MATCH($A7,'HY &amp; Segments'!$A:$A,0),MATCH("1H"&amp;RIGHT(N$1,2),'HY &amp; Segments'!$3:$3,0))+INDEX('HY &amp; Segments'!$A:$AG,MATCH($A7,'HY &amp; Segments'!$A:$A,0),MATCH("2H"&amp;RIGHT(N$1,2),'HY &amp; Segments'!$3:$3,0))</f>
        <v/>
      </c>
      <c r="O7" s="58">
        <f>INDEX('HY &amp; Segments'!$A:$AG,MATCH($A7,'HY &amp; Segments'!$A:$A,0),MATCH("1H"&amp;RIGHT(O$1,2),'HY &amp; Segments'!$3:$3,0))+INDEX('HY &amp; Segments'!$A:$AG,MATCH($A7,'HY &amp; Segments'!$A:$A,0),MATCH("2H"&amp;RIGHT(O$1,2),'HY &amp; Segments'!$3:$3,0))</f>
        <v/>
      </c>
      <c r="P7" s="58">
        <f>INDEX('HY &amp; Segments'!$A:$AG,MATCH($A7,'HY &amp; Segments'!$A:$A,0),MATCH("1H"&amp;RIGHT(P$1,2),'HY &amp; Segments'!$3:$3,0))+INDEX('HY &amp; Segments'!$A:$AG,MATCH($A7,'HY &amp; Segments'!$A:$A,0),MATCH("2H"&amp;RIGHT(P$1,2),'HY &amp; Segments'!$3:$3,0))</f>
        <v/>
      </c>
    </row>
    <row r="8">
      <c r="A8" s="34" t="inlineStr">
        <is>
          <t>Rev-Corp Restaurant Sales US</t>
        </is>
      </c>
      <c r="B8" s="34" t="inlineStr">
        <is>
          <t>Corp Restaurant Sales - US</t>
        </is>
      </c>
      <c r="C8" s="34" t="inlineStr">
        <is>
          <t>A$m</t>
        </is>
      </c>
      <c r="D8" s="44" t="n">
        <v>5.959</v>
      </c>
      <c r="E8" s="44" t="n">
        <v>10.834</v>
      </c>
      <c r="F8" s="44" t="n">
        <v>8.869</v>
      </c>
      <c r="G8" s="58">
        <f>INDEX('HY &amp; Segments'!$A:$AG,MATCH($A8,'HY &amp; Segments'!$A:$A,0),MATCH("1H"&amp;RIGHT(G$1,2),'HY &amp; Segments'!$3:$3,0))+INDEX('HY &amp; Segments'!$A:$AG,MATCH($A8,'HY &amp; Segments'!$A:$A,0),MATCH("2H"&amp;RIGHT(G$1,2),'HY &amp; Segments'!$3:$3,0))</f>
        <v/>
      </c>
      <c r="H8" s="58">
        <f>INDEX('HY &amp; Segments'!$A:$AG,MATCH($A8,'HY &amp; Segments'!$A:$A,0),MATCH("1H"&amp;RIGHT(H$1,2),'HY &amp; Segments'!$3:$3,0))+INDEX('HY &amp; Segments'!$A:$AG,MATCH($A8,'HY &amp; Segments'!$A:$A,0),MATCH("2H"&amp;RIGHT(H$1,2),'HY &amp; Segments'!$3:$3,0))</f>
        <v/>
      </c>
      <c r="I8" s="58">
        <f>INDEX('HY &amp; Segments'!$A:$AG,MATCH($A8,'HY &amp; Segments'!$A:$A,0),MATCH("1H"&amp;RIGHT(I$1,2),'HY &amp; Segments'!$3:$3,0))+INDEX('HY &amp; Segments'!$A:$AG,MATCH($A8,'HY &amp; Segments'!$A:$A,0),MATCH("2H"&amp;RIGHT(I$1,2),'HY &amp; Segments'!$3:$3,0))</f>
        <v/>
      </c>
      <c r="J8" s="58">
        <f>INDEX('HY &amp; Segments'!$A:$AG,MATCH($A8,'HY &amp; Segments'!$A:$A,0),MATCH("1H"&amp;RIGHT(J$1,2),'HY &amp; Segments'!$3:$3,0))+INDEX('HY &amp; Segments'!$A:$AG,MATCH($A8,'HY &amp; Segments'!$A:$A,0),MATCH("2H"&amp;RIGHT(J$1,2),'HY &amp; Segments'!$3:$3,0))</f>
        <v/>
      </c>
      <c r="K8" s="58">
        <f>INDEX('HY &amp; Segments'!$A:$AG,MATCH($A8,'HY &amp; Segments'!$A:$A,0),MATCH("1H"&amp;RIGHT(K$1,2),'HY &amp; Segments'!$3:$3,0))+INDEX('HY &amp; Segments'!$A:$AG,MATCH($A8,'HY &amp; Segments'!$A:$A,0),MATCH("2H"&amp;RIGHT(K$1,2),'HY &amp; Segments'!$3:$3,0))</f>
        <v/>
      </c>
      <c r="L8" s="58">
        <f>INDEX('HY &amp; Segments'!$A:$AG,MATCH($A8,'HY &amp; Segments'!$A:$A,0),MATCH("1H"&amp;RIGHT(L$1,2),'HY &amp; Segments'!$3:$3,0))+INDEX('HY &amp; Segments'!$A:$AG,MATCH($A8,'HY &amp; Segments'!$A:$A,0),MATCH("2H"&amp;RIGHT(L$1,2),'HY &amp; Segments'!$3:$3,0))</f>
        <v/>
      </c>
      <c r="M8" s="58">
        <f>INDEX('HY &amp; Segments'!$A:$AG,MATCH($A8,'HY &amp; Segments'!$A:$A,0),MATCH("1H"&amp;RIGHT(M$1,2),'HY &amp; Segments'!$3:$3,0))+INDEX('HY &amp; Segments'!$A:$AG,MATCH($A8,'HY &amp; Segments'!$A:$A,0),MATCH("2H"&amp;RIGHT(M$1,2),'HY &amp; Segments'!$3:$3,0))</f>
        <v/>
      </c>
      <c r="N8" s="58">
        <f>INDEX('HY &amp; Segments'!$A:$AG,MATCH($A8,'HY &amp; Segments'!$A:$A,0),MATCH("1H"&amp;RIGHT(N$1,2),'HY &amp; Segments'!$3:$3,0))+INDEX('HY &amp; Segments'!$A:$AG,MATCH($A8,'HY &amp; Segments'!$A:$A,0),MATCH("2H"&amp;RIGHT(N$1,2),'HY &amp; Segments'!$3:$3,0))</f>
        <v/>
      </c>
      <c r="O8" s="58">
        <f>INDEX('HY &amp; Segments'!$A:$AG,MATCH($A8,'HY &amp; Segments'!$A:$A,0),MATCH("1H"&amp;RIGHT(O$1,2),'HY &amp; Segments'!$3:$3,0))+INDEX('HY &amp; Segments'!$A:$AG,MATCH($A8,'HY &amp; Segments'!$A:$A,0),MATCH("2H"&amp;RIGHT(O$1,2),'HY &amp; Segments'!$3:$3,0))</f>
        <v/>
      </c>
      <c r="P8" s="58">
        <f>INDEX('HY &amp; Segments'!$A:$AG,MATCH($A8,'HY &amp; Segments'!$A:$A,0),MATCH("1H"&amp;RIGHT(P$1,2),'HY &amp; Segments'!$3:$3,0))+INDEX('HY &amp; Segments'!$A:$AG,MATCH($A8,'HY &amp; Segments'!$A:$A,0),MATCH("2H"&amp;RIGHT(P$1,2),'HY &amp; Segments'!$3:$3,0))</f>
        <v/>
      </c>
    </row>
    <row r="9">
      <c r="A9" s="34" t="inlineStr">
        <is>
          <t>Rev-Total Corp Restaurant Sales</t>
        </is>
      </c>
      <c r="B9" s="38" t="inlineStr">
        <is>
          <t>Total Corp Restaurant Sales</t>
        </is>
      </c>
      <c r="C9" s="38" t="inlineStr">
        <is>
          <t>A$m</t>
        </is>
      </c>
      <c r="D9" s="82" t="n">
        <v>217.934</v>
      </c>
      <c r="E9" s="82" t="n">
        <v>289.711</v>
      </c>
      <c r="F9" s="82" t="n">
        <v>368.591</v>
      </c>
      <c r="G9" s="83">
        <f>G7+G8</f>
        <v/>
      </c>
      <c r="H9" s="83">
        <f>H7+H8</f>
        <v/>
      </c>
      <c r="I9" s="83">
        <f>I7+I8</f>
        <v/>
      </c>
      <c r="J9" s="83">
        <f>J7+J8</f>
        <v/>
      </c>
      <c r="K9" s="83">
        <f>K7+K8</f>
        <v/>
      </c>
      <c r="L9" s="83">
        <f>L7+L8</f>
        <v/>
      </c>
      <c r="M9" s="83">
        <f>M7+M8</f>
        <v/>
      </c>
      <c r="N9" s="83">
        <f>N7+N8</f>
        <v/>
      </c>
      <c r="O9" s="83">
        <f>O7+O8</f>
        <v/>
      </c>
      <c r="P9" s="83">
        <f>P7+P8</f>
        <v/>
      </c>
    </row>
    <row r="10">
      <c r="A10" s="34" t="inlineStr">
        <is>
          <t>Rev-Franchise Royalty Revenue</t>
        </is>
      </c>
      <c r="B10" s="34" t="inlineStr">
        <is>
          <t>Franchise Royalty Revenue</t>
        </is>
      </c>
      <c r="C10" s="34" t="inlineStr">
        <is>
          <t>A$m</t>
        </is>
      </c>
      <c r="D10" s="44" t="n">
        <v>40.51</v>
      </c>
      <c r="E10" s="44" t="n">
        <v>51.858</v>
      </c>
      <c r="F10" s="44" t="n">
        <v>66.761</v>
      </c>
      <c r="G10" s="58">
        <f>INDEX('HY &amp; Segments'!$A:$AG,MATCH($A10,'HY &amp; Segments'!$A:$A,0),MATCH("1H"&amp;RIGHT(G$1,2),'HY &amp; Segments'!$3:$3,0))+INDEX('HY &amp; Segments'!$A:$AG,MATCH($A10,'HY &amp; Segments'!$A:$A,0),MATCH("2H"&amp;RIGHT(G$1,2),'HY &amp; Segments'!$3:$3,0))</f>
        <v/>
      </c>
      <c r="H10" s="58">
        <f>INDEX('HY &amp; Segments'!$A:$AG,MATCH($A10,'HY &amp; Segments'!$A:$A,0),MATCH("1H"&amp;RIGHT(H$1,2),'HY &amp; Segments'!$3:$3,0))+INDEX('HY &amp; Segments'!$A:$AG,MATCH($A10,'HY &amp; Segments'!$A:$A,0),MATCH("2H"&amp;RIGHT(H$1,2),'HY &amp; Segments'!$3:$3,0))</f>
        <v/>
      </c>
      <c r="I10" s="58">
        <f>INDEX('HY &amp; Segments'!$A:$AG,MATCH($A10,'HY &amp; Segments'!$A:$A,0),MATCH("1H"&amp;RIGHT(I$1,2),'HY &amp; Segments'!$3:$3,0))+INDEX('HY &amp; Segments'!$A:$AG,MATCH($A10,'HY &amp; Segments'!$A:$A,0),MATCH("2H"&amp;RIGHT(I$1,2),'HY &amp; Segments'!$3:$3,0))</f>
        <v/>
      </c>
      <c r="J10" s="58">
        <f>INDEX('HY &amp; Segments'!$A:$AG,MATCH($A10,'HY &amp; Segments'!$A:$A,0),MATCH("1H"&amp;RIGHT(J$1,2),'HY &amp; Segments'!$3:$3,0))+INDEX('HY &amp; Segments'!$A:$AG,MATCH($A10,'HY &amp; Segments'!$A:$A,0),MATCH("2H"&amp;RIGHT(J$1,2),'HY &amp; Segments'!$3:$3,0))</f>
        <v/>
      </c>
      <c r="K10" s="58">
        <f>INDEX('HY &amp; Segments'!$A:$AG,MATCH($A10,'HY &amp; Segments'!$A:$A,0),MATCH("1H"&amp;RIGHT(K$1,2),'HY &amp; Segments'!$3:$3,0))+INDEX('HY &amp; Segments'!$A:$AG,MATCH($A10,'HY &amp; Segments'!$A:$A,0),MATCH("2H"&amp;RIGHT(K$1,2),'HY &amp; Segments'!$3:$3,0))</f>
        <v/>
      </c>
      <c r="L10" s="58">
        <f>INDEX('HY &amp; Segments'!$A:$AG,MATCH($A10,'HY &amp; Segments'!$A:$A,0),MATCH("1H"&amp;RIGHT(L$1,2),'HY &amp; Segments'!$3:$3,0))+INDEX('HY &amp; Segments'!$A:$AG,MATCH($A10,'HY &amp; Segments'!$A:$A,0),MATCH("2H"&amp;RIGHT(L$1,2),'HY &amp; Segments'!$3:$3,0))</f>
        <v/>
      </c>
      <c r="M10" s="58">
        <f>INDEX('HY &amp; Segments'!$A:$AG,MATCH($A10,'HY &amp; Segments'!$A:$A,0),MATCH("1H"&amp;RIGHT(M$1,2),'HY &amp; Segments'!$3:$3,0))+INDEX('HY &amp; Segments'!$A:$AG,MATCH($A10,'HY &amp; Segments'!$A:$A,0),MATCH("2H"&amp;RIGHT(M$1,2),'HY &amp; Segments'!$3:$3,0))</f>
        <v/>
      </c>
      <c r="N10" s="58">
        <f>INDEX('HY &amp; Segments'!$A:$AG,MATCH($A10,'HY &amp; Segments'!$A:$A,0),MATCH("1H"&amp;RIGHT(N$1,2),'HY &amp; Segments'!$3:$3,0))+INDEX('HY &amp; Segments'!$A:$AG,MATCH($A10,'HY &amp; Segments'!$A:$A,0),MATCH("2H"&amp;RIGHT(N$1,2),'HY &amp; Segments'!$3:$3,0))</f>
        <v/>
      </c>
      <c r="O10" s="58">
        <f>INDEX('HY &amp; Segments'!$A:$AG,MATCH($A10,'HY &amp; Segments'!$A:$A,0),MATCH("1H"&amp;RIGHT(O$1,2),'HY &amp; Segments'!$3:$3,0))+INDEX('HY &amp; Segments'!$A:$AG,MATCH($A10,'HY &amp; Segments'!$A:$A,0),MATCH("2H"&amp;RIGHT(O$1,2),'HY &amp; Segments'!$3:$3,0))</f>
        <v/>
      </c>
      <c r="P10" s="58">
        <f>INDEX('HY &amp; Segments'!$A:$AG,MATCH($A10,'HY &amp; Segments'!$A:$A,0),MATCH("1H"&amp;RIGHT(P$1,2),'HY &amp; Segments'!$3:$3,0))+INDEX('HY &amp; Segments'!$A:$AG,MATCH($A10,'HY &amp; Segments'!$A:$A,0),MATCH("2H"&amp;RIGHT(P$1,2),'HY &amp; Segments'!$3:$3,0))</f>
        <v/>
      </c>
    </row>
    <row r="11">
      <c r="A11" s="34" t="inlineStr">
        <is>
          <t>Rev-Franchise Fee Revenue</t>
        </is>
      </c>
      <c r="B11" s="34" t="inlineStr">
        <is>
          <t>Franchise Fee Revenue</t>
        </is>
      </c>
      <c r="C11" s="34" t="inlineStr">
        <is>
          <t>A$m</t>
        </is>
      </c>
      <c r="D11" s="44" t="n">
        <v>0.6</v>
      </c>
      <c r="E11" s="44" t="n">
        <v>0.645</v>
      </c>
      <c r="F11" s="44" t="n">
        <v>0.63</v>
      </c>
      <c r="G11" s="58">
        <f>INDEX('HY &amp; Segments'!$A:$AG,MATCH($A11,'HY &amp; Segments'!$A:$A,0),MATCH("1H"&amp;RIGHT(G$1,2),'HY &amp; Segments'!$3:$3,0))+INDEX('HY &amp; Segments'!$A:$AG,MATCH($A11,'HY &amp; Segments'!$A:$A,0),MATCH("2H"&amp;RIGHT(G$1,2),'HY &amp; Segments'!$3:$3,0))</f>
        <v/>
      </c>
      <c r="H11" s="58">
        <f>INDEX('HY &amp; Segments'!$A:$AG,MATCH($A11,'HY &amp; Segments'!$A:$A,0),MATCH("1H"&amp;RIGHT(H$1,2),'HY &amp; Segments'!$3:$3,0))+INDEX('HY &amp; Segments'!$A:$AG,MATCH($A11,'HY &amp; Segments'!$A:$A,0),MATCH("2H"&amp;RIGHT(H$1,2),'HY &amp; Segments'!$3:$3,0))</f>
        <v/>
      </c>
      <c r="I11" s="58">
        <f>INDEX('HY &amp; Segments'!$A:$AG,MATCH($A11,'HY &amp; Segments'!$A:$A,0),MATCH("1H"&amp;RIGHT(I$1,2),'HY &amp; Segments'!$3:$3,0))+INDEX('HY &amp; Segments'!$A:$AG,MATCH($A11,'HY &amp; Segments'!$A:$A,0),MATCH("2H"&amp;RIGHT(I$1,2),'HY &amp; Segments'!$3:$3,0))</f>
        <v/>
      </c>
      <c r="J11" s="58">
        <f>INDEX('HY &amp; Segments'!$A:$AG,MATCH($A11,'HY &amp; Segments'!$A:$A,0),MATCH("1H"&amp;RIGHT(J$1,2),'HY &amp; Segments'!$3:$3,0))+INDEX('HY &amp; Segments'!$A:$AG,MATCH($A11,'HY &amp; Segments'!$A:$A,0),MATCH("2H"&amp;RIGHT(J$1,2),'HY &amp; Segments'!$3:$3,0))</f>
        <v/>
      </c>
      <c r="K11" s="58">
        <f>INDEX('HY &amp; Segments'!$A:$AG,MATCH($A11,'HY &amp; Segments'!$A:$A,0),MATCH("1H"&amp;RIGHT(K$1,2),'HY &amp; Segments'!$3:$3,0))+INDEX('HY &amp; Segments'!$A:$AG,MATCH($A11,'HY &amp; Segments'!$A:$A,0),MATCH("2H"&amp;RIGHT(K$1,2),'HY &amp; Segments'!$3:$3,0))</f>
        <v/>
      </c>
      <c r="L11" s="58">
        <f>INDEX('HY &amp; Segments'!$A:$AG,MATCH($A11,'HY &amp; Segments'!$A:$A,0),MATCH("1H"&amp;RIGHT(L$1,2),'HY &amp; Segments'!$3:$3,0))+INDEX('HY &amp; Segments'!$A:$AG,MATCH($A11,'HY &amp; Segments'!$A:$A,0),MATCH("2H"&amp;RIGHT(L$1,2),'HY &amp; Segments'!$3:$3,0))</f>
        <v/>
      </c>
      <c r="M11" s="58">
        <f>INDEX('HY &amp; Segments'!$A:$AG,MATCH($A11,'HY &amp; Segments'!$A:$A,0),MATCH("1H"&amp;RIGHT(M$1,2),'HY &amp; Segments'!$3:$3,0))+INDEX('HY &amp; Segments'!$A:$AG,MATCH($A11,'HY &amp; Segments'!$A:$A,0),MATCH("2H"&amp;RIGHT(M$1,2),'HY &amp; Segments'!$3:$3,0))</f>
        <v/>
      </c>
      <c r="N11" s="58">
        <f>INDEX('HY &amp; Segments'!$A:$AG,MATCH($A11,'HY &amp; Segments'!$A:$A,0),MATCH("1H"&amp;RIGHT(N$1,2),'HY &amp; Segments'!$3:$3,0))+INDEX('HY &amp; Segments'!$A:$AG,MATCH($A11,'HY &amp; Segments'!$A:$A,0),MATCH("2H"&amp;RIGHT(N$1,2),'HY &amp; Segments'!$3:$3,0))</f>
        <v/>
      </c>
      <c r="O11" s="58">
        <f>INDEX('HY &amp; Segments'!$A:$AG,MATCH($A11,'HY &amp; Segments'!$A:$A,0),MATCH("1H"&amp;RIGHT(O$1,2),'HY &amp; Segments'!$3:$3,0))+INDEX('HY &amp; Segments'!$A:$AG,MATCH($A11,'HY &amp; Segments'!$A:$A,0),MATCH("2H"&amp;RIGHT(O$1,2),'HY &amp; Segments'!$3:$3,0))</f>
        <v/>
      </c>
      <c r="P11" s="58">
        <f>INDEX('HY &amp; Segments'!$A:$AG,MATCH($A11,'HY &amp; Segments'!$A:$A,0),MATCH("1H"&amp;RIGHT(P$1,2),'HY &amp; Segments'!$3:$3,0))+INDEX('HY &amp; Segments'!$A:$AG,MATCH($A11,'HY &amp; Segments'!$A:$A,0),MATCH("2H"&amp;RIGHT(P$1,2),'HY &amp; Segments'!$3:$3,0))</f>
        <v/>
      </c>
    </row>
    <row r="12">
      <c r="A12" s="34" t="inlineStr">
        <is>
          <t>Rev-Total Revenue</t>
        </is>
      </c>
      <c r="B12" s="38" t="inlineStr">
        <is>
          <t>Total Revenue</t>
        </is>
      </c>
      <c r="C12" s="38" t="inlineStr">
        <is>
          <t>A$m</t>
        </is>
      </c>
      <c r="D12" s="82" t="n">
        <v>259.044</v>
      </c>
      <c r="E12" s="82" t="n">
        <v>342.214</v>
      </c>
      <c r="F12" s="82" t="n">
        <v>435.982</v>
      </c>
      <c r="G12" s="83">
        <f>SUM(G9:G11)</f>
        <v/>
      </c>
      <c r="H12" s="83">
        <f>SUM(H9:H11)</f>
        <v/>
      </c>
      <c r="I12" s="83">
        <f>SUM(I9:I11)</f>
        <v/>
      </c>
      <c r="J12" s="83">
        <f>SUM(J9:J11)</f>
        <v/>
      </c>
      <c r="K12" s="83">
        <f>SUM(K9:K11)</f>
        <v/>
      </c>
      <c r="L12" s="83">
        <f>SUM(L9:L11)</f>
        <v/>
      </c>
      <c r="M12" s="83">
        <f>SUM(M9:M11)</f>
        <v/>
      </c>
      <c r="N12" s="83">
        <f>SUM(N9:N11)</f>
        <v/>
      </c>
      <c r="O12" s="83">
        <f>SUM(O9:O11)</f>
        <v/>
      </c>
      <c r="P12" s="83">
        <f>SUM(P9:P11)</f>
        <v/>
      </c>
    </row>
    <row r="13">
      <c r="A13" s="34" t="n"/>
      <c r="B13" s="34" t="inlineStr">
        <is>
          <t>Revenue Growth</t>
        </is>
      </c>
      <c r="C13" s="34" t="inlineStr">
        <is>
          <t>% YoY</t>
        </is>
      </c>
      <c r="D13" s="40" t="n"/>
      <c r="E13" s="46">
        <f>IF(D12=0,"",E12/D12-1)</f>
        <v/>
      </c>
      <c r="F13" s="46">
        <f>IF(E12=0,"",F12/E12-1)</f>
        <v/>
      </c>
      <c r="G13" s="60">
        <f>IF(F12=0,"",G12/F12-1)</f>
        <v/>
      </c>
      <c r="H13" s="60">
        <f>IF(G12=0,"",H12/G12-1)</f>
        <v/>
      </c>
      <c r="I13" s="60">
        <f>IF(H12=0,"",I12/H12-1)</f>
        <v/>
      </c>
      <c r="J13" s="60">
        <f>IF(I12=0,"",J12/I12-1)</f>
        <v/>
      </c>
      <c r="K13" s="60">
        <f>IF(J12=0,"",K12/J12-1)</f>
        <v/>
      </c>
      <c r="L13" s="60">
        <f>IF(K12=0,"",L12/K12-1)</f>
        <v/>
      </c>
      <c r="M13" s="60">
        <f>IF(L12=0,"",M12/L12-1)</f>
        <v/>
      </c>
      <c r="N13" s="60">
        <f>IF(M12=0,"",N12/M12-1)</f>
        <v/>
      </c>
      <c r="O13" s="60">
        <f>IF(N12=0,"",O12/N12-1)</f>
        <v/>
      </c>
      <c r="P13" s="60">
        <f>IF(O12=0,"",P12/O12-1)</f>
        <v/>
      </c>
    </row>
    <row r="14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</row>
    <row r="15">
      <c r="A15" s="34" t="n"/>
      <c r="B15" s="36" t="inlineStr">
        <is>
          <t>Other Revenue</t>
        </is>
      </c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</row>
    <row r="16">
      <c r="A16" s="34" t="inlineStr">
        <is>
          <t>OthRev-Marketing Levy</t>
        </is>
      </c>
      <c r="B16" s="34" t="inlineStr">
        <is>
          <t>Marketing Levy Revenue</t>
        </is>
      </c>
      <c r="C16" s="34" t="inlineStr">
        <is>
          <t>A$m</t>
        </is>
      </c>
      <c r="D16" s="44" t="n">
        <v>13.252</v>
      </c>
      <c r="E16" s="44" t="n">
        <v>16.382</v>
      </c>
      <c r="F16" s="44" t="n">
        <v>19.688</v>
      </c>
      <c r="G16" s="58">
        <f>INDEX('HY &amp; Segments'!$A:$AG,MATCH($A16,'HY &amp; Segments'!$A:$A,0),MATCH("1H"&amp;RIGHT(G$1,2),'HY &amp; Segments'!$3:$3,0))+INDEX('HY &amp; Segments'!$A:$AG,MATCH($A16,'HY &amp; Segments'!$A:$A,0),MATCH("2H"&amp;RIGHT(G$1,2),'HY &amp; Segments'!$3:$3,0))</f>
        <v/>
      </c>
      <c r="H16" s="58">
        <f>INDEX('HY &amp; Segments'!$A:$AG,MATCH($A16,'HY &amp; Segments'!$A:$A,0),MATCH("1H"&amp;RIGHT(H$1,2),'HY &amp; Segments'!$3:$3,0))+INDEX('HY &amp; Segments'!$A:$AG,MATCH($A16,'HY &amp; Segments'!$A:$A,0),MATCH("2H"&amp;RIGHT(H$1,2),'HY &amp; Segments'!$3:$3,0))</f>
        <v/>
      </c>
      <c r="I16" s="58">
        <f>INDEX('HY &amp; Segments'!$A:$AG,MATCH($A16,'HY &amp; Segments'!$A:$A,0),MATCH("1H"&amp;RIGHT(I$1,2),'HY &amp; Segments'!$3:$3,0))+INDEX('HY &amp; Segments'!$A:$AG,MATCH($A16,'HY &amp; Segments'!$A:$A,0),MATCH("2H"&amp;RIGHT(I$1,2),'HY &amp; Segments'!$3:$3,0))</f>
        <v/>
      </c>
      <c r="J16" s="58">
        <f>INDEX('HY &amp; Segments'!$A:$AG,MATCH($A16,'HY &amp; Segments'!$A:$A,0),MATCH("1H"&amp;RIGHT(J$1,2),'HY &amp; Segments'!$3:$3,0))+INDEX('HY &amp; Segments'!$A:$AG,MATCH($A16,'HY &amp; Segments'!$A:$A,0),MATCH("2H"&amp;RIGHT(J$1,2),'HY &amp; Segments'!$3:$3,0))</f>
        <v/>
      </c>
      <c r="K16" s="58">
        <f>INDEX('HY &amp; Segments'!$A:$AG,MATCH($A16,'HY &amp; Segments'!$A:$A,0),MATCH("1H"&amp;RIGHT(K$1,2),'HY &amp; Segments'!$3:$3,0))+INDEX('HY &amp; Segments'!$A:$AG,MATCH($A16,'HY &amp; Segments'!$A:$A,0),MATCH("2H"&amp;RIGHT(K$1,2),'HY &amp; Segments'!$3:$3,0))</f>
        <v/>
      </c>
      <c r="L16" s="58">
        <f>INDEX('HY &amp; Segments'!$A:$AG,MATCH($A16,'HY &amp; Segments'!$A:$A,0),MATCH("1H"&amp;RIGHT(L$1,2),'HY &amp; Segments'!$3:$3,0))+INDEX('HY &amp; Segments'!$A:$AG,MATCH($A16,'HY &amp; Segments'!$A:$A,0),MATCH("2H"&amp;RIGHT(L$1,2),'HY &amp; Segments'!$3:$3,0))</f>
        <v/>
      </c>
      <c r="M16" s="58">
        <f>INDEX('HY &amp; Segments'!$A:$AG,MATCH($A16,'HY &amp; Segments'!$A:$A,0),MATCH("1H"&amp;RIGHT(M$1,2),'HY &amp; Segments'!$3:$3,0))+INDEX('HY &amp; Segments'!$A:$AG,MATCH($A16,'HY &amp; Segments'!$A:$A,0),MATCH("2H"&amp;RIGHT(M$1,2),'HY &amp; Segments'!$3:$3,0))</f>
        <v/>
      </c>
      <c r="N16" s="58">
        <f>INDEX('HY &amp; Segments'!$A:$AG,MATCH($A16,'HY &amp; Segments'!$A:$A,0),MATCH("1H"&amp;RIGHT(N$1,2),'HY &amp; Segments'!$3:$3,0))+INDEX('HY &amp; Segments'!$A:$AG,MATCH($A16,'HY &amp; Segments'!$A:$A,0),MATCH("2H"&amp;RIGHT(N$1,2),'HY &amp; Segments'!$3:$3,0))</f>
        <v/>
      </c>
      <c r="O16" s="58">
        <f>INDEX('HY &amp; Segments'!$A:$AG,MATCH($A16,'HY &amp; Segments'!$A:$A,0),MATCH("1H"&amp;RIGHT(O$1,2),'HY &amp; Segments'!$3:$3,0))+INDEX('HY &amp; Segments'!$A:$AG,MATCH($A16,'HY &amp; Segments'!$A:$A,0),MATCH("2H"&amp;RIGHT(O$1,2),'HY &amp; Segments'!$3:$3,0))</f>
        <v/>
      </c>
      <c r="P16" s="58">
        <f>INDEX('HY &amp; Segments'!$A:$AG,MATCH($A16,'HY &amp; Segments'!$A:$A,0),MATCH("1H"&amp;RIGHT(P$1,2),'HY &amp; Segments'!$3:$3,0))+INDEX('HY &amp; Segments'!$A:$AG,MATCH($A16,'HY &amp; Segments'!$A:$A,0),MATCH("2H"&amp;RIGHT(P$1,2),'HY &amp; Segments'!$3:$3,0))</f>
        <v/>
      </c>
    </row>
    <row r="17">
      <c r="A17" s="34" t="inlineStr">
        <is>
          <t>OthRev-Other Franchise Revenue</t>
        </is>
      </c>
      <c r="B17" s="34" t="inlineStr">
        <is>
          <t>Other Franchise Revenue</t>
        </is>
      </c>
      <c r="C17" s="34" t="inlineStr">
        <is>
          <t>A$m</t>
        </is>
      </c>
      <c r="D17" s="44" t="n">
        <v>1.813</v>
      </c>
      <c r="E17" s="44" t="n">
        <v>6.164</v>
      </c>
      <c r="F17" s="44" t="n">
        <v>8.942</v>
      </c>
      <c r="G17" s="58">
        <f>INDEX('HY &amp; Segments'!$A:$AG,MATCH($A17,'HY &amp; Segments'!$A:$A,0),MATCH("1H"&amp;RIGHT(G$1,2),'HY &amp; Segments'!$3:$3,0))+INDEX('HY &amp; Segments'!$A:$AG,MATCH($A17,'HY &amp; Segments'!$A:$A,0),MATCH("2H"&amp;RIGHT(G$1,2),'HY &amp; Segments'!$3:$3,0))</f>
        <v/>
      </c>
      <c r="H17" s="58">
        <f>INDEX('HY &amp; Segments'!$A:$AG,MATCH($A17,'HY &amp; Segments'!$A:$A,0),MATCH("1H"&amp;RIGHT(H$1,2),'HY &amp; Segments'!$3:$3,0))+INDEX('HY &amp; Segments'!$A:$AG,MATCH($A17,'HY &amp; Segments'!$A:$A,0),MATCH("2H"&amp;RIGHT(H$1,2),'HY &amp; Segments'!$3:$3,0))</f>
        <v/>
      </c>
      <c r="I17" s="58">
        <f>INDEX('HY &amp; Segments'!$A:$AG,MATCH($A17,'HY &amp; Segments'!$A:$A,0),MATCH("1H"&amp;RIGHT(I$1,2),'HY &amp; Segments'!$3:$3,0))+INDEX('HY &amp; Segments'!$A:$AG,MATCH($A17,'HY &amp; Segments'!$A:$A,0),MATCH("2H"&amp;RIGHT(I$1,2),'HY &amp; Segments'!$3:$3,0))</f>
        <v/>
      </c>
      <c r="J17" s="58">
        <f>INDEX('HY &amp; Segments'!$A:$AG,MATCH($A17,'HY &amp; Segments'!$A:$A,0),MATCH("1H"&amp;RIGHT(J$1,2),'HY &amp; Segments'!$3:$3,0))+INDEX('HY &amp; Segments'!$A:$AG,MATCH($A17,'HY &amp; Segments'!$A:$A,0),MATCH("2H"&amp;RIGHT(J$1,2),'HY &amp; Segments'!$3:$3,0))</f>
        <v/>
      </c>
      <c r="K17" s="58">
        <f>INDEX('HY &amp; Segments'!$A:$AG,MATCH($A17,'HY &amp; Segments'!$A:$A,0),MATCH("1H"&amp;RIGHT(K$1,2),'HY &amp; Segments'!$3:$3,0))+INDEX('HY &amp; Segments'!$A:$AG,MATCH($A17,'HY &amp; Segments'!$A:$A,0),MATCH("2H"&amp;RIGHT(K$1,2),'HY &amp; Segments'!$3:$3,0))</f>
        <v/>
      </c>
      <c r="L17" s="58">
        <f>INDEX('HY &amp; Segments'!$A:$AG,MATCH($A17,'HY &amp; Segments'!$A:$A,0),MATCH("1H"&amp;RIGHT(L$1,2),'HY &amp; Segments'!$3:$3,0))+INDEX('HY &amp; Segments'!$A:$AG,MATCH($A17,'HY &amp; Segments'!$A:$A,0),MATCH("2H"&amp;RIGHT(L$1,2),'HY &amp; Segments'!$3:$3,0))</f>
        <v/>
      </c>
      <c r="M17" s="58">
        <f>INDEX('HY &amp; Segments'!$A:$AG,MATCH($A17,'HY &amp; Segments'!$A:$A,0),MATCH("1H"&amp;RIGHT(M$1,2),'HY &amp; Segments'!$3:$3,0))+INDEX('HY &amp; Segments'!$A:$AG,MATCH($A17,'HY &amp; Segments'!$A:$A,0),MATCH("2H"&amp;RIGHT(M$1,2),'HY &amp; Segments'!$3:$3,0))</f>
        <v/>
      </c>
      <c r="N17" s="58">
        <f>INDEX('HY &amp; Segments'!$A:$AG,MATCH($A17,'HY &amp; Segments'!$A:$A,0),MATCH("1H"&amp;RIGHT(N$1,2),'HY &amp; Segments'!$3:$3,0))+INDEX('HY &amp; Segments'!$A:$AG,MATCH($A17,'HY &amp; Segments'!$A:$A,0),MATCH("2H"&amp;RIGHT(N$1,2),'HY &amp; Segments'!$3:$3,0))</f>
        <v/>
      </c>
      <c r="O17" s="58">
        <f>INDEX('HY &amp; Segments'!$A:$AG,MATCH($A17,'HY &amp; Segments'!$A:$A,0),MATCH("1H"&amp;RIGHT(O$1,2),'HY &amp; Segments'!$3:$3,0))+INDEX('HY &amp; Segments'!$A:$AG,MATCH($A17,'HY &amp; Segments'!$A:$A,0),MATCH("2H"&amp;RIGHT(O$1,2),'HY &amp; Segments'!$3:$3,0))</f>
        <v/>
      </c>
      <c r="P17" s="58">
        <f>INDEX('HY &amp; Segments'!$A:$AG,MATCH($A17,'HY &amp; Segments'!$A:$A,0),MATCH("1H"&amp;RIGHT(P$1,2),'HY &amp; Segments'!$3:$3,0))+INDEX('HY &amp; Segments'!$A:$AG,MATCH($A17,'HY &amp; Segments'!$A:$A,0),MATCH("2H"&amp;RIGHT(P$1,2),'HY &amp; Segments'!$3:$3,0))</f>
        <v/>
      </c>
    </row>
    <row r="18">
      <c r="A18" s="34" t="inlineStr">
        <is>
          <t>OthRev-Other Income</t>
        </is>
      </c>
      <c r="B18" s="34" t="inlineStr">
        <is>
          <t>Other Income</t>
        </is>
      </c>
      <c r="C18" s="34" t="inlineStr">
        <is>
          <t>A$m</t>
        </is>
      </c>
      <c r="D18" s="44" t="n">
        <v>2.66</v>
      </c>
      <c r="E18" s="44" t="n">
        <v>0.228</v>
      </c>
      <c r="F18" s="44" t="n">
        <v>3.394</v>
      </c>
      <c r="G18" s="58">
        <f>INDEX('HY &amp; Segments'!$A:$AG,MATCH($A18,'HY &amp; Segments'!$A:$A,0),MATCH("1H"&amp;RIGHT(G$1,2),'HY &amp; Segments'!$3:$3,0))+INDEX('HY &amp; Segments'!$A:$AG,MATCH($A18,'HY &amp; Segments'!$A:$A,0),MATCH("2H"&amp;RIGHT(G$1,2),'HY &amp; Segments'!$3:$3,0))</f>
        <v/>
      </c>
      <c r="H18" s="58">
        <f>INDEX('HY &amp; Segments'!$A:$AG,MATCH($A18,'HY &amp; Segments'!$A:$A,0),MATCH("1H"&amp;RIGHT(H$1,2),'HY &amp; Segments'!$3:$3,0))+INDEX('HY &amp; Segments'!$A:$AG,MATCH($A18,'HY &amp; Segments'!$A:$A,0),MATCH("2H"&amp;RIGHT(H$1,2),'HY &amp; Segments'!$3:$3,0))</f>
        <v/>
      </c>
      <c r="I18" s="58">
        <f>INDEX('HY &amp; Segments'!$A:$AG,MATCH($A18,'HY &amp; Segments'!$A:$A,0),MATCH("1H"&amp;RIGHT(I$1,2),'HY &amp; Segments'!$3:$3,0))+INDEX('HY &amp; Segments'!$A:$AG,MATCH($A18,'HY &amp; Segments'!$A:$A,0),MATCH("2H"&amp;RIGHT(I$1,2),'HY &amp; Segments'!$3:$3,0))</f>
        <v/>
      </c>
      <c r="J18" s="58">
        <f>INDEX('HY &amp; Segments'!$A:$AG,MATCH($A18,'HY &amp; Segments'!$A:$A,0),MATCH("1H"&amp;RIGHT(J$1,2),'HY &amp; Segments'!$3:$3,0))+INDEX('HY &amp; Segments'!$A:$AG,MATCH($A18,'HY &amp; Segments'!$A:$A,0),MATCH("2H"&amp;RIGHT(J$1,2),'HY &amp; Segments'!$3:$3,0))</f>
        <v/>
      </c>
      <c r="K18" s="58">
        <f>INDEX('HY &amp; Segments'!$A:$AG,MATCH($A18,'HY &amp; Segments'!$A:$A,0),MATCH("1H"&amp;RIGHT(K$1,2),'HY &amp; Segments'!$3:$3,0))+INDEX('HY &amp; Segments'!$A:$AG,MATCH($A18,'HY &amp; Segments'!$A:$A,0),MATCH("2H"&amp;RIGHT(K$1,2),'HY &amp; Segments'!$3:$3,0))</f>
        <v/>
      </c>
      <c r="L18" s="58">
        <f>INDEX('HY &amp; Segments'!$A:$AG,MATCH($A18,'HY &amp; Segments'!$A:$A,0),MATCH("1H"&amp;RIGHT(L$1,2),'HY &amp; Segments'!$3:$3,0))+INDEX('HY &amp; Segments'!$A:$AG,MATCH($A18,'HY &amp; Segments'!$A:$A,0),MATCH("2H"&amp;RIGHT(L$1,2),'HY &amp; Segments'!$3:$3,0))</f>
        <v/>
      </c>
      <c r="M18" s="58">
        <f>INDEX('HY &amp; Segments'!$A:$AG,MATCH($A18,'HY &amp; Segments'!$A:$A,0),MATCH("1H"&amp;RIGHT(M$1,2),'HY &amp; Segments'!$3:$3,0))+INDEX('HY &amp; Segments'!$A:$AG,MATCH($A18,'HY &amp; Segments'!$A:$A,0),MATCH("2H"&amp;RIGHT(M$1,2),'HY &amp; Segments'!$3:$3,0))</f>
        <v/>
      </c>
      <c r="N18" s="58">
        <f>INDEX('HY &amp; Segments'!$A:$AG,MATCH($A18,'HY &amp; Segments'!$A:$A,0),MATCH("1H"&amp;RIGHT(N$1,2),'HY &amp; Segments'!$3:$3,0))+INDEX('HY &amp; Segments'!$A:$AG,MATCH($A18,'HY &amp; Segments'!$A:$A,0),MATCH("2H"&amp;RIGHT(N$1,2),'HY &amp; Segments'!$3:$3,0))</f>
        <v/>
      </c>
      <c r="O18" s="58">
        <f>INDEX('HY &amp; Segments'!$A:$AG,MATCH($A18,'HY &amp; Segments'!$A:$A,0),MATCH("1H"&amp;RIGHT(O$1,2),'HY &amp; Segments'!$3:$3,0))+INDEX('HY &amp; Segments'!$A:$AG,MATCH($A18,'HY &amp; Segments'!$A:$A,0),MATCH("2H"&amp;RIGHT(O$1,2),'HY &amp; Segments'!$3:$3,0))</f>
        <v/>
      </c>
      <c r="P18" s="58">
        <f>INDEX('HY &amp; Segments'!$A:$AG,MATCH($A18,'HY &amp; Segments'!$A:$A,0),MATCH("1H"&amp;RIGHT(P$1,2),'HY &amp; Segments'!$3:$3,0))+INDEX('HY &amp; Segments'!$A:$AG,MATCH($A18,'HY &amp; Segments'!$A:$A,0),MATCH("2H"&amp;RIGHT(P$1,2),'HY &amp; Segments'!$3:$3,0))</f>
        <v/>
      </c>
    </row>
    <row r="19">
      <c r="A19" s="34" t="inlineStr">
        <is>
          <t>OthRev-Total Other Revenue</t>
        </is>
      </c>
      <c r="B19" s="38" t="inlineStr">
        <is>
          <t>Total Other Revenue &amp; Income</t>
        </is>
      </c>
      <c r="C19" s="38" t="inlineStr">
        <is>
          <t>A$m</t>
        </is>
      </c>
      <c r="D19" s="82" t="n">
        <v>17.725</v>
      </c>
      <c r="E19" s="82" t="n">
        <v>22.774</v>
      </c>
      <c r="F19" s="82" t="n">
        <v>32.024</v>
      </c>
      <c r="G19" s="83">
        <f>SUM(G16:G18)</f>
        <v/>
      </c>
      <c r="H19" s="83">
        <f>SUM(H16:H18)</f>
        <v/>
      </c>
      <c r="I19" s="83">
        <f>SUM(I16:I18)</f>
        <v/>
      </c>
      <c r="J19" s="83">
        <f>SUM(J16:J18)</f>
        <v/>
      </c>
      <c r="K19" s="83">
        <f>SUM(K16:K18)</f>
        <v/>
      </c>
      <c r="L19" s="83">
        <f>SUM(L16:L18)</f>
        <v/>
      </c>
      <c r="M19" s="83">
        <f>SUM(M16:M18)</f>
        <v/>
      </c>
      <c r="N19" s="83">
        <f>SUM(N16:N18)</f>
        <v/>
      </c>
      <c r="O19" s="83">
        <f>SUM(O16:O18)</f>
        <v/>
      </c>
      <c r="P19" s="83">
        <f>SUM(P16:P18)</f>
        <v/>
      </c>
    </row>
    <row r="20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</row>
    <row r="21">
      <c r="A21" s="34" t="n"/>
      <c r="B21" s="38" t="inlineStr">
        <is>
          <t>Total Revenue &amp; Other Income</t>
        </is>
      </c>
      <c r="C21" s="38" t="inlineStr">
        <is>
          <t>A$m</t>
        </is>
      </c>
      <c r="D21" s="82">
        <f>D12+D19</f>
        <v/>
      </c>
      <c r="E21" s="82">
        <f>E12+E19</f>
        <v/>
      </c>
      <c r="F21" s="82">
        <f>F12+F19</f>
        <v/>
      </c>
      <c r="G21" s="83">
        <f>G12+G19</f>
        <v/>
      </c>
      <c r="H21" s="83">
        <f>H12+H19</f>
        <v/>
      </c>
      <c r="I21" s="83">
        <f>I12+I19</f>
        <v/>
      </c>
      <c r="J21" s="83">
        <f>J12+J19</f>
        <v/>
      </c>
      <c r="K21" s="83">
        <f>K12+K19</f>
        <v/>
      </c>
      <c r="L21" s="83">
        <f>L12+L19</f>
        <v/>
      </c>
      <c r="M21" s="83">
        <f>M12+M19</f>
        <v/>
      </c>
      <c r="N21" s="83">
        <f>N12+N19</f>
        <v/>
      </c>
      <c r="O21" s="83">
        <f>O12+O19</f>
        <v/>
      </c>
      <c r="P21" s="83">
        <f>P12+P19</f>
        <v/>
      </c>
    </row>
    <row r="22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</row>
    <row r="23">
      <c r="A23" s="34" t="n"/>
      <c r="B23" s="36" t="inlineStr">
        <is>
          <t>Segment EBITDA Bridge</t>
        </is>
      </c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</row>
    <row r="24">
      <c r="A24" s="34" t="inlineStr">
        <is>
          <t>SegEBITDA-Australia</t>
        </is>
      </c>
      <c r="B24" s="34" t="inlineStr">
        <is>
          <t>Australia Segment EBITDA</t>
        </is>
      </c>
      <c r="C24" s="34" t="inlineStr">
        <is>
          <t>A$m</t>
        </is>
      </c>
      <c r="D24" s="44" t="n">
        <v>33.306</v>
      </c>
      <c r="E24" s="44" t="n">
        <v>47.536</v>
      </c>
      <c r="F24" s="44" t="n">
        <v>66.029</v>
      </c>
      <c r="G24" s="58">
        <f>INDEX('HY &amp; Segments'!$A:$AG,MATCH($A24,'HY &amp; Segments'!$A:$A,0),MATCH("1H"&amp;RIGHT(G$1,2),'HY &amp; Segments'!$3:$3,0))+INDEX('HY &amp; Segments'!$A:$AG,MATCH($A24,'HY &amp; Segments'!$A:$A,0),MATCH("2H"&amp;RIGHT(G$1,2),'HY &amp; Segments'!$3:$3,0))</f>
        <v/>
      </c>
      <c r="H24" s="58">
        <f>INDEX('HY &amp; Segments'!$A:$AG,MATCH($A24,'HY &amp; Segments'!$A:$A,0),MATCH("1H"&amp;RIGHT(H$1,2),'HY &amp; Segments'!$3:$3,0))+INDEX('HY &amp; Segments'!$A:$AG,MATCH($A24,'HY &amp; Segments'!$A:$A,0),MATCH("2H"&amp;RIGHT(H$1,2),'HY &amp; Segments'!$3:$3,0))</f>
        <v/>
      </c>
      <c r="I24" s="58">
        <f>INDEX('HY &amp; Segments'!$A:$AG,MATCH($A24,'HY &amp; Segments'!$A:$A,0),MATCH("1H"&amp;RIGHT(I$1,2),'HY &amp; Segments'!$3:$3,0))+INDEX('HY &amp; Segments'!$A:$AG,MATCH($A24,'HY &amp; Segments'!$A:$A,0),MATCH("2H"&amp;RIGHT(I$1,2),'HY &amp; Segments'!$3:$3,0))</f>
        <v/>
      </c>
      <c r="J24" s="58">
        <f>INDEX('HY &amp; Segments'!$A:$AG,MATCH($A24,'HY &amp; Segments'!$A:$A,0),MATCH("1H"&amp;RIGHT(J$1,2),'HY &amp; Segments'!$3:$3,0))+INDEX('HY &amp; Segments'!$A:$AG,MATCH($A24,'HY &amp; Segments'!$A:$A,0),MATCH("2H"&amp;RIGHT(J$1,2),'HY &amp; Segments'!$3:$3,0))</f>
        <v/>
      </c>
      <c r="K24" s="58">
        <f>INDEX('HY &amp; Segments'!$A:$AG,MATCH($A24,'HY &amp; Segments'!$A:$A,0),MATCH("1H"&amp;RIGHT(K$1,2),'HY &amp; Segments'!$3:$3,0))+INDEX('HY &amp; Segments'!$A:$AG,MATCH($A24,'HY &amp; Segments'!$A:$A,0),MATCH("2H"&amp;RIGHT(K$1,2),'HY &amp; Segments'!$3:$3,0))</f>
        <v/>
      </c>
      <c r="L24" s="58">
        <f>INDEX('HY &amp; Segments'!$A:$AG,MATCH($A24,'HY &amp; Segments'!$A:$A,0),MATCH("1H"&amp;RIGHT(L$1,2),'HY &amp; Segments'!$3:$3,0))+INDEX('HY &amp; Segments'!$A:$AG,MATCH($A24,'HY &amp; Segments'!$A:$A,0),MATCH("2H"&amp;RIGHT(L$1,2),'HY &amp; Segments'!$3:$3,0))</f>
        <v/>
      </c>
      <c r="M24" s="58">
        <f>INDEX('HY &amp; Segments'!$A:$AG,MATCH($A24,'HY &amp; Segments'!$A:$A,0),MATCH("1H"&amp;RIGHT(M$1,2),'HY &amp; Segments'!$3:$3,0))+INDEX('HY &amp; Segments'!$A:$AG,MATCH($A24,'HY &amp; Segments'!$A:$A,0),MATCH("2H"&amp;RIGHT(M$1,2),'HY &amp; Segments'!$3:$3,0))</f>
        <v/>
      </c>
      <c r="N24" s="58">
        <f>INDEX('HY &amp; Segments'!$A:$AG,MATCH($A24,'HY &amp; Segments'!$A:$A,0),MATCH("1H"&amp;RIGHT(N$1,2),'HY &amp; Segments'!$3:$3,0))+INDEX('HY &amp; Segments'!$A:$AG,MATCH($A24,'HY &amp; Segments'!$A:$A,0),MATCH("2H"&amp;RIGHT(N$1,2),'HY &amp; Segments'!$3:$3,0))</f>
        <v/>
      </c>
      <c r="O24" s="58">
        <f>INDEX('HY &amp; Segments'!$A:$AG,MATCH($A24,'HY &amp; Segments'!$A:$A,0),MATCH("1H"&amp;RIGHT(O$1,2),'HY &amp; Segments'!$3:$3,0))+INDEX('HY &amp; Segments'!$A:$AG,MATCH($A24,'HY &amp; Segments'!$A:$A,0),MATCH("2H"&amp;RIGHT(O$1,2),'HY &amp; Segments'!$3:$3,0))</f>
        <v/>
      </c>
      <c r="P24" s="58">
        <f>INDEX('HY &amp; Segments'!$A:$AG,MATCH($A24,'HY &amp; Segments'!$A:$A,0),MATCH("1H"&amp;RIGHT(P$1,2),'HY &amp; Segments'!$3:$3,0))+INDEX('HY &amp; Segments'!$A:$AG,MATCH($A24,'HY &amp; Segments'!$A:$A,0),MATCH("2H"&amp;RIGHT(P$1,2),'HY &amp; Segments'!$3:$3,0))</f>
        <v/>
      </c>
    </row>
    <row r="25">
      <c r="A25" s="34" t="inlineStr">
        <is>
          <t>SegEBITDA-US</t>
        </is>
      </c>
      <c r="B25" s="34" t="inlineStr">
        <is>
          <t>US Segment EBITDA</t>
        </is>
      </c>
      <c r="C25" s="34" t="inlineStr">
        <is>
          <t>A$m</t>
        </is>
      </c>
      <c r="D25" s="44" t="n">
        <v>-4.296</v>
      </c>
      <c r="E25" s="44" t="n">
        <v>-6.544</v>
      </c>
      <c r="F25" s="44" t="n">
        <v>-13.223</v>
      </c>
      <c r="G25" s="58">
        <f>INDEX('HY &amp; Segments'!$A:$AG,MATCH($A25,'HY &amp; Segments'!$A:$A,0),MATCH("1H"&amp;RIGHT(G$1,2),'HY &amp; Segments'!$3:$3,0))+INDEX('HY &amp; Segments'!$A:$AG,MATCH($A25,'HY &amp; Segments'!$A:$A,0),MATCH("2H"&amp;RIGHT(G$1,2),'HY &amp; Segments'!$3:$3,0))</f>
        <v/>
      </c>
      <c r="H25" s="58">
        <f>INDEX('HY &amp; Segments'!$A:$AG,MATCH($A25,'HY &amp; Segments'!$A:$A,0),MATCH("1H"&amp;RIGHT(H$1,2),'HY &amp; Segments'!$3:$3,0))+INDEX('HY &amp; Segments'!$A:$AG,MATCH($A25,'HY &amp; Segments'!$A:$A,0),MATCH("2H"&amp;RIGHT(H$1,2),'HY &amp; Segments'!$3:$3,0))</f>
        <v/>
      </c>
      <c r="I25" s="58">
        <f>INDEX('HY &amp; Segments'!$A:$AG,MATCH($A25,'HY &amp; Segments'!$A:$A,0),MATCH("1H"&amp;RIGHT(I$1,2),'HY &amp; Segments'!$3:$3,0))+INDEX('HY &amp; Segments'!$A:$AG,MATCH($A25,'HY &amp; Segments'!$A:$A,0),MATCH("2H"&amp;RIGHT(I$1,2),'HY &amp; Segments'!$3:$3,0))</f>
        <v/>
      </c>
      <c r="J25" s="58">
        <f>INDEX('HY &amp; Segments'!$A:$AG,MATCH($A25,'HY &amp; Segments'!$A:$A,0),MATCH("1H"&amp;RIGHT(J$1,2),'HY &amp; Segments'!$3:$3,0))+INDEX('HY &amp; Segments'!$A:$AG,MATCH($A25,'HY &amp; Segments'!$A:$A,0),MATCH("2H"&amp;RIGHT(J$1,2),'HY &amp; Segments'!$3:$3,0))</f>
        <v/>
      </c>
      <c r="K25" s="58">
        <f>INDEX('HY &amp; Segments'!$A:$AG,MATCH($A25,'HY &amp; Segments'!$A:$A,0),MATCH("1H"&amp;RIGHT(K$1,2),'HY &amp; Segments'!$3:$3,0))+INDEX('HY &amp; Segments'!$A:$AG,MATCH($A25,'HY &amp; Segments'!$A:$A,0),MATCH("2H"&amp;RIGHT(K$1,2),'HY &amp; Segments'!$3:$3,0))</f>
        <v/>
      </c>
      <c r="L25" s="58">
        <f>INDEX('HY &amp; Segments'!$A:$AG,MATCH($A25,'HY &amp; Segments'!$A:$A,0),MATCH("1H"&amp;RIGHT(L$1,2),'HY &amp; Segments'!$3:$3,0))+INDEX('HY &amp; Segments'!$A:$AG,MATCH($A25,'HY &amp; Segments'!$A:$A,0),MATCH("2H"&amp;RIGHT(L$1,2),'HY &amp; Segments'!$3:$3,0))</f>
        <v/>
      </c>
      <c r="M25" s="58">
        <f>INDEX('HY &amp; Segments'!$A:$AG,MATCH($A25,'HY &amp; Segments'!$A:$A,0),MATCH("1H"&amp;RIGHT(M$1,2),'HY &amp; Segments'!$3:$3,0))+INDEX('HY &amp; Segments'!$A:$AG,MATCH($A25,'HY &amp; Segments'!$A:$A,0),MATCH("2H"&amp;RIGHT(M$1,2),'HY &amp; Segments'!$3:$3,0))</f>
        <v/>
      </c>
      <c r="N25" s="58">
        <f>INDEX('HY &amp; Segments'!$A:$AG,MATCH($A25,'HY &amp; Segments'!$A:$A,0),MATCH("1H"&amp;RIGHT(N$1,2),'HY &amp; Segments'!$3:$3,0))+INDEX('HY &amp; Segments'!$A:$AG,MATCH($A25,'HY &amp; Segments'!$A:$A,0),MATCH("2H"&amp;RIGHT(N$1,2),'HY &amp; Segments'!$3:$3,0))</f>
        <v/>
      </c>
      <c r="O25" s="58">
        <f>INDEX('HY &amp; Segments'!$A:$AG,MATCH($A25,'HY &amp; Segments'!$A:$A,0),MATCH("1H"&amp;RIGHT(O$1,2),'HY &amp; Segments'!$3:$3,0))+INDEX('HY &amp; Segments'!$A:$AG,MATCH($A25,'HY &amp; Segments'!$A:$A,0),MATCH("2H"&amp;RIGHT(O$1,2),'HY &amp; Segments'!$3:$3,0))</f>
        <v/>
      </c>
      <c r="P25" s="58">
        <f>INDEX('HY &amp; Segments'!$A:$AG,MATCH($A25,'HY &amp; Segments'!$A:$A,0),MATCH("1H"&amp;RIGHT(P$1,2),'HY &amp; Segments'!$3:$3,0))+INDEX('HY &amp; Segments'!$A:$AG,MATCH($A25,'HY &amp; Segments'!$A:$A,0),MATCH("2H"&amp;RIGHT(P$1,2),'HY &amp; Segments'!$3:$3,0))</f>
        <v/>
      </c>
    </row>
    <row r="26">
      <c r="A26" s="34" t="inlineStr">
        <is>
          <t>SegEBITDA-Total Segment EBITDA</t>
        </is>
      </c>
      <c r="B26" s="38" t="inlineStr">
        <is>
          <t>Total Segment Underlying EBITDA</t>
        </is>
      </c>
      <c r="C26" s="38" t="inlineStr">
        <is>
          <t>A$m</t>
        </is>
      </c>
      <c r="D26" s="82" t="n">
        <v>29.01</v>
      </c>
      <c r="E26" s="82" t="n">
        <v>40.992</v>
      </c>
      <c r="F26" s="82" t="n">
        <v>52.806</v>
      </c>
      <c r="G26" s="83">
        <f>G24+G25</f>
        <v/>
      </c>
      <c r="H26" s="83">
        <f>H24+H25</f>
        <v/>
      </c>
      <c r="I26" s="83">
        <f>I24+I25</f>
        <v/>
      </c>
      <c r="J26" s="83">
        <f>J24+J25</f>
        <v/>
      </c>
      <c r="K26" s="83">
        <f>K24+K25</f>
        <v/>
      </c>
      <c r="L26" s="83">
        <f>L24+L25</f>
        <v/>
      </c>
      <c r="M26" s="83">
        <f>M24+M25</f>
        <v/>
      </c>
      <c r="N26" s="83">
        <f>N24+N25</f>
        <v/>
      </c>
      <c r="O26" s="83">
        <f>O24+O25</f>
        <v/>
      </c>
      <c r="P26" s="83">
        <f>P24+P25</f>
        <v/>
      </c>
    </row>
    <row r="27">
      <c r="A27" s="34" t="inlineStr">
        <is>
          <t>Bridge-Cash Rent</t>
        </is>
      </c>
      <c r="B27" s="34" t="inlineStr">
        <is>
          <t>Cash Rent Addback</t>
        </is>
      </c>
      <c r="C27" s="34" t="inlineStr">
        <is>
          <t>A$m</t>
        </is>
      </c>
      <c r="D27" s="44" t="n">
        <v>11.213</v>
      </c>
      <c r="E27" s="44" t="n">
        <v>17.084</v>
      </c>
      <c r="F27" s="44" t="n">
        <v>18.473</v>
      </c>
      <c r="G27" s="58">
        <f>INDEX('HY &amp; Segments'!$A:$AG,MATCH($A27,'HY &amp; Segments'!$A:$A,0),MATCH("1H"&amp;RIGHT(G$1,2),'HY &amp; Segments'!$3:$3,0))+INDEX('HY &amp; Segments'!$A:$AG,MATCH($A27,'HY &amp; Segments'!$A:$A,0),MATCH("2H"&amp;RIGHT(G$1,2),'HY &amp; Segments'!$3:$3,0))</f>
        <v/>
      </c>
      <c r="H27" s="58">
        <f>INDEX('HY &amp; Segments'!$A:$AG,MATCH($A27,'HY &amp; Segments'!$A:$A,0),MATCH("1H"&amp;RIGHT(H$1,2),'HY &amp; Segments'!$3:$3,0))+INDEX('HY &amp; Segments'!$A:$AG,MATCH($A27,'HY &amp; Segments'!$A:$A,0),MATCH("2H"&amp;RIGHT(H$1,2),'HY &amp; Segments'!$3:$3,0))</f>
        <v/>
      </c>
      <c r="I27" s="58">
        <f>INDEX('HY &amp; Segments'!$A:$AG,MATCH($A27,'HY &amp; Segments'!$A:$A,0),MATCH("1H"&amp;RIGHT(I$1,2),'HY &amp; Segments'!$3:$3,0))+INDEX('HY &amp; Segments'!$A:$AG,MATCH($A27,'HY &amp; Segments'!$A:$A,0),MATCH("2H"&amp;RIGHT(I$1,2),'HY &amp; Segments'!$3:$3,0))</f>
        <v/>
      </c>
      <c r="J27" s="58">
        <f>INDEX('HY &amp; Segments'!$A:$AG,MATCH($A27,'HY &amp; Segments'!$A:$A,0),MATCH("1H"&amp;RIGHT(J$1,2),'HY &amp; Segments'!$3:$3,0))+INDEX('HY &amp; Segments'!$A:$AG,MATCH($A27,'HY &amp; Segments'!$A:$A,0),MATCH("2H"&amp;RIGHT(J$1,2),'HY &amp; Segments'!$3:$3,0))</f>
        <v/>
      </c>
      <c r="K27" s="58">
        <f>INDEX('HY &amp; Segments'!$A:$AG,MATCH($A27,'HY &amp; Segments'!$A:$A,0),MATCH("1H"&amp;RIGHT(K$1,2),'HY &amp; Segments'!$3:$3,0))+INDEX('HY &amp; Segments'!$A:$AG,MATCH($A27,'HY &amp; Segments'!$A:$A,0),MATCH("2H"&amp;RIGHT(K$1,2),'HY &amp; Segments'!$3:$3,0))</f>
        <v/>
      </c>
      <c r="L27" s="58">
        <f>INDEX('HY &amp; Segments'!$A:$AG,MATCH($A27,'HY &amp; Segments'!$A:$A,0),MATCH("1H"&amp;RIGHT(L$1,2),'HY &amp; Segments'!$3:$3,0))+INDEX('HY &amp; Segments'!$A:$AG,MATCH($A27,'HY &amp; Segments'!$A:$A,0),MATCH("2H"&amp;RIGHT(L$1,2),'HY &amp; Segments'!$3:$3,0))</f>
        <v/>
      </c>
      <c r="M27" s="58">
        <f>INDEX('HY &amp; Segments'!$A:$AG,MATCH($A27,'HY &amp; Segments'!$A:$A,0),MATCH("1H"&amp;RIGHT(M$1,2),'HY &amp; Segments'!$3:$3,0))+INDEX('HY &amp; Segments'!$A:$AG,MATCH($A27,'HY &amp; Segments'!$A:$A,0),MATCH("2H"&amp;RIGHT(M$1,2),'HY &amp; Segments'!$3:$3,0))</f>
        <v/>
      </c>
      <c r="N27" s="58">
        <f>INDEX('HY &amp; Segments'!$A:$AG,MATCH($A27,'HY &amp; Segments'!$A:$A,0),MATCH("1H"&amp;RIGHT(N$1,2),'HY &amp; Segments'!$3:$3,0))+INDEX('HY &amp; Segments'!$A:$AG,MATCH($A27,'HY &amp; Segments'!$A:$A,0),MATCH("2H"&amp;RIGHT(N$1,2),'HY &amp; Segments'!$3:$3,0))</f>
        <v/>
      </c>
      <c r="O27" s="58">
        <f>INDEX('HY &amp; Segments'!$A:$AG,MATCH($A27,'HY &amp; Segments'!$A:$A,0),MATCH("1H"&amp;RIGHT(O$1,2),'HY &amp; Segments'!$3:$3,0))+INDEX('HY &amp; Segments'!$A:$AG,MATCH($A27,'HY &amp; Segments'!$A:$A,0),MATCH("2H"&amp;RIGHT(O$1,2),'HY &amp; Segments'!$3:$3,0))</f>
        <v/>
      </c>
      <c r="P27" s="58">
        <f>INDEX('HY &amp; Segments'!$A:$AG,MATCH($A27,'HY &amp; Segments'!$A:$A,0),MATCH("1H"&amp;RIGHT(P$1,2),'HY &amp; Segments'!$3:$3,0))+INDEX('HY &amp; Segments'!$A:$AG,MATCH($A27,'HY &amp; Segments'!$A:$A,0),MATCH("2H"&amp;RIGHT(P$1,2),'HY &amp; Segments'!$3:$3,0))</f>
        <v/>
      </c>
    </row>
    <row r="28">
      <c r="A28" s="34" t="inlineStr">
        <is>
          <t>Bridge-SBP</t>
        </is>
      </c>
      <c r="B28" s="34" t="inlineStr">
        <is>
          <t>Share-Based Payments</t>
        </is>
      </c>
      <c r="C28" s="34" t="inlineStr">
        <is>
          <t>A$m</t>
        </is>
      </c>
      <c r="D28" s="44" t="n">
        <v>-4.24</v>
      </c>
      <c r="E28" s="44" t="n">
        <v>-11.142</v>
      </c>
      <c r="F28" s="44" t="n">
        <v>-9.018000000000001</v>
      </c>
      <c r="G28" s="58">
        <f>INDEX('HY &amp; Segments'!$A:$AG,MATCH($A28,'HY &amp; Segments'!$A:$A,0),MATCH("1H"&amp;RIGHT(G$1,2),'HY &amp; Segments'!$3:$3,0))+INDEX('HY &amp; Segments'!$A:$AG,MATCH($A28,'HY &amp; Segments'!$A:$A,0),MATCH("2H"&amp;RIGHT(G$1,2),'HY &amp; Segments'!$3:$3,0))</f>
        <v/>
      </c>
      <c r="H28" s="58">
        <f>INDEX('HY &amp; Segments'!$A:$AG,MATCH($A28,'HY &amp; Segments'!$A:$A,0),MATCH("1H"&amp;RIGHT(H$1,2),'HY &amp; Segments'!$3:$3,0))+INDEX('HY &amp; Segments'!$A:$AG,MATCH($A28,'HY &amp; Segments'!$A:$A,0),MATCH("2H"&amp;RIGHT(H$1,2),'HY &amp; Segments'!$3:$3,0))</f>
        <v/>
      </c>
      <c r="I28" s="58">
        <f>INDEX('HY &amp; Segments'!$A:$AG,MATCH($A28,'HY &amp; Segments'!$A:$A,0),MATCH("1H"&amp;RIGHT(I$1,2),'HY &amp; Segments'!$3:$3,0))+INDEX('HY &amp; Segments'!$A:$AG,MATCH($A28,'HY &amp; Segments'!$A:$A,0),MATCH("2H"&amp;RIGHT(I$1,2),'HY &amp; Segments'!$3:$3,0))</f>
        <v/>
      </c>
      <c r="J28" s="58">
        <f>INDEX('HY &amp; Segments'!$A:$AG,MATCH($A28,'HY &amp; Segments'!$A:$A,0),MATCH("1H"&amp;RIGHT(J$1,2),'HY &amp; Segments'!$3:$3,0))+INDEX('HY &amp; Segments'!$A:$AG,MATCH($A28,'HY &amp; Segments'!$A:$A,0),MATCH("2H"&amp;RIGHT(J$1,2),'HY &amp; Segments'!$3:$3,0))</f>
        <v/>
      </c>
      <c r="K28" s="58">
        <f>INDEX('HY &amp; Segments'!$A:$AG,MATCH($A28,'HY &amp; Segments'!$A:$A,0),MATCH("1H"&amp;RIGHT(K$1,2),'HY &amp; Segments'!$3:$3,0))+INDEX('HY &amp; Segments'!$A:$AG,MATCH($A28,'HY &amp; Segments'!$A:$A,0),MATCH("2H"&amp;RIGHT(K$1,2),'HY &amp; Segments'!$3:$3,0))</f>
        <v/>
      </c>
      <c r="L28" s="58">
        <f>INDEX('HY &amp; Segments'!$A:$AG,MATCH($A28,'HY &amp; Segments'!$A:$A,0),MATCH("1H"&amp;RIGHT(L$1,2),'HY &amp; Segments'!$3:$3,0))+INDEX('HY &amp; Segments'!$A:$AG,MATCH($A28,'HY &amp; Segments'!$A:$A,0),MATCH("2H"&amp;RIGHT(L$1,2),'HY &amp; Segments'!$3:$3,0))</f>
        <v/>
      </c>
      <c r="M28" s="58">
        <f>INDEX('HY &amp; Segments'!$A:$AG,MATCH($A28,'HY &amp; Segments'!$A:$A,0),MATCH("1H"&amp;RIGHT(M$1,2),'HY &amp; Segments'!$3:$3,0))+INDEX('HY &amp; Segments'!$A:$AG,MATCH($A28,'HY &amp; Segments'!$A:$A,0),MATCH("2H"&amp;RIGHT(M$1,2),'HY &amp; Segments'!$3:$3,0))</f>
        <v/>
      </c>
      <c r="N28" s="58">
        <f>INDEX('HY &amp; Segments'!$A:$AG,MATCH($A28,'HY &amp; Segments'!$A:$A,0),MATCH("1H"&amp;RIGHT(N$1,2),'HY &amp; Segments'!$3:$3,0))+INDEX('HY &amp; Segments'!$A:$AG,MATCH($A28,'HY &amp; Segments'!$A:$A,0),MATCH("2H"&amp;RIGHT(N$1,2),'HY &amp; Segments'!$3:$3,0))</f>
        <v/>
      </c>
      <c r="O28" s="58">
        <f>INDEX('HY &amp; Segments'!$A:$AG,MATCH($A28,'HY &amp; Segments'!$A:$A,0),MATCH("1H"&amp;RIGHT(O$1,2),'HY &amp; Segments'!$3:$3,0))+INDEX('HY &amp; Segments'!$A:$AG,MATCH($A28,'HY &amp; Segments'!$A:$A,0),MATCH("2H"&amp;RIGHT(O$1,2),'HY &amp; Segments'!$3:$3,0))</f>
        <v/>
      </c>
      <c r="P28" s="58">
        <f>INDEX('HY &amp; Segments'!$A:$AG,MATCH($A28,'HY &amp; Segments'!$A:$A,0),MATCH("1H"&amp;RIGHT(P$1,2),'HY &amp; Segments'!$3:$3,0))+INDEX('HY &amp; Segments'!$A:$AG,MATCH($A28,'HY &amp; Segments'!$A:$A,0),MATCH("2H"&amp;RIGHT(P$1,2),'HY &amp; Segments'!$3:$3,0))</f>
        <v/>
      </c>
    </row>
    <row r="29">
      <c r="A29" s="34" t="inlineStr">
        <is>
          <t>Bridge-Other</t>
        </is>
      </c>
      <c r="B29" s="34" t="inlineStr">
        <is>
          <t>Other Income/(Costs)</t>
        </is>
      </c>
      <c r="C29" s="34" t="inlineStr">
        <is>
          <t>A$m</t>
        </is>
      </c>
      <c r="D29" s="44" t="n">
        <v>-6.362</v>
      </c>
      <c r="E29" s="44" t="n">
        <v>-19.661</v>
      </c>
      <c r="F29" s="44" t="n">
        <v>2.858</v>
      </c>
      <c r="G29" s="58">
        <f>INDEX('HY &amp; Segments'!$A:$AG,MATCH($A29,'HY &amp; Segments'!$A:$A,0),MATCH("1H"&amp;RIGHT(G$1,2),'HY &amp; Segments'!$3:$3,0))+INDEX('HY &amp; Segments'!$A:$AG,MATCH($A29,'HY &amp; Segments'!$A:$A,0),MATCH("2H"&amp;RIGHT(G$1,2),'HY &amp; Segments'!$3:$3,0))</f>
        <v/>
      </c>
      <c r="H29" s="58">
        <f>INDEX('HY &amp; Segments'!$A:$AG,MATCH($A29,'HY &amp; Segments'!$A:$A,0),MATCH("1H"&amp;RIGHT(H$1,2),'HY &amp; Segments'!$3:$3,0))+INDEX('HY &amp; Segments'!$A:$AG,MATCH($A29,'HY &amp; Segments'!$A:$A,0),MATCH("2H"&amp;RIGHT(H$1,2),'HY &amp; Segments'!$3:$3,0))</f>
        <v/>
      </c>
      <c r="I29" s="58">
        <f>INDEX('HY &amp; Segments'!$A:$AG,MATCH($A29,'HY &amp; Segments'!$A:$A,0),MATCH("1H"&amp;RIGHT(I$1,2),'HY &amp; Segments'!$3:$3,0))+INDEX('HY &amp; Segments'!$A:$AG,MATCH($A29,'HY &amp; Segments'!$A:$A,0),MATCH("2H"&amp;RIGHT(I$1,2),'HY &amp; Segments'!$3:$3,0))</f>
        <v/>
      </c>
      <c r="J29" s="58">
        <f>INDEX('HY &amp; Segments'!$A:$AG,MATCH($A29,'HY &amp; Segments'!$A:$A,0),MATCH("1H"&amp;RIGHT(J$1,2),'HY &amp; Segments'!$3:$3,0))+INDEX('HY &amp; Segments'!$A:$AG,MATCH($A29,'HY &amp; Segments'!$A:$A,0),MATCH("2H"&amp;RIGHT(J$1,2),'HY &amp; Segments'!$3:$3,0))</f>
        <v/>
      </c>
      <c r="K29" s="58">
        <f>INDEX('HY &amp; Segments'!$A:$AG,MATCH($A29,'HY &amp; Segments'!$A:$A,0),MATCH("1H"&amp;RIGHT(K$1,2),'HY &amp; Segments'!$3:$3,0))+INDEX('HY &amp; Segments'!$A:$AG,MATCH($A29,'HY &amp; Segments'!$A:$A,0),MATCH("2H"&amp;RIGHT(K$1,2),'HY &amp; Segments'!$3:$3,0))</f>
        <v/>
      </c>
      <c r="L29" s="58">
        <f>INDEX('HY &amp; Segments'!$A:$AG,MATCH($A29,'HY &amp; Segments'!$A:$A,0),MATCH("1H"&amp;RIGHT(L$1,2),'HY &amp; Segments'!$3:$3,0))+INDEX('HY &amp; Segments'!$A:$AG,MATCH($A29,'HY &amp; Segments'!$A:$A,0),MATCH("2H"&amp;RIGHT(L$1,2),'HY &amp; Segments'!$3:$3,0))</f>
        <v/>
      </c>
      <c r="M29" s="58">
        <f>INDEX('HY &amp; Segments'!$A:$AG,MATCH($A29,'HY &amp; Segments'!$A:$A,0),MATCH("1H"&amp;RIGHT(M$1,2),'HY &amp; Segments'!$3:$3,0))+INDEX('HY &amp; Segments'!$A:$AG,MATCH($A29,'HY &amp; Segments'!$A:$A,0),MATCH("2H"&amp;RIGHT(M$1,2),'HY &amp; Segments'!$3:$3,0))</f>
        <v/>
      </c>
      <c r="N29" s="58">
        <f>INDEX('HY &amp; Segments'!$A:$AG,MATCH($A29,'HY &amp; Segments'!$A:$A,0),MATCH("1H"&amp;RIGHT(N$1,2),'HY &amp; Segments'!$3:$3,0))+INDEX('HY &amp; Segments'!$A:$AG,MATCH($A29,'HY &amp; Segments'!$A:$A,0),MATCH("2H"&amp;RIGHT(N$1,2),'HY &amp; Segments'!$3:$3,0))</f>
        <v/>
      </c>
      <c r="O29" s="58">
        <f>INDEX('HY &amp; Segments'!$A:$AG,MATCH($A29,'HY &amp; Segments'!$A:$A,0),MATCH("1H"&amp;RIGHT(O$1,2),'HY &amp; Segments'!$3:$3,0))+INDEX('HY &amp; Segments'!$A:$AG,MATCH($A29,'HY &amp; Segments'!$A:$A,0),MATCH("2H"&amp;RIGHT(O$1,2),'HY &amp; Segments'!$3:$3,0))</f>
        <v/>
      </c>
      <c r="P29" s="58">
        <f>INDEX('HY &amp; Segments'!$A:$AG,MATCH($A29,'HY &amp; Segments'!$A:$A,0),MATCH("1H"&amp;RIGHT(P$1,2),'HY &amp; Segments'!$3:$3,0))+INDEX('HY &amp; Segments'!$A:$AG,MATCH($A29,'HY &amp; Segments'!$A:$A,0),MATCH("2H"&amp;RIGHT(P$1,2),'HY &amp; Segments'!$3:$3,0))</f>
        <v/>
      </c>
    </row>
    <row r="30">
      <c r="A30" s="34" t="inlineStr">
        <is>
          <t>EBITDA-Statutory EBITDA</t>
        </is>
      </c>
      <c r="B30" s="38" t="inlineStr">
        <is>
          <t>EBITDA</t>
        </is>
      </c>
      <c r="C30" s="38" t="inlineStr">
        <is>
          <t>A$m</t>
        </is>
      </c>
      <c r="D30" s="82" t="n">
        <v>29.621</v>
      </c>
      <c r="E30" s="82" t="n">
        <v>27.273</v>
      </c>
      <c r="F30" s="82" t="n">
        <v>65.119</v>
      </c>
      <c r="G30" s="83">
        <f>SUM(G26:G29)</f>
        <v/>
      </c>
      <c r="H30" s="83">
        <f>SUM(H26:H29)</f>
        <v/>
      </c>
      <c r="I30" s="83">
        <f>SUM(I26:I29)</f>
        <v/>
      </c>
      <c r="J30" s="83">
        <f>SUM(J26:J29)</f>
        <v/>
      </c>
      <c r="K30" s="83">
        <f>SUM(K26:K29)</f>
        <v/>
      </c>
      <c r="L30" s="83">
        <f>SUM(L26:L29)</f>
        <v/>
      </c>
      <c r="M30" s="83">
        <f>SUM(M26:M29)</f>
        <v/>
      </c>
      <c r="N30" s="83">
        <f>SUM(N26:N29)</f>
        <v/>
      </c>
      <c r="O30" s="83">
        <f>SUM(O26:O29)</f>
        <v/>
      </c>
      <c r="P30" s="83">
        <f>SUM(P26:P29)</f>
        <v/>
      </c>
    </row>
    <row r="31">
      <c r="A31" s="34" t="n"/>
      <c r="B31" s="34" t="inlineStr">
        <is>
          <t>EBITDA Margin</t>
        </is>
      </c>
      <c r="C31" s="34" t="inlineStr">
        <is>
          <t>%</t>
        </is>
      </c>
      <c r="D31" s="46">
        <f>IF(D21=0,"",D30/D21)</f>
        <v/>
      </c>
      <c r="E31" s="46">
        <f>IF(E21=0,"",E30/E21)</f>
        <v/>
      </c>
      <c r="F31" s="46">
        <f>IF(F21=0,"",F30/F21)</f>
        <v/>
      </c>
      <c r="G31" s="60">
        <f>IF(G21=0,"",G30/G21)</f>
        <v/>
      </c>
      <c r="H31" s="60">
        <f>IF(H21=0,"",H30/H21)</f>
        <v/>
      </c>
      <c r="I31" s="60">
        <f>IF(I21=0,"",I30/I21)</f>
        <v/>
      </c>
      <c r="J31" s="60">
        <f>IF(J21=0,"",J30/J21)</f>
        <v/>
      </c>
      <c r="K31" s="60">
        <f>IF(K21=0,"",K30/K21)</f>
        <v/>
      </c>
      <c r="L31" s="60">
        <f>IF(L21=0,"",L30/L21)</f>
        <v/>
      </c>
      <c r="M31" s="60">
        <f>IF(M21=0,"",M30/M21)</f>
        <v/>
      </c>
      <c r="N31" s="60">
        <f>IF(N21=0,"",N30/N21)</f>
        <v/>
      </c>
      <c r="O31" s="60">
        <f>IF(O21=0,"",O30/O21)</f>
        <v/>
      </c>
      <c r="P31" s="60">
        <f>IF(P21=0,"",P30/P21)</f>
        <v/>
      </c>
    </row>
    <row r="32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</row>
    <row r="33">
      <c r="A33" s="34" t="n"/>
      <c r="B33" s="36" t="inlineStr">
        <is>
          <t>Expenses (Memo)</t>
        </is>
      </c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</row>
    <row r="34">
      <c r="A34" s="34" t="inlineStr">
        <is>
          <t>Exp-Food &amp; Packaging</t>
        </is>
      </c>
      <c r="B34" s="34" t="inlineStr">
        <is>
          <t>Cost of Food &amp; Packaging</t>
        </is>
      </c>
      <c r="C34" s="34" t="inlineStr">
        <is>
          <t>A$m</t>
        </is>
      </c>
      <c r="D34" s="44" t="n">
        <v>-70.428</v>
      </c>
      <c r="E34" s="44" t="n">
        <v>-87.58</v>
      </c>
      <c r="F34" s="44" t="n">
        <v>-113.948</v>
      </c>
      <c r="G34" s="58">
        <f>INDEX('HY &amp; Segments'!$A:$AG,MATCH($A34,'HY &amp; Segments'!$A:$A,0),MATCH("1H"&amp;RIGHT(G$1,2),'HY &amp; Segments'!$3:$3,0))+INDEX('HY &amp; Segments'!$A:$AG,MATCH($A34,'HY &amp; Segments'!$A:$A,0),MATCH("2H"&amp;RIGHT(G$1,2),'HY &amp; Segments'!$3:$3,0))</f>
        <v/>
      </c>
      <c r="H34" s="58">
        <f>INDEX('HY &amp; Segments'!$A:$AG,MATCH($A34,'HY &amp; Segments'!$A:$A,0),MATCH("1H"&amp;RIGHT(H$1,2),'HY &amp; Segments'!$3:$3,0))+INDEX('HY &amp; Segments'!$A:$AG,MATCH($A34,'HY &amp; Segments'!$A:$A,0),MATCH("2H"&amp;RIGHT(H$1,2),'HY &amp; Segments'!$3:$3,0))</f>
        <v/>
      </c>
      <c r="I34" s="58">
        <f>INDEX('HY &amp; Segments'!$A:$AG,MATCH($A34,'HY &amp; Segments'!$A:$A,0),MATCH("1H"&amp;RIGHT(I$1,2),'HY &amp; Segments'!$3:$3,0))+INDEX('HY &amp; Segments'!$A:$AG,MATCH($A34,'HY &amp; Segments'!$A:$A,0),MATCH("2H"&amp;RIGHT(I$1,2),'HY &amp; Segments'!$3:$3,0))</f>
        <v/>
      </c>
      <c r="J34" s="58">
        <f>INDEX('HY &amp; Segments'!$A:$AG,MATCH($A34,'HY &amp; Segments'!$A:$A,0),MATCH("1H"&amp;RIGHT(J$1,2),'HY &amp; Segments'!$3:$3,0))+INDEX('HY &amp; Segments'!$A:$AG,MATCH($A34,'HY &amp; Segments'!$A:$A,0),MATCH("2H"&amp;RIGHT(J$1,2),'HY &amp; Segments'!$3:$3,0))</f>
        <v/>
      </c>
      <c r="K34" s="58">
        <f>INDEX('HY &amp; Segments'!$A:$AG,MATCH($A34,'HY &amp; Segments'!$A:$A,0),MATCH("1H"&amp;RIGHT(K$1,2),'HY &amp; Segments'!$3:$3,0))+INDEX('HY &amp; Segments'!$A:$AG,MATCH($A34,'HY &amp; Segments'!$A:$A,0),MATCH("2H"&amp;RIGHT(K$1,2),'HY &amp; Segments'!$3:$3,0))</f>
        <v/>
      </c>
      <c r="L34" s="58">
        <f>INDEX('HY &amp; Segments'!$A:$AG,MATCH($A34,'HY &amp; Segments'!$A:$A,0),MATCH("1H"&amp;RIGHT(L$1,2),'HY &amp; Segments'!$3:$3,0))+INDEX('HY &amp; Segments'!$A:$AG,MATCH($A34,'HY &amp; Segments'!$A:$A,0),MATCH("2H"&amp;RIGHT(L$1,2),'HY &amp; Segments'!$3:$3,0))</f>
        <v/>
      </c>
      <c r="M34" s="58">
        <f>INDEX('HY &amp; Segments'!$A:$AG,MATCH($A34,'HY &amp; Segments'!$A:$A,0),MATCH("1H"&amp;RIGHT(M$1,2),'HY &amp; Segments'!$3:$3,0))+INDEX('HY &amp; Segments'!$A:$AG,MATCH($A34,'HY &amp; Segments'!$A:$A,0),MATCH("2H"&amp;RIGHT(M$1,2),'HY &amp; Segments'!$3:$3,0))</f>
        <v/>
      </c>
      <c r="N34" s="58">
        <f>INDEX('HY &amp; Segments'!$A:$AG,MATCH($A34,'HY &amp; Segments'!$A:$A,0),MATCH("1H"&amp;RIGHT(N$1,2),'HY &amp; Segments'!$3:$3,0))+INDEX('HY &amp; Segments'!$A:$AG,MATCH($A34,'HY &amp; Segments'!$A:$A,0),MATCH("2H"&amp;RIGHT(N$1,2),'HY &amp; Segments'!$3:$3,0))</f>
        <v/>
      </c>
      <c r="O34" s="58">
        <f>INDEX('HY &amp; Segments'!$A:$AG,MATCH($A34,'HY &amp; Segments'!$A:$A,0),MATCH("1H"&amp;RIGHT(O$1,2),'HY &amp; Segments'!$3:$3,0))+INDEX('HY &amp; Segments'!$A:$AG,MATCH($A34,'HY &amp; Segments'!$A:$A,0),MATCH("2H"&amp;RIGHT(O$1,2),'HY &amp; Segments'!$3:$3,0))</f>
        <v/>
      </c>
      <c r="P34" s="58">
        <f>INDEX('HY &amp; Segments'!$A:$AG,MATCH($A34,'HY &amp; Segments'!$A:$A,0),MATCH("1H"&amp;RIGHT(P$1,2),'HY &amp; Segments'!$3:$3,0))+INDEX('HY &amp; Segments'!$A:$AG,MATCH($A34,'HY &amp; Segments'!$A:$A,0),MATCH("2H"&amp;RIGHT(P$1,2),'HY &amp; Segments'!$3:$3,0))</f>
        <v/>
      </c>
    </row>
    <row r="35">
      <c r="A35" s="34" t="inlineStr">
        <is>
          <t>Exp-Employee Benefits</t>
        </is>
      </c>
      <c r="B35" s="34" t="inlineStr">
        <is>
          <t>Employee Benefit Expenses</t>
        </is>
      </c>
      <c r="C35" s="34" t="inlineStr">
        <is>
          <t>A$m</t>
        </is>
      </c>
      <c r="D35" s="44" t="n">
        <v>-113.725</v>
      </c>
      <c r="E35" s="44" t="n">
        <v>-153.733</v>
      </c>
      <c r="F35" s="44" t="n">
        <v>-184.656</v>
      </c>
      <c r="G35" s="58">
        <f>INDEX('HY &amp; Segments'!$A:$AG,MATCH($A35,'HY &amp; Segments'!$A:$A,0),MATCH("1H"&amp;RIGHT(G$1,2),'HY &amp; Segments'!$3:$3,0))+INDEX('HY &amp; Segments'!$A:$AG,MATCH($A35,'HY &amp; Segments'!$A:$A,0),MATCH("2H"&amp;RIGHT(G$1,2),'HY &amp; Segments'!$3:$3,0))</f>
        <v/>
      </c>
      <c r="H35" s="58">
        <f>INDEX('HY &amp; Segments'!$A:$AG,MATCH($A35,'HY &amp; Segments'!$A:$A,0),MATCH("1H"&amp;RIGHT(H$1,2),'HY &amp; Segments'!$3:$3,0))+INDEX('HY &amp; Segments'!$A:$AG,MATCH($A35,'HY &amp; Segments'!$A:$A,0),MATCH("2H"&amp;RIGHT(H$1,2),'HY &amp; Segments'!$3:$3,0))</f>
        <v/>
      </c>
      <c r="I35" s="58">
        <f>INDEX('HY &amp; Segments'!$A:$AG,MATCH($A35,'HY &amp; Segments'!$A:$A,0),MATCH("1H"&amp;RIGHT(I$1,2),'HY &amp; Segments'!$3:$3,0))+INDEX('HY &amp; Segments'!$A:$AG,MATCH($A35,'HY &amp; Segments'!$A:$A,0),MATCH("2H"&amp;RIGHT(I$1,2),'HY &amp; Segments'!$3:$3,0))</f>
        <v/>
      </c>
      <c r="J35" s="58">
        <f>INDEX('HY &amp; Segments'!$A:$AG,MATCH($A35,'HY &amp; Segments'!$A:$A,0),MATCH("1H"&amp;RIGHT(J$1,2),'HY &amp; Segments'!$3:$3,0))+INDEX('HY &amp; Segments'!$A:$AG,MATCH($A35,'HY &amp; Segments'!$A:$A,0),MATCH("2H"&amp;RIGHT(J$1,2),'HY &amp; Segments'!$3:$3,0))</f>
        <v/>
      </c>
      <c r="K35" s="58">
        <f>INDEX('HY &amp; Segments'!$A:$AG,MATCH($A35,'HY &amp; Segments'!$A:$A,0),MATCH("1H"&amp;RIGHT(K$1,2),'HY &amp; Segments'!$3:$3,0))+INDEX('HY &amp; Segments'!$A:$AG,MATCH($A35,'HY &amp; Segments'!$A:$A,0),MATCH("2H"&amp;RIGHT(K$1,2),'HY &amp; Segments'!$3:$3,0))</f>
        <v/>
      </c>
      <c r="L35" s="58">
        <f>INDEX('HY &amp; Segments'!$A:$AG,MATCH($A35,'HY &amp; Segments'!$A:$A,0),MATCH("1H"&amp;RIGHT(L$1,2),'HY &amp; Segments'!$3:$3,0))+INDEX('HY &amp; Segments'!$A:$AG,MATCH($A35,'HY &amp; Segments'!$A:$A,0),MATCH("2H"&amp;RIGHT(L$1,2),'HY &amp; Segments'!$3:$3,0))</f>
        <v/>
      </c>
      <c r="M35" s="58">
        <f>INDEX('HY &amp; Segments'!$A:$AG,MATCH($A35,'HY &amp; Segments'!$A:$A,0),MATCH("1H"&amp;RIGHT(M$1,2),'HY &amp; Segments'!$3:$3,0))+INDEX('HY &amp; Segments'!$A:$AG,MATCH($A35,'HY &amp; Segments'!$A:$A,0),MATCH("2H"&amp;RIGHT(M$1,2),'HY &amp; Segments'!$3:$3,0))</f>
        <v/>
      </c>
      <c r="N35" s="58">
        <f>INDEX('HY &amp; Segments'!$A:$AG,MATCH($A35,'HY &amp; Segments'!$A:$A,0),MATCH("1H"&amp;RIGHT(N$1,2),'HY &amp; Segments'!$3:$3,0))+INDEX('HY &amp; Segments'!$A:$AG,MATCH($A35,'HY &amp; Segments'!$A:$A,0),MATCH("2H"&amp;RIGHT(N$1,2),'HY &amp; Segments'!$3:$3,0))</f>
        <v/>
      </c>
      <c r="O35" s="58">
        <f>INDEX('HY &amp; Segments'!$A:$AG,MATCH($A35,'HY &amp; Segments'!$A:$A,0),MATCH("1H"&amp;RIGHT(O$1,2),'HY &amp; Segments'!$3:$3,0))+INDEX('HY &amp; Segments'!$A:$AG,MATCH($A35,'HY &amp; Segments'!$A:$A,0),MATCH("2H"&amp;RIGHT(O$1,2),'HY &amp; Segments'!$3:$3,0))</f>
        <v/>
      </c>
      <c r="P35" s="58">
        <f>INDEX('HY &amp; Segments'!$A:$AG,MATCH($A35,'HY &amp; Segments'!$A:$A,0),MATCH("1H"&amp;RIGHT(P$1,2),'HY &amp; Segments'!$3:$3,0))+INDEX('HY &amp; Segments'!$A:$AG,MATCH($A35,'HY &amp; Segments'!$A:$A,0),MATCH("2H"&amp;RIGHT(P$1,2),'HY &amp; Segments'!$3:$3,0))</f>
        <v/>
      </c>
    </row>
    <row r="36">
      <c r="A36" s="34" t="inlineStr">
        <is>
          <t>Exp-Admin</t>
        </is>
      </c>
      <c r="B36" s="34" t="inlineStr">
        <is>
          <t>Administrative Expenses</t>
        </is>
      </c>
      <c r="C36" s="34" t="inlineStr">
        <is>
          <t>A$m</t>
        </is>
      </c>
      <c r="D36" s="44" t="n">
        <v>-35.282</v>
      </c>
      <c r="E36" s="44" t="n">
        <v>-60.595</v>
      </c>
      <c r="F36" s="44" t="n">
        <v>-53.615</v>
      </c>
      <c r="G36" s="58">
        <f>INDEX('HY &amp; Segments'!$A:$AG,MATCH($A36,'HY &amp; Segments'!$A:$A,0),MATCH("1H"&amp;RIGHT(G$1,2),'HY &amp; Segments'!$3:$3,0))+INDEX('HY &amp; Segments'!$A:$AG,MATCH($A36,'HY &amp; Segments'!$A:$A,0),MATCH("2H"&amp;RIGHT(G$1,2),'HY &amp; Segments'!$3:$3,0))</f>
        <v/>
      </c>
      <c r="H36" s="58">
        <f>INDEX('HY &amp; Segments'!$A:$AG,MATCH($A36,'HY &amp; Segments'!$A:$A,0),MATCH("1H"&amp;RIGHT(H$1,2),'HY &amp; Segments'!$3:$3,0))+INDEX('HY &amp; Segments'!$A:$AG,MATCH($A36,'HY &amp; Segments'!$A:$A,0),MATCH("2H"&amp;RIGHT(H$1,2),'HY &amp; Segments'!$3:$3,0))</f>
        <v/>
      </c>
      <c r="I36" s="58">
        <f>INDEX('HY &amp; Segments'!$A:$AG,MATCH($A36,'HY &amp; Segments'!$A:$A,0),MATCH("1H"&amp;RIGHT(I$1,2),'HY &amp; Segments'!$3:$3,0))+INDEX('HY &amp; Segments'!$A:$AG,MATCH($A36,'HY &amp; Segments'!$A:$A,0),MATCH("2H"&amp;RIGHT(I$1,2),'HY &amp; Segments'!$3:$3,0))</f>
        <v/>
      </c>
      <c r="J36" s="58">
        <f>INDEX('HY &amp; Segments'!$A:$AG,MATCH($A36,'HY &amp; Segments'!$A:$A,0),MATCH("1H"&amp;RIGHT(J$1,2),'HY &amp; Segments'!$3:$3,0))+INDEX('HY &amp; Segments'!$A:$AG,MATCH($A36,'HY &amp; Segments'!$A:$A,0),MATCH("2H"&amp;RIGHT(J$1,2),'HY &amp; Segments'!$3:$3,0))</f>
        <v/>
      </c>
      <c r="K36" s="58">
        <f>INDEX('HY &amp; Segments'!$A:$AG,MATCH($A36,'HY &amp; Segments'!$A:$A,0),MATCH("1H"&amp;RIGHT(K$1,2),'HY &amp; Segments'!$3:$3,0))+INDEX('HY &amp; Segments'!$A:$AG,MATCH($A36,'HY &amp; Segments'!$A:$A,0),MATCH("2H"&amp;RIGHT(K$1,2),'HY &amp; Segments'!$3:$3,0))</f>
        <v/>
      </c>
      <c r="L36" s="58">
        <f>INDEX('HY &amp; Segments'!$A:$AG,MATCH($A36,'HY &amp; Segments'!$A:$A,0),MATCH("1H"&amp;RIGHT(L$1,2),'HY &amp; Segments'!$3:$3,0))+INDEX('HY &amp; Segments'!$A:$AG,MATCH($A36,'HY &amp; Segments'!$A:$A,0),MATCH("2H"&amp;RIGHT(L$1,2),'HY &amp; Segments'!$3:$3,0))</f>
        <v/>
      </c>
      <c r="M36" s="58">
        <f>INDEX('HY &amp; Segments'!$A:$AG,MATCH($A36,'HY &amp; Segments'!$A:$A,0),MATCH("1H"&amp;RIGHT(M$1,2),'HY &amp; Segments'!$3:$3,0))+INDEX('HY &amp; Segments'!$A:$AG,MATCH($A36,'HY &amp; Segments'!$A:$A,0),MATCH("2H"&amp;RIGHT(M$1,2),'HY &amp; Segments'!$3:$3,0))</f>
        <v/>
      </c>
      <c r="N36" s="58">
        <f>INDEX('HY &amp; Segments'!$A:$AG,MATCH($A36,'HY &amp; Segments'!$A:$A,0),MATCH("1H"&amp;RIGHT(N$1,2),'HY &amp; Segments'!$3:$3,0))+INDEX('HY &amp; Segments'!$A:$AG,MATCH($A36,'HY &amp; Segments'!$A:$A,0),MATCH("2H"&amp;RIGHT(N$1,2),'HY &amp; Segments'!$3:$3,0))</f>
        <v/>
      </c>
      <c r="O36" s="58">
        <f>INDEX('HY &amp; Segments'!$A:$AG,MATCH($A36,'HY &amp; Segments'!$A:$A,0),MATCH("1H"&amp;RIGHT(O$1,2),'HY &amp; Segments'!$3:$3,0))+INDEX('HY &amp; Segments'!$A:$AG,MATCH($A36,'HY &amp; Segments'!$A:$A,0),MATCH("2H"&amp;RIGHT(O$1,2),'HY &amp; Segments'!$3:$3,0))</f>
        <v/>
      </c>
      <c r="P36" s="58">
        <f>INDEX('HY &amp; Segments'!$A:$AG,MATCH($A36,'HY &amp; Segments'!$A:$A,0),MATCH("1H"&amp;RIGHT(P$1,2),'HY &amp; Segments'!$3:$3,0))+INDEX('HY &amp; Segments'!$A:$AG,MATCH($A36,'HY &amp; Segments'!$A:$A,0),MATCH("2H"&amp;RIGHT(P$1,2),'HY &amp; Segments'!$3:$3,0))</f>
        <v/>
      </c>
    </row>
    <row r="37">
      <c r="A37" s="34" t="inlineStr">
        <is>
          <t>Exp-Marketing</t>
        </is>
      </c>
      <c r="B37" s="34" t="inlineStr">
        <is>
          <t>Marketing Expenses</t>
        </is>
      </c>
      <c r="C37" s="34" t="inlineStr">
        <is>
          <t>A$m</t>
        </is>
      </c>
      <c r="D37" s="44" t="n">
        <v>-13.718</v>
      </c>
      <c r="E37" s="44" t="n">
        <v>-17.938</v>
      </c>
      <c r="F37" s="44" t="n">
        <v>-21.287</v>
      </c>
      <c r="G37" s="58">
        <f>INDEX('HY &amp; Segments'!$A:$AG,MATCH($A37,'HY &amp; Segments'!$A:$A,0),MATCH("1H"&amp;RIGHT(G$1,2),'HY &amp; Segments'!$3:$3,0))+INDEX('HY &amp; Segments'!$A:$AG,MATCH($A37,'HY &amp; Segments'!$A:$A,0),MATCH("2H"&amp;RIGHT(G$1,2),'HY &amp; Segments'!$3:$3,0))</f>
        <v/>
      </c>
      <c r="H37" s="58">
        <f>INDEX('HY &amp; Segments'!$A:$AG,MATCH($A37,'HY &amp; Segments'!$A:$A,0),MATCH("1H"&amp;RIGHT(H$1,2),'HY &amp; Segments'!$3:$3,0))+INDEX('HY &amp; Segments'!$A:$AG,MATCH($A37,'HY &amp; Segments'!$A:$A,0),MATCH("2H"&amp;RIGHT(H$1,2),'HY &amp; Segments'!$3:$3,0))</f>
        <v/>
      </c>
      <c r="I37" s="58">
        <f>INDEX('HY &amp; Segments'!$A:$AG,MATCH($A37,'HY &amp; Segments'!$A:$A,0),MATCH("1H"&amp;RIGHT(I$1,2),'HY &amp; Segments'!$3:$3,0))+INDEX('HY &amp; Segments'!$A:$AG,MATCH($A37,'HY &amp; Segments'!$A:$A,0),MATCH("2H"&amp;RIGHT(I$1,2),'HY &amp; Segments'!$3:$3,0))</f>
        <v/>
      </c>
      <c r="J37" s="58">
        <f>INDEX('HY &amp; Segments'!$A:$AG,MATCH($A37,'HY &amp; Segments'!$A:$A,0),MATCH("1H"&amp;RIGHT(J$1,2),'HY &amp; Segments'!$3:$3,0))+INDEX('HY &amp; Segments'!$A:$AG,MATCH($A37,'HY &amp; Segments'!$A:$A,0),MATCH("2H"&amp;RIGHT(J$1,2),'HY &amp; Segments'!$3:$3,0))</f>
        <v/>
      </c>
      <c r="K37" s="58">
        <f>INDEX('HY &amp; Segments'!$A:$AG,MATCH($A37,'HY &amp; Segments'!$A:$A,0),MATCH("1H"&amp;RIGHT(K$1,2),'HY &amp; Segments'!$3:$3,0))+INDEX('HY &amp; Segments'!$A:$AG,MATCH($A37,'HY &amp; Segments'!$A:$A,0),MATCH("2H"&amp;RIGHT(K$1,2),'HY &amp; Segments'!$3:$3,0))</f>
        <v/>
      </c>
      <c r="L37" s="58">
        <f>INDEX('HY &amp; Segments'!$A:$AG,MATCH($A37,'HY &amp; Segments'!$A:$A,0),MATCH("1H"&amp;RIGHT(L$1,2),'HY &amp; Segments'!$3:$3,0))+INDEX('HY &amp; Segments'!$A:$AG,MATCH($A37,'HY &amp; Segments'!$A:$A,0),MATCH("2H"&amp;RIGHT(L$1,2),'HY &amp; Segments'!$3:$3,0))</f>
        <v/>
      </c>
      <c r="M37" s="58">
        <f>INDEX('HY &amp; Segments'!$A:$AG,MATCH($A37,'HY &amp; Segments'!$A:$A,0),MATCH("1H"&amp;RIGHT(M$1,2),'HY &amp; Segments'!$3:$3,0))+INDEX('HY &amp; Segments'!$A:$AG,MATCH($A37,'HY &amp; Segments'!$A:$A,0),MATCH("2H"&amp;RIGHT(M$1,2),'HY &amp; Segments'!$3:$3,0))</f>
        <v/>
      </c>
      <c r="N37" s="58">
        <f>INDEX('HY &amp; Segments'!$A:$AG,MATCH($A37,'HY &amp; Segments'!$A:$A,0),MATCH("1H"&amp;RIGHT(N$1,2),'HY &amp; Segments'!$3:$3,0))+INDEX('HY &amp; Segments'!$A:$AG,MATCH($A37,'HY &amp; Segments'!$A:$A,0),MATCH("2H"&amp;RIGHT(N$1,2),'HY &amp; Segments'!$3:$3,0))</f>
        <v/>
      </c>
      <c r="O37" s="58">
        <f>INDEX('HY &amp; Segments'!$A:$AG,MATCH($A37,'HY &amp; Segments'!$A:$A,0),MATCH("1H"&amp;RIGHT(O$1,2),'HY &amp; Segments'!$3:$3,0))+INDEX('HY &amp; Segments'!$A:$AG,MATCH($A37,'HY &amp; Segments'!$A:$A,0),MATCH("2H"&amp;RIGHT(O$1,2),'HY &amp; Segments'!$3:$3,0))</f>
        <v/>
      </c>
      <c r="P37" s="58">
        <f>INDEX('HY &amp; Segments'!$A:$AG,MATCH($A37,'HY &amp; Segments'!$A:$A,0),MATCH("1H"&amp;RIGHT(P$1,2),'HY &amp; Segments'!$3:$3,0))+INDEX('HY &amp; Segments'!$A:$AG,MATCH($A37,'HY &amp; Segments'!$A:$A,0),MATCH("2H"&amp;RIGHT(P$1,2),'HY &amp; Segments'!$3:$3,0))</f>
        <v/>
      </c>
    </row>
    <row r="38">
      <c r="A38" s="34" t="inlineStr">
        <is>
          <t>Exp-Other Expenses</t>
        </is>
      </c>
      <c r="B38" s="34" t="inlineStr">
        <is>
          <t>Other Expenses</t>
        </is>
      </c>
      <c r="C38" s="34" t="inlineStr">
        <is>
          <t>A$m</t>
        </is>
      </c>
      <c r="D38" s="44" t="n">
        <v>-13.995</v>
      </c>
      <c r="E38" s="44" t="n">
        <v>-17.868</v>
      </c>
      <c r="F38" s="44" t="n">
        <v>-29.381</v>
      </c>
      <c r="G38" s="58">
        <f>INDEX('HY &amp; Segments'!$A:$AG,MATCH($A38,'HY &amp; Segments'!$A:$A,0),MATCH("1H"&amp;RIGHT(G$1,2),'HY &amp; Segments'!$3:$3,0))+INDEX('HY &amp; Segments'!$A:$AG,MATCH($A38,'HY &amp; Segments'!$A:$A,0),MATCH("2H"&amp;RIGHT(G$1,2),'HY &amp; Segments'!$3:$3,0))</f>
        <v/>
      </c>
      <c r="H38" s="58">
        <f>INDEX('HY &amp; Segments'!$A:$AG,MATCH($A38,'HY &amp; Segments'!$A:$A,0),MATCH("1H"&amp;RIGHT(H$1,2),'HY &amp; Segments'!$3:$3,0))+INDEX('HY &amp; Segments'!$A:$AG,MATCH($A38,'HY &amp; Segments'!$A:$A,0),MATCH("2H"&amp;RIGHT(H$1,2),'HY &amp; Segments'!$3:$3,0))</f>
        <v/>
      </c>
      <c r="I38" s="58">
        <f>INDEX('HY &amp; Segments'!$A:$AG,MATCH($A38,'HY &amp; Segments'!$A:$A,0),MATCH("1H"&amp;RIGHT(I$1,2),'HY &amp; Segments'!$3:$3,0))+INDEX('HY &amp; Segments'!$A:$AG,MATCH($A38,'HY &amp; Segments'!$A:$A,0),MATCH("2H"&amp;RIGHT(I$1,2),'HY &amp; Segments'!$3:$3,0))</f>
        <v/>
      </c>
      <c r="J38" s="58">
        <f>INDEX('HY &amp; Segments'!$A:$AG,MATCH($A38,'HY &amp; Segments'!$A:$A,0),MATCH("1H"&amp;RIGHT(J$1,2),'HY &amp; Segments'!$3:$3,0))+INDEX('HY &amp; Segments'!$A:$AG,MATCH($A38,'HY &amp; Segments'!$A:$A,0),MATCH("2H"&amp;RIGHT(J$1,2),'HY &amp; Segments'!$3:$3,0))</f>
        <v/>
      </c>
      <c r="K38" s="58">
        <f>INDEX('HY &amp; Segments'!$A:$AG,MATCH($A38,'HY &amp; Segments'!$A:$A,0),MATCH("1H"&amp;RIGHT(K$1,2),'HY &amp; Segments'!$3:$3,0))+INDEX('HY &amp; Segments'!$A:$AG,MATCH($A38,'HY &amp; Segments'!$A:$A,0),MATCH("2H"&amp;RIGHT(K$1,2),'HY &amp; Segments'!$3:$3,0))</f>
        <v/>
      </c>
      <c r="L38" s="58">
        <f>INDEX('HY &amp; Segments'!$A:$AG,MATCH($A38,'HY &amp; Segments'!$A:$A,0),MATCH("1H"&amp;RIGHT(L$1,2),'HY &amp; Segments'!$3:$3,0))+INDEX('HY &amp; Segments'!$A:$AG,MATCH($A38,'HY &amp; Segments'!$A:$A,0),MATCH("2H"&amp;RIGHT(L$1,2),'HY &amp; Segments'!$3:$3,0))</f>
        <v/>
      </c>
      <c r="M38" s="58">
        <f>INDEX('HY &amp; Segments'!$A:$AG,MATCH($A38,'HY &amp; Segments'!$A:$A,0),MATCH("1H"&amp;RIGHT(M$1,2),'HY &amp; Segments'!$3:$3,0))+INDEX('HY &amp; Segments'!$A:$AG,MATCH($A38,'HY &amp; Segments'!$A:$A,0),MATCH("2H"&amp;RIGHT(M$1,2),'HY &amp; Segments'!$3:$3,0))</f>
        <v/>
      </c>
      <c r="N38" s="58">
        <f>INDEX('HY &amp; Segments'!$A:$AG,MATCH($A38,'HY &amp; Segments'!$A:$A,0),MATCH("1H"&amp;RIGHT(N$1,2),'HY &amp; Segments'!$3:$3,0))+INDEX('HY &amp; Segments'!$A:$AG,MATCH($A38,'HY &amp; Segments'!$A:$A,0),MATCH("2H"&amp;RIGHT(N$1,2),'HY &amp; Segments'!$3:$3,0))</f>
        <v/>
      </c>
      <c r="O38" s="58">
        <f>INDEX('HY &amp; Segments'!$A:$AG,MATCH($A38,'HY &amp; Segments'!$A:$A,0),MATCH("1H"&amp;RIGHT(O$1,2),'HY &amp; Segments'!$3:$3,0))+INDEX('HY &amp; Segments'!$A:$AG,MATCH($A38,'HY &amp; Segments'!$A:$A,0),MATCH("2H"&amp;RIGHT(O$1,2),'HY &amp; Segments'!$3:$3,0))</f>
        <v/>
      </c>
      <c r="P38" s="58">
        <f>INDEX('HY &amp; Segments'!$A:$AG,MATCH($A38,'HY &amp; Segments'!$A:$A,0),MATCH("1H"&amp;RIGHT(P$1,2),'HY &amp; Segments'!$3:$3,0))+INDEX('HY &amp; Segments'!$A:$AG,MATCH($A38,'HY &amp; Segments'!$A:$A,0),MATCH("2H"&amp;RIGHT(P$1,2),'HY &amp; Segments'!$3:$3,0))</f>
        <v/>
      </c>
    </row>
    <row r="39">
      <c r="A39" s="34" t="inlineStr">
        <is>
          <t>Exp-Total Expenses</t>
        </is>
      </c>
      <c r="B39" s="38" t="inlineStr">
        <is>
          <t>Total Expenses (excl D&amp;A)</t>
        </is>
      </c>
      <c r="C39" s="38" t="inlineStr">
        <is>
          <t>A$m</t>
        </is>
      </c>
      <c r="D39" s="82">
        <f>SUM(D34:D38)</f>
        <v/>
      </c>
      <c r="E39" s="82">
        <f>SUM(E34:E38)</f>
        <v/>
      </c>
      <c r="F39" s="82">
        <f>SUM(F34:F38)</f>
        <v/>
      </c>
      <c r="G39" s="83">
        <f>SUM(G34:G38)</f>
        <v/>
      </c>
      <c r="H39" s="83">
        <f>SUM(H34:H38)</f>
        <v/>
      </c>
      <c r="I39" s="83">
        <f>SUM(I34:I38)</f>
        <v/>
      </c>
      <c r="J39" s="83">
        <f>SUM(J34:J38)</f>
        <v/>
      </c>
      <c r="K39" s="83">
        <f>SUM(K34:K38)</f>
        <v/>
      </c>
      <c r="L39" s="83">
        <f>SUM(L34:L38)</f>
        <v/>
      </c>
      <c r="M39" s="83">
        <f>SUM(M34:M38)</f>
        <v/>
      </c>
      <c r="N39" s="83">
        <f>SUM(N34:N38)</f>
        <v/>
      </c>
      <c r="O39" s="83">
        <f>SUM(O34:O38)</f>
        <v/>
      </c>
      <c r="P39" s="83">
        <f>SUM(P34:P38)</f>
        <v/>
      </c>
    </row>
    <row r="40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</row>
    <row r="41">
      <c r="A41" s="34" t="n"/>
      <c r="B41" s="36" t="inlineStr">
        <is>
          <t>Depreciation &amp; Amortisation</t>
        </is>
      </c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</row>
    <row r="42">
      <c r="A42" s="34" t="inlineStr">
        <is>
          <t>DA-ROU Depreciation</t>
        </is>
      </c>
      <c r="B42" s="34" t="inlineStr">
        <is>
          <t>Depreciation - ROU Assets</t>
        </is>
      </c>
      <c r="C42" s="34" t="inlineStr">
        <is>
          <t>A$m</t>
        </is>
      </c>
      <c r="D42" s="44" t="n">
        <v>-10.332</v>
      </c>
      <c r="E42" s="44" t="n">
        <v>-11.247</v>
      </c>
      <c r="F42" s="44" t="n">
        <v>-13.874</v>
      </c>
      <c r="G42" s="58">
        <f>INDEX('HY &amp; Segments'!$A:$AG,MATCH($A42,'HY &amp; Segments'!$A:$A,0),MATCH("1H"&amp;RIGHT(G$1,2),'HY &amp; Segments'!$3:$3,0))+INDEX('HY &amp; Segments'!$A:$AG,MATCH($A42,'HY &amp; Segments'!$A:$A,0),MATCH("2H"&amp;RIGHT(G$1,2),'HY &amp; Segments'!$3:$3,0))</f>
        <v/>
      </c>
      <c r="H42" s="58">
        <f>INDEX('HY &amp; Segments'!$A:$AG,MATCH($A42,'HY &amp; Segments'!$A:$A,0),MATCH("1H"&amp;RIGHT(H$1,2),'HY &amp; Segments'!$3:$3,0))+INDEX('HY &amp; Segments'!$A:$AG,MATCH($A42,'HY &amp; Segments'!$A:$A,0),MATCH("2H"&amp;RIGHT(H$1,2),'HY &amp; Segments'!$3:$3,0))</f>
        <v/>
      </c>
      <c r="I42" s="58">
        <f>INDEX('HY &amp; Segments'!$A:$AG,MATCH($A42,'HY &amp; Segments'!$A:$A,0),MATCH("1H"&amp;RIGHT(I$1,2),'HY &amp; Segments'!$3:$3,0))+INDEX('HY &amp; Segments'!$A:$AG,MATCH($A42,'HY &amp; Segments'!$A:$A,0),MATCH("2H"&amp;RIGHT(I$1,2),'HY &amp; Segments'!$3:$3,0))</f>
        <v/>
      </c>
      <c r="J42" s="58">
        <f>INDEX('HY &amp; Segments'!$A:$AG,MATCH($A42,'HY &amp; Segments'!$A:$A,0),MATCH("1H"&amp;RIGHT(J$1,2),'HY &amp; Segments'!$3:$3,0))+INDEX('HY &amp; Segments'!$A:$AG,MATCH($A42,'HY &amp; Segments'!$A:$A,0),MATCH("2H"&amp;RIGHT(J$1,2),'HY &amp; Segments'!$3:$3,0))</f>
        <v/>
      </c>
      <c r="K42" s="58">
        <f>INDEX('HY &amp; Segments'!$A:$AG,MATCH($A42,'HY &amp; Segments'!$A:$A,0),MATCH("1H"&amp;RIGHT(K$1,2),'HY &amp; Segments'!$3:$3,0))+INDEX('HY &amp; Segments'!$A:$AG,MATCH($A42,'HY &amp; Segments'!$A:$A,0),MATCH("2H"&amp;RIGHT(K$1,2),'HY &amp; Segments'!$3:$3,0))</f>
        <v/>
      </c>
      <c r="L42" s="58">
        <f>INDEX('HY &amp; Segments'!$A:$AG,MATCH($A42,'HY &amp; Segments'!$A:$A,0),MATCH("1H"&amp;RIGHT(L$1,2),'HY &amp; Segments'!$3:$3,0))+INDEX('HY &amp; Segments'!$A:$AG,MATCH($A42,'HY &amp; Segments'!$A:$A,0),MATCH("2H"&amp;RIGHT(L$1,2),'HY &amp; Segments'!$3:$3,0))</f>
        <v/>
      </c>
      <c r="M42" s="58">
        <f>INDEX('HY &amp; Segments'!$A:$AG,MATCH($A42,'HY &amp; Segments'!$A:$A,0),MATCH("1H"&amp;RIGHT(M$1,2),'HY &amp; Segments'!$3:$3,0))+INDEX('HY &amp; Segments'!$A:$AG,MATCH($A42,'HY &amp; Segments'!$A:$A,0),MATCH("2H"&amp;RIGHT(M$1,2),'HY &amp; Segments'!$3:$3,0))</f>
        <v/>
      </c>
      <c r="N42" s="58">
        <f>INDEX('HY &amp; Segments'!$A:$AG,MATCH($A42,'HY &amp; Segments'!$A:$A,0),MATCH("1H"&amp;RIGHT(N$1,2),'HY &amp; Segments'!$3:$3,0))+INDEX('HY &amp; Segments'!$A:$AG,MATCH($A42,'HY &amp; Segments'!$A:$A,0),MATCH("2H"&amp;RIGHT(N$1,2),'HY &amp; Segments'!$3:$3,0))</f>
        <v/>
      </c>
      <c r="O42" s="58">
        <f>INDEX('HY &amp; Segments'!$A:$AG,MATCH($A42,'HY &amp; Segments'!$A:$A,0),MATCH("1H"&amp;RIGHT(O$1,2),'HY &amp; Segments'!$3:$3,0))+INDEX('HY &amp; Segments'!$A:$AG,MATCH($A42,'HY &amp; Segments'!$A:$A,0),MATCH("2H"&amp;RIGHT(O$1,2),'HY &amp; Segments'!$3:$3,0))</f>
        <v/>
      </c>
      <c r="P42" s="58">
        <f>INDEX('HY &amp; Segments'!$A:$AG,MATCH($A42,'HY &amp; Segments'!$A:$A,0),MATCH("1H"&amp;RIGHT(P$1,2),'HY &amp; Segments'!$3:$3,0))+INDEX('HY &amp; Segments'!$A:$AG,MATCH($A42,'HY &amp; Segments'!$A:$A,0),MATCH("2H"&amp;RIGHT(P$1,2),'HY &amp; Segments'!$3:$3,0))</f>
        <v/>
      </c>
    </row>
    <row r="43">
      <c r="A43" s="34" t="inlineStr">
        <is>
          <t>DA-PPE Depreciation</t>
        </is>
      </c>
      <c r="B43" s="34" t="inlineStr">
        <is>
          <t>Depreciation - PPE</t>
        </is>
      </c>
      <c r="C43" s="34" t="inlineStr">
        <is>
          <t>A$m</t>
        </is>
      </c>
      <c r="D43" s="44" t="n">
        <v>-8.390000000000001</v>
      </c>
      <c r="E43" s="44" t="n">
        <v>-12.96</v>
      </c>
      <c r="F43" s="44" t="n">
        <v>-19.296</v>
      </c>
      <c r="G43" s="58">
        <f>INDEX('HY &amp; Segments'!$A:$AG,MATCH($A43,'HY &amp; Segments'!$A:$A,0),MATCH("1H"&amp;RIGHT(G$1,2),'HY &amp; Segments'!$3:$3,0))+INDEX('HY &amp; Segments'!$A:$AG,MATCH($A43,'HY &amp; Segments'!$A:$A,0),MATCH("2H"&amp;RIGHT(G$1,2),'HY &amp; Segments'!$3:$3,0))</f>
        <v/>
      </c>
      <c r="H43" s="58">
        <f>INDEX('HY &amp; Segments'!$A:$AG,MATCH($A43,'HY &amp; Segments'!$A:$A,0),MATCH("1H"&amp;RIGHT(H$1,2),'HY &amp; Segments'!$3:$3,0))+INDEX('HY &amp; Segments'!$A:$AG,MATCH($A43,'HY &amp; Segments'!$A:$A,0),MATCH("2H"&amp;RIGHT(H$1,2),'HY &amp; Segments'!$3:$3,0))</f>
        <v/>
      </c>
      <c r="I43" s="58">
        <f>INDEX('HY &amp; Segments'!$A:$AG,MATCH($A43,'HY &amp; Segments'!$A:$A,0),MATCH("1H"&amp;RIGHT(I$1,2),'HY &amp; Segments'!$3:$3,0))+INDEX('HY &amp; Segments'!$A:$AG,MATCH($A43,'HY &amp; Segments'!$A:$A,0),MATCH("2H"&amp;RIGHT(I$1,2),'HY &amp; Segments'!$3:$3,0))</f>
        <v/>
      </c>
      <c r="J43" s="58">
        <f>INDEX('HY &amp; Segments'!$A:$AG,MATCH($A43,'HY &amp; Segments'!$A:$A,0),MATCH("1H"&amp;RIGHT(J$1,2),'HY &amp; Segments'!$3:$3,0))+INDEX('HY &amp; Segments'!$A:$AG,MATCH($A43,'HY &amp; Segments'!$A:$A,0),MATCH("2H"&amp;RIGHT(J$1,2),'HY &amp; Segments'!$3:$3,0))</f>
        <v/>
      </c>
      <c r="K43" s="58">
        <f>INDEX('HY &amp; Segments'!$A:$AG,MATCH($A43,'HY &amp; Segments'!$A:$A,0),MATCH("1H"&amp;RIGHT(K$1,2),'HY &amp; Segments'!$3:$3,0))+INDEX('HY &amp; Segments'!$A:$AG,MATCH($A43,'HY &amp; Segments'!$A:$A,0),MATCH("2H"&amp;RIGHT(K$1,2),'HY &amp; Segments'!$3:$3,0))</f>
        <v/>
      </c>
      <c r="L43" s="58">
        <f>INDEX('HY &amp; Segments'!$A:$AG,MATCH($A43,'HY &amp; Segments'!$A:$A,0),MATCH("1H"&amp;RIGHT(L$1,2),'HY &amp; Segments'!$3:$3,0))+INDEX('HY &amp; Segments'!$A:$AG,MATCH($A43,'HY &amp; Segments'!$A:$A,0),MATCH("2H"&amp;RIGHT(L$1,2),'HY &amp; Segments'!$3:$3,0))</f>
        <v/>
      </c>
      <c r="M43" s="58">
        <f>INDEX('HY &amp; Segments'!$A:$AG,MATCH($A43,'HY &amp; Segments'!$A:$A,0),MATCH("1H"&amp;RIGHT(M$1,2),'HY &amp; Segments'!$3:$3,0))+INDEX('HY &amp; Segments'!$A:$AG,MATCH($A43,'HY &amp; Segments'!$A:$A,0),MATCH("2H"&amp;RIGHT(M$1,2),'HY &amp; Segments'!$3:$3,0))</f>
        <v/>
      </c>
      <c r="N43" s="58">
        <f>INDEX('HY &amp; Segments'!$A:$AG,MATCH($A43,'HY &amp; Segments'!$A:$A,0),MATCH("1H"&amp;RIGHT(N$1,2),'HY &amp; Segments'!$3:$3,0))+INDEX('HY &amp; Segments'!$A:$AG,MATCH($A43,'HY &amp; Segments'!$A:$A,0),MATCH("2H"&amp;RIGHT(N$1,2),'HY &amp; Segments'!$3:$3,0))</f>
        <v/>
      </c>
      <c r="O43" s="58">
        <f>INDEX('HY &amp; Segments'!$A:$AG,MATCH($A43,'HY &amp; Segments'!$A:$A,0),MATCH("1H"&amp;RIGHT(O$1,2),'HY &amp; Segments'!$3:$3,0))+INDEX('HY &amp; Segments'!$A:$AG,MATCH($A43,'HY &amp; Segments'!$A:$A,0),MATCH("2H"&amp;RIGHT(O$1,2),'HY &amp; Segments'!$3:$3,0))</f>
        <v/>
      </c>
      <c r="P43" s="58">
        <f>INDEX('HY &amp; Segments'!$A:$AG,MATCH($A43,'HY &amp; Segments'!$A:$A,0),MATCH("1H"&amp;RIGHT(P$1,2),'HY &amp; Segments'!$3:$3,0))+INDEX('HY &amp; Segments'!$A:$AG,MATCH($A43,'HY &amp; Segments'!$A:$A,0),MATCH("2H"&amp;RIGHT(P$1,2),'HY &amp; Segments'!$3:$3,0))</f>
        <v/>
      </c>
    </row>
    <row r="44">
      <c r="A44" s="34" t="inlineStr">
        <is>
          <t>DA-Amortisation Reacquired</t>
        </is>
      </c>
      <c r="B44" s="34" t="inlineStr">
        <is>
          <t>Amortisation - Reacquired Rights</t>
        </is>
      </c>
      <c r="C44" s="34" t="inlineStr">
        <is>
          <t>A$m</t>
        </is>
      </c>
      <c r="D44" s="44" t="n">
        <v>-2.747</v>
      </c>
      <c r="E44" s="44" t="n">
        <v>-2.935</v>
      </c>
      <c r="F44" s="44" t="n">
        <v>-3.668</v>
      </c>
      <c r="G44" s="58">
        <f>INDEX('HY &amp; Segments'!$A:$AG,MATCH($A44,'HY &amp; Segments'!$A:$A,0),MATCH("1H"&amp;RIGHT(G$1,2),'HY &amp; Segments'!$3:$3,0))+INDEX('HY &amp; Segments'!$A:$AG,MATCH($A44,'HY &amp; Segments'!$A:$A,0),MATCH("2H"&amp;RIGHT(G$1,2),'HY &amp; Segments'!$3:$3,0))</f>
        <v/>
      </c>
      <c r="H44" s="58">
        <f>INDEX('HY &amp; Segments'!$A:$AG,MATCH($A44,'HY &amp; Segments'!$A:$A,0),MATCH("1H"&amp;RIGHT(H$1,2),'HY &amp; Segments'!$3:$3,0))+INDEX('HY &amp; Segments'!$A:$AG,MATCH($A44,'HY &amp; Segments'!$A:$A,0),MATCH("2H"&amp;RIGHT(H$1,2),'HY &amp; Segments'!$3:$3,0))</f>
        <v/>
      </c>
      <c r="I44" s="58">
        <f>INDEX('HY &amp; Segments'!$A:$AG,MATCH($A44,'HY &amp; Segments'!$A:$A,0),MATCH("1H"&amp;RIGHT(I$1,2),'HY &amp; Segments'!$3:$3,0))+INDEX('HY &amp; Segments'!$A:$AG,MATCH($A44,'HY &amp; Segments'!$A:$A,0),MATCH("2H"&amp;RIGHT(I$1,2),'HY &amp; Segments'!$3:$3,0))</f>
        <v/>
      </c>
      <c r="J44" s="58">
        <f>INDEX('HY &amp; Segments'!$A:$AG,MATCH($A44,'HY &amp; Segments'!$A:$A,0),MATCH("1H"&amp;RIGHT(J$1,2),'HY &amp; Segments'!$3:$3,0))+INDEX('HY &amp; Segments'!$A:$AG,MATCH($A44,'HY &amp; Segments'!$A:$A,0),MATCH("2H"&amp;RIGHT(J$1,2),'HY &amp; Segments'!$3:$3,0))</f>
        <v/>
      </c>
      <c r="K44" s="58">
        <f>INDEX('HY &amp; Segments'!$A:$AG,MATCH($A44,'HY &amp; Segments'!$A:$A,0),MATCH("1H"&amp;RIGHT(K$1,2),'HY &amp; Segments'!$3:$3,0))+INDEX('HY &amp; Segments'!$A:$AG,MATCH($A44,'HY &amp; Segments'!$A:$A,0),MATCH("2H"&amp;RIGHT(K$1,2),'HY &amp; Segments'!$3:$3,0))</f>
        <v/>
      </c>
      <c r="L44" s="58">
        <f>INDEX('HY &amp; Segments'!$A:$AG,MATCH($A44,'HY &amp; Segments'!$A:$A,0),MATCH("1H"&amp;RIGHT(L$1,2),'HY &amp; Segments'!$3:$3,0))+INDEX('HY &amp; Segments'!$A:$AG,MATCH($A44,'HY &amp; Segments'!$A:$A,0),MATCH("2H"&amp;RIGHT(L$1,2),'HY &amp; Segments'!$3:$3,0))</f>
        <v/>
      </c>
      <c r="M44" s="58">
        <f>INDEX('HY &amp; Segments'!$A:$AG,MATCH($A44,'HY &amp; Segments'!$A:$A,0),MATCH("1H"&amp;RIGHT(M$1,2),'HY &amp; Segments'!$3:$3,0))+INDEX('HY &amp; Segments'!$A:$AG,MATCH($A44,'HY &amp; Segments'!$A:$A,0),MATCH("2H"&amp;RIGHT(M$1,2),'HY &amp; Segments'!$3:$3,0))</f>
        <v/>
      </c>
      <c r="N44" s="58">
        <f>INDEX('HY &amp; Segments'!$A:$AG,MATCH($A44,'HY &amp; Segments'!$A:$A,0),MATCH("1H"&amp;RIGHT(N$1,2),'HY &amp; Segments'!$3:$3,0))+INDEX('HY &amp; Segments'!$A:$AG,MATCH($A44,'HY &amp; Segments'!$A:$A,0),MATCH("2H"&amp;RIGHT(N$1,2),'HY &amp; Segments'!$3:$3,0))</f>
        <v/>
      </c>
      <c r="O44" s="58">
        <f>INDEX('HY &amp; Segments'!$A:$AG,MATCH($A44,'HY &amp; Segments'!$A:$A,0),MATCH("1H"&amp;RIGHT(O$1,2),'HY &amp; Segments'!$3:$3,0))+INDEX('HY &amp; Segments'!$A:$AG,MATCH($A44,'HY &amp; Segments'!$A:$A,0),MATCH("2H"&amp;RIGHT(O$1,2),'HY &amp; Segments'!$3:$3,0))</f>
        <v/>
      </c>
      <c r="P44" s="58">
        <f>INDEX('HY &amp; Segments'!$A:$AG,MATCH($A44,'HY &amp; Segments'!$A:$A,0),MATCH("1H"&amp;RIGHT(P$1,2),'HY &amp; Segments'!$3:$3,0))+INDEX('HY &amp; Segments'!$A:$AG,MATCH($A44,'HY &amp; Segments'!$A:$A,0),MATCH("2H"&amp;RIGHT(P$1,2),'HY &amp; Segments'!$3:$3,0))</f>
        <v/>
      </c>
    </row>
    <row r="45">
      <c r="A45" s="34" t="inlineStr">
        <is>
          <t>DA-Amortisation Other</t>
        </is>
      </c>
      <c r="B45" s="34" t="inlineStr">
        <is>
          <t>Amortisation - Other</t>
        </is>
      </c>
      <c r="C45" s="34" t="inlineStr">
        <is>
          <t>A$m</t>
        </is>
      </c>
      <c r="D45" s="44" t="n">
        <v>-4.086</v>
      </c>
      <c r="E45" s="44" t="n">
        <v>-3.981</v>
      </c>
      <c r="F45" s="44" t="n">
        <v>-2.843</v>
      </c>
      <c r="G45" s="58">
        <f>INDEX('HY &amp; Segments'!$A:$AG,MATCH($A45,'HY &amp; Segments'!$A:$A,0),MATCH("1H"&amp;RIGHT(G$1,2),'HY &amp; Segments'!$3:$3,0))+INDEX('HY &amp; Segments'!$A:$AG,MATCH($A45,'HY &amp; Segments'!$A:$A,0),MATCH("2H"&amp;RIGHT(G$1,2),'HY &amp; Segments'!$3:$3,0))</f>
        <v/>
      </c>
      <c r="H45" s="58">
        <f>INDEX('HY &amp; Segments'!$A:$AG,MATCH($A45,'HY &amp; Segments'!$A:$A,0),MATCH("1H"&amp;RIGHT(H$1,2),'HY &amp; Segments'!$3:$3,0))+INDEX('HY &amp; Segments'!$A:$AG,MATCH($A45,'HY &amp; Segments'!$A:$A,0),MATCH("2H"&amp;RIGHT(H$1,2),'HY &amp; Segments'!$3:$3,0))</f>
        <v/>
      </c>
      <c r="I45" s="58">
        <f>INDEX('HY &amp; Segments'!$A:$AG,MATCH($A45,'HY &amp; Segments'!$A:$A,0),MATCH("1H"&amp;RIGHT(I$1,2),'HY &amp; Segments'!$3:$3,0))+INDEX('HY &amp; Segments'!$A:$AG,MATCH($A45,'HY &amp; Segments'!$A:$A,0),MATCH("2H"&amp;RIGHT(I$1,2),'HY &amp; Segments'!$3:$3,0))</f>
        <v/>
      </c>
      <c r="J45" s="58">
        <f>INDEX('HY &amp; Segments'!$A:$AG,MATCH($A45,'HY &amp; Segments'!$A:$A,0),MATCH("1H"&amp;RIGHT(J$1,2),'HY &amp; Segments'!$3:$3,0))+INDEX('HY &amp; Segments'!$A:$AG,MATCH($A45,'HY &amp; Segments'!$A:$A,0),MATCH("2H"&amp;RIGHT(J$1,2),'HY &amp; Segments'!$3:$3,0))</f>
        <v/>
      </c>
      <c r="K45" s="58">
        <f>INDEX('HY &amp; Segments'!$A:$AG,MATCH($A45,'HY &amp; Segments'!$A:$A,0),MATCH("1H"&amp;RIGHT(K$1,2),'HY &amp; Segments'!$3:$3,0))+INDEX('HY &amp; Segments'!$A:$AG,MATCH($A45,'HY &amp; Segments'!$A:$A,0),MATCH("2H"&amp;RIGHT(K$1,2),'HY &amp; Segments'!$3:$3,0))</f>
        <v/>
      </c>
      <c r="L45" s="58">
        <f>INDEX('HY &amp; Segments'!$A:$AG,MATCH($A45,'HY &amp; Segments'!$A:$A,0),MATCH("1H"&amp;RIGHT(L$1,2),'HY &amp; Segments'!$3:$3,0))+INDEX('HY &amp; Segments'!$A:$AG,MATCH($A45,'HY &amp; Segments'!$A:$A,0),MATCH("2H"&amp;RIGHT(L$1,2),'HY &amp; Segments'!$3:$3,0))</f>
        <v/>
      </c>
      <c r="M45" s="58">
        <f>INDEX('HY &amp; Segments'!$A:$AG,MATCH($A45,'HY &amp; Segments'!$A:$A,0),MATCH("1H"&amp;RIGHT(M$1,2),'HY &amp; Segments'!$3:$3,0))+INDEX('HY &amp; Segments'!$A:$AG,MATCH($A45,'HY &amp; Segments'!$A:$A,0),MATCH("2H"&amp;RIGHT(M$1,2),'HY &amp; Segments'!$3:$3,0))</f>
        <v/>
      </c>
      <c r="N45" s="58">
        <f>INDEX('HY &amp; Segments'!$A:$AG,MATCH($A45,'HY &amp; Segments'!$A:$A,0),MATCH("1H"&amp;RIGHT(N$1,2),'HY &amp; Segments'!$3:$3,0))+INDEX('HY &amp; Segments'!$A:$AG,MATCH($A45,'HY &amp; Segments'!$A:$A,0),MATCH("2H"&amp;RIGHT(N$1,2),'HY &amp; Segments'!$3:$3,0))</f>
        <v/>
      </c>
      <c r="O45" s="58">
        <f>INDEX('HY &amp; Segments'!$A:$AG,MATCH($A45,'HY &amp; Segments'!$A:$A,0),MATCH("1H"&amp;RIGHT(O$1,2),'HY &amp; Segments'!$3:$3,0))+INDEX('HY &amp; Segments'!$A:$AG,MATCH($A45,'HY &amp; Segments'!$A:$A,0),MATCH("2H"&amp;RIGHT(O$1,2),'HY &amp; Segments'!$3:$3,0))</f>
        <v/>
      </c>
      <c r="P45" s="58">
        <f>INDEX('HY &amp; Segments'!$A:$AG,MATCH($A45,'HY &amp; Segments'!$A:$A,0),MATCH("1H"&amp;RIGHT(P$1,2),'HY &amp; Segments'!$3:$3,0))+INDEX('HY &amp; Segments'!$A:$AG,MATCH($A45,'HY &amp; Segments'!$A:$A,0),MATCH("2H"&amp;RIGHT(P$1,2),'HY &amp; Segments'!$3:$3,0))</f>
        <v/>
      </c>
    </row>
    <row r="46">
      <c r="A46" s="34" t="inlineStr">
        <is>
          <t>DA-Total DA</t>
        </is>
      </c>
      <c r="B46" s="38" t="inlineStr">
        <is>
          <t>Total D&amp;A</t>
        </is>
      </c>
      <c r="C46" s="38" t="inlineStr">
        <is>
          <t>A$m</t>
        </is>
      </c>
      <c r="D46" s="82">
        <f>SUM(D42:D45)</f>
        <v/>
      </c>
      <c r="E46" s="82">
        <f>SUM(E42:E45)</f>
        <v/>
      </c>
      <c r="F46" s="82">
        <f>SUM(F42:F45)</f>
        <v/>
      </c>
      <c r="G46" s="83">
        <f>SUM(G42:G45)</f>
        <v/>
      </c>
      <c r="H46" s="83">
        <f>SUM(H42:H45)</f>
        <v/>
      </c>
      <c r="I46" s="83">
        <f>SUM(I42:I45)</f>
        <v/>
      </c>
      <c r="J46" s="83">
        <f>SUM(J42:J45)</f>
        <v/>
      </c>
      <c r="K46" s="83">
        <f>SUM(K42:K45)</f>
        <v/>
      </c>
      <c r="L46" s="83">
        <f>SUM(L42:L45)</f>
        <v/>
      </c>
      <c r="M46" s="83">
        <f>SUM(M42:M45)</f>
        <v/>
      </c>
      <c r="N46" s="83">
        <f>SUM(N42:N45)</f>
        <v/>
      </c>
      <c r="O46" s="83">
        <f>SUM(O42:O45)</f>
        <v/>
      </c>
      <c r="P46" s="83">
        <f>SUM(P42:P45)</f>
        <v/>
      </c>
    </row>
    <row r="47">
      <c r="A47" s="34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</row>
    <row r="48">
      <c r="A48" s="34" t="inlineStr">
        <is>
          <t>EBIT-EBIT</t>
        </is>
      </c>
      <c r="B48" s="38" t="inlineStr">
        <is>
          <t>EBIT</t>
        </is>
      </c>
      <c r="C48" s="38" t="inlineStr">
        <is>
          <t>A$m</t>
        </is>
      </c>
      <c r="D48" s="82">
        <f>D30+D46</f>
        <v/>
      </c>
      <c r="E48" s="82">
        <f>E30+E46</f>
        <v/>
      </c>
      <c r="F48" s="82">
        <f>F30+F46</f>
        <v/>
      </c>
      <c r="G48" s="83">
        <f>G30+G46</f>
        <v/>
      </c>
      <c r="H48" s="83">
        <f>H30+H46</f>
        <v/>
      </c>
      <c r="I48" s="83">
        <f>I30+I46</f>
        <v/>
      </c>
      <c r="J48" s="83">
        <f>J30+J46</f>
        <v/>
      </c>
      <c r="K48" s="83">
        <f>K30+K46</f>
        <v/>
      </c>
      <c r="L48" s="83">
        <f>L30+L46</f>
        <v/>
      </c>
      <c r="M48" s="83">
        <f>M30+M46</f>
        <v/>
      </c>
      <c r="N48" s="83">
        <f>N30+N46</f>
        <v/>
      </c>
      <c r="O48" s="83">
        <f>O30+O46</f>
        <v/>
      </c>
      <c r="P48" s="83">
        <f>P30+P46</f>
        <v/>
      </c>
    </row>
    <row r="49">
      <c r="A49" s="34" t="n"/>
      <c r="B49" s="34" t="inlineStr">
        <is>
          <t>EBIT Margin</t>
        </is>
      </c>
      <c r="C49" s="34" t="inlineStr">
        <is>
          <t>%</t>
        </is>
      </c>
      <c r="D49" s="46">
        <f>IF(D21=0,"",D48/D21)</f>
        <v/>
      </c>
      <c r="E49" s="46">
        <f>IF(E21=0,"",E48/E21)</f>
        <v/>
      </c>
      <c r="F49" s="46">
        <f>IF(F21=0,"",F48/F21)</f>
        <v/>
      </c>
      <c r="G49" s="60">
        <f>IF(G21=0,"",G48/G21)</f>
        <v/>
      </c>
      <c r="H49" s="60">
        <f>IF(H21=0,"",H48/H21)</f>
        <v/>
      </c>
      <c r="I49" s="60">
        <f>IF(I21=0,"",I48/I21)</f>
        <v/>
      </c>
      <c r="J49" s="60">
        <f>IF(J21=0,"",J48/J21)</f>
        <v/>
      </c>
      <c r="K49" s="60">
        <f>IF(K21=0,"",K48/K21)</f>
        <v/>
      </c>
      <c r="L49" s="60">
        <f>IF(L21=0,"",L48/L21)</f>
        <v/>
      </c>
      <c r="M49" s="60">
        <f>IF(M21=0,"",M48/M21)</f>
        <v/>
      </c>
      <c r="N49" s="60">
        <f>IF(N21=0,"",N48/N21)</f>
        <v/>
      </c>
      <c r="O49" s="60">
        <f>IF(O21=0,"",O48/O21)</f>
        <v/>
      </c>
      <c r="P49" s="60">
        <f>IF(P21=0,"",P48/P21)</f>
        <v/>
      </c>
    </row>
    <row r="50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</row>
    <row r="51">
      <c r="A51" s="34" t="n"/>
      <c r="B51" s="36" t="inlineStr">
        <is>
          <t>Finance</t>
        </is>
      </c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</row>
    <row r="52">
      <c r="A52" s="34" t="inlineStr">
        <is>
          <t>Int-Term Deposit Income</t>
        </is>
      </c>
      <c r="B52" s="34" t="inlineStr">
        <is>
          <t>Interest Income - Term Deposits</t>
        </is>
      </c>
      <c r="C52" s="34" t="inlineStr">
        <is>
          <t>A$m</t>
        </is>
      </c>
      <c r="D52" s="44" t="n">
        <v>0</v>
      </c>
      <c r="E52" s="44" t="n">
        <v>1.096</v>
      </c>
      <c r="F52" s="44" t="n">
        <v>12.53</v>
      </c>
      <c r="G52" s="58">
        <f>INDEX('HY &amp; Segments'!$A:$AG,MATCH($A52,'HY &amp; Segments'!$A:$A,0),MATCH("1H"&amp;RIGHT(G$1,2),'HY &amp; Segments'!$3:$3,0))+INDEX('HY &amp; Segments'!$A:$AG,MATCH($A52,'HY &amp; Segments'!$A:$A,0),MATCH("2H"&amp;RIGHT(G$1,2),'HY &amp; Segments'!$3:$3,0))</f>
        <v/>
      </c>
      <c r="H52" s="58">
        <f>INDEX('HY &amp; Segments'!$A:$AG,MATCH($A52,'HY &amp; Segments'!$A:$A,0),MATCH("1H"&amp;RIGHT(H$1,2),'HY &amp; Segments'!$3:$3,0))+INDEX('HY &amp; Segments'!$A:$AG,MATCH($A52,'HY &amp; Segments'!$A:$A,0),MATCH("2H"&amp;RIGHT(H$1,2),'HY &amp; Segments'!$3:$3,0))</f>
        <v/>
      </c>
      <c r="I52" s="58">
        <f>INDEX('HY &amp; Segments'!$A:$AG,MATCH($A52,'HY &amp; Segments'!$A:$A,0),MATCH("1H"&amp;RIGHT(I$1,2),'HY &amp; Segments'!$3:$3,0))+INDEX('HY &amp; Segments'!$A:$AG,MATCH($A52,'HY &amp; Segments'!$A:$A,0),MATCH("2H"&amp;RIGHT(I$1,2),'HY &amp; Segments'!$3:$3,0))</f>
        <v/>
      </c>
      <c r="J52" s="58">
        <f>INDEX('HY &amp; Segments'!$A:$AG,MATCH($A52,'HY &amp; Segments'!$A:$A,0),MATCH("1H"&amp;RIGHT(J$1,2),'HY &amp; Segments'!$3:$3,0))+INDEX('HY &amp; Segments'!$A:$AG,MATCH($A52,'HY &amp; Segments'!$A:$A,0),MATCH("2H"&amp;RIGHT(J$1,2),'HY &amp; Segments'!$3:$3,0))</f>
        <v/>
      </c>
      <c r="K52" s="58">
        <f>INDEX('HY &amp; Segments'!$A:$AG,MATCH($A52,'HY &amp; Segments'!$A:$A,0),MATCH("1H"&amp;RIGHT(K$1,2),'HY &amp; Segments'!$3:$3,0))+INDEX('HY &amp; Segments'!$A:$AG,MATCH($A52,'HY &amp; Segments'!$A:$A,0),MATCH("2H"&amp;RIGHT(K$1,2),'HY &amp; Segments'!$3:$3,0))</f>
        <v/>
      </c>
      <c r="L52" s="58">
        <f>INDEX('HY &amp; Segments'!$A:$AG,MATCH($A52,'HY &amp; Segments'!$A:$A,0),MATCH("1H"&amp;RIGHT(L$1,2),'HY &amp; Segments'!$3:$3,0))+INDEX('HY &amp; Segments'!$A:$AG,MATCH($A52,'HY &amp; Segments'!$A:$A,0),MATCH("2H"&amp;RIGHT(L$1,2),'HY &amp; Segments'!$3:$3,0))</f>
        <v/>
      </c>
      <c r="M52" s="58">
        <f>INDEX('HY &amp; Segments'!$A:$AG,MATCH($A52,'HY &amp; Segments'!$A:$A,0),MATCH("1H"&amp;RIGHT(M$1,2),'HY &amp; Segments'!$3:$3,0))+INDEX('HY &amp; Segments'!$A:$AG,MATCH($A52,'HY &amp; Segments'!$A:$A,0),MATCH("2H"&amp;RIGHT(M$1,2),'HY &amp; Segments'!$3:$3,0))</f>
        <v/>
      </c>
      <c r="N52" s="58">
        <f>INDEX('HY &amp; Segments'!$A:$AG,MATCH($A52,'HY &amp; Segments'!$A:$A,0),MATCH("1H"&amp;RIGHT(N$1,2),'HY &amp; Segments'!$3:$3,0))+INDEX('HY &amp; Segments'!$A:$AG,MATCH($A52,'HY &amp; Segments'!$A:$A,0),MATCH("2H"&amp;RIGHT(N$1,2),'HY &amp; Segments'!$3:$3,0))</f>
        <v/>
      </c>
      <c r="O52" s="58">
        <f>INDEX('HY &amp; Segments'!$A:$AG,MATCH($A52,'HY &amp; Segments'!$A:$A,0),MATCH("1H"&amp;RIGHT(O$1,2),'HY &amp; Segments'!$3:$3,0))+INDEX('HY &amp; Segments'!$A:$AG,MATCH($A52,'HY &amp; Segments'!$A:$A,0),MATCH("2H"&amp;RIGHT(O$1,2),'HY &amp; Segments'!$3:$3,0))</f>
        <v/>
      </c>
      <c r="P52" s="58">
        <f>INDEX('HY &amp; Segments'!$A:$AG,MATCH($A52,'HY &amp; Segments'!$A:$A,0),MATCH("1H"&amp;RIGHT(P$1,2),'HY &amp; Segments'!$3:$3,0))+INDEX('HY &amp; Segments'!$A:$AG,MATCH($A52,'HY &amp; Segments'!$A:$A,0),MATCH("2H"&amp;RIGHT(P$1,2),'HY &amp; Segments'!$3:$3,0))</f>
        <v/>
      </c>
    </row>
    <row r="53">
      <c r="A53" s="34" t="inlineStr">
        <is>
          <t>Int-Lease Receivable Income</t>
        </is>
      </c>
      <c r="B53" s="34" t="inlineStr">
        <is>
          <t>Interest Income - Lease Receivables</t>
        </is>
      </c>
      <c r="C53" s="34" t="inlineStr">
        <is>
          <t>A$m</t>
        </is>
      </c>
      <c r="D53" s="44" t="n">
        <v>3.63</v>
      </c>
      <c r="E53" s="44" t="n">
        <v>4.841</v>
      </c>
      <c r="F53" s="44" t="n">
        <v>10.042</v>
      </c>
      <c r="G53" s="58">
        <f>INDEX('HY &amp; Segments'!$A:$AG,MATCH($A53,'HY &amp; Segments'!$A:$A,0),MATCH("1H"&amp;RIGHT(G$1,2),'HY &amp; Segments'!$3:$3,0))+INDEX('HY &amp; Segments'!$A:$AG,MATCH($A53,'HY &amp; Segments'!$A:$A,0),MATCH("2H"&amp;RIGHT(G$1,2),'HY &amp; Segments'!$3:$3,0))</f>
        <v/>
      </c>
      <c r="H53" s="58">
        <f>INDEX('HY &amp; Segments'!$A:$AG,MATCH($A53,'HY &amp; Segments'!$A:$A,0),MATCH("1H"&amp;RIGHT(H$1,2),'HY &amp; Segments'!$3:$3,0))+INDEX('HY &amp; Segments'!$A:$AG,MATCH($A53,'HY &amp; Segments'!$A:$A,0),MATCH("2H"&amp;RIGHT(H$1,2),'HY &amp; Segments'!$3:$3,0))</f>
        <v/>
      </c>
      <c r="I53" s="58">
        <f>INDEX('HY &amp; Segments'!$A:$AG,MATCH($A53,'HY &amp; Segments'!$A:$A,0),MATCH("1H"&amp;RIGHT(I$1,2),'HY &amp; Segments'!$3:$3,0))+INDEX('HY &amp; Segments'!$A:$AG,MATCH($A53,'HY &amp; Segments'!$A:$A,0),MATCH("2H"&amp;RIGHT(I$1,2),'HY &amp; Segments'!$3:$3,0))</f>
        <v/>
      </c>
      <c r="J53" s="58">
        <f>INDEX('HY &amp; Segments'!$A:$AG,MATCH($A53,'HY &amp; Segments'!$A:$A,0),MATCH("1H"&amp;RIGHT(J$1,2),'HY &amp; Segments'!$3:$3,0))+INDEX('HY &amp; Segments'!$A:$AG,MATCH($A53,'HY &amp; Segments'!$A:$A,0),MATCH("2H"&amp;RIGHT(J$1,2),'HY &amp; Segments'!$3:$3,0))</f>
        <v/>
      </c>
      <c r="K53" s="58">
        <f>INDEX('HY &amp; Segments'!$A:$AG,MATCH($A53,'HY &amp; Segments'!$A:$A,0),MATCH("1H"&amp;RIGHT(K$1,2),'HY &amp; Segments'!$3:$3,0))+INDEX('HY &amp; Segments'!$A:$AG,MATCH($A53,'HY &amp; Segments'!$A:$A,0),MATCH("2H"&amp;RIGHT(K$1,2),'HY &amp; Segments'!$3:$3,0))</f>
        <v/>
      </c>
      <c r="L53" s="58">
        <f>INDEX('HY &amp; Segments'!$A:$AG,MATCH($A53,'HY &amp; Segments'!$A:$A,0),MATCH("1H"&amp;RIGHT(L$1,2),'HY &amp; Segments'!$3:$3,0))+INDEX('HY &amp; Segments'!$A:$AG,MATCH($A53,'HY &amp; Segments'!$A:$A,0),MATCH("2H"&amp;RIGHT(L$1,2),'HY &amp; Segments'!$3:$3,0))</f>
        <v/>
      </c>
      <c r="M53" s="58">
        <f>INDEX('HY &amp; Segments'!$A:$AG,MATCH($A53,'HY &amp; Segments'!$A:$A,0),MATCH("1H"&amp;RIGHT(M$1,2),'HY &amp; Segments'!$3:$3,0))+INDEX('HY &amp; Segments'!$A:$AG,MATCH($A53,'HY &amp; Segments'!$A:$A,0),MATCH("2H"&amp;RIGHT(M$1,2),'HY &amp; Segments'!$3:$3,0))</f>
        <v/>
      </c>
      <c r="N53" s="58">
        <f>INDEX('HY &amp; Segments'!$A:$AG,MATCH($A53,'HY &amp; Segments'!$A:$A,0),MATCH("1H"&amp;RIGHT(N$1,2),'HY &amp; Segments'!$3:$3,0))+INDEX('HY &amp; Segments'!$A:$AG,MATCH($A53,'HY &amp; Segments'!$A:$A,0),MATCH("2H"&amp;RIGHT(N$1,2),'HY &amp; Segments'!$3:$3,0))</f>
        <v/>
      </c>
      <c r="O53" s="58">
        <f>INDEX('HY &amp; Segments'!$A:$AG,MATCH($A53,'HY &amp; Segments'!$A:$A,0),MATCH("1H"&amp;RIGHT(O$1,2),'HY &amp; Segments'!$3:$3,0))+INDEX('HY &amp; Segments'!$A:$AG,MATCH($A53,'HY &amp; Segments'!$A:$A,0),MATCH("2H"&amp;RIGHT(O$1,2),'HY &amp; Segments'!$3:$3,0))</f>
        <v/>
      </c>
      <c r="P53" s="58">
        <f>INDEX('HY &amp; Segments'!$A:$AG,MATCH($A53,'HY &amp; Segments'!$A:$A,0),MATCH("1H"&amp;RIGHT(P$1,2),'HY &amp; Segments'!$3:$3,0))+INDEX('HY &amp; Segments'!$A:$AG,MATCH($A53,'HY &amp; Segments'!$A:$A,0),MATCH("2H"&amp;RIGHT(P$1,2),'HY &amp; Segments'!$3:$3,0))</f>
        <v/>
      </c>
    </row>
    <row r="54">
      <c r="A54" s="34" t="inlineStr">
        <is>
          <t>Int-Other Finance Income</t>
        </is>
      </c>
      <c r="B54" s="34" t="inlineStr">
        <is>
          <t>Other Finance Income</t>
        </is>
      </c>
      <c r="C54" s="34" t="inlineStr">
        <is>
          <t>A$m</t>
        </is>
      </c>
      <c r="D54" s="44" t="n">
        <v>0.963</v>
      </c>
      <c r="E54" s="44" t="n">
        <v>0.075</v>
      </c>
      <c r="F54" s="44" t="n">
        <v>0.102</v>
      </c>
      <c r="G54" s="58">
        <f>INDEX('HY &amp; Segments'!$A:$AG,MATCH($A54,'HY &amp; Segments'!$A:$A,0),MATCH("1H"&amp;RIGHT(G$1,2),'HY &amp; Segments'!$3:$3,0))+INDEX('HY &amp; Segments'!$A:$AG,MATCH($A54,'HY &amp; Segments'!$A:$A,0),MATCH("2H"&amp;RIGHT(G$1,2),'HY &amp; Segments'!$3:$3,0))</f>
        <v/>
      </c>
      <c r="H54" s="58">
        <f>INDEX('HY &amp; Segments'!$A:$AG,MATCH($A54,'HY &amp; Segments'!$A:$A,0),MATCH("1H"&amp;RIGHT(H$1,2),'HY &amp; Segments'!$3:$3,0))+INDEX('HY &amp; Segments'!$A:$AG,MATCH($A54,'HY &amp; Segments'!$A:$A,0),MATCH("2H"&amp;RIGHT(H$1,2),'HY &amp; Segments'!$3:$3,0))</f>
        <v/>
      </c>
      <c r="I54" s="58">
        <f>INDEX('HY &amp; Segments'!$A:$AG,MATCH($A54,'HY &amp; Segments'!$A:$A,0),MATCH("1H"&amp;RIGHT(I$1,2),'HY &amp; Segments'!$3:$3,0))+INDEX('HY &amp; Segments'!$A:$AG,MATCH($A54,'HY &amp; Segments'!$A:$A,0),MATCH("2H"&amp;RIGHT(I$1,2),'HY &amp; Segments'!$3:$3,0))</f>
        <v/>
      </c>
      <c r="J54" s="58">
        <f>INDEX('HY &amp; Segments'!$A:$AG,MATCH($A54,'HY &amp; Segments'!$A:$A,0),MATCH("1H"&amp;RIGHT(J$1,2),'HY &amp; Segments'!$3:$3,0))+INDEX('HY &amp; Segments'!$A:$AG,MATCH($A54,'HY &amp; Segments'!$A:$A,0),MATCH("2H"&amp;RIGHT(J$1,2),'HY &amp; Segments'!$3:$3,0))</f>
        <v/>
      </c>
      <c r="K54" s="58">
        <f>INDEX('HY &amp; Segments'!$A:$AG,MATCH($A54,'HY &amp; Segments'!$A:$A,0),MATCH("1H"&amp;RIGHT(K$1,2),'HY &amp; Segments'!$3:$3,0))+INDEX('HY &amp; Segments'!$A:$AG,MATCH($A54,'HY &amp; Segments'!$A:$A,0),MATCH("2H"&amp;RIGHT(K$1,2),'HY &amp; Segments'!$3:$3,0))</f>
        <v/>
      </c>
      <c r="L54" s="58">
        <f>INDEX('HY &amp; Segments'!$A:$AG,MATCH($A54,'HY &amp; Segments'!$A:$A,0),MATCH("1H"&amp;RIGHT(L$1,2),'HY &amp; Segments'!$3:$3,0))+INDEX('HY &amp; Segments'!$A:$AG,MATCH($A54,'HY &amp; Segments'!$A:$A,0),MATCH("2H"&amp;RIGHT(L$1,2),'HY &amp; Segments'!$3:$3,0))</f>
        <v/>
      </c>
      <c r="M54" s="58">
        <f>INDEX('HY &amp; Segments'!$A:$AG,MATCH($A54,'HY &amp; Segments'!$A:$A,0),MATCH("1H"&amp;RIGHT(M$1,2),'HY &amp; Segments'!$3:$3,0))+INDEX('HY &amp; Segments'!$A:$AG,MATCH($A54,'HY &amp; Segments'!$A:$A,0),MATCH("2H"&amp;RIGHT(M$1,2),'HY &amp; Segments'!$3:$3,0))</f>
        <v/>
      </c>
      <c r="N54" s="58">
        <f>INDEX('HY &amp; Segments'!$A:$AG,MATCH($A54,'HY &amp; Segments'!$A:$A,0),MATCH("1H"&amp;RIGHT(N$1,2),'HY &amp; Segments'!$3:$3,0))+INDEX('HY &amp; Segments'!$A:$AG,MATCH($A54,'HY &amp; Segments'!$A:$A,0),MATCH("2H"&amp;RIGHT(N$1,2),'HY &amp; Segments'!$3:$3,0))</f>
        <v/>
      </c>
      <c r="O54" s="58">
        <f>INDEX('HY &amp; Segments'!$A:$AG,MATCH($A54,'HY &amp; Segments'!$A:$A,0),MATCH("1H"&amp;RIGHT(O$1,2),'HY &amp; Segments'!$3:$3,0))+INDEX('HY &amp; Segments'!$A:$AG,MATCH($A54,'HY &amp; Segments'!$A:$A,0),MATCH("2H"&amp;RIGHT(O$1,2),'HY &amp; Segments'!$3:$3,0))</f>
        <v/>
      </c>
      <c r="P54" s="58">
        <f>INDEX('HY &amp; Segments'!$A:$AG,MATCH($A54,'HY &amp; Segments'!$A:$A,0),MATCH("1H"&amp;RIGHT(P$1,2),'HY &amp; Segments'!$3:$3,0))+INDEX('HY &amp; Segments'!$A:$AG,MATCH($A54,'HY &amp; Segments'!$A:$A,0),MATCH("2H"&amp;RIGHT(P$1,2),'HY &amp; Segments'!$3:$3,0))</f>
        <v/>
      </c>
    </row>
    <row r="55">
      <c r="A55" s="34" t="inlineStr">
        <is>
          <t>Int-Total Finance Income</t>
        </is>
      </c>
      <c r="B55" s="38" t="inlineStr">
        <is>
          <t>Total Finance Income</t>
        </is>
      </c>
      <c r="C55" s="38" t="inlineStr">
        <is>
          <t>A$m</t>
        </is>
      </c>
      <c r="D55" s="82">
        <f>SUM(D52:D54)</f>
        <v/>
      </c>
      <c r="E55" s="82">
        <f>SUM(E52:E54)</f>
        <v/>
      </c>
      <c r="F55" s="82">
        <f>SUM(F52:F54)</f>
        <v/>
      </c>
      <c r="G55" s="83">
        <f>SUM(G52:G54)</f>
        <v/>
      </c>
      <c r="H55" s="83">
        <f>SUM(H52:H54)</f>
        <v/>
      </c>
      <c r="I55" s="83">
        <f>SUM(I52:I54)</f>
        <v/>
      </c>
      <c r="J55" s="83">
        <f>SUM(J52:J54)</f>
        <v/>
      </c>
      <c r="K55" s="83">
        <f>SUM(K52:K54)</f>
        <v/>
      </c>
      <c r="L55" s="83">
        <f>SUM(L52:L54)</f>
        <v/>
      </c>
      <c r="M55" s="83">
        <f>SUM(M52:M54)</f>
        <v/>
      </c>
      <c r="N55" s="83">
        <f>SUM(N52:N54)</f>
        <v/>
      </c>
      <c r="O55" s="83">
        <f>SUM(O52:O54)</f>
        <v/>
      </c>
      <c r="P55" s="83">
        <f>SUM(P52:P54)</f>
        <v/>
      </c>
    </row>
    <row r="56">
      <c r="A56" s="34" t="inlineStr">
        <is>
          <t>Int-Lease Liability Costs</t>
        </is>
      </c>
      <c r="B56" s="34" t="inlineStr">
        <is>
          <t>Finance Costs - Lease Liabilities</t>
        </is>
      </c>
      <c r="C56" s="34" t="inlineStr">
        <is>
          <t>A$m</t>
        </is>
      </c>
      <c r="D56" s="44" t="n">
        <v>-8.199</v>
      </c>
      <c r="E56" s="44" t="n">
        <v>-13.394</v>
      </c>
      <c r="F56" s="44" t="n">
        <v>-18.771</v>
      </c>
      <c r="G56" s="58">
        <f>INDEX('HY &amp; Segments'!$A:$AG,MATCH($A56,'HY &amp; Segments'!$A:$A,0),MATCH("1H"&amp;RIGHT(G$1,2),'HY &amp; Segments'!$3:$3,0))+INDEX('HY &amp; Segments'!$A:$AG,MATCH($A56,'HY &amp; Segments'!$A:$A,0),MATCH("2H"&amp;RIGHT(G$1,2),'HY &amp; Segments'!$3:$3,0))</f>
        <v/>
      </c>
      <c r="H56" s="58">
        <f>INDEX('HY &amp; Segments'!$A:$AG,MATCH($A56,'HY &amp; Segments'!$A:$A,0),MATCH("1H"&amp;RIGHT(H$1,2),'HY &amp; Segments'!$3:$3,0))+INDEX('HY &amp; Segments'!$A:$AG,MATCH($A56,'HY &amp; Segments'!$A:$A,0),MATCH("2H"&amp;RIGHT(H$1,2),'HY &amp; Segments'!$3:$3,0))</f>
        <v/>
      </c>
      <c r="I56" s="58">
        <f>INDEX('HY &amp; Segments'!$A:$AG,MATCH($A56,'HY &amp; Segments'!$A:$A,0),MATCH("1H"&amp;RIGHT(I$1,2),'HY &amp; Segments'!$3:$3,0))+INDEX('HY &amp; Segments'!$A:$AG,MATCH($A56,'HY &amp; Segments'!$A:$A,0),MATCH("2H"&amp;RIGHT(I$1,2),'HY &amp; Segments'!$3:$3,0))</f>
        <v/>
      </c>
      <c r="J56" s="58">
        <f>INDEX('HY &amp; Segments'!$A:$AG,MATCH($A56,'HY &amp; Segments'!$A:$A,0),MATCH("1H"&amp;RIGHT(J$1,2),'HY &amp; Segments'!$3:$3,0))+INDEX('HY &amp; Segments'!$A:$AG,MATCH($A56,'HY &amp; Segments'!$A:$A,0),MATCH("2H"&amp;RIGHT(J$1,2),'HY &amp; Segments'!$3:$3,0))</f>
        <v/>
      </c>
      <c r="K56" s="58">
        <f>INDEX('HY &amp; Segments'!$A:$AG,MATCH($A56,'HY &amp; Segments'!$A:$A,0),MATCH("1H"&amp;RIGHT(K$1,2),'HY &amp; Segments'!$3:$3,0))+INDEX('HY &amp; Segments'!$A:$AG,MATCH($A56,'HY &amp; Segments'!$A:$A,0),MATCH("2H"&amp;RIGHT(K$1,2),'HY &amp; Segments'!$3:$3,0))</f>
        <v/>
      </c>
      <c r="L56" s="58">
        <f>INDEX('HY &amp; Segments'!$A:$AG,MATCH($A56,'HY &amp; Segments'!$A:$A,0),MATCH("1H"&amp;RIGHT(L$1,2),'HY &amp; Segments'!$3:$3,0))+INDEX('HY &amp; Segments'!$A:$AG,MATCH($A56,'HY &amp; Segments'!$A:$A,0),MATCH("2H"&amp;RIGHT(L$1,2),'HY &amp; Segments'!$3:$3,0))</f>
        <v/>
      </c>
      <c r="M56" s="58">
        <f>INDEX('HY &amp; Segments'!$A:$AG,MATCH($A56,'HY &amp; Segments'!$A:$A,0),MATCH("1H"&amp;RIGHT(M$1,2),'HY &amp; Segments'!$3:$3,0))+INDEX('HY &amp; Segments'!$A:$AG,MATCH($A56,'HY &amp; Segments'!$A:$A,0),MATCH("2H"&amp;RIGHT(M$1,2),'HY &amp; Segments'!$3:$3,0))</f>
        <v/>
      </c>
      <c r="N56" s="58">
        <f>INDEX('HY &amp; Segments'!$A:$AG,MATCH($A56,'HY &amp; Segments'!$A:$A,0),MATCH("1H"&amp;RIGHT(N$1,2),'HY &amp; Segments'!$3:$3,0))+INDEX('HY &amp; Segments'!$A:$AG,MATCH($A56,'HY &amp; Segments'!$A:$A,0),MATCH("2H"&amp;RIGHT(N$1,2),'HY &amp; Segments'!$3:$3,0))</f>
        <v/>
      </c>
      <c r="O56" s="58">
        <f>INDEX('HY &amp; Segments'!$A:$AG,MATCH($A56,'HY &amp; Segments'!$A:$A,0),MATCH("1H"&amp;RIGHT(O$1,2),'HY &amp; Segments'!$3:$3,0))+INDEX('HY &amp; Segments'!$A:$AG,MATCH($A56,'HY &amp; Segments'!$A:$A,0),MATCH("2H"&amp;RIGHT(O$1,2),'HY &amp; Segments'!$3:$3,0))</f>
        <v/>
      </c>
      <c r="P56" s="58">
        <f>INDEX('HY &amp; Segments'!$A:$AG,MATCH($A56,'HY &amp; Segments'!$A:$A,0),MATCH("1H"&amp;RIGHT(P$1,2),'HY &amp; Segments'!$3:$3,0))+INDEX('HY &amp; Segments'!$A:$AG,MATCH($A56,'HY &amp; Segments'!$A:$A,0),MATCH("2H"&amp;RIGHT(P$1,2),'HY &amp; Segments'!$3:$3,0))</f>
        <v/>
      </c>
    </row>
    <row r="57">
      <c r="A57" s="34" t="inlineStr">
        <is>
          <t>Int-Other Finance Costs</t>
        </is>
      </c>
      <c r="B57" s="34" t="inlineStr">
        <is>
          <t>Other Finance Costs</t>
        </is>
      </c>
      <c r="C57" s="34" t="inlineStr">
        <is>
          <t>A$m</t>
        </is>
      </c>
      <c r="D57" s="44" t="n">
        <v>-0.304</v>
      </c>
      <c r="E57" s="44" t="n">
        <v>-0.33</v>
      </c>
      <c r="F57" s="44" t="n">
        <v>-0.131</v>
      </c>
      <c r="G57" s="58">
        <f>INDEX('HY &amp; Segments'!$A:$AG,MATCH($A57,'HY &amp; Segments'!$A:$A,0),MATCH("1H"&amp;RIGHT(G$1,2),'HY &amp; Segments'!$3:$3,0))+INDEX('HY &amp; Segments'!$A:$AG,MATCH($A57,'HY &amp; Segments'!$A:$A,0),MATCH("2H"&amp;RIGHT(G$1,2),'HY &amp; Segments'!$3:$3,0))</f>
        <v/>
      </c>
      <c r="H57" s="58">
        <f>INDEX('HY &amp; Segments'!$A:$AG,MATCH($A57,'HY &amp; Segments'!$A:$A,0),MATCH("1H"&amp;RIGHT(H$1,2),'HY &amp; Segments'!$3:$3,0))+INDEX('HY &amp; Segments'!$A:$AG,MATCH($A57,'HY &amp; Segments'!$A:$A,0),MATCH("2H"&amp;RIGHT(H$1,2),'HY &amp; Segments'!$3:$3,0))</f>
        <v/>
      </c>
      <c r="I57" s="58">
        <f>INDEX('HY &amp; Segments'!$A:$AG,MATCH($A57,'HY &amp; Segments'!$A:$A,0),MATCH("1H"&amp;RIGHT(I$1,2),'HY &amp; Segments'!$3:$3,0))+INDEX('HY &amp; Segments'!$A:$AG,MATCH($A57,'HY &amp; Segments'!$A:$A,0),MATCH("2H"&amp;RIGHT(I$1,2),'HY &amp; Segments'!$3:$3,0))</f>
        <v/>
      </c>
      <c r="J57" s="58">
        <f>INDEX('HY &amp; Segments'!$A:$AG,MATCH($A57,'HY &amp; Segments'!$A:$A,0),MATCH("1H"&amp;RIGHT(J$1,2),'HY &amp; Segments'!$3:$3,0))+INDEX('HY &amp; Segments'!$A:$AG,MATCH($A57,'HY &amp; Segments'!$A:$A,0),MATCH("2H"&amp;RIGHT(J$1,2),'HY &amp; Segments'!$3:$3,0))</f>
        <v/>
      </c>
      <c r="K57" s="58">
        <f>INDEX('HY &amp; Segments'!$A:$AG,MATCH($A57,'HY &amp; Segments'!$A:$A,0),MATCH("1H"&amp;RIGHT(K$1,2),'HY &amp; Segments'!$3:$3,0))+INDEX('HY &amp; Segments'!$A:$AG,MATCH($A57,'HY &amp; Segments'!$A:$A,0),MATCH("2H"&amp;RIGHT(K$1,2),'HY &amp; Segments'!$3:$3,0))</f>
        <v/>
      </c>
      <c r="L57" s="58">
        <f>INDEX('HY &amp; Segments'!$A:$AG,MATCH($A57,'HY &amp; Segments'!$A:$A,0),MATCH("1H"&amp;RIGHT(L$1,2),'HY &amp; Segments'!$3:$3,0))+INDEX('HY &amp; Segments'!$A:$AG,MATCH($A57,'HY &amp; Segments'!$A:$A,0),MATCH("2H"&amp;RIGHT(L$1,2),'HY &amp; Segments'!$3:$3,0))</f>
        <v/>
      </c>
      <c r="M57" s="58">
        <f>INDEX('HY &amp; Segments'!$A:$AG,MATCH($A57,'HY &amp; Segments'!$A:$A,0),MATCH("1H"&amp;RIGHT(M$1,2),'HY &amp; Segments'!$3:$3,0))+INDEX('HY &amp; Segments'!$A:$AG,MATCH($A57,'HY &amp; Segments'!$A:$A,0),MATCH("2H"&amp;RIGHT(M$1,2),'HY &amp; Segments'!$3:$3,0))</f>
        <v/>
      </c>
      <c r="N57" s="58">
        <f>INDEX('HY &amp; Segments'!$A:$AG,MATCH($A57,'HY &amp; Segments'!$A:$A,0),MATCH("1H"&amp;RIGHT(N$1,2),'HY &amp; Segments'!$3:$3,0))+INDEX('HY &amp; Segments'!$A:$AG,MATCH($A57,'HY &amp; Segments'!$A:$A,0),MATCH("2H"&amp;RIGHT(N$1,2),'HY &amp; Segments'!$3:$3,0))</f>
        <v/>
      </c>
      <c r="O57" s="58">
        <f>INDEX('HY &amp; Segments'!$A:$AG,MATCH($A57,'HY &amp; Segments'!$A:$A,0),MATCH("1H"&amp;RIGHT(O$1,2),'HY &amp; Segments'!$3:$3,0))+INDEX('HY &amp; Segments'!$A:$AG,MATCH($A57,'HY &amp; Segments'!$A:$A,0),MATCH("2H"&amp;RIGHT(O$1,2),'HY &amp; Segments'!$3:$3,0))</f>
        <v/>
      </c>
      <c r="P57" s="58">
        <f>INDEX('HY &amp; Segments'!$A:$AG,MATCH($A57,'HY &amp; Segments'!$A:$A,0),MATCH("1H"&amp;RIGHT(P$1,2),'HY &amp; Segments'!$3:$3,0))+INDEX('HY &amp; Segments'!$A:$AG,MATCH($A57,'HY &amp; Segments'!$A:$A,0),MATCH("2H"&amp;RIGHT(P$1,2),'HY &amp; Segments'!$3:$3,0))</f>
        <v/>
      </c>
    </row>
    <row r="58">
      <c r="A58" s="34" t="inlineStr">
        <is>
          <t>Int-Total Finance Costs</t>
        </is>
      </c>
      <c r="B58" s="38" t="inlineStr">
        <is>
          <t>Total Finance Costs</t>
        </is>
      </c>
      <c r="C58" s="38" t="inlineStr">
        <is>
          <t>A$m</t>
        </is>
      </c>
      <c r="D58" s="82">
        <f>SUM(D56:D57)</f>
        <v/>
      </c>
      <c r="E58" s="82">
        <f>SUM(E56:E57)</f>
        <v/>
      </c>
      <c r="F58" s="82">
        <f>SUM(F56:F57)</f>
        <v/>
      </c>
      <c r="G58" s="83">
        <f>G56+G57</f>
        <v/>
      </c>
      <c r="H58" s="83">
        <f>H56+H57</f>
        <v/>
      </c>
      <c r="I58" s="83">
        <f>I56+I57</f>
        <v/>
      </c>
      <c r="J58" s="83">
        <f>J56+J57</f>
        <v/>
      </c>
      <c r="K58" s="83">
        <f>K56+K57</f>
        <v/>
      </c>
      <c r="L58" s="83">
        <f>L56+L57</f>
        <v/>
      </c>
      <c r="M58" s="83">
        <f>M56+M57</f>
        <v/>
      </c>
      <c r="N58" s="83">
        <f>N56+N57</f>
        <v/>
      </c>
      <c r="O58" s="83">
        <f>O56+O57</f>
        <v/>
      </c>
      <c r="P58" s="83">
        <f>P56+P57</f>
        <v/>
      </c>
    </row>
    <row r="59">
      <c r="A59" s="34" t="inlineStr">
        <is>
          <t>Int-Net Finance</t>
        </is>
      </c>
      <c r="B59" s="38" t="inlineStr">
        <is>
          <t>Net Finance Income/(Costs)</t>
        </is>
      </c>
      <c r="C59" s="38" t="inlineStr">
        <is>
          <t>A$m</t>
        </is>
      </c>
      <c r="D59" s="82">
        <f>D55+D58</f>
        <v/>
      </c>
      <c r="E59" s="82">
        <f>E55+E58</f>
        <v/>
      </c>
      <c r="F59" s="82">
        <f>F55+F58</f>
        <v/>
      </c>
      <c r="G59" s="83">
        <f>G55+G58</f>
        <v/>
      </c>
      <c r="H59" s="83">
        <f>H55+H58</f>
        <v/>
      </c>
      <c r="I59" s="83">
        <f>I55+I58</f>
        <v/>
      </c>
      <c r="J59" s="83">
        <f>J55+J58</f>
        <v/>
      </c>
      <c r="K59" s="83">
        <f>K55+K58</f>
        <v/>
      </c>
      <c r="L59" s="83">
        <f>L55+L58</f>
        <v/>
      </c>
      <c r="M59" s="83">
        <f>M55+M58</f>
        <v/>
      </c>
      <c r="N59" s="83">
        <f>N55+N58</f>
        <v/>
      </c>
      <c r="O59" s="83">
        <f>O55+O58</f>
        <v/>
      </c>
      <c r="P59" s="83">
        <f>P55+P58</f>
        <v/>
      </c>
    </row>
    <row r="60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</row>
    <row r="61">
      <c r="A61" s="34" t="inlineStr">
        <is>
          <t>PBT-PBT</t>
        </is>
      </c>
      <c r="B61" s="38" t="inlineStr">
        <is>
          <t>PBT</t>
        </is>
      </c>
      <c r="C61" s="38" t="inlineStr">
        <is>
          <t>A$m</t>
        </is>
      </c>
      <c r="D61" s="82">
        <f>D48+D59</f>
        <v/>
      </c>
      <c r="E61" s="82">
        <f>E48+E59</f>
        <v/>
      </c>
      <c r="F61" s="82">
        <f>F48+F59</f>
        <v/>
      </c>
      <c r="G61" s="83">
        <f>G48+G59</f>
        <v/>
      </c>
      <c r="H61" s="83">
        <f>H48+H59</f>
        <v/>
      </c>
      <c r="I61" s="83">
        <f>I48+I59</f>
        <v/>
      </c>
      <c r="J61" s="83">
        <f>J48+J59</f>
        <v/>
      </c>
      <c r="K61" s="83">
        <f>K48+K59</f>
        <v/>
      </c>
      <c r="L61" s="83">
        <f>L48+L59</f>
        <v/>
      </c>
      <c r="M61" s="83">
        <f>M48+M59</f>
        <v/>
      </c>
      <c r="N61" s="83">
        <f>N48+N59</f>
        <v/>
      </c>
      <c r="O61" s="83">
        <f>O48+O59</f>
        <v/>
      </c>
      <c r="P61" s="83">
        <f>P48+P59</f>
        <v/>
      </c>
    </row>
    <row r="62">
      <c r="A62" s="34" t="inlineStr">
        <is>
          <t>Tax-Tax Expense</t>
        </is>
      </c>
      <c r="B62" s="34" t="inlineStr">
        <is>
          <t>Income Tax Expense</t>
        </is>
      </c>
      <c r="C62" s="34" t="inlineStr">
        <is>
          <t>A$m</t>
        </is>
      </c>
      <c r="D62" s="44" t="n">
        <v>-2.423</v>
      </c>
      <c r="E62" s="44" t="n">
        <v>-2.187</v>
      </c>
      <c r="F62" s="44" t="n">
        <v>-14.734</v>
      </c>
      <c r="G62" s="58">
        <f>INDEX('HY &amp; Segments'!$A:$AG,MATCH($A62,'HY &amp; Segments'!$A:$A,0),MATCH("1H"&amp;RIGHT(G$1,2),'HY &amp; Segments'!$3:$3,0))+INDEX('HY &amp; Segments'!$A:$AG,MATCH($A62,'HY &amp; Segments'!$A:$A,0),MATCH("2H"&amp;RIGHT(G$1,2),'HY &amp; Segments'!$3:$3,0))</f>
        <v/>
      </c>
      <c r="H62" s="58">
        <f>INDEX('HY &amp; Segments'!$A:$AG,MATCH($A62,'HY &amp; Segments'!$A:$A,0),MATCH("1H"&amp;RIGHT(H$1,2),'HY &amp; Segments'!$3:$3,0))+INDEX('HY &amp; Segments'!$A:$AG,MATCH($A62,'HY &amp; Segments'!$A:$A,0),MATCH("2H"&amp;RIGHT(H$1,2),'HY &amp; Segments'!$3:$3,0))</f>
        <v/>
      </c>
      <c r="I62" s="58">
        <f>INDEX('HY &amp; Segments'!$A:$AG,MATCH($A62,'HY &amp; Segments'!$A:$A,0),MATCH("1H"&amp;RIGHT(I$1,2),'HY &amp; Segments'!$3:$3,0))+INDEX('HY &amp; Segments'!$A:$AG,MATCH($A62,'HY &amp; Segments'!$A:$A,0),MATCH("2H"&amp;RIGHT(I$1,2),'HY &amp; Segments'!$3:$3,0))</f>
        <v/>
      </c>
      <c r="J62" s="58">
        <f>INDEX('HY &amp; Segments'!$A:$AG,MATCH($A62,'HY &amp; Segments'!$A:$A,0),MATCH("1H"&amp;RIGHT(J$1,2),'HY &amp; Segments'!$3:$3,0))+INDEX('HY &amp; Segments'!$A:$AG,MATCH($A62,'HY &amp; Segments'!$A:$A,0),MATCH("2H"&amp;RIGHT(J$1,2),'HY &amp; Segments'!$3:$3,0))</f>
        <v/>
      </c>
      <c r="K62" s="58">
        <f>INDEX('HY &amp; Segments'!$A:$AG,MATCH($A62,'HY &amp; Segments'!$A:$A,0),MATCH("1H"&amp;RIGHT(K$1,2),'HY &amp; Segments'!$3:$3,0))+INDEX('HY &amp; Segments'!$A:$AG,MATCH($A62,'HY &amp; Segments'!$A:$A,0),MATCH("2H"&amp;RIGHT(K$1,2),'HY &amp; Segments'!$3:$3,0))</f>
        <v/>
      </c>
      <c r="L62" s="58">
        <f>INDEX('HY &amp; Segments'!$A:$AG,MATCH($A62,'HY &amp; Segments'!$A:$A,0),MATCH("1H"&amp;RIGHT(L$1,2),'HY &amp; Segments'!$3:$3,0))+INDEX('HY &amp; Segments'!$A:$AG,MATCH($A62,'HY &amp; Segments'!$A:$A,0),MATCH("2H"&amp;RIGHT(L$1,2),'HY &amp; Segments'!$3:$3,0))</f>
        <v/>
      </c>
      <c r="M62" s="58">
        <f>INDEX('HY &amp; Segments'!$A:$AG,MATCH($A62,'HY &amp; Segments'!$A:$A,0),MATCH("1H"&amp;RIGHT(M$1,2),'HY &amp; Segments'!$3:$3,0))+INDEX('HY &amp; Segments'!$A:$AG,MATCH($A62,'HY &amp; Segments'!$A:$A,0),MATCH("2H"&amp;RIGHT(M$1,2),'HY &amp; Segments'!$3:$3,0))</f>
        <v/>
      </c>
      <c r="N62" s="58">
        <f>INDEX('HY &amp; Segments'!$A:$AG,MATCH($A62,'HY &amp; Segments'!$A:$A,0),MATCH("1H"&amp;RIGHT(N$1,2),'HY &amp; Segments'!$3:$3,0))+INDEX('HY &amp; Segments'!$A:$AG,MATCH($A62,'HY &amp; Segments'!$A:$A,0),MATCH("2H"&amp;RIGHT(N$1,2),'HY &amp; Segments'!$3:$3,0))</f>
        <v/>
      </c>
      <c r="O62" s="58">
        <f>INDEX('HY &amp; Segments'!$A:$AG,MATCH($A62,'HY &amp; Segments'!$A:$A,0),MATCH("1H"&amp;RIGHT(O$1,2),'HY &amp; Segments'!$3:$3,0))+INDEX('HY &amp; Segments'!$A:$AG,MATCH($A62,'HY &amp; Segments'!$A:$A,0),MATCH("2H"&amp;RIGHT(O$1,2),'HY &amp; Segments'!$3:$3,0))</f>
        <v/>
      </c>
      <c r="P62" s="58">
        <f>INDEX('HY &amp; Segments'!$A:$AG,MATCH($A62,'HY &amp; Segments'!$A:$A,0),MATCH("1H"&amp;RIGHT(P$1,2),'HY &amp; Segments'!$3:$3,0))+INDEX('HY &amp; Segments'!$A:$AG,MATCH($A62,'HY &amp; Segments'!$A:$A,0),MATCH("2H"&amp;RIGHT(P$1,2),'HY &amp; Segments'!$3:$3,0))</f>
        <v/>
      </c>
    </row>
    <row r="63">
      <c r="A63" s="34" t="n"/>
      <c r="B63" s="34" t="inlineStr">
        <is>
          <t>Effective Tax Rate</t>
        </is>
      </c>
      <c r="C63" s="34" t="inlineStr">
        <is>
          <t>%</t>
        </is>
      </c>
      <c r="D63" s="46">
        <f>IF(D61=0,"",D62/D61)</f>
        <v/>
      </c>
      <c r="E63" s="46">
        <f>IF(E61=0,"",E62/E61)</f>
        <v/>
      </c>
      <c r="F63" s="46">
        <f>IF(F61=0,"",F62/F61)</f>
        <v/>
      </c>
      <c r="G63" s="60">
        <f>IF(G61=0,"",G62/G61)</f>
        <v/>
      </c>
      <c r="H63" s="60">
        <f>IF(H61=0,"",H62/H61)</f>
        <v/>
      </c>
      <c r="I63" s="60">
        <f>IF(I61=0,"",I62/I61)</f>
        <v/>
      </c>
      <c r="J63" s="60">
        <f>IF(J61=0,"",J62/J61)</f>
        <v/>
      </c>
      <c r="K63" s="60">
        <f>IF(K61=0,"",K62/K61)</f>
        <v/>
      </c>
      <c r="L63" s="60">
        <f>IF(L61=0,"",L62/L61)</f>
        <v/>
      </c>
      <c r="M63" s="60">
        <f>IF(M61=0,"",M62/M61)</f>
        <v/>
      </c>
      <c r="N63" s="60">
        <f>IF(N61=0,"",N62/N61)</f>
        <v/>
      </c>
      <c r="O63" s="60">
        <f>IF(O61=0,"",O62/O61)</f>
        <v/>
      </c>
      <c r="P63" s="60">
        <f>IF(P61=0,"",P62/P61)</f>
        <v/>
      </c>
    </row>
    <row r="64">
      <c r="A64" s="34" t="inlineStr">
        <is>
          <t>NPAT-NPAT</t>
        </is>
      </c>
      <c r="B64" s="38" t="inlineStr">
        <is>
          <t>NPAT</t>
        </is>
      </c>
      <c r="C64" s="38" t="inlineStr">
        <is>
          <t>A$m</t>
        </is>
      </c>
      <c r="D64" s="82">
        <f>D61+D62</f>
        <v/>
      </c>
      <c r="E64" s="82">
        <f>E61+E62</f>
        <v/>
      </c>
      <c r="F64" s="82">
        <f>F61+F62</f>
        <v/>
      </c>
      <c r="G64" s="83">
        <f>G61+G62</f>
        <v/>
      </c>
      <c r="H64" s="83">
        <f>H61+H62</f>
        <v/>
      </c>
      <c r="I64" s="83">
        <f>I61+I62</f>
        <v/>
      </c>
      <c r="J64" s="83">
        <f>J61+J62</f>
        <v/>
      </c>
      <c r="K64" s="83">
        <f>K61+K62</f>
        <v/>
      </c>
      <c r="L64" s="83">
        <f>L61+L62</f>
        <v/>
      </c>
      <c r="M64" s="83">
        <f>M61+M62</f>
        <v/>
      </c>
      <c r="N64" s="83">
        <f>N61+N62</f>
        <v/>
      </c>
      <c r="O64" s="83">
        <f>O61+O62</f>
        <v/>
      </c>
      <c r="P64" s="83">
        <f>P61+P62</f>
        <v/>
      </c>
    </row>
    <row r="65">
      <c r="A65" s="34" t="n"/>
      <c r="B65" s="34" t="inlineStr">
        <is>
          <t>NPAT Margin</t>
        </is>
      </c>
      <c r="C65" s="34" t="inlineStr">
        <is>
          <t>%</t>
        </is>
      </c>
      <c r="D65" s="46">
        <f>IF(D21=0,"",D64/D21)</f>
        <v/>
      </c>
      <c r="E65" s="46">
        <f>IF(E21=0,"",E64/E21)</f>
        <v/>
      </c>
      <c r="F65" s="46">
        <f>IF(F21=0,"",F64/F21)</f>
        <v/>
      </c>
      <c r="G65" s="60">
        <f>IF(G21=0,"",G64/G21)</f>
        <v/>
      </c>
      <c r="H65" s="60">
        <f>IF(H21=0,"",H64/H21)</f>
        <v/>
      </c>
      <c r="I65" s="60">
        <f>IF(I21=0,"",I64/I21)</f>
        <v/>
      </c>
      <c r="J65" s="60">
        <f>IF(J21=0,"",J64/J21)</f>
        <v/>
      </c>
      <c r="K65" s="60">
        <f>IF(K21=0,"",K64/K21)</f>
        <v/>
      </c>
      <c r="L65" s="60">
        <f>IF(L21=0,"",L64/L21)</f>
        <v/>
      </c>
      <c r="M65" s="60">
        <f>IF(M21=0,"",M64/M21)</f>
        <v/>
      </c>
      <c r="N65" s="60">
        <f>IF(N21=0,"",N64/N21)</f>
        <v/>
      </c>
      <c r="O65" s="60">
        <f>IF(O21=0,"",O64/O21)</f>
        <v/>
      </c>
      <c r="P65" s="60">
        <f>IF(P21=0,"",P64/P21)</f>
        <v/>
      </c>
    </row>
    <row r="66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</row>
    <row r="67"/>
    <row r="68">
      <c r="B68" s="5" t="inlineStr">
        <is>
          <t>EPS &amp; Dividends</t>
        </is>
      </c>
    </row>
    <row r="69">
      <c r="A69" t="inlineStr">
        <is>
          <t>EPS-YE Shares</t>
        </is>
      </c>
      <c r="B69" t="inlineStr">
        <is>
          <t>YE Basic Shares Outstanding</t>
        </is>
      </c>
      <c r="C69" t="inlineStr">
        <is>
          <t>m</t>
        </is>
      </c>
      <c r="D69" s="47" t="n">
        <v>84.916</v>
      </c>
      <c r="E69" s="47" t="n">
        <v>101.353</v>
      </c>
      <c r="F69" s="47" t="n">
        <v>101.655</v>
      </c>
      <c r="G69" s="61">
        <f>F69</f>
        <v/>
      </c>
      <c r="H69" s="61">
        <f>G69</f>
        <v/>
      </c>
      <c r="I69" s="61">
        <f>H69</f>
        <v/>
      </c>
      <c r="J69" s="61">
        <f>I69</f>
        <v/>
      </c>
      <c r="K69" s="61">
        <f>J69</f>
        <v/>
      </c>
      <c r="L69" s="61">
        <f>K69</f>
        <v/>
      </c>
      <c r="M69" s="61">
        <f>L69</f>
        <v/>
      </c>
      <c r="N69" s="61">
        <f>M69</f>
        <v/>
      </c>
      <c r="O69" s="61">
        <f>N69</f>
        <v/>
      </c>
      <c r="P69" s="61">
        <f>O69</f>
        <v/>
      </c>
    </row>
    <row r="70">
      <c r="A70" t="inlineStr">
        <is>
          <t>EPS-WASO Basic</t>
        </is>
      </c>
      <c r="B70" t="inlineStr">
        <is>
          <t>WASO Basic</t>
        </is>
      </c>
      <c r="C70" t="inlineStr">
        <is>
          <t>m</t>
        </is>
      </c>
      <c r="D70" s="47" t="n">
        <v>83.992</v>
      </c>
      <c r="E70" s="47" t="n">
        <v>85.568</v>
      </c>
      <c r="F70" s="47" t="n">
        <v>101.51</v>
      </c>
      <c r="G70" s="62">
        <f>AVERAGE(F69,G69)</f>
        <v/>
      </c>
      <c r="H70" s="62">
        <f>AVERAGE(G69,H69)</f>
        <v/>
      </c>
      <c r="I70" s="62">
        <f>AVERAGE(H69,I69)</f>
        <v/>
      </c>
      <c r="J70" s="62">
        <f>AVERAGE(I69,J69)</f>
        <v/>
      </c>
      <c r="K70" s="62">
        <f>AVERAGE(J69,K69)</f>
        <v/>
      </c>
      <c r="L70" s="62">
        <f>AVERAGE(K69,L69)</f>
        <v/>
      </c>
      <c r="M70" s="62">
        <f>AVERAGE(L69,M69)</f>
        <v/>
      </c>
      <c r="N70" s="62">
        <f>AVERAGE(M69,N69)</f>
        <v/>
      </c>
      <c r="O70" s="62">
        <f>AVERAGE(N69,O69)</f>
        <v/>
      </c>
      <c r="P70" s="62">
        <f>AVERAGE(O69,P69)</f>
        <v/>
      </c>
    </row>
    <row r="71">
      <c r="A71" t="inlineStr">
        <is>
          <t>EPS-Dilution</t>
        </is>
      </c>
      <c r="B71" s="8" t="inlineStr">
        <is>
          <t>Dilution</t>
        </is>
      </c>
      <c r="C71" t="inlineStr">
        <is>
          <t>m</t>
        </is>
      </c>
      <c r="D71" s="84" t="n">
        <v>0</v>
      </c>
      <c r="E71" s="84" t="n">
        <v>0</v>
      </c>
      <c r="F71" s="84" t="n">
        <v>4.395</v>
      </c>
      <c r="G71" s="85">
        <f>F71</f>
        <v/>
      </c>
      <c r="H71" s="85">
        <f>G71</f>
        <v/>
      </c>
      <c r="I71" s="85">
        <f>H71</f>
        <v/>
      </c>
      <c r="J71" s="85">
        <f>I71</f>
        <v/>
      </c>
      <c r="K71" s="85">
        <f>J71</f>
        <v/>
      </c>
      <c r="L71" s="85">
        <f>K71</f>
        <v/>
      </c>
      <c r="M71" s="85">
        <f>L71</f>
        <v/>
      </c>
      <c r="N71" s="85">
        <f>M71</f>
        <v/>
      </c>
      <c r="O71" s="85">
        <f>N71</f>
        <v/>
      </c>
      <c r="P71" s="85">
        <f>O71</f>
        <v/>
      </c>
    </row>
    <row r="72">
      <c r="A72" t="inlineStr">
        <is>
          <t>EPS-WASO Diluted</t>
        </is>
      </c>
      <c r="B72" t="inlineStr">
        <is>
          <t>WASO Diluted</t>
        </is>
      </c>
      <c r="C72" t="inlineStr">
        <is>
          <t>m</t>
        </is>
      </c>
      <c r="D72" s="47" t="n">
        <v>83.992</v>
      </c>
      <c r="E72" s="47" t="n">
        <v>85.568</v>
      </c>
      <c r="F72" s="47" t="n">
        <v>105.905</v>
      </c>
      <c r="G72" s="62">
        <f>G70+G71</f>
        <v/>
      </c>
      <c r="H72" s="62">
        <f>H70+H71</f>
        <v/>
      </c>
      <c r="I72" s="62">
        <f>I70+I71</f>
        <v/>
      </c>
      <c r="J72" s="62">
        <f>J70+J71</f>
        <v/>
      </c>
      <c r="K72" s="62">
        <f>K70+K71</f>
        <v/>
      </c>
      <c r="L72" s="62">
        <f>L70+L71</f>
        <v/>
      </c>
      <c r="M72" s="62">
        <f>M70+M71</f>
        <v/>
      </c>
      <c r="N72" s="62">
        <f>N70+N71</f>
        <v/>
      </c>
      <c r="O72" s="62">
        <f>O70+O71</f>
        <v/>
      </c>
      <c r="P72" s="62">
        <f>P70+P71</f>
        <v/>
      </c>
    </row>
    <row r="73"/>
    <row r="74">
      <c r="A74" t="inlineStr">
        <is>
          <t>EPS-Basic EPS</t>
        </is>
      </c>
      <c r="B74" s="19" t="inlineStr">
        <is>
          <t>Basic EPS</t>
        </is>
      </c>
      <c r="C74" s="19" t="inlineStr">
        <is>
          <t>cps</t>
        </is>
      </c>
      <c r="D74" s="86">
        <f>IF(D70=0,"",D64/D70*100)</f>
        <v/>
      </c>
      <c r="E74" s="86">
        <f>IF(E70=0,"",E64/E70*100)</f>
        <v/>
      </c>
      <c r="F74" s="86">
        <f>IF(F70=0,"",F64/F70*100)</f>
        <v/>
      </c>
      <c r="G74" s="87">
        <f>IF(G70=0,"",G64/G70*100)</f>
        <v/>
      </c>
      <c r="H74" s="87">
        <f>IF(H70=0,"",H64/H70*100)</f>
        <v/>
      </c>
      <c r="I74" s="87">
        <f>IF(I70=0,"",I64/I70*100)</f>
        <v/>
      </c>
      <c r="J74" s="87">
        <f>IF(J70=0,"",J64/J70*100)</f>
        <v/>
      </c>
      <c r="K74" s="87">
        <f>IF(K70=0,"",K64/K70*100)</f>
        <v/>
      </c>
      <c r="L74" s="87">
        <f>IF(L70=0,"",L64/L70*100)</f>
        <v/>
      </c>
      <c r="M74" s="87">
        <f>IF(M70=0,"",M64/M70*100)</f>
        <v/>
      </c>
      <c r="N74" s="87">
        <f>IF(N70=0,"",N64/N70*100)</f>
        <v/>
      </c>
      <c r="O74" s="87">
        <f>IF(O70=0,"",O64/O70*100)</f>
        <v/>
      </c>
      <c r="P74" s="87">
        <f>IF(P70=0,"",P64/P70*100)</f>
        <v/>
      </c>
    </row>
    <row r="75">
      <c r="A75" t="inlineStr">
        <is>
          <t>EPS-Diluted EPS</t>
        </is>
      </c>
      <c r="B75" s="8" t="inlineStr">
        <is>
          <t>Diluted EPS</t>
        </is>
      </c>
      <c r="C75" t="inlineStr">
        <is>
          <t>cps</t>
        </is>
      </c>
      <c r="D75" s="86">
        <f>IF(D72=0,"",D64/D72*100)</f>
        <v/>
      </c>
      <c r="E75" s="86">
        <f>IF(E72=0,"",E64/E72*100)</f>
        <v/>
      </c>
      <c r="F75" s="86">
        <f>IF(F72=0,"",F64/F72*100)</f>
        <v/>
      </c>
      <c r="G75" s="87">
        <f>IF(G72=0,"",G64/G72*100)</f>
        <v/>
      </c>
      <c r="H75" s="87">
        <f>IF(H72=0,"",H64/H72*100)</f>
        <v/>
      </c>
      <c r="I75" s="87">
        <f>IF(I72=0,"",I64/I72*100)</f>
        <v/>
      </c>
      <c r="J75" s="87">
        <f>IF(J72=0,"",J64/J72*100)</f>
        <v/>
      </c>
      <c r="K75" s="87">
        <f>IF(K72=0,"",K64/K72*100)</f>
        <v/>
      </c>
      <c r="L75" s="87">
        <f>IF(L72=0,"",L64/L72*100)</f>
        <v/>
      </c>
      <c r="M75" s="87">
        <f>IF(M72=0,"",M64/M72*100)</f>
        <v/>
      </c>
      <c r="N75" s="87">
        <f>IF(N72=0,"",N64/N72*100)</f>
        <v/>
      </c>
      <c r="O75" s="87">
        <f>IF(O72=0,"",O64/O72*100)</f>
        <v/>
      </c>
      <c r="P75" s="87">
        <f>IF(P72=0,"",P64/P72*100)</f>
        <v/>
      </c>
    </row>
    <row r="76">
      <c r="B76" t="inlineStr">
        <is>
          <t>EPS Growth</t>
        </is>
      </c>
      <c r="C76" t="inlineStr">
        <is>
          <t>% YoY</t>
        </is>
      </c>
      <c r="D76" s="6" t="n"/>
      <c r="E76" s="50">
        <f>IF(D74=0,"",E74/D74-1)</f>
        <v/>
      </c>
      <c r="F76" s="50">
        <f>IF(E74=0,"",F74/E74-1)</f>
        <v/>
      </c>
      <c r="G76" s="65">
        <f>IF(F74=0,"",G74/F74-1)</f>
        <v/>
      </c>
      <c r="H76" s="65">
        <f>IF(G74=0,"",H74/G74-1)</f>
        <v/>
      </c>
      <c r="I76" s="65">
        <f>IF(H74=0,"",I74/H74-1)</f>
        <v/>
      </c>
      <c r="J76" s="65">
        <f>IF(I74=0,"",J74/I74-1)</f>
        <v/>
      </c>
      <c r="K76" s="65">
        <f>IF(J74=0,"",K74/J74-1)</f>
        <v/>
      </c>
      <c r="L76" s="65">
        <f>IF(K74=0,"",L74/K74-1)</f>
        <v/>
      </c>
      <c r="M76" s="65">
        <f>IF(L74=0,"",M74/L74-1)</f>
        <v/>
      </c>
      <c r="N76" s="65">
        <f>IF(M74=0,"",N74/M74-1)</f>
        <v/>
      </c>
      <c r="O76" s="65">
        <f>IF(N74=0,"",O74/N74-1)</f>
        <v/>
      </c>
      <c r="P76" s="65">
        <f>IF(O74=0,"",P74/O74-1)</f>
        <v/>
      </c>
    </row>
    <row r="77"/>
    <row r="78">
      <c r="A78" t="inlineStr">
        <is>
          <t>Div-DPS</t>
        </is>
      </c>
      <c r="B78" t="inlineStr">
        <is>
          <t>DPS</t>
        </is>
      </c>
      <c r="C78" t="inlineStr">
        <is>
          <t>cps</t>
        </is>
      </c>
      <c r="D78" s="49" t="n">
        <v>0</v>
      </c>
      <c r="E78" s="49" t="n">
        <v>0</v>
      </c>
      <c r="F78" s="49" t="n">
        <v>12.6</v>
      </c>
      <c r="G78" s="64">
        <f>IF(G74&lt;=0,0,G80*G74)</f>
        <v/>
      </c>
      <c r="H78" s="64">
        <f>IF(H74&lt;=0,0,H80*H74)</f>
        <v/>
      </c>
      <c r="I78" s="64">
        <f>IF(I74&lt;=0,0,I80*I74)</f>
        <v/>
      </c>
      <c r="J78" s="64">
        <f>IF(J74&lt;=0,0,J80*J74)</f>
        <v/>
      </c>
      <c r="K78" s="64">
        <f>IF(K74&lt;=0,0,K80*K74)</f>
        <v/>
      </c>
      <c r="L78" s="64">
        <f>IF(L74&lt;=0,0,L80*L74)</f>
        <v/>
      </c>
      <c r="M78" s="64">
        <f>IF(M74&lt;=0,0,M80*M74)</f>
        <v/>
      </c>
      <c r="N78" s="64">
        <f>IF(N74&lt;=0,0,N80*N74)</f>
        <v/>
      </c>
      <c r="O78" s="64">
        <f>IF(O74&lt;=0,0,O80*O74)</f>
        <v/>
      </c>
      <c r="P78" s="64">
        <f>IF(P74&lt;=0,0,P80*P74)</f>
        <v/>
      </c>
    </row>
    <row r="79">
      <c r="A79" t="inlineStr">
        <is>
          <t>Div-Total Dividends</t>
        </is>
      </c>
      <c r="B79" s="8" t="inlineStr">
        <is>
          <t>Total Dividends</t>
        </is>
      </c>
      <c r="C79" t="inlineStr">
        <is>
          <t>A$m</t>
        </is>
      </c>
      <c r="D79" s="82">
        <f>D78*D70/100</f>
        <v/>
      </c>
      <c r="E79" s="82">
        <f>E78*E70/100</f>
        <v/>
      </c>
      <c r="F79" s="82">
        <f>F78*F70/100</f>
        <v/>
      </c>
      <c r="G79" s="83">
        <f>G78*G70/100</f>
        <v/>
      </c>
      <c r="H79" s="83">
        <f>H78*H70/100</f>
        <v/>
      </c>
      <c r="I79" s="83">
        <f>I78*I70/100</f>
        <v/>
      </c>
      <c r="J79" s="83">
        <f>J78*J70/100</f>
        <v/>
      </c>
      <c r="K79" s="83">
        <f>K78*K70/100</f>
        <v/>
      </c>
      <c r="L79" s="83">
        <f>L78*L70/100</f>
        <v/>
      </c>
      <c r="M79" s="83">
        <f>M78*M70/100</f>
        <v/>
      </c>
      <c r="N79" s="83">
        <f>N78*N70/100</f>
        <v/>
      </c>
      <c r="O79" s="83">
        <f>O78*O70/100</f>
        <v/>
      </c>
      <c r="P79" s="83">
        <f>P78*P70/100</f>
        <v/>
      </c>
    </row>
    <row r="80">
      <c r="B80" s="20" t="inlineStr">
        <is>
          <t>Payout Ratio</t>
        </is>
      </c>
      <c r="C80" t="inlineStr">
        <is>
          <t>%</t>
        </is>
      </c>
      <c r="D80" s="50">
        <f>IF(D74=0,"",D78/D74)</f>
        <v/>
      </c>
      <c r="E80" s="50">
        <f>IF(E74=0,"",E78/E74)</f>
        <v/>
      </c>
      <c r="F80" s="50">
        <f>IF(F74=0,"",F78/F74)</f>
        <v/>
      </c>
      <c r="G80" s="67">
        <f>F80</f>
        <v/>
      </c>
      <c r="H80" s="67">
        <f>G80</f>
        <v/>
      </c>
      <c r="I80" s="67">
        <f>H80</f>
        <v/>
      </c>
      <c r="J80" s="67">
        <f>I80</f>
        <v/>
      </c>
      <c r="K80" s="67">
        <f>J80</f>
        <v/>
      </c>
      <c r="L80" s="67">
        <f>K80</f>
        <v/>
      </c>
      <c r="M80" s="67">
        <f>L80</f>
        <v/>
      </c>
      <c r="N80" s="67">
        <f>M80</f>
        <v/>
      </c>
      <c r="O80" s="67">
        <f>N80</f>
        <v/>
      </c>
      <c r="P80" s="67">
        <f>O80</f>
        <v/>
      </c>
    </row>
    <row r="81">
      <c r="B81" t="inlineStr">
        <is>
          <t>Dividend Yield</t>
        </is>
      </c>
      <c r="C81" t="inlineStr">
        <is>
          <t>%</t>
        </is>
      </c>
      <c r="D81" s="50">
        <f>IF(Value!$C$4=0,"",D78/Value!$C$4/100)</f>
        <v/>
      </c>
      <c r="E81" s="50">
        <f>IF(Value!$C$4=0,"",E78/Value!$C$4/100)</f>
        <v/>
      </c>
      <c r="F81" s="50">
        <f>IF(Value!$C$4=0,"",F78/Value!$C$4/100)</f>
        <v/>
      </c>
      <c r="G81" s="65">
        <f>IF(Value!$C$4=0,"",G78/Value!$C$4/100)</f>
        <v/>
      </c>
      <c r="H81" s="65">
        <f>IF(Value!$C$4=0,"",H78/Value!$C$4/100)</f>
        <v/>
      </c>
      <c r="I81" s="65">
        <f>IF(Value!$C$4=0,"",I78/Value!$C$4/100)</f>
        <v/>
      </c>
      <c r="J81" s="65">
        <f>IF(Value!$C$4=0,"",J78/Value!$C$4/100)</f>
        <v/>
      </c>
      <c r="K81" s="65">
        <f>IF(Value!$C$4=0,"",K78/Value!$C$4/100)</f>
        <v/>
      </c>
      <c r="L81" s="65">
        <f>IF(Value!$C$4=0,"",L78/Value!$C$4/100)</f>
        <v/>
      </c>
      <c r="M81" s="65">
        <f>IF(Value!$C$4=0,"",M78/Value!$C$4/100)</f>
        <v/>
      </c>
      <c r="N81" s="65">
        <f>IF(Value!$C$4=0,"",N78/Value!$C$4/100)</f>
        <v/>
      </c>
      <c r="O81" s="65">
        <f>IF(Value!$C$4=0,"",O78/Value!$C$4/100)</f>
        <v/>
      </c>
      <c r="P81" s="65">
        <f>IF(Value!$C$4=0,"",P78/Value!$C$4/100)</f>
        <v/>
      </c>
    </row>
    <row r="82">
      <c r="B82" t="inlineStr">
        <is>
          <t>Dividend Growth</t>
        </is>
      </c>
      <c r="C82" t="inlineStr">
        <is>
          <t>% YoY</t>
        </is>
      </c>
      <c r="D82" s="6" t="n"/>
      <c r="E82" s="50">
        <f>IF(D78=0,"",E78/D78-1)</f>
        <v/>
      </c>
      <c r="F82" s="50">
        <f>IF(E78=0,"",F78/E78-1)</f>
        <v/>
      </c>
      <c r="G82" s="65">
        <f>IF(F78=0,"",G78/F78-1)</f>
        <v/>
      </c>
      <c r="H82" s="65">
        <f>IF(G78=0,"",H78/G78-1)</f>
        <v/>
      </c>
      <c r="I82" s="65">
        <f>IF(H78=0,"",I78/H78-1)</f>
        <v/>
      </c>
      <c r="J82" s="65">
        <f>IF(I78=0,"",J78/I78-1)</f>
        <v/>
      </c>
      <c r="K82" s="65">
        <f>IF(J78=0,"",K78/J78-1)</f>
        <v/>
      </c>
      <c r="L82" s="65">
        <f>IF(K78=0,"",L78/K78-1)</f>
        <v/>
      </c>
      <c r="M82" s="65">
        <f>IF(L78=0,"",M78/L78-1)</f>
        <v/>
      </c>
      <c r="N82" s="65">
        <f>IF(M78=0,"",N78/M78-1)</f>
        <v/>
      </c>
      <c r="O82" s="65">
        <f>IF(N78=0,"",O78/N78-1)</f>
        <v/>
      </c>
      <c r="P82" s="65">
        <f>IF(O78=0,"",P78/O78-1)</f>
        <v/>
      </c>
    </row>
    <row r="83"/>
    <row r="84">
      <c r="A84" s="88" t="n"/>
      <c r="B84" s="41" t="inlineStr">
        <is>
          <t>Operating Metrics</t>
        </is>
      </c>
      <c r="C84" s="88" t="n"/>
      <c r="D84" s="88" t="n"/>
      <c r="E84" s="88" t="n"/>
      <c r="F84" s="88" t="n"/>
      <c r="G84" s="88" t="n"/>
      <c r="H84" s="88" t="n"/>
      <c r="I84" s="88" t="n"/>
      <c r="J84" s="88" t="n"/>
      <c r="K84" s="88" t="n"/>
      <c r="L84" s="88" t="n"/>
      <c r="M84" s="88" t="n"/>
      <c r="N84" s="88" t="n"/>
      <c r="O84" s="88" t="n"/>
      <c r="P84" s="88" t="n"/>
    </row>
    <row r="85">
      <c r="A85" s="34" t="inlineStr">
        <is>
          <t>KPI-Corp Restaurants Aus</t>
        </is>
      </c>
      <c r="B85" s="34" t="inlineStr">
        <is>
          <t>Corporate Restaurants - Australia</t>
        </is>
      </c>
      <c r="C85" s="34" t="inlineStr">
        <is>
          <t>#</t>
        </is>
      </c>
      <c r="D85" s="52" t="n">
        <v>55</v>
      </c>
      <c r="E85" s="52" t="n">
        <v>64</v>
      </c>
      <c r="F85" s="52" t="n">
        <v>81</v>
      </c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</row>
    <row r="86">
      <c r="A86" s="34" t="inlineStr">
        <is>
          <t>KPI-Franchise Restaurants Aus</t>
        </is>
      </c>
      <c r="B86" s="34" t="inlineStr">
        <is>
          <t>Franchise Restaurants - Australia</t>
        </is>
      </c>
      <c r="C86" s="34" t="inlineStr">
        <is>
          <t>#</t>
        </is>
      </c>
      <c r="D86" s="52" t="n">
        <v>116</v>
      </c>
      <c r="E86" s="52" t="n">
        <v>130</v>
      </c>
      <c r="F86" s="52" t="n">
        <v>143</v>
      </c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</row>
    <row r="87">
      <c r="A87" s="34" t="inlineStr">
        <is>
          <t>KPI-Franchise Restaurants Asia</t>
        </is>
      </c>
      <c r="B87" s="34" t="inlineStr">
        <is>
          <t>Franchise Restaurants - Asia</t>
        </is>
      </c>
      <c r="C87" s="34" t="inlineStr">
        <is>
          <t>#</t>
        </is>
      </c>
      <c r="D87" s="52" t="n">
        <v>20</v>
      </c>
      <c r="E87" s="52" t="n">
        <v>22</v>
      </c>
      <c r="F87" s="52" t="n">
        <v>26</v>
      </c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</row>
    <row r="88">
      <c r="A88" s="34" t="inlineStr">
        <is>
          <t>KPI-US Restaurants</t>
        </is>
      </c>
      <c r="B88" s="34" t="inlineStr">
        <is>
          <t>US Restaurants</t>
        </is>
      </c>
      <c r="C88" s="34" t="inlineStr">
        <is>
          <t>#</t>
        </is>
      </c>
      <c r="D88" s="52" t="n">
        <v>3</v>
      </c>
      <c r="E88" s="52" t="n">
        <v>4</v>
      </c>
      <c r="F88" s="52" t="n">
        <v>6</v>
      </c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</row>
    <row r="89">
      <c r="A89" s="34" t="inlineStr">
        <is>
          <t>KPI-Total Restaurants</t>
        </is>
      </c>
      <c r="B89" s="38" t="inlineStr">
        <is>
          <t>Total Global Restaurants</t>
        </is>
      </c>
      <c r="C89" s="38" t="inlineStr">
        <is>
          <t>#</t>
        </is>
      </c>
      <c r="D89" s="89" t="n">
        <v>194</v>
      </c>
      <c r="E89" s="89" t="n">
        <v>220</v>
      </c>
      <c r="F89" s="89" t="n">
        <v>256</v>
      </c>
      <c r="G89" s="90" t="n"/>
      <c r="H89" s="90" t="n"/>
      <c r="I89" s="90" t="n"/>
      <c r="J89" s="90" t="n"/>
      <c r="K89" s="90" t="n"/>
      <c r="L89" s="90" t="n"/>
      <c r="M89" s="90" t="n"/>
      <c r="N89" s="90" t="n"/>
      <c r="O89" s="90" t="n"/>
      <c r="P89" s="90" t="n"/>
    </row>
    <row r="90">
      <c r="A90" s="34" t="inlineStr">
        <is>
          <t>KPI-Aus Network Sales</t>
        </is>
      </c>
      <c r="B90" s="34" t="inlineStr">
        <is>
          <t>Australia Network Sales</t>
        </is>
      </c>
      <c r="C90" s="34" t="inlineStr">
        <is>
          <t>A$m</t>
        </is>
      </c>
      <c r="D90" s="54" t="n">
        <v>753</v>
      </c>
      <c r="E90" s="54" t="n">
        <v>948.9</v>
      </c>
      <c r="F90" s="54" t="n">
        <v>1168.5</v>
      </c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</row>
    <row r="91">
      <c r="A91" s="34" t="inlineStr">
        <is>
          <t>KPI-Total Network Sales</t>
        </is>
      </c>
      <c r="B91" s="34" t="inlineStr">
        <is>
          <t>Global Network Sales</t>
        </is>
      </c>
      <c r="C91" s="34" t="inlineStr">
        <is>
          <t>A$m</t>
        </is>
      </c>
      <c r="D91" s="54" t="n">
        <v>759</v>
      </c>
      <c r="E91" s="54" t="n">
        <v>959.7</v>
      </c>
      <c r="F91" s="54" t="n">
        <v>1180.7</v>
      </c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</row>
    <row r="92">
      <c r="A92" s="34" t="inlineStr">
        <is>
          <t>KPI-Comp Sales Growth</t>
        </is>
      </c>
      <c r="B92" s="34" t="inlineStr">
        <is>
          <t>Comp Sales Growth (Australia)</t>
        </is>
      </c>
      <c r="C92" s="34" t="inlineStr">
        <is>
          <t>%</t>
        </is>
      </c>
      <c r="D92" s="46" t="n">
        <v>0.15</v>
      </c>
      <c r="E92" s="46" t="n">
        <v>0.081</v>
      </c>
      <c r="F92" s="46" t="n">
        <v>0.096</v>
      </c>
      <c r="G92" s="40" t="n"/>
      <c r="H92" s="40" t="n"/>
      <c r="I92" s="40" t="n"/>
      <c r="J92" s="40" t="n"/>
      <c r="K92" s="40" t="n"/>
      <c r="L92" s="40" t="n"/>
      <c r="M92" s="40" t="n"/>
      <c r="N92" s="40" t="n"/>
      <c r="O92" s="40" t="n"/>
      <c r="P92" s="40" t="n"/>
    </row>
    <row r="93">
      <c r="A93" s="34" t="inlineStr">
        <is>
          <t>KPI-DT AUV</t>
        </is>
      </c>
      <c r="B93" s="34" t="inlineStr">
        <is>
          <t>Drive Thru AUV (annualised)</t>
        </is>
      </c>
      <c r="C93" s="34" t="inlineStr">
        <is>
          <t>A$m</t>
        </is>
      </c>
      <c r="D93" s="54" t="n">
        <v>5.7</v>
      </c>
      <c r="E93" s="54" t="n">
        <v>6.2</v>
      </c>
      <c r="F93" s="54" t="n">
        <v>6.7</v>
      </c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</row>
    <row r="94">
      <c r="A94" s="34" t="inlineStr">
        <is>
          <t>KPI-Strip AUV</t>
        </is>
      </c>
      <c r="B94" s="34" t="inlineStr">
        <is>
          <t>Strip AUV (annualised)</t>
        </is>
      </c>
      <c r="C94" s="34" t="inlineStr">
        <is>
          <t>A$m</t>
        </is>
      </c>
      <c r="D94" s="54" t="n">
        <v>4.5</v>
      </c>
      <c r="E94" s="54" t="n">
        <v>4.6</v>
      </c>
      <c r="F94" s="54" t="n">
        <v>5</v>
      </c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</row>
    <row r="95">
      <c r="A95" s="34" t="inlineStr">
        <is>
          <t>KPI-DT Network Margin</t>
        </is>
      </c>
      <c r="B95" s="34" t="inlineStr">
        <is>
          <t>DT Network Restaurant Margin</t>
        </is>
      </c>
      <c r="C95" s="34" t="inlineStr">
        <is>
          <t>%</t>
        </is>
      </c>
      <c r="D95" s="40" t="n"/>
      <c r="E95" s="46" t="n">
        <v>0.212</v>
      </c>
      <c r="F95" s="46" t="n">
        <v>0.215</v>
      </c>
      <c r="G95" s="40" t="n"/>
      <c r="H95" s="40" t="n"/>
      <c r="I95" s="40" t="n"/>
      <c r="J95" s="40" t="n"/>
      <c r="K95" s="40" t="n"/>
      <c r="L95" s="40" t="n"/>
      <c r="M95" s="40" t="n"/>
      <c r="N95" s="40" t="n"/>
      <c r="O95" s="40" t="n"/>
      <c r="P95" s="40" t="n"/>
    </row>
    <row r="96">
      <c r="A96" s="34" t="inlineStr">
        <is>
          <t>KPI-Strip Network Margin</t>
        </is>
      </c>
      <c r="B96" s="34" t="inlineStr">
        <is>
          <t>Strip Network Restaurant Margin</t>
        </is>
      </c>
      <c r="C96" s="34" t="inlineStr">
        <is>
          <t>%</t>
        </is>
      </c>
      <c r="D96" s="40" t="n"/>
      <c r="E96" s="46" t="n">
        <v>0.194</v>
      </c>
      <c r="F96" s="46" t="n">
        <v>0.184</v>
      </c>
      <c r="G96" s="40" t="n"/>
      <c r="H96" s="40" t="n"/>
      <c r="I96" s="40" t="n"/>
      <c r="J96" s="40" t="n"/>
      <c r="K96" s="40" t="n"/>
      <c r="L96" s="40" t="n"/>
      <c r="M96" s="40" t="n"/>
      <c r="N96" s="40" t="n"/>
      <c r="O96" s="40" t="n"/>
      <c r="P96" s="40" t="n"/>
    </row>
    <row r="97">
      <c r="A97" s="34" t="inlineStr">
        <is>
          <t>KPI-Breakfast Mix</t>
        </is>
      </c>
      <c r="B97" s="34" t="inlineStr">
        <is>
          <t>Breakfast % of Network Sales</t>
        </is>
      </c>
      <c r="C97" s="34" t="inlineStr">
        <is>
          <t>%</t>
        </is>
      </c>
      <c r="D97" s="46" t="n">
        <v>0.053</v>
      </c>
      <c r="E97" s="46" t="n">
        <v>0.06</v>
      </c>
      <c r="F97" s="46" t="n">
        <v>0.067</v>
      </c>
      <c r="G97" s="40" t="n"/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</row>
    <row r="98">
      <c r="A98" s="34" t="inlineStr">
        <is>
          <t>KPI-After 9pm Mix</t>
        </is>
      </c>
      <c r="B98" s="34" t="inlineStr">
        <is>
          <t>After 9pm % of Network Sales</t>
        </is>
      </c>
      <c r="C98" s="34" t="inlineStr">
        <is>
          <t>%</t>
        </is>
      </c>
      <c r="D98" s="46" t="n">
        <v>0.077</v>
      </c>
      <c r="E98" s="46" t="n">
        <v>0.083</v>
      </c>
      <c r="F98" s="46" t="n">
        <v>0.095</v>
      </c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</row>
    <row r="99">
      <c r="A99" s="34" t="inlineStr">
        <is>
          <t>KPI-Delivery Mix</t>
        </is>
      </c>
      <c r="B99" s="34" t="inlineStr">
        <is>
          <t>Delivery % of Network Sales</t>
        </is>
      </c>
      <c r="C99" s="34" t="inlineStr">
        <is>
          <t>%</t>
        </is>
      </c>
      <c r="D99" s="40" t="n"/>
      <c r="E99" s="46" t="n">
        <v>0.243</v>
      </c>
      <c r="F99" s="46" t="n">
        <v>0.266</v>
      </c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</row>
    <row r="100">
      <c r="A100" s="34" t="inlineStr">
        <is>
          <t>KPI-Owned Digital Mix</t>
        </is>
      </c>
      <c r="B100" s="34" t="inlineStr">
        <is>
          <t>Owned Digital % of Network Sales</t>
        </is>
      </c>
      <c r="C100" s="34" t="inlineStr">
        <is>
          <t>%</t>
        </is>
      </c>
      <c r="D100" s="46" t="n">
        <v>0.158</v>
      </c>
      <c r="E100" s="46" t="n">
        <v>0.174</v>
      </c>
      <c r="F100" s="46" t="n">
        <v>0.195</v>
      </c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</row>
    <row r="101">
      <c r="A101" s="34" t="inlineStr">
        <is>
          <t>KPI-24/7 Restaurants</t>
        </is>
      </c>
      <c r="B101" s="34" t="inlineStr">
        <is>
          <t>24/7 Trading Restaurants</t>
        </is>
      </c>
      <c r="C101" s="34" t="inlineStr">
        <is>
          <t>#</t>
        </is>
      </c>
      <c r="D101" s="42" t="n"/>
      <c r="E101" s="42" t="n"/>
      <c r="F101" s="52" t="n">
        <v>18</v>
      </c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</row>
    <row r="102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</row>
    <row r="103">
      <c r="A103" s="91" t="n"/>
      <c r="B103" s="92" t="inlineStr">
        <is>
          <t>Balance Sheet</t>
        </is>
      </c>
      <c r="C103" s="91" t="n"/>
      <c r="D103" s="91" t="n"/>
      <c r="E103" s="91" t="n"/>
      <c r="F103" s="91" t="n"/>
      <c r="G103" s="91" t="n"/>
      <c r="H103" s="91" t="n"/>
      <c r="I103" s="91" t="n"/>
      <c r="J103" s="91" t="n"/>
      <c r="K103" s="91" t="n"/>
      <c r="L103" s="91" t="n"/>
      <c r="M103" s="91" t="n"/>
      <c r="N103" s="91" t="n"/>
      <c r="O103" s="91" t="n"/>
      <c r="P103" s="91" t="n"/>
    </row>
    <row r="104">
      <c r="B104" s="5" t="inlineStr">
        <is>
          <t>Assets</t>
        </is>
      </c>
    </row>
    <row r="105">
      <c r="A105" t="inlineStr">
        <is>
          <t>BS-Cash</t>
        </is>
      </c>
      <c r="B105" t="inlineStr">
        <is>
          <t>Cash &amp; Cash Equivalents</t>
        </is>
      </c>
      <c r="C105" t="inlineStr">
        <is>
          <t>A$m</t>
        </is>
      </c>
      <c r="D105" s="44" t="n">
        <v>36.504</v>
      </c>
      <c r="E105" s="44" t="n">
        <v>16.385</v>
      </c>
      <c r="F105" s="44" t="n">
        <v>39.675</v>
      </c>
      <c r="G105" s="58">
        <f>F105+G174</f>
        <v/>
      </c>
      <c r="H105" s="58">
        <f>G105+H174</f>
        <v/>
      </c>
      <c r="I105" s="58">
        <f>H105+I174</f>
        <v/>
      </c>
      <c r="J105" s="58">
        <f>I105+J174</f>
        <v/>
      </c>
      <c r="K105" s="58">
        <f>J105+K174</f>
        <v/>
      </c>
      <c r="L105" s="58">
        <f>K105+L174</f>
        <v/>
      </c>
      <c r="M105" s="58">
        <f>L105+M174</f>
        <v/>
      </c>
      <c r="N105" s="58">
        <f>M105+N174</f>
        <v/>
      </c>
      <c r="O105" s="58">
        <f>N105+O174</f>
        <v/>
      </c>
      <c r="P105" s="58">
        <f>O105+P174</f>
        <v/>
      </c>
    </row>
    <row r="106">
      <c r="A106" t="inlineStr">
        <is>
          <t>BS-Trade Receivables</t>
        </is>
      </c>
      <c r="B106" t="inlineStr">
        <is>
          <t>Trade &amp; Other Receivables</t>
        </is>
      </c>
      <c r="C106" t="inlineStr">
        <is>
          <t>A$m</t>
        </is>
      </c>
      <c r="D106" s="44" t="n">
        <v>25.087</v>
      </c>
      <c r="E106" s="44" t="n">
        <v>26.499</v>
      </c>
      <c r="F106" s="44" t="n">
        <v>24.84</v>
      </c>
      <c r="G106" s="58">
        <f>G12*G115</f>
        <v/>
      </c>
      <c r="H106" s="58">
        <f>H12*H115</f>
        <v/>
      </c>
      <c r="I106" s="58">
        <f>I12*I115</f>
        <v/>
      </c>
      <c r="J106" s="58">
        <f>J12*J115</f>
        <v/>
      </c>
      <c r="K106" s="58">
        <f>K12*K115</f>
        <v/>
      </c>
      <c r="L106" s="58">
        <f>L12*L115</f>
        <v/>
      </c>
      <c r="M106" s="58">
        <f>M12*M115</f>
        <v/>
      </c>
      <c r="N106" s="58">
        <f>N12*N115</f>
        <v/>
      </c>
      <c r="O106" s="58">
        <f>O12*O115</f>
        <v/>
      </c>
      <c r="P106" s="58">
        <f>P12*P115</f>
        <v/>
      </c>
    </row>
    <row r="107">
      <c r="A107" t="inlineStr">
        <is>
          <t>BS-Inventories</t>
        </is>
      </c>
      <c r="B107" t="inlineStr">
        <is>
          <t>Inventories</t>
        </is>
      </c>
      <c r="C107" t="inlineStr">
        <is>
          <t>A$m</t>
        </is>
      </c>
      <c r="D107" s="44" t="n">
        <v>2.153</v>
      </c>
      <c r="E107" s="44" t="n">
        <v>2.825</v>
      </c>
      <c r="F107" s="44" t="n">
        <v>3.761</v>
      </c>
      <c r="G107" s="58">
        <f>G12*G116</f>
        <v/>
      </c>
      <c r="H107" s="58">
        <f>H12*H116</f>
        <v/>
      </c>
      <c r="I107" s="58">
        <f>I12*I116</f>
        <v/>
      </c>
      <c r="J107" s="58">
        <f>J12*J116</f>
        <v/>
      </c>
      <c r="K107" s="58">
        <f>K12*K116</f>
        <v/>
      </c>
      <c r="L107" s="58">
        <f>L12*L116</f>
        <v/>
      </c>
      <c r="M107" s="58">
        <f>M12*M116</f>
        <v/>
      </c>
      <c r="N107" s="58">
        <f>N12*N116</f>
        <v/>
      </c>
      <c r="O107" s="58">
        <f>O12*O116</f>
        <v/>
      </c>
      <c r="P107" s="58">
        <f>P12*P116</f>
        <v/>
      </c>
    </row>
    <row r="108">
      <c r="A108" t="inlineStr">
        <is>
          <t>BS-Term Deposits</t>
        </is>
      </c>
      <c r="B108" t="inlineStr">
        <is>
          <t>Funds in Term Deposits</t>
        </is>
      </c>
      <c r="C108" t="inlineStr">
        <is>
          <t>A$m</t>
        </is>
      </c>
      <c r="D108" s="44" t="n">
        <v>0</v>
      </c>
      <c r="E108" s="44" t="n">
        <v>278.095</v>
      </c>
      <c r="F108" s="44" t="n">
        <v>242.068</v>
      </c>
      <c r="G108" s="70">
        <f>F108</f>
        <v/>
      </c>
      <c r="H108" s="70">
        <f>G108</f>
        <v/>
      </c>
      <c r="I108" s="70">
        <f>H108</f>
        <v/>
      </c>
      <c r="J108" s="70">
        <f>I108</f>
        <v/>
      </c>
      <c r="K108" s="70">
        <f>J108</f>
        <v/>
      </c>
      <c r="L108" s="70">
        <f>K108</f>
        <v/>
      </c>
      <c r="M108" s="70">
        <f>L108</f>
        <v/>
      </c>
      <c r="N108" s="70">
        <f>M108</f>
        <v/>
      </c>
      <c r="O108" s="70">
        <f>N108</f>
        <v/>
      </c>
      <c r="P108" s="70">
        <f>O108</f>
        <v/>
      </c>
    </row>
    <row r="109">
      <c r="A109" t="inlineStr">
        <is>
          <t>BS-Finance Lease Recv</t>
        </is>
      </c>
      <c r="B109" t="inlineStr">
        <is>
          <t>Finance Lease Receivables</t>
        </is>
      </c>
      <c r="C109" t="inlineStr">
        <is>
          <t>A$m</t>
        </is>
      </c>
      <c r="D109" s="44" t="n">
        <v>69.333</v>
      </c>
      <c r="E109" s="44" t="n">
        <v>126.403</v>
      </c>
      <c r="F109" s="44" t="n">
        <v>174.844</v>
      </c>
      <c r="G109" s="70">
        <f>F109*1.05</f>
        <v/>
      </c>
      <c r="H109" s="70">
        <f>G109*1.05</f>
        <v/>
      </c>
      <c r="I109" s="70">
        <f>H109*1.05</f>
        <v/>
      </c>
      <c r="J109" s="70">
        <f>I109*1.05</f>
        <v/>
      </c>
      <c r="K109" s="70">
        <f>J109*1.05</f>
        <v/>
      </c>
      <c r="L109" s="70">
        <f>K109*1.05</f>
        <v/>
      </c>
      <c r="M109" s="70">
        <f>L109*1.05</f>
        <v/>
      </c>
      <c r="N109" s="70">
        <f>M109*1.05</f>
        <v/>
      </c>
      <c r="O109" s="70">
        <f>N109*1.05</f>
        <v/>
      </c>
      <c r="P109" s="70">
        <f>O109*1.05</f>
        <v/>
      </c>
    </row>
    <row r="110">
      <c r="A110" t="inlineStr">
        <is>
          <t>BS-PPE</t>
        </is>
      </c>
      <c r="B110" t="inlineStr">
        <is>
          <t>Property, Plant &amp; Equipment</t>
        </is>
      </c>
      <c r="C110" t="inlineStr">
        <is>
          <t>A$m</t>
        </is>
      </c>
      <c r="D110" s="44" t="n">
        <v>69.486</v>
      </c>
      <c r="E110" s="44" t="n">
        <v>87.63</v>
      </c>
      <c r="F110" s="44" t="n">
        <v>130.056</v>
      </c>
      <c r="G110" s="58">
        <f>F110-G158+G43</f>
        <v/>
      </c>
      <c r="H110" s="58">
        <f>G110-H158+H43</f>
        <v/>
      </c>
      <c r="I110" s="58">
        <f>H110-I158+I43</f>
        <v/>
      </c>
      <c r="J110" s="58">
        <f>I110-J158+J43</f>
        <v/>
      </c>
      <c r="K110" s="58">
        <f>J110-K158+K43</f>
        <v/>
      </c>
      <c r="L110" s="58">
        <f>K110-L158+L43</f>
        <v/>
      </c>
      <c r="M110" s="58">
        <f>L110-M158+M43</f>
        <v/>
      </c>
      <c r="N110" s="58">
        <f>M110-N158+N43</f>
        <v/>
      </c>
      <c r="O110" s="58">
        <f>N110-O158+O43</f>
        <v/>
      </c>
      <c r="P110" s="58">
        <f>O110-P158+P43</f>
        <v/>
      </c>
    </row>
    <row r="111">
      <c r="A111" t="inlineStr">
        <is>
          <t>BS-Intangibles</t>
        </is>
      </c>
      <c r="B111" t="inlineStr">
        <is>
          <t>Intangible Assets</t>
        </is>
      </c>
      <c r="C111" t="inlineStr">
        <is>
          <t>A$m</t>
        </is>
      </c>
      <c r="D111" s="44" t="n">
        <v>15.202</v>
      </c>
      <c r="E111" s="44" t="n">
        <v>10.586</v>
      </c>
      <c r="F111" s="44" t="n">
        <v>18.305</v>
      </c>
      <c r="G111" s="70">
        <f>F111</f>
        <v/>
      </c>
      <c r="H111" s="70">
        <f>G111</f>
        <v/>
      </c>
      <c r="I111" s="70">
        <f>H111</f>
        <v/>
      </c>
      <c r="J111" s="70">
        <f>I111</f>
        <v/>
      </c>
      <c r="K111" s="70">
        <f>J111</f>
        <v/>
      </c>
      <c r="L111" s="70">
        <f>K111</f>
        <v/>
      </c>
      <c r="M111" s="70">
        <f>L111</f>
        <v/>
      </c>
      <c r="N111" s="70">
        <f>M111</f>
        <v/>
      </c>
      <c r="O111" s="70">
        <f>N111</f>
        <v/>
      </c>
      <c r="P111" s="70">
        <f>O111</f>
        <v/>
      </c>
    </row>
    <row r="112">
      <c r="A112" t="inlineStr">
        <is>
          <t>BS-ROU Assets</t>
        </is>
      </c>
      <c r="B112" t="inlineStr">
        <is>
          <t>Right-of-Use Assets</t>
        </is>
      </c>
      <c r="C112" t="inlineStr">
        <is>
          <t>A$m</t>
        </is>
      </c>
      <c r="D112" s="44" t="n">
        <v>98.93899999999999</v>
      </c>
      <c r="E112" s="44" t="n">
        <v>93.79600000000001</v>
      </c>
      <c r="F112" s="44" t="n">
        <v>125.43</v>
      </c>
      <c r="G112" s="58">
        <f>F112+G119+G42</f>
        <v/>
      </c>
      <c r="H112" s="58">
        <f>G112+H119+H42</f>
        <v/>
      </c>
      <c r="I112" s="58">
        <f>H112+I119+I42</f>
        <v/>
      </c>
      <c r="J112" s="58">
        <f>I112+J119+J42</f>
        <v/>
      </c>
      <c r="K112" s="58">
        <f>J112+K119+K42</f>
        <v/>
      </c>
      <c r="L112" s="58">
        <f>K112+L119+L42</f>
        <v/>
      </c>
      <c r="M112" s="58">
        <f>L112+M119+M42</f>
        <v/>
      </c>
      <c r="N112" s="58">
        <f>M112+N119+N42</f>
        <v/>
      </c>
      <c r="O112" s="58">
        <f>N112+O119+O42</f>
        <v/>
      </c>
      <c r="P112" s="58">
        <f>O112+P119+P42</f>
        <v/>
      </c>
    </row>
    <row r="113">
      <c r="A113" t="inlineStr">
        <is>
          <t>BS-Other Assets</t>
        </is>
      </c>
      <c r="B113" t="inlineStr">
        <is>
          <t>Other Assets (DTA, Prepayments)</t>
        </is>
      </c>
      <c r="C113" t="inlineStr">
        <is>
          <t>A$m</t>
        </is>
      </c>
      <c r="D113" s="44" t="n">
        <v>7.803</v>
      </c>
      <c r="E113" s="44" t="n">
        <v>19.578</v>
      </c>
      <c r="F113" s="44" t="n">
        <v>24.219</v>
      </c>
      <c r="G113" s="70">
        <f>F113</f>
        <v/>
      </c>
      <c r="H113" s="70">
        <f>G113</f>
        <v/>
      </c>
      <c r="I113" s="70">
        <f>H113</f>
        <v/>
      </c>
      <c r="J113" s="70">
        <f>I113</f>
        <v/>
      </c>
      <c r="K113" s="70">
        <f>J113</f>
        <v/>
      </c>
      <c r="L113" s="70">
        <f>K113</f>
        <v/>
      </c>
      <c r="M113" s="70">
        <f>L113</f>
        <v/>
      </c>
      <c r="N113" s="70">
        <f>M113</f>
        <v/>
      </c>
      <c r="O113" s="70">
        <f>N113</f>
        <v/>
      </c>
      <c r="P113" s="70">
        <f>O113</f>
        <v/>
      </c>
    </row>
    <row r="114">
      <c r="B114" s="19" t="inlineStr">
        <is>
          <t>Total Assets</t>
        </is>
      </c>
      <c r="C114" s="19" t="inlineStr">
        <is>
          <t>A$m</t>
        </is>
      </c>
      <c r="D114" s="82">
        <f>SUM(D105:D113)</f>
        <v/>
      </c>
      <c r="E114" s="82">
        <f>SUM(E105:E113)</f>
        <v/>
      </c>
      <c r="F114" s="82">
        <f>SUM(F105:F113)</f>
        <v/>
      </c>
      <c r="G114" s="83">
        <f>SUM(G105:G113)</f>
        <v/>
      </c>
      <c r="H114" s="83">
        <f>SUM(H105:H113)</f>
        <v/>
      </c>
      <c r="I114" s="83">
        <f>SUM(I105:I113)</f>
        <v/>
      </c>
      <c r="J114" s="83">
        <f>SUM(J105:J113)</f>
        <v/>
      </c>
      <c r="K114" s="83">
        <f>SUM(K105:K113)</f>
        <v/>
      </c>
      <c r="L114" s="83">
        <f>SUM(L105:L113)</f>
        <v/>
      </c>
      <c r="M114" s="83">
        <f>SUM(M105:M113)</f>
        <v/>
      </c>
      <c r="N114" s="83">
        <f>SUM(N105:N113)</f>
        <v/>
      </c>
      <c r="O114" s="83">
        <f>SUM(O105:O113)</f>
        <v/>
      </c>
      <c r="P114" s="83">
        <f>SUM(P105:P113)</f>
        <v/>
      </c>
    </row>
    <row r="115">
      <c r="B115" s="20" t="inlineStr">
        <is>
          <t>Receivables / Revenue</t>
        </is>
      </c>
      <c r="C115" t="inlineStr">
        <is>
          <t>%</t>
        </is>
      </c>
      <c r="D115" s="46">
        <f>IF(D12=0,"",D106/D12)</f>
        <v/>
      </c>
      <c r="E115" s="46">
        <f>IF(E12=0,"",E106/E12)</f>
        <v/>
      </c>
      <c r="F115" s="46">
        <f>IF(F12=0,"",F106/F12)</f>
        <v/>
      </c>
      <c r="G115" s="71">
        <f>F115</f>
        <v/>
      </c>
      <c r="H115" s="71">
        <f>G115</f>
        <v/>
      </c>
      <c r="I115" s="71">
        <f>H115</f>
        <v/>
      </c>
      <c r="J115" s="71">
        <f>I115</f>
        <v/>
      </c>
      <c r="K115" s="71">
        <f>J115</f>
        <v/>
      </c>
      <c r="L115" s="71">
        <f>K115</f>
        <v/>
      </c>
      <c r="M115" s="71">
        <f>L115</f>
        <v/>
      </c>
      <c r="N115" s="71">
        <f>M115</f>
        <v/>
      </c>
      <c r="O115" s="71">
        <f>N115</f>
        <v/>
      </c>
      <c r="P115" s="71">
        <f>O115</f>
        <v/>
      </c>
    </row>
    <row r="116">
      <c r="B116" s="20" t="inlineStr">
        <is>
          <t>Inventory / Revenue</t>
        </is>
      </c>
      <c r="C116" t="inlineStr">
        <is>
          <t>%</t>
        </is>
      </c>
      <c r="D116" s="46">
        <f>IF(D12=0,"",D107/D12)</f>
        <v/>
      </c>
      <c r="E116" s="46">
        <f>IF(E12=0,"",E107/E12)</f>
        <v/>
      </c>
      <c r="F116" s="46">
        <f>IF(F12=0,"",F107/F12)</f>
        <v/>
      </c>
      <c r="G116" s="71">
        <f>F116</f>
        <v/>
      </c>
      <c r="H116" s="71">
        <f>G116</f>
        <v/>
      </c>
      <c r="I116" s="71">
        <f>H116</f>
        <v/>
      </c>
      <c r="J116" s="71">
        <f>I116</f>
        <v/>
      </c>
      <c r="K116" s="71">
        <f>J116</f>
        <v/>
      </c>
      <c r="L116" s="71">
        <f>K116</f>
        <v/>
      </c>
      <c r="M116" s="71">
        <f>L116</f>
        <v/>
      </c>
      <c r="N116" s="71">
        <f>M116</f>
        <v/>
      </c>
      <c r="O116" s="71">
        <f>N116</f>
        <v/>
      </c>
      <c r="P116" s="71">
        <f>O116</f>
        <v/>
      </c>
    </row>
    <row r="117">
      <c r="B117" s="19" t="inlineStr">
        <is>
          <t>Working Capital</t>
        </is>
      </c>
      <c r="C117" s="19" t="inlineStr">
        <is>
          <t>A$m</t>
        </is>
      </c>
      <c r="D117" s="82">
        <f>D106+D107-D122</f>
        <v/>
      </c>
      <c r="E117" s="82">
        <f>E106+E107-E122</f>
        <v/>
      </c>
      <c r="F117" s="82">
        <f>F106+F107-F122</f>
        <v/>
      </c>
      <c r="G117" s="83">
        <f>G106+G107-G122</f>
        <v/>
      </c>
      <c r="H117" s="83">
        <f>H106+H107-H122</f>
        <v/>
      </c>
      <c r="I117" s="83">
        <f>I106+I107-I122</f>
        <v/>
      </c>
      <c r="J117" s="83">
        <f>J106+J107-J122</f>
        <v/>
      </c>
      <c r="K117" s="83">
        <f>K106+K107-K122</f>
        <v/>
      </c>
      <c r="L117" s="83">
        <f>L106+L107-L122</f>
        <v/>
      </c>
      <c r="M117" s="83">
        <f>M106+M107-M122</f>
        <v/>
      </c>
      <c r="N117" s="83">
        <f>N106+N107-N122</f>
        <v/>
      </c>
      <c r="O117" s="83">
        <f>O106+O107-O122</f>
        <v/>
      </c>
      <c r="P117" s="83">
        <f>P106+P107-P122</f>
        <v/>
      </c>
    </row>
    <row r="118">
      <c r="B118" s="20" t="inlineStr">
        <is>
          <t>Payables / Revenue</t>
        </is>
      </c>
      <c r="C118" t="inlineStr">
        <is>
          <t>%</t>
        </is>
      </c>
      <c r="D118" s="46">
        <f>IF(D12=0,"",D122/D12)</f>
        <v/>
      </c>
      <c r="E118" s="46">
        <f>IF(E12=0,"",E122/E12)</f>
        <v/>
      </c>
      <c r="F118" s="46">
        <f>IF(F12=0,"",F122/F12)</f>
        <v/>
      </c>
      <c r="G118" s="71">
        <f>F118</f>
        <v/>
      </c>
      <c r="H118" s="71">
        <f>G118</f>
        <v/>
      </c>
      <c r="I118" s="71">
        <f>H118</f>
        <v/>
      </c>
      <c r="J118" s="71">
        <f>I118</f>
        <v/>
      </c>
      <c r="K118" s="71">
        <f>J118</f>
        <v/>
      </c>
      <c r="L118" s="71">
        <f>K118</f>
        <v/>
      </c>
      <c r="M118" s="71">
        <f>L118</f>
        <v/>
      </c>
      <c r="N118" s="71">
        <f>M118</f>
        <v/>
      </c>
      <c r="O118" s="71">
        <f>N118</f>
        <v/>
      </c>
      <c r="P118" s="71">
        <f>O118</f>
        <v/>
      </c>
    </row>
    <row r="119">
      <c r="B119" s="20" t="inlineStr">
        <is>
          <t>New Lease Additions</t>
        </is>
      </c>
      <c r="C119" t="inlineStr">
        <is>
          <t>A$m</t>
        </is>
      </c>
      <c r="D119" s="34" t="n"/>
      <c r="E119" s="34" t="n"/>
      <c r="F119" s="44" t="n">
        <v>97.279</v>
      </c>
      <c r="G119" s="70">
        <f>F119</f>
        <v/>
      </c>
      <c r="H119" s="70">
        <f>G119</f>
        <v/>
      </c>
      <c r="I119" s="70">
        <f>H119</f>
        <v/>
      </c>
      <c r="J119" s="70">
        <f>I119</f>
        <v/>
      </c>
      <c r="K119" s="70">
        <f>J119</f>
        <v/>
      </c>
      <c r="L119" s="70">
        <f>K119</f>
        <v/>
      </c>
      <c r="M119" s="70">
        <f>L119</f>
        <v/>
      </c>
      <c r="N119" s="70">
        <f>M119</f>
        <v/>
      </c>
      <c r="O119" s="70">
        <f>N119</f>
        <v/>
      </c>
      <c r="P119" s="70">
        <f>O119</f>
        <v/>
      </c>
    </row>
    <row r="120">
      <c r="B120" s="20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</row>
    <row r="121">
      <c r="B121" s="5" t="inlineStr">
        <is>
          <t>Liabilities</t>
        </is>
      </c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</row>
    <row r="122">
      <c r="A122" t="inlineStr">
        <is>
          <t>BS-Trade Payables</t>
        </is>
      </c>
      <c r="B122" t="inlineStr">
        <is>
          <t>Trade &amp; Other Payables</t>
        </is>
      </c>
      <c r="C122" t="inlineStr">
        <is>
          <t>A$m</t>
        </is>
      </c>
      <c r="D122" s="44" t="n">
        <v>32.635</v>
      </c>
      <c r="E122" s="44" t="n">
        <v>39.387</v>
      </c>
      <c r="F122" s="44" t="n">
        <v>40.439</v>
      </c>
      <c r="G122" s="58">
        <f>G12*G118</f>
        <v/>
      </c>
      <c r="H122" s="58">
        <f>H12*H118</f>
        <v/>
      </c>
      <c r="I122" s="58">
        <f>I12*I118</f>
        <v/>
      </c>
      <c r="J122" s="58">
        <f>J12*J118</f>
        <v/>
      </c>
      <c r="K122" s="58">
        <f>K12*K118</f>
        <v/>
      </c>
      <c r="L122" s="58">
        <f>L12*L118</f>
        <v/>
      </c>
      <c r="M122" s="58">
        <f>M12*M118</f>
        <v/>
      </c>
      <c r="N122" s="58">
        <f>N12*N118</f>
        <v/>
      </c>
      <c r="O122" s="58">
        <f>O12*O118</f>
        <v/>
      </c>
      <c r="P122" s="58">
        <f>P12*P118</f>
        <v/>
      </c>
    </row>
    <row r="123">
      <c r="A123" t="inlineStr">
        <is>
          <t>BS-Other Liabilities</t>
        </is>
      </c>
      <c r="B123" t="inlineStr">
        <is>
          <t>Other Liabilities</t>
        </is>
      </c>
      <c r="C123" t="inlineStr">
        <is>
          <t>A$m</t>
        </is>
      </c>
      <c r="D123" s="44" t="n">
        <v>19.19</v>
      </c>
      <c r="E123" s="44" t="n">
        <v>28.933</v>
      </c>
      <c r="F123" s="44" t="n">
        <v>31.324</v>
      </c>
      <c r="G123" s="70">
        <f>F123</f>
        <v/>
      </c>
      <c r="H123" s="70">
        <f>G123</f>
        <v/>
      </c>
      <c r="I123" s="70">
        <f>H123</f>
        <v/>
      </c>
      <c r="J123" s="70">
        <f>I123</f>
        <v/>
      </c>
      <c r="K123" s="70">
        <f>J123</f>
        <v/>
      </c>
      <c r="L123" s="70">
        <f>K123</f>
        <v/>
      </c>
      <c r="M123" s="70">
        <f>L123</f>
        <v/>
      </c>
      <c r="N123" s="70">
        <f>M123</f>
        <v/>
      </c>
      <c r="O123" s="70">
        <f>N123</f>
        <v/>
      </c>
      <c r="P123" s="70">
        <f>O123</f>
        <v/>
      </c>
    </row>
    <row r="124">
      <c r="A124" t="inlineStr">
        <is>
          <t>BS-Lease Liabilities</t>
        </is>
      </c>
      <c r="B124" t="inlineStr">
        <is>
          <t>Lease Liabilities</t>
        </is>
      </c>
      <c r="C124" t="inlineStr">
        <is>
          <t>A$m</t>
        </is>
      </c>
      <c r="D124" s="44" t="n">
        <v>181.717</v>
      </c>
      <c r="E124" s="44" t="n">
        <v>239.498</v>
      </c>
      <c r="F124" s="44" t="n">
        <v>331.311</v>
      </c>
      <c r="G124" s="58">
        <f>F124+G119+G169</f>
        <v/>
      </c>
      <c r="H124" s="58">
        <f>G124+H119+H169</f>
        <v/>
      </c>
      <c r="I124" s="58">
        <f>H124+I119+I169</f>
        <v/>
      </c>
      <c r="J124" s="58">
        <f>I124+J119+J169</f>
        <v/>
      </c>
      <c r="K124" s="58">
        <f>J124+K119+K169</f>
        <v/>
      </c>
      <c r="L124" s="58">
        <f>K124+L119+L169</f>
        <v/>
      </c>
      <c r="M124" s="58">
        <f>L124+M119+M169</f>
        <v/>
      </c>
      <c r="N124" s="58">
        <f>M124+N119+N169</f>
        <v/>
      </c>
      <c r="O124" s="58">
        <f>N124+O119+O169</f>
        <v/>
      </c>
      <c r="P124" s="58">
        <f>O124+P119+P169</f>
        <v/>
      </c>
    </row>
    <row r="125">
      <c r="A125" t="inlineStr">
        <is>
          <t>BS-Total Banking Debt</t>
        </is>
      </c>
      <c r="B125" t="inlineStr">
        <is>
          <t>Borrowings</t>
        </is>
      </c>
      <c r="C125" t="inlineStr">
        <is>
          <t>A$m</t>
        </is>
      </c>
      <c r="D125" s="44" t="n">
        <v>3</v>
      </c>
      <c r="E125" s="44" t="n">
        <v>0</v>
      </c>
      <c r="F125" s="44" t="n">
        <v>0</v>
      </c>
      <c r="G125" s="70" t="n">
        <v>0</v>
      </c>
      <c r="H125" s="70" t="n">
        <v>0</v>
      </c>
      <c r="I125" s="70" t="n">
        <v>0</v>
      </c>
      <c r="J125" s="70" t="n">
        <v>0</v>
      </c>
      <c r="K125" s="70" t="n">
        <v>0</v>
      </c>
      <c r="L125" s="70" t="n">
        <v>0</v>
      </c>
      <c r="M125" s="70" t="n">
        <v>0</v>
      </c>
      <c r="N125" s="70" t="n">
        <v>0</v>
      </c>
      <c r="O125" s="70" t="n">
        <v>0</v>
      </c>
      <c r="P125" s="70" t="n">
        <v>0</v>
      </c>
    </row>
    <row r="126">
      <c r="B126" s="19" t="inlineStr">
        <is>
          <t>Total Liabilities</t>
        </is>
      </c>
      <c r="C126" s="19" t="inlineStr">
        <is>
          <t>A$m</t>
        </is>
      </c>
      <c r="D126" s="82">
        <f>SUM(D122:D125)</f>
        <v/>
      </c>
      <c r="E126" s="82">
        <f>SUM(E122:E125)</f>
        <v/>
      </c>
      <c r="F126" s="82">
        <f>SUM(F122:F125)</f>
        <v/>
      </c>
      <c r="G126" s="83">
        <f>SUM(G122:G125)</f>
        <v/>
      </c>
      <c r="H126" s="83">
        <f>SUM(H122:H125)</f>
        <v/>
      </c>
      <c r="I126" s="83">
        <f>SUM(I122:I125)</f>
        <v/>
      </c>
      <c r="J126" s="83">
        <f>SUM(J122:J125)</f>
        <v/>
      </c>
      <c r="K126" s="83">
        <f>SUM(K122:K125)</f>
        <v/>
      </c>
      <c r="L126" s="83">
        <f>SUM(L122:L125)</f>
        <v/>
      </c>
      <c r="M126" s="83">
        <f>SUM(M122:M125)</f>
        <v/>
      </c>
      <c r="N126" s="83">
        <f>SUM(N122:N125)</f>
        <v/>
      </c>
      <c r="O126" s="83">
        <f>SUM(O122:O125)</f>
        <v/>
      </c>
      <c r="P126" s="83">
        <f>SUM(P122:P125)</f>
        <v/>
      </c>
    </row>
    <row r="127"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</row>
    <row r="128">
      <c r="B128" s="19" t="inlineStr">
        <is>
          <t>Net Banking Debt</t>
        </is>
      </c>
      <c r="C128" s="19" t="inlineStr">
        <is>
          <t>A$m</t>
        </is>
      </c>
      <c r="D128" s="82">
        <f>D125-D105</f>
        <v/>
      </c>
      <c r="E128" s="82">
        <f>E125-E105</f>
        <v/>
      </c>
      <c r="F128" s="82">
        <f>F125-F105</f>
        <v/>
      </c>
      <c r="G128" s="83">
        <f>G125-G105</f>
        <v/>
      </c>
      <c r="H128" s="83">
        <f>H125-H105</f>
        <v/>
      </c>
      <c r="I128" s="83">
        <f>I125-I105</f>
        <v/>
      </c>
      <c r="J128" s="83">
        <f>J125-J105</f>
        <v/>
      </c>
      <c r="K128" s="83">
        <f>K125-K105</f>
        <v/>
      </c>
      <c r="L128" s="83">
        <f>L125-L105</f>
        <v/>
      </c>
      <c r="M128" s="83">
        <f>M125-M105</f>
        <v/>
      </c>
      <c r="N128" s="83">
        <f>N125-N105</f>
        <v/>
      </c>
      <c r="O128" s="83">
        <f>O125-O105</f>
        <v/>
      </c>
      <c r="P128" s="83">
        <f>P125-P105</f>
        <v/>
      </c>
    </row>
    <row r="129">
      <c r="B129" s="19" t="inlineStr">
        <is>
          <t>Adj Net Debt (incl leases)</t>
        </is>
      </c>
      <c r="C129" s="19" t="inlineStr">
        <is>
          <t>A$m</t>
        </is>
      </c>
      <c r="D129" s="82">
        <f>D128+D124</f>
        <v/>
      </c>
      <c r="E129" s="82">
        <f>E128+E124</f>
        <v/>
      </c>
      <c r="F129" s="82">
        <f>F128+F124</f>
        <v/>
      </c>
      <c r="G129" s="83">
        <f>G128+G124</f>
        <v/>
      </c>
      <c r="H129" s="83">
        <f>H128+H124</f>
        <v/>
      </c>
      <c r="I129" s="83">
        <f>I128+I124</f>
        <v/>
      </c>
      <c r="J129" s="83">
        <f>J128+J124</f>
        <v/>
      </c>
      <c r="K129" s="83">
        <f>K128+K124</f>
        <v/>
      </c>
      <c r="L129" s="83">
        <f>L128+L124</f>
        <v/>
      </c>
      <c r="M129" s="83">
        <f>M128+M124</f>
        <v/>
      </c>
      <c r="N129" s="83">
        <f>N128+N124</f>
        <v/>
      </c>
      <c r="O129" s="83">
        <f>O128+O124</f>
        <v/>
      </c>
      <c r="P129" s="83">
        <f>P128+P124</f>
        <v/>
      </c>
    </row>
    <row r="130">
      <c r="B130" s="8" t="inlineStr">
        <is>
          <t>ND / EBITDA</t>
        </is>
      </c>
      <c r="C130" t="inlineStr">
        <is>
          <t>x</t>
        </is>
      </c>
      <c r="D130" s="84">
        <f>IF(D30=0,"",D128/D30)</f>
        <v/>
      </c>
      <c r="E130" s="84">
        <f>IF(E30=0,"",E128/E30)</f>
        <v/>
      </c>
      <c r="F130" s="84">
        <f>IF(F30=0,"",F128/F30)</f>
        <v/>
      </c>
      <c r="G130" s="93">
        <f>IF(G30=0,"",G128/G30)</f>
        <v/>
      </c>
      <c r="H130" s="93">
        <f>IF(H30=0,"",H128/H30)</f>
        <v/>
      </c>
      <c r="I130" s="93">
        <f>IF(I30=0,"",I128/I30)</f>
        <v/>
      </c>
      <c r="J130" s="93">
        <f>IF(J30=0,"",J128/J30)</f>
        <v/>
      </c>
      <c r="K130" s="93">
        <f>IF(K30=0,"",K128/K30)</f>
        <v/>
      </c>
      <c r="L130" s="93">
        <f>IF(L30=0,"",L128/L30)</f>
        <v/>
      </c>
      <c r="M130" s="93">
        <f>IF(M30=0,"",M128/M30)</f>
        <v/>
      </c>
      <c r="N130" s="93">
        <f>IF(N30=0,"",N128/N30)</f>
        <v/>
      </c>
      <c r="O130" s="93">
        <f>IF(O30=0,"",O128/O30)</f>
        <v/>
      </c>
      <c r="P130" s="93">
        <f>IF(P30=0,"",P128/P30)</f>
        <v/>
      </c>
    </row>
    <row r="131">
      <c r="B131" s="8" t="inlineStr">
        <is>
          <t>Gearing (ND/(ND+E))</t>
        </is>
      </c>
      <c r="C131" t="inlineStr">
        <is>
          <t>%</t>
        </is>
      </c>
      <c r="D131" s="94">
        <f>IF((D128+D138)=0,"",D128/(D128+D138))</f>
        <v/>
      </c>
      <c r="E131" s="94">
        <f>IF((E128+E138)=0,"",E128/(E128+E138))</f>
        <v/>
      </c>
      <c r="F131" s="94">
        <f>IF((F128+F138)=0,"",F128/(F128+F138))</f>
        <v/>
      </c>
      <c r="G131" s="95">
        <f>IF((G128+G138)=0,"",G128/(G128+G138))</f>
        <v/>
      </c>
      <c r="H131" s="95">
        <f>IF((H128+H138)=0,"",H128/(H128+H138))</f>
        <v/>
      </c>
      <c r="I131" s="95">
        <f>IF((I128+I138)=0,"",I128/(I128+I138))</f>
        <v/>
      </c>
      <c r="J131" s="95">
        <f>IF((J128+J138)=0,"",J128/(J128+J138))</f>
        <v/>
      </c>
      <c r="K131" s="95">
        <f>IF((K128+K138)=0,"",K128/(K128+K138))</f>
        <v/>
      </c>
      <c r="L131" s="95">
        <f>IF((L128+L138)=0,"",L128/(L128+L138))</f>
        <v/>
      </c>
      <c r="M131" s="95">
        <f>IF((M128+M138)=0,"",M128/(M128+M138))</f>
        <v/>
      </c>
      <c r="N131" s="95">
        <f>IF((N128+N138)=0,"",N128/(N128+N138))</f>
        <v/>
      </c>
      <c r="O131" s="95">
        <f>IF((O128+O138)=0,"",O128/(O128+O138))</f>
        <v/>
      </c>
      <c r="P131" s="95">
        <f>IF((P128+P138)=0,"",P128/(P128+P138))</f>
        <v/>
      </c>
    </row>
    <row r="132"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4" t="n"/>
    </row>
    <row r="133">
      <c r="B133" s="5" t="inlineStr">
        <is>
          <t>Equity</t>
        </is>
      </c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</row>
    <row r="134">
      <c r="A134" t="inlineStr">
        <is>
          <t>BS-Issued Capital</t>
        </is>
      </c>
      <c r="B134" t="inlineStr">
        <is>
          <t>Issued Capital</t>
        </is>
      </c>
      <c r="C134" t="inlineStr">
        <is>
          <t>A$m</t>
        </is>
      </c>
      <c r="D134" s="44" t="n">
        <v>104.046</v>
      </c>
      <c r="E134" s="44" t="n">
        <v>372.708</v>
      </c>
      <c r="F134" s="44" t="n">
        <v>374.988</v>
      </c>
      <c r="G134" s="58">
        <f>F134+G168</f>
        <v/>
      </c>
      <c r="H134" s="58">
        <f>G134+H168</f>
        <v/>
      </c>
      <c r="I134" s="58">
        <f>H134+I168</f>
        <v/>
      </c>
      <c r="J134" s="58">
        <f>I134+J168</f>
        <v/>
      </c>
      <c r="K134" s="58">
        <f>J134+K168</f>
        <v/>
      </c>
      <c r="L134" s="58">
        <f>K134+L168</f>
        <v/>
      </c>
      <c r="M134" s="58">
        <f>L134+M168</f>
        <v/>
      </c>
      <c r="N134" s="58">
        <f>M134+N168</f>
        <v/>
      </c>
      <c r="O134" s="58">
        <f>N134+O168</f>
        <v/>
      </c>
      <c r="P134" s="58">
        <f>O134+P168</f>
        <v/>
      </c>
    </row>
    <row r="135">
      <c r="A135" t="inlineStr">
        <is>
          <t>BS-Retained Profits</t>
        </is>
      </c>
      <c r="B135" t="inlineStr">
        <is>
          <t>Accumulated Losses</t>
        </is>
      </c>
      <c r="C135" t="inlineStr">
        <is>
          <t>A$m</t>
        </is>
      </c>
      <c r="D135" s="44" t="n">
        <v>-26.857</v>
      </c>
      <c r="E135" s="44" t="n">
        <v>-36.147</v>
      </c>
      <c r="F135" s="44" t="n">
        <v>-21.671</v>
      </c>
      <c r="G135" s="58">
        <f>F135+G64-G79</f>
        <v/>
      </c>
      <c r="H135" s="58">
        <f>G135+H64-H79</f>
        <v/>
      </c>
      <c r="I135" s="58">
        <f>H135+I64-I79</f>
        <v/>
      </c>
      <c r="J135" s="58">
        <f>I135+J64-J79</f>
        <v/>
      </c>
      <c r="K135" s="58">
        <f>J135+K64-K79</f>
        <v/>
      </c>
      <c r="L135" s="58">
        <f>K135+L64-L79</f>
        <v/>
      </c>
      <c r="M135" s="58">
        <f>L135+M64-M79</f>
        <v/>
      </c>
      <c r="N135" s="58">
        <f>M135+N64-N79</f>
        <v/>
      </c>
      <c r="O135" s="58">
        <f>N135+O64-O79</f>
        <v/>
      </c>
      <c r="P135" s="58">
        <f>O135+P64-P79</f>
        <v/>
      </c>
    </row>
    <row r="136">
      <c r="A136" t="inlineStr">
        <is>
          <t>BS-Reserves</t>
        </is>
      </c>
      <c r="B136" t="inlineStr">
        <is>
          <t>Reserves</t>
        </is>
      </c>
      <c r="C136" t="inlineStr">
        <is>
          <t>A$m</t>
        </is>
      </c>
      <c r="D136" s="44" t="n">
        <v>10.776</v>
      </c>
      <c r="E136" s="44" t="n">
        <v>17.418</v>
      </c>
      <c r="F136" s="44" t="n">
        <v>26.807</v>
      </c>
      <c r="G136" s="58">
        <f>F136-G28</f>
        <v/>
      </c>
      <c r="H136" s="58">
        <f>G136-H28</f>
        <v/>
      </c>
      <c r="I136" s="58">
        <f>H136-I28</f>
        <v/>
      </c>
      <c r="J136" s="58">
        <f>I136-J28</f>
        <v/>
      </c>
      <c r="K136" s="58">
        <f>J136-K28</f>
        <v/>
      </c>
      <c r="L136" s="58">
        <f>K136-L28</f>
        <v/>
      </c>
      <c r="M136" s="58">
        <f>L136-M28</f>
        <v/>
      </c>
      <c r="N136" s="58">
        <f>M136-N28</f>
        <v/>
      </c>
      <c r="O136" s="58">
        <f>N136-O28</f>
        <v/>
      </c>
      <c r="P136" s="58">
        <f>O136-P28</f>
        <v/>
      </c>
    </row>
    <row r="137">
      <c r="A137" t="inlineStr">
        <is>
          <t>BS-Minorities</t>
        </is>
      </c>
      <c r="B137" t="inlineStr">
        <is>
          <t>Minorities</t>
        </is>
      </c>
      <c r="C137" t="inlineStr">
        <is>
          <t>A$m</t>
        </is>
      </c>
      <c r="D137" s="44" t="n">
        <v>0</v>
      </c>
      <c r="E137" s="44" t="n">
        <v>0</v>
      </c>
      <c r="F137" s="44" t="n">
        <v>0</v>
      </c>
      <c r="G137" s="70" t="n">
        <v>0</v>
      </c>
      <c r="H137" s="70" t="n">
        <v>0</v>
      </c>
      <c r="I137" s="70" t="n">
        <v>0</v>
      </c>
      <c r="J137" s="70" t="n">
        <v>0</v>
      </c>
      <c r="K137" s="70" t="n">
        <v>0</v>
      </c>
      <c r="L137" s="70" t="n">
        <v>0</v>
      </c>
      <c r="M137" s="70" t="n">
        <v>0</v>
      </c>
      <c r="N137" s="70" t="n">
        <v>0</v>
      </c>
      <c r="O137" s="70" t="n">
        <v>0</v>
      </c>
      <c r="P137" s="70" t="n">
        <v>0</v>
      </c>
    </row>
    <row r="138">
      <c r="B138" s="19" t="inlineStr">
        <is>
          <t>Total Equity</t>
        </is>
      </c>
      <c r="C138" s="19" t="inlineStr">
        <is>
          <t>A$m</t>
        </is>
      </c>
      <c r="D138" s="82">
        <f>SUM(D134:D137)</f>
        <v/>
      </c>
      <c r="E138" s="82">
        <f>SUM(E134:E137)</f>
        <v/>
      </c>
      <c r="F138" s="82">
        <f>SUM(F134:F137)</f>
        <v/>
      </c>
      <c r="G138" s="83">
        <f>SUM(G134:G137)</f>
        <v/>
      </c>
      <c r="H138" s="83">
        <f>SUM(H134:H137)</f>
        <v/>
      </c>
      <c r="I138" s="83">
        <f>SUM(I134:I137)</f>
        <v/>
      </c>
      <c r="J138" s="83">
        <f>SUM(J134:J137)</f>
        <v/>
      </c>
      <c r="K138" s="83">
        <f>SUM(K134:K137)</f>
        <v/>
      </c>
      <c r="L138" s="83">
        <f>SUM(L134:L137)</f>
        <v/>
      </c>
      <c r="M138" s="83">
        <f>SUM(M134:M137)</f>
        <v/>
      </c>
      <c r="N138" s="83">
        <f>SUM(N134:N137)</f>
        <v/>
      </c>
      <c r="O138" s="83">
        <f>SUM(O134:O137)</f>
        <v/>
      </c>
      <c r="P138" s="83">
        <f>SUM(P134:P137)</f>
        <v/>
      </c>
    </row>
    <row r="139">
      <c r="B139" s="8" t="inlineStr">
        <is>
          <t>ROE</t>
        </is>
      </c>
      <c r="C139" t="inlineStr">
        <is>
          <t>%</t>
        </is>
      </c>
      <c r="D139" s="94">
        <f>IF(D138=0,"",D64/D138)</f>
        <v/>
      </c>
      <c r="E139" s="94">
        <f>IF(E138=0,"",E64/E138)</f>
        <v/>
      </c>
      <c r="F139" s="94">
        <f>IF(F138=0,"",F64/F138)</f>
        <v/>
      </c>
      <c r="G139" s="95">
        <f>IF(G138=0,"",G64/G138)</f>
        <v/>
      </c>
      <c r="H139" s="95">
        <f>IF(H138=0,"",H64/H138)</f>
        <v/>
      </c>
      <c r="I139" s="95">
        <f>IF(I138=0,"",I64/I138)</f>
        <v/>
      </c>
      <c r="J139" s="95">
        <f>IF(J138=0,"",J64/J138)</f>
        <v/>
      </c>
      <c r="K139" s="95">
        <f>IF(K138=0,"",K64/K138)</f>
        <v/>
      </c>
      <c r="L139" s="95">
        <f>IF(L138=0,"",L64/L138)</f>
        <v/>
      </c>
      <c r="M139" s="95">
        <f>IF(M138=0,"",M64/M138)</f>
        <v/>
      </c>
      <c r="N139" s="95">
        <f>IF(N138=0,"",N64/N138)</f>
        <v/>
      </c>
      <c r="O139" s="95">
        <f>IF(O138=0,"",O64/O138)</f>
        <v/>
      </c>
      <c r="P139" s="95">
        <f>IF(P138=0,"",P64/P138)</f>
        <v/>
      </c>
    </row>
    <row r="140">
      <c r="B140" s="8" t="inlineStr">
        <is>
          <t>P/B</t>
        </is>
      </c>
      <c r="C140" t="inlineStr">
        <is>
          <t>x</t>
        </is>
      </c>
      <c r="D140" s="84">
        <f>IF(OR(D138=0,Value!$C$4=0),"",Value!$C$4*D69/D138)</f>
        <v/>
      </c>
      <c r="E140" s="84">
        <f>IF(OR(E138=0,Value!$C$4=0),"",Value!$C$4*E69/E138)</f>
        <v/>
      </c>
      <c r="F140" s="84">
        <f>IF(OR(F138=0,Value!$C$4=0),"",Value!$C$4*F69/F138)</f>
        <v/>
      </c>
      <c r="G140" s="93">
        <f>IF(OR(G138=0,Value!$C$4=0),"",Value!$C$4*G69/G138)</f>
        <v/>
      </c>
      <c r="H140" s="93">
        <f>IF(OR(H138=0,Value!$C$4=0),"",Value!$C$4*H69/H138)</f>
        <v/>
      </c>
      <c r="I140" s="93">
        <f>IF(OR(I138=0,Value!$C$4=0),"",Value!$C$4*I69/I138)</f>
        <v/>
      </c>
      <c r="J140" s="93">
        <f>IF(OR(J138=0,Value!$C$4=0),"",Value!$C$4*J69/J138)</f>
        <v/>
      </c>
      <c r="K140" s="93">
        <f>IF(OR(K138=0,Value!$C$4=0),"",Value!$C$4*K69/K138)</f>
        <v/>
      </c>
      <c r="L140" s="93">
        <f>IF(OR(L138=0,Value!$C$4=0),"",Value!$C$4*L69/L138)</f>
        <v/>
      </c>
      <c r="M140" s="93">
        <f>IF(OR(M138=0,Value!$C$4=0),"",Value!$C$4*M69/M138)</f>
        <v/>
      </c>
      <c r="N140" s="93">
        <f>IF(OR(N138=0,Value!$C$4=0),"",Value!$C$4*N69/N138)</f>
        <v/>
      </c>
      <c r="O140" s="93">
        <f>IF(OR(O138=0,Value!$C$4=0),"",Value!$C$4*O69/O138)</f>
        <v/>
      </c>
      <c r="P140" s="93">
        <f>IF(OR(P138=0,Value!$C$4=0),"",Value!$C$4*P69/P138)</f>
        <v/>
      </c>
    </row>
    <row r="141">
      <c r="B141" s="8" t="inlineStr">
        <is>
          <t>BS Check (should be 0, +/-0.2 due to rounding)</t>
        </is>
      </c>
      <c r="C141" t="inlineStr">
        <is>
          <t>A$m</t>
        </is>
      </c>
      <c r="D141" s="82">
        <f>D114-D126-D138</f>
        <v/>
      </c>
      <c r="E141" s="82">
        <f>E114-E126-E138</f>
        <v/>
      </c>
      <c r="F141" s="82">
        <f>F114-F126-F138</f>
        <v/>
      </c>
      <c r="G141" s="83">
        <f>G114-G126-G138</f>
        <v/>
      </c>
      <c r="H141" s="83">
        <f>H114-H126-H138</f>
        <v/>
      </c>
      <c r="I141" s="83">
        <f>I114-I126-I138</f>
        <v/>
      </c>
      <c r="J141" s="83">
        <f>J114-J126-J138</f>
        <v/>
      </c>
      <c r="K141" s="83">
        <f>K114-K126-K138</f>
        <v/>
      </c>
      <c r="L141" s="83">
        <f>L114-L126-L138</f>
        <v/>
      </c>
      <c r="M141" s="83">
        <f>M114-M126-M138</f>
        <v/>
      </c>
      <c r="N141" s="83">
        <f>N114-N126-N138</f>
        <v/>
      </c>
      <c r="O141" s="83">
        <f>O114-O126-O138</f>
        <v/>
      </c>
      <c r="P141" s="83">
        <f>P114-P126-P138</f>
        <v/>
      </c>
    </row>
    <row r="142">
      <c r="B142" s="8" t="n"/>
      <c r="D142" s="96" t="n"/>
      <c r="E142" s="96" t="n"/>
      <c r="F142" s="96" t="n"/>
      <c r="G142" s="96" t="n"/>
      <c r="H142" s="96" t="n"/>
      <c r="I142" s="96" t="n"/>
      <c r="J142" s="96" t="n"/>
      <c r="K142" s="96" t="n"/>
      <c r="L142" s="96" t="n"/>
      <c r="M142" s="96" t="n"/>
      <c r="N142" s="96" t="n"/>
      <c r="O142" s="96" t="n"/>
      <c r="P142" s="96" t="n"/>
    </row>
    <row r="143">
      <c r="A143" s="91" t="n"/>
      <c r="B143" s="92" t="inlineStr">
        <is>
          <t>Cash Flow</t>
        </is>
      </c>
      <c r="C143" s="91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</row>
    <row r="144">
      <c r="B144" s="5" t="inlineStr">
        <is>
          <t>CFO</t>
        </is>
      </c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</row>
    <row r="145">
      <c r="A145" t="inlineStr">
        <is>
          <t>CF-EBITDA</t>
        </is>
      </c>
      <c r="B145" s="8" t="inlineStr">
        <is>
          <t>Underlying EBITDA</t>
        </is>
      </c>
      <c r="C145" t="inlineStr">
        <is>
          <t>A$m</t>
        </is>
      </c>
      <c r="D145" s="82">
        <f>D30</f>
        <v/>
      </c>
      <c r="E145" s="82">
        <f>E30</f>
        <v/>
      </c>
      <c r="F145" s="82">
        <f>F30</f>
        <v/>
      </c>
      <c r="G145" s="83">
        <f>G30</f>
        <v/>
      </c>
      <c r="H145" s="83">
        <f>H30</f>
        <v/>
      </c>
      <c r="I145" s="83">
        <f>I30</f>
        <v/>
      </c>
      <c r="J145" s="83">
        <f>J30</f>
        <v/>
      </c>
      <c r="K145" s="83">
        <f>K30</f>
        <v/>
      </c>
      <c r="L145" s="83">
        <f>L30</f>
        <v/>
      </c>
      <c r="M145" s="83">
        <f>M30</f>
        <v/>
      </c>
      <c r="N145" s="83">
        <f>N30</f>
        <v/>
      </c>
      <c r="O145" s="83">
        <f>O30</f>
        <v/>
      </c>
      <c r="P145" s="83">
        <f>P30</f>
        <v/>
      </c>
    </row>
    <row r="146">
      <c r="A146" t="inlineStr">
        <is>
          <t>CF-WC Change</t>
        </is>
      </c>
      <c r="B146" t="inlineStr">
        <is>
          <t>Working Capital Change</t>
        </is>
      </c>
      <c r="C146" t="inlineStr">
        <is>
          <t>A$m</t>
        </is>
      </c>
      <c r="D146" s="44" t="n">
        <v>-3.806</v>
      </c>
      <c r="E146" s="44" t="n">
        <v>0.696</v>
      </c>
      <c r="F146" s="44" t="n">
        <v>1.31</v>
      </c>
      <c r="G146" s="58">
        <f>-(G106-F106)-(G107-F107)+(G122-F122)</f>
        <v/>
      </c>
      <c r="H146" s="58">
        <f>-(H106-G106)-(H107-G107)+(H122-G122)</f>
        <v/>
      </c>
      <c r="I146" s="58">
        <f>-(I106-H106)-(I107-H107)+(I122-H122)</f>
        <v/>
      </c>
      <c r="J146" s="58">
        <f>-(J106-I106)-(J107-I107)+(J122-I122)</f>
        <v/>
      </c>
      <c r="K146" s="58">
        <f>-(K106-J106)-(K107-J107)+(K122-J122)</f>
        <v/>
      </c>
      <c r="L146" s="58">
        <f>-(L106-K106)-(L107-K107)+(L122-K122)</f>
        <v/>
      </c>
      <c r="M146" s="58">
        <f>-(M106-L106)-(M107-L107)+(M122-L122)</f>
        <v/>
      </c>
      <c r="N146" s="58">
        <f>-(N106-M106)-(N107-M107)+(N122-M122)</f>
        <v/>
      </c>
      <c r="O146" s="58">
        <f>-(O106-N106)-(O107-N107)+(O122-N122)</f>
        <v/>
      </c>
      <c r="P146" s="58">
        <f>-(P106-O106)-(P107-O107)+(P122-O122)</f>
        <v/>
      </c>
    </row>
    <row r="147">
      <c r="A147" t="inlineStr">
        <is>
          <t>CF-Significant Items</t>
        </is>
      </c>
      <c r="B147" t="inlineStr">
        <is>
          <t>Significant Items/Non-Cash Items</t>
        </is>
      </c>
      <c r="C147" t="inlineStr">
        <is>
          <t>A$m</t>
        </is>
      </c>
      <c r="D147" s="44" t="n">
        <v>13.376</v>
      </c>
      <c r="E147" s="44" t="n">
        <v>13.834</v>
      </c>
      <c r="F147" s="44" t="n">
        <v>8.859</v>
      </c>
      <c r="G147" s="58">
        <f>-G28</f>
        <v/>
      </c>
      <c r="H147" s="58">
        <f>-H28</f>
        <v/>
      </c>
      <c r="I147" s="58">
        <f>-I28</f>
        <v/>
      </c>
      <c r="J147" s="58">
        <f>-J28</f>
        <v/>
      </c>
      <c r="K147" s="58">
        <f>-K28</f>
        <v/>
      </c>
      <c r="L147" s="58">
        <f>-L28</f>
        <v/>
      </c>
      <c r="M147" s="58">
        <f>-M28</f>
        <v/>
      </c>
      <c r="N147" s="58">
        <f>-N28</f>
        <v/>
      </c>
      <c r="O147" s="58">
        <f>-O28</f>
        <v/>
      </c>
      <c r="P147" s="58">
        <f>-P28</f>
        <v/>
      </c>
    </row>
    <row r="148">
      <c r="B148" s="19" t="inlineStr">
        <is>
          <t>Gross Operating Cash Flow</t>
        </is>
      </c>
      <c r="C148" s="19" t="inlineStr">
        <is>
          <t>A$m</t>
        </is>
      </c>
      <c r="D148" s="82">
        <f>SUM(D145:D147)</f>
        <v/>
      </c>
      <c r="E148" s="82">
        <f>SUM(E145:E147)</f>
        <v/>
      </c>
      <c r="F148" s="82">
        <f>SUM(F145:F147)</f>
        <v/>
      </c>
      <c r="G148" s="83">
        <f>SUM(G145:G147)</f>
        <v/>
      </c>
      <c r="H148" s="83">
        <f>SUM(H145:H147)</f>
        <v/>
      </c>
      <c r="I148" s="83">
        <f>SUM(I145:I147)</f>
        <v/>
      </c>
      <c r="J148" s="83">
        <f>SUM(J145:J147)</f>
        <v/>
      </c>
      <c r="K148" s="83">
        <f>SUM(K145:K147)</f>
        <v/>
      </c>
      <c r="L148" s="83">
        <f>SUM(L145:L147)</f>
        <v/>
      </c>
      <c r="M148" s="83">
        <f>SUM(M145:M147)</f>
        <v/>
      </c>
      <c r="N148" s="83">
        <f>SUM(N145:N147)</f>
        <v/>
      </c>
      <c r="O148" s="83">
        <f>SUM(O145:O147)</f>
        <v/>
      </c>
      <c r="P148" s="83">
        <f>SUM(P145:P147)</f>
        <v/>
      </c>
    </row>
    <row r="149">
      <c r="A149" t="inlineStr">
        <is>
          <t>CF-Int Received</t>
        </is>
      </c>
      <c r="B149" t="inlineStr">
        <is>
          <t>Interest Received</t>
        </is>
      </c>
      <c r="C149" t="inlineStr">
        <is>
          <t>A$m</t>
        </is>
      </c>
      <c r="D149" s="44" t="n">
        <v>0.964</v>
      </c>
      <c r="E149" s="44" t="n">
        <v>6.1</v>
      </c>
      <c r="F149" s="44" t="n">
        <v>10.185</v>
      </c>
      <c r="G149" s="58">
        <f>G55</f>
        <v/>
      </c>
      <c r="H149" s="58">
        <f>H55</f>
        <v/>
      </c>
      <c r="I149" s="58">
        <f>I55</f>
        <v/>
      </c>
      <c r="J149" s="58">
        <f>J55</f>
        <v/>
      </c>
      <c r="K149" s="58">
        <f>K55</f>
        <v/>
      </c>
      <c r="L149" s="58">
        <f>L55</f>
        <v/>
      </c>
      <c r="M149" s="58">
        <f>M55</f>
        <v/>
      </c>
      <c r="N149" s="58">
        <f>N55</f>
        <v/>
      </c>
      <c r="O149" s="58">
        <f>O55</f>
        <v/>
      </c>
      <c r="P149" s="58">
        <f>P55</f>
        <v/>
      </c>
    </row>
    <row r="150">
      <c r="A150" t="inlineStr">
        <is>
          <t>CF-Interest Paid</t>
        </is>
      </c>
      <c r="B150" t="inlineStr">
        <is>
          <t>Interest Paid</t>
        </is>
      </c>
      <c r="C150" t="inlineStr">
        <is>
          <t>A$m</t>
        </is>
      </c>
      <c r="D150" s="44" t="n">
        <v>-0.304</v>
      </c>
      <c r="E150" s="44" t="n">
        <v>-0.329</v>
      </c>
      <c r="F150" s="44" t="n">
        <v>-0.131</v>
      </c>
      <c r="G150" s="58">
        <f>G57</f>
        <v/>
      </c>
      <c r="H150" s="58">
        <f>H57</f>
        <v/>
      </c>
      <c r="I150" s="58">
        <f>I57</f>
        <v/>
      </c>
      <c r="J150" s="58">
        <f>J57</f>
        <v/>
      </c>
      <c r="K150" s="58">
        <f>K57</f>
        <v/>
      </c>
      <c r="L150" s="58">
        <f>L57</f>
        <v/>
      </c>
      <c r="M150" s="58">
        <f>M57</f>
        <v/>
      </c>
      <c r="N150" s="58">
        <f>N57</f>
        <v/>
      </c>
      <c r="O150" s="58">
        <f>O57</f>
        <v/>
      </c>
      <c r="P150" s="58">
        <f>P57</f>
        <v/>
      </c>
    </row>
    <row r="151">
      <c r="A151" t="inlineStr">
        <is>
          <t>CF-Lease Int Paid</t>
        </is>
      </c>
      <c r="B151" t="inlineStr">
        <is>
          <t>Lease Interest Paid</t>
        </is>
      </c>
      <c r="C151" t="inlineStr">
        <is>
          <t>A$m</t>
        </is>
      </c>
      <c r="D151" s="44" t="n">
        <v>-4.606</v>
      </c>
      <c r="E151" s="44" t="n">
        <v>-6.32</v>
      </c>
      <c r="F151" s="44" t="n">
        <v>-8.625999999999999</v>
      </c>
      <c r="G151" s="58">
        <f>G56</f>
        <v/>
      </c>
      <c r="H151" s="58">
        <f>H56</f>
        <v/>
      </c>
      <c r="I151" s="58">
        <f>I56</f>
        <v/>
      </c>
      <c r="J151" s="58">
        <f>J56</f>
        <v/>
      </c>
      <c r="K151" s="58">
        <f>K56</f>
        <v/>
      </c>
      <c r="L151" s="58">
        <f>L56</f>
        <v/>
      </c>
      <c r="M151" s="58">
        <f>M56</f>
        <v/>
      </c>
      <c r="N151" s="58">
        <f>N56</f>
        <v/>
      </c>
      <c r="O151" s="58">
        <f>O56</f>
        <v/>
      </c>
      <c r="P151" s="58">
        <f>P56</f>
        <v/>
      </c>
    </row>
    <row r="152">
      <c r="A152" t="inlineStr">
        <is>
          <t>CF-Tax Paid</t>
        </is>
      </c>
      <c r="B152" t="inlineStr">
        <is>
          <t>Tax Paid</t>
        </is>
      </c>
      <c r="C152" t="inlineStr">
        <is>
          <t>A$m</t>
        </is>
      </c>
      <c r="D152" s="44" t="n">
        <v>-0.298</v>
      </c>
      <c r="E152" s="44" t="n">
        <v>-4.489</v>
      </c>
      <c r="F152" s="44" t="n">
        <v>-19.389</v>
      </c>
      <c r="G152" s="58">
        <f>G62</f>
        <v/>
      </c>
      <c r="H152" s="58">
        <f>H62</f>
        <v/>
      </c>
      <c r="I152" s="58">
        <f>I62</f>
        <v/>
      </c>
      <c r="J152" s="58">
        <f>J62</f>
        <v/>
      </c>
      <c r="K152" s="58">
        <f>K62</f>
        <v/>
      </c>
      <c r="L152" s="58">
        <f>L62</f>
        <v/>
      </c>
      <c r="M152" s="58">
        <f>M62</f>
        <v/>
      </c>
      <c r="N152" s="58">
        <f>N62</f>
        <v/>
      </c>
      <c r="O152" s="58">
        <f>O62</f>
        <v/>
      </c>
      <c r="P152" s="58">
        <f>P62</f>
        <v/>
      </c>
    </row>
    <row r="153">
      <c r="A153" t="inlineStr">
        <is>
          <t>CF-Net OCF</t>
        </is>
      </c>
      <c r="B153" s="19" t="inlineStr">
        <is>
          <t>Net Operating Cash Flow</t>
        </is>
      </c>
      <c r="C153" s="19" t="inlineStr">
        <is>
          <t>A$m</t>
        </is>
      </c>
      <c r="D153" s="82">
        <f>D148+D149+D150+D151+D152</f>
        <v/>
      </c>
      <c r="E153" s="82">
        <f>E148+E149+E150+E151+E152</f>
        <v/>
      </c>
      <c r="F153" s="82">
        <f>F148+F149+F150+F151+F152</f>
        <v/>
      </c>
      <c r="G153" s="83">
        <f>G148+G149+G150+G151+G152</f>
        <v/>
      </c>
      <c r="H153" s="83">
        <f>H148+H149+H150+H151+H152</f>
        <v/>
      </c>
      <c r="I153" s="83">
        <f>I148+I149+I150+I151+I152</f>
        <v/>
      </c>
      <c r="J153" s="83">
        <f>J148+J149+J150+J151+J152</f>
        <v/>
      </c>
      <c r="K153" s="83">
        <f>K148+K149+K150+K151+K152</f>
        <v/>
      </c>
      <c r="L153" s="83">
        <f>L148+L149+L150+L151+L152</f>
        <v/>
      </c>
      <c r="M153" s="83">
        <f>M148+M149+M150+M151+M152</f>
        <v/>
      </c>
      <c r="N153" s="83">
        <f>N148+N149+N150+N151+N152</f>
        <v/>
      </c>
      <c r="O153" s="83">
        <f>O148+O149+O150+O151+O152</f>
        <v/>
      </c>
      <c r="P153" s="83">
        <f>P148+P149+P150+P151+P152</f>
        <v/>
      </c>
    </row>
    <row r="154">
      <c r="B154" t="inlineStr">
        <is>
          <t>OCF Growth</t>
        </is>
      </c>
      <c r="C154" t="inlineStr">
        <is>
          <t>% YoY</t>
        </is>
      </c>
      <c r="D154" s="34" t="n"/>
      <c r="E154" s="46">
        <f>IF(D153=0,"",E153/D153-1)</f>
        <v/>
      </c>
      <c r="F154" s="46">
        <f>IF(E153=0,"",F153/E153-1)</f>
        <v/>
      </c>
      <c r="G154" s="60">
        <f>IF(F153=0,"",G153/F153-1)</f>
        <v/>
      </c>
      <c r="H154" s="60">
        <f>IF(G153=0,"",H153/G153-1)</f>
        <v/>
      </c>
      <c r="I154" s="60">
        <f>IF(H153=0,"",I153/H153-1)</f>
        <v/>
      </c>
      <c r="J154" s="60">
        <f>IF(I153=0,"",J153/I153-1)</f>
        <v/>
      </c>
      <c r="K154" s="60">
        <f>IF(J153=0,"",K153/J153-1)</f>
        <v/>
      </c>
      <c r="L154" s="60">
        <f>IF(K153=0,"",L153/K153-1)</f>
        <v/>
      </c>
      <c r="M154" s="60">
        <f>IF(L153=0,"",M153/L153-1)</f>
        <v/>
      </c>
      <c r="N154" s="60">
        <f>IF(M153=0,"",N153/M153-1)</f>
        <v/>
      </c>
      <c r="O154" s="60">
        <f>IF(N153=0,"",O153/N153-1)</f>
        <v/>
      </c>
      <c r="P154" s="60">
        <f>IF(O153=0,"",P153/O153-1)</f>
        <v/>
      </c>
    </row>
    <row r="155">
      <c r="B155" t="inlineStr">
        <is>
          <t>EBITDA Cashflow conversion</t>
        </is>
      </c>
      <c r="C155" t="inlineStr">
        <is>
          <t>%</t>
        </is>
      </c>
      <c r="D155" s="46">
        <f>IF(D145=0,"",D153/D145)</f>
        <v/>
      </c>
      <c r="E155" s="46">
        <f>IF(E145=0,"",E153/E145)</f>
        <v/>
      </c>
      <c r="F155" s="46">
        <f>IF(F145=0,"",F153/F145)</f>
        <v/>
      </c>
      <c r="G155" s="60">
        <f>IF(G145=0,"",G153/G145)</f>
        <v/>
      </c>
      <c r="H155" s="60">
        <f>IF(H145=0,"",H153/H145)</f>
        <v/>
      </c>
      <c r="I155" s="60">
        <f>IF(I145=0,"",I153/I145)</f>
        <v/>
      </c>
      <c r="J155" s="60">
        <f>IF(J145=0,"",J153/J145)</f>
        <v/>
      </c>
      <c r="K155" s="60">
        <f>IF(K145=0,"",K153/K145)</f>
        <v/>
      </c>
      <c r="L155" s="60">
        <f>IF(L145=0,"",L153/L145)</f>
        <v/>
      </c>
      <c r="M155" s="60">
        <f>IF(M145=0,"",M153/M145)</f>
        <v/>
      </c>
      <c r="N155" s="60">
        <f>IF(N145=0,"",N153/N145)</f>
        <v/>
      </c>
      <c r="O155" s="60">
        <f>IF(O145=0,"",O153/O145)</f>
        <v/>
      </c>
      <c r="P155" s="60">
        <f>IF(P145=0,"",P153/P145)</f>
        <v/>
      </c>
    </row>
    <row r="156"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</row>
    <row r="157">
      <c r="B157" s="5" t="inlineStr">
        <is>
          <t>CFI</t>
        </is>
      </c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</row>
    <row r="158">
      <c r="A158" t="inlineStr">
        <is>
          <t>CF-Capex PPE</t>
        </is>
      </c>
      <c r="B158" t="inlineStr">
        <is>
          <t>Capex (PPE)</t>
        </is>
      </c>
      <c r="C158" t="inlineStr">
        <is>
          <t>A$m</t>
        </is>
      </c>
      <c r="D158" s="44" t="n">
        <v>-39.713</v>
      </c>
      <c r="E158" s="44" t="n">
        <v>-33.496</v>
      </c>
      <c r="F158" s="44" t="n">
        <v>-61.326</v>
      </c>
      <c r="G158" s="58">
        <f>G159*G12</f>
        <v/>
      </c>
      <c r="H158" s="58">
        <f>H159*H12</f>
        <v/>
      </c>
      <c r="I158" s="58">
        <f>I159*I12</f>
        <v/>
      </c>
      <c r="J158" s="58">
        <f>J159*J12</f>
        <v/>
      </c>
      <c r="K158" s="58">
        <f>K159*K12</f>
        <v/>
      </c>
      <c r="L158" s="58">
        <f>L159*L12</f>
        <v/>
      </c>
      <c r="M158" s="58">
        <f>M159*M12</f>
        <v/>
      </c>
      <c r="N158" s="58">
        <f>N159*N12</f>
        <v/>
      </c>
      <c r="O158" s="58">
        <f>O159*O12</f>
        <v/>
      </c>
      <c r="P158" s="58">
        <f>P159*P12</f>
        <v/>
      </c>
    </row>
    <row r="159">
      <c r="B159" s="20" t="inlineStr">
        <is>
          <t>Capex / Sales</t>
        </is>
      </c>
      <c r="C159" t="inlineStr">
        <is>
          <t>%</t>
        </is>
      </c>
      <c r="D159" s="46">
        <f>IF(D12=0,"",(D158+D160)/D12)</f>
        <v/>
      </c>
      <c r="E159" s="46">
        <f>IF(E12=0,"",(E158+E160)/E12)</f>
        <v/>
      </c>
      <c r="F159" s="46">
        <f>IF(F12=0,"",(F158+F160)/F12)</f>
        <v/>
      </c>
      <c r="G159" s="71">
        <f>F159</f>
        <v/>
      </c>
      <c r="H159" s="71">
        <f>G159</f>
        <v/>
      </c>
      <c r="I159" s="71">
        <f>H159</f>
        <v/>
      </c>
      <c r="J159" s="71">
        <f>I159</f>
        <v/>
      </c>
      <c r="K159" s="71">
        <f>J159</f>
        <v/>
      </c>
      <c r="L159" s="71">
        <f>K159</f>
        <v/>
      </c>
      <c r="M159" s="71">
        <f>L159</f>
        <v/>
      </c>
      <c r="N159" s="71">
        <f>M159</f>
        <v/>
      </c>
      <c r="O159" s="71">
        <f>N159</f>
        <v/>
      </c>
      <c r="P159" s="71">
        <f>O159</f>
        <v/>
      </c>
    </row>
    <row r="160">
      <c r="A160" t="inlineStr">
        <is>
          <t>CF-Capex Intang</t>
        </is>
      </c>
      <c r="B160" t="inlineStr">
        <is>
          <t>Capex (Intangibles)</t>
        </is>
      </c>
      <c r="C160" t="inlineStr">
        <is>
          <t>A$m</t>
        </is>
      </c>
      <c r="D160" s="44" t="n">
        <v>-2.944</v>
      </c>
      <c r="E160" s="44" t="n">
        <v>-0.063</v>
      </c>
      <c r="F160" s="44" t="n">
        <v>-0.037</v>
      </c>
      <c r="G160" s="70" t="n">
        <v>0</v>
      </c>
      <c r="H160" s="70" t="n">
        <v>0</v>
      </c>
      <c r="I160" s="70" t="n">
        <v>0</v>
      </c>
      <c r="J160" s="70" t="n">
        <v>0</v>
      </c>
      <c r="K160" s="70" t="n">
        <v>0</v>
      </c>
      <c r="L160" s="70" t="n">
        <v>0</v>
      </c>
      <c r="M160" s="70" t="n">
        <v>0</v>
      </c>
      <c r="N160" s="70" t="n">
        <v>0</v>
      </c>
      <c r="O160" s="70" t="n">
        <v>0</v>
      </c>
      <c r="P160" s="70" t="n">
        <v>0</v>
      </c>
    </row>
    <row r="161">
      <c r="A161" t="inlineStr">
        <is>
          <t>CF-Acquisitions</t>
        </is>
      </c>
      <c r="B161" t="inlineStr">
        <is>
          <t>Acquisitions</t>
        </is>
      </c>
      <c r="C161" t="inlineStr">
        <is>
          <t>A$m</t>
        </is>
      </c>
      <c r="D161" s="44" t="n">
        <v>-6.44</v>
      </c>
      <c r="E161" s="44" t="n">
        <v>-3.128</v>
      </c>
      <c r="F161" s="44" t="n">
        <v>-15.473</v>
      </c>
      <c r="G161" s="70" t="n">
        <v>0</v>
      </c>
      <c r="H161" s="70" t="n">
        <v>0</v>
      </c>
      <c r="I161" s="70" t="n">
        <v>0</v>
      </c>
      <c r="J161" s="70" t="n">
        <v>0</v>
      </c>
      <c r="K161" s="70" t="n">
        <v>0</v>
      </c>
      <c r="L161" s="70" t="n">
        <v>0</v>
      </c>
      <c r="M161" s="70" t="n">
        <v>0</v>
      </c>
      <c r="N161" s="70" t="n">
        <v>0</v>
      </c>
      <c r="O161" s="70" t="n">
        <v>0</v>
      </c>
      <c r="P161" s="70" t="n">
        <v>0</v>
      </c>
    </row>
    <row r="162">
      <c r="A162" t="inlineStr">
        <is>
          <t>CF-Asset Sales</t>
        </is>
      </c>
      <c r="B162" t="inlineStr">
        <is>
          <t>Asset Sales</t>
        </is>
      </c>
      <c r="C162" t="inlineStr">
        <is>
          <t>A$m</t>
        </is>
      </c>
      <c r="D162" s="44" t="n">
        <v>0.694</v>
      </c>
      <c r="E162" s="44" t="n">
        <v>2.964</v>
      </c>
      <c r="F162" s="44" t="n">
        <v>3.879</v>
      </c>
      <c r="G162" s="70" t="n">
        <v>0</v>
      </c>
      <c r="H162" s="70" t="n">
        <v>0</v>
      </c>
      <c r="I162" s="70" t="n">
        <v>0</v>
      </c>
      <c r="J162" s="70" t="n">
        <v>0</v>
      </c>
      <c r="K162" s="70" t="n">
        <v>0</v>
      </c>
      <c r="L162" s="70" t="n">
        <v>0</v>
      </c>
      <c r="M162" s="70" t="n">
        <v>0</v>
      </c>
      <c r="N162" s="70" t="n">
        <v>0</v>
      </c>
      <c r="O162" s="70" t="n">
        <v>0</v>
      </c>
      <c r="P162" s="70" t="n">
        <v>0</v>
      </c>
    </row>
    <row r="163">
      <c r="A163" t="inlineStr">
        <is>
          <t>CF-Other CFI</t>
        </is>
      </c>
      <c r="B163" t="inlineStr">
        <is>
          <t>Other</t>
        </is>
      </c>
      <c r="C163" t="inlineStr">
        <is>
          <t>A$m</t>
        </is>
      </c>
      <c r="D163" s="44" t="n">
        <v>0</v>
      </c>
      <c r="E163" s="44" t="n">
        <v>-278.095</v>
      </c>
      <c r="F163" s="44" t="n">
        <v>38.406</v>
      </c>
      <c r="G163" s="70" t="n">
        <v>0</v>
      </c>
      <c r="H163" s="70" t="n">
        <v>0</v>
      </c>
      <c r="I163" s="70" t="n">
        <v>0</v>
      </c>
      <c r="J163" s="70" t="n">
        <v>0</v>
      </c>
      <c r="K163" s="70" t="n">
        <v>0</v>
      </c>
      <c r="L163" s="70" t="n">
        <v>0</v>
      </c>
      <c r="M163" s="70" t="n">
        <v>0</v>
      </c>
      <c r="N163" s="70" t="n">
        <v>0</v>
      </c>
      <c r="O163" s="70" t="n">
        <v>0</v>
      </c>
      <c r="P163" s="70" t="n">
        <v>0</v>
      </c>
    </row>
    <row r="164">
      <c r="B164" s="19" t="inlineStr">
        <is>
          <t>Total Investing Cash Flow</t>
        </is>
      </c>
      <c r="C164" s="19" t="inlineStr">
        <is>
          <t>A$m</t>
        </is>
      </c>
      <c r="D164" s="82">
        <f>SUM(D158,D160:D163)</f>
        <v/>
      </c>
      <c r="E164" s="82">
        <f>SUM(E158,E160:E163)</f>
        <v/>
      </c>
      <c r="F164" s="82">
        <f>SUM(F158,F160:F163)</f>
        <v/>
      </c>
      <c r="G164" s="83">
        <f>SUM(G158,G160:G163)</f>
        <v/>
      </c>
      <c r="H164" s="83">
        <f>SUM(H158,H160:H163)</f>
        <v/>
      </c>
      <c r="I164" s="83">
        <f>SUM(I158,I160:I163)</f>
        <v/>
      </c>
      <c r="J164" s="83">
        <f>SUM(J158,J160:J163)</f>
        <v/>
      </c>
      <c r="K164" s="83">
        <f>SUM(K158,K160:K163)</f>
        <v/>
      </c>
      <c r="L164" s="83">
        <f>SUM(L158,L160:L163)</f>
        <v/>
      </c>
      <c r="M164" s="83">
        <f>SUM(M158,M160:M163)</f>
        <v/>
      </c>
      <c r="N164" s="83">
        <f>SUM(N158,N160:N163)</f>
        <v/>
      </c>
      <c r="O164" s="83">
        <f>SUM(O158,O160:O163)</f>
        <v/>
      </c>
      <c r="P164" s="83">
        <f>SUM(P158,P160:P163)</f>
        <v/>
      </c>
    </row>
    <row r="165"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</row>
    <row r="166">
      <c r="B166" s="5" t="inlineStr">
        <is>
          <t>CFF</t>
        </is>
      </c>
      <c r="D166" s="34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</row>
    <row r="167">
      <c r="A167" t="inlineStr">
        <is>
          <t>CF-Dividends</t>
        </is>
      </c>
      <c r="B167" t="inlineStr">
        <is>
          <t>Dividends Paid</t>
        </is>
      </c>
      <c r="C167" t="inlineStr">
        <is>
          <t>A$m</t>
        </is>
      </c>
      <c r="D167" s="44" t="n">
        <v>0</v>
      </c>
      <c r="E167" s="44" t="n">
        <v>0</v>
      </c>
      <c r="F167" s="44" t="n">
        <v>0</v>
      </c>
      <c r="G167" s="58">
        <f>-F79</f>
        <v/>
      </c>
      <c r="H167" s="58">
        <f>-G79</f>
        <v/>
      </c>
      <c r="I167" s="58">
        <f>-H79</f>
        <v/>
      </c>
      <c r="J167" s="58">
        <f>-I79</f>
        <v/>
      </c>
      <c r="K167" s="58">
        <f>-J79</f>
        <v/>
      </c>
      <c r="L167" s="58">
        <f>-K79</f>
        <v/>
      </c>
      <c r="M167" s="58">
        <f>-L79</f>
        <v/>
      </c>
      <c r="N167" s="58">
        <f>-M79</f>
        <v/>
      </c>
      <c r="O167" s="58">
        <f>-N79</f>
        <v/>
      </c>
      <c r="P167" s="58">
        <f>-O79</f>
        <v/>
      </c>
    </row>
    <row r="168">
      <c r="A168" t="inlineStr">
        <is>
          <t>CF-Share Issues</t>
        </is>
      </c>
      <c r="B168" t="inlineStr">
        <is>
          <t>Share Issues / Buybacks</t>
        </is>
      </c>
      <c r="C168" t="inlineStr">
        <is>
          <t>A$m</t>
        </is>
      </c>
      <c r="D168" s="44" t="n">
        <v>5.128</v>
      </c>
      <c r="E168" s="44" t="n">
        <v>267.223</v>
      </c>
      <c r="F168" s="44" t="n">
        <v>1.547</v>
      </c>
      <c r="G168" s="70" t="n">
        <v>0</v>
      </c>
      <c r="H168" s="70" t="n">
        <v>0</v>
      </c>
      <c r="I168" s="70" t="n">
        <v>0</v>
      </c>
      <c r="J168" s="70" t="n">
        <v>0</v>
      </c>
      <c r="K168" s="70" t="n">
        <v>0</v>
      </c>
      <c r="L168" s="70" t="n">
        <v>0</v>
      </c>
      <c r="M168" s="70" t="n">
        <v>0</v>
      </c>
      <c r="N168" s="70" t="n">
        <v>0</v>
      </c>
      <c r="O168" s="70" t="n">
        <v>0</v>
      </c>
      <c r="P168" s="70" t="n">
        <v>0</v>
      </c>
    </row>
    <row r="169">
      <c r="A169" t="inlineStr">
        <is>
          <t>CF-Lease Principal</t>
        </is>
      </c>
      <c r="B169" t="inlineStr">
        <is>
          <t>Lease Principal Payments</t>
        </is>
      </c>
      <c r="C169" t="inlineStr">
        <is>
          <t>A$m</t>
        </is>
      </c>
      <c r="D169" s="44" t="n">
        <v>-6.72</v>
      </c>
      <c r="E169" s="44" t="n">
        <v>-9.912000000000001</v>
      </c>
      <c r="F169" s="44" t="n">
        <v>-10.83</v>
      </c>
      <c r="G169" s="58">
        <f>-F124/8</f>
        <v/>
      </c>
      <c r="H169" s="58">
        <f>-G124/8</f>
        <v/>
      </c>
      <c r="I169" s="58">
        <f>-H124/8</f>
        <v/>
      </c>
      <c r="J169" s="58">
        <f>-I124/8</f>
        <v/>
      </c>
      <c r="K169" s="58">
        <f>-J124/8</f>
        <v/>
      </c>
      <c r="L169" s="58">
        <f>-K124/8</f>
        <v/>
      </c>
      <c r="M169" s="58">
        <f>-L124/8</f>
        <v/>
      </c>
      <c r="N169" s="58">
        <f>-M124/8</f>
        <v/>
      </c>
      <c r="O169" s="58">
        <f>-N124/8</f>
        <v/>
      </c>
      <c r="P169" s="58">
        <f>-O124/8</f>
        <v/>
      </c>
    </row>
    <row r="170">
      <c r="A170" t="inlineStr">
        <is>
          <t>CF-Debt Change</t>
        </is>
      </c>
      <c r="B170" t="inlineStr">
        <is>
          <t>Change in Debt</t>
        </is>
      </c>
      <c r="C170" t="inlineStr">
        <is>
          <t>A$m</t>
        </is>
      </c>
      <c r="D170" s="44" t="n">
        <v>-0.358</v>
      </c>
      <c r="E170" s="44" t="n">
        <v>-3</v>
      </c>
      <c r="F170" s="44" t="n">
        <v>0</v>
      </c>
      <c r="G170" s="70" t="n">
        <v>0</v>
      </c>
      <c r="H170" s="70" t="n">
        <v>0</v>
      </c>
      <c r="I170" s="70" t="n">
        <v>0</v>
      </c>
      <c r="J170" s="70" t="n">
        <v>0</v>
      </c>
      <c r="K170" s="70" t="n">
        <v>0</v>
      </c>
      <c r="L170" s="70" t="n">
        <v>0</v>
      </c>
      <c r="M170" s="70" t="n">
        <v>0</v>
      </c>
      <c r="N170" s="70" t="n">
        <v>0</v>
      </c>
      <c r="O170" s="70" t="n">
        <v>0</v>
      </c>
      <c r="P170" s="70" t="n">
        <v>0</v>
      </c>
    </row>
    <row r="171">
      <c r="A171" t="inlineStr">
        <is>
          <t>CF-Other CFF</t>
        </is>
      </c>
      <c r="B171" t="inlineStr">
        <is>
          <t>Other</t>
        </is>
      </c>
      <c r="C171" t="inlineStr">
        <is>
          <t>A$m</t>
        </is>
      </c>
      <c r="D171" s="44" t="n">
        <v>1.429</v>
      </c>
      <c r="E171" s="44" t="n">
        <v>1.172</v>
      </c>
      <c r="F171" s="44" t="n">
        <v>8.534000000000001</v>
      </c>
      <c r="G171" s="70">
        <f>F171</f>
        <v/>
      </c>
      <c r="H171" s="70">
        <f>G171</f>
        <v/>
      </c>
      <c r="I171" s="70">
        <f>H171</f>
        <v/>
      </c>
      <c r="J171" s="70">
        <f>I171</f>
        <v/>
      </c>
      <c r="K171" s="70">
        <f>J171</f>
        <v/>
      </c>
      <c r="L171" s="70">
        <f>K171</f>
        <v/>
      </c>
      <c r="M171" s="70">
        <f>L171</f>
        <v/>
      </c>
      <c r="N171" s="70">
        <f>M171</f>
        <v/>
      </c>
      <c r="O171" s="70">
        <f>N171</f>
        <v/>
      </c>
      <c r="P171" s="70">
        <f>O171</f>
        <v/>
      </c>
    </row>
    <row r="172">
      <c r="B172" s="19" t="inlineStr">
        <is>
          <t>Total Financing Cash Flow</t>
        </is>
      </c>
      <c r="C172" s="19" t="inlineStr">
        <is>
          <t>A$m</t>
        </is>
      </c>
      <c r="D172" s="82">
        <f>SUM(D167:D171)</f>
        <v/>
      </c>
      <c r="E172" s="82">
        <f>SUM(E167:E171)</f>
        <v/>
      </c>
      <c r="F172" s="82">
        <f>SUM(F167:F171)</f>
        <v/>
      </c>
      <c r="G172" s="83">
        <f>SUM(G167:G171)</f>
        <v/>
      </c>
      <c r="H172" s="83">
        <f>SUM(H167:H171)</f>
        <v/>
      </c>
      <c r="I172" s="83">
        <f>SUM(I167:I171)</f>
        <v/>
      </c>
      <c r="J172" s="83">
        <f>SUM(J167:J171)</f>
        <v/>
      </c>
      <c r="K172" s="83">
        <f>SUM(K167:K171)</f>
        <v/>
      </c>
      <c r="L172" s="83">
        <f>SUM(L167:L171)</f>
        <v/>
      </c>
      <c r="M172" s="83">
        <f>SUM(M167:M171)</f>
        <v/>
      </c>
      <c r="N172" s="83">
        <f>SUM(N167:N171)</f>
        <v/>
      </c>
      <c r="O172" s="83">
        <f>SUM(O167:O171)</f>
        <v/>
      </c>
      <c r="P172" s="83">
        <f>SUM(P167:P171)</f>
        <v/>
      </c>
    </row>
    <row r="173">
      <c r="D173" s="34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</row>
    <row r="174">
      <c r="B174" s="19" t="inlineStr">
        <is>
          <t>Net Change in Cash</t>
        </is>
      </c>
      <c r="C174" s="19" t="inlineStr">
        <is>
          <t>A$m</t>
        </is>
      </c>
      <c r="D174" s="82">
        <f>D153+D164+D172</f>
        <v/>
      </c>
      <c r="E174" s="82">
        <f>E153+E164+E172</f>
        <v/>
      </c>
      <c r="F174" s="82">
        <f>F153+F164+F172</f>
        <v/>
      </c>
      <c r="G174" s="83">
        <f>G153+G164+G172</f>
        <v/>
      </c>
      <c r="H174" s="83">
        <f>H153+H164+H172</f>
        <v/>
      </c>
      <c r="I174" s="83">
        <f>I153+I164+I172</f>
        <v/>
      </c>
      <c r="J174" s="83">
        <f>J153+J164+J172</f>
        <v/>
      </c>
      <c r="K174" s="83">
        <f>K153+K164+K172</f>
        <v/>
      </c>
      <c r="L174" s="83">
        <f>L153+L164+L172</f>
        <v/>
      </c>
      <c r="M174" s="83">
        <f>M153+M164+M172</f>
        <v/>
      </c>
      <c r="N174" s="83">
        <f>N153+N164+N172</f>
        <v/>
      </c>
      <c r="O174" s="83">
        <f>O153+O164+O172</f>
        <v/>
      </c>
      <c r="P174" s="83">
        <f>P153+P164+P172</f>
        <v/>
      </c>
    </row>
    <row r="175"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</row>
    <row r="176">
      <c r="A176" s="91" t="n"/>
      <c r="B176" s="92" t="inlineStr">
        <is>
          <t>Operating Free Cash Flow</t>
        </is>
      </c>
      <c r="C176" s="91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</row>
    <row r="177">
      <c r="B177" s="8" t="inlineStr">
        <is>
          <t>Net OCF</t>
        </is>
      </c>
      <c r="C177" t="inlineStr">
        <is>
          <t>A$m</t>
        </is>
      </c>
      <c r="D177" s="82">
        <f>D153</f>
        <v/>
      </c>
      <c r="E177" s="82">
        <f>E153</f>
        <v/>
      </c>
      <c r="F177" s="82">
        <f>F153</f>
        <v/>
      </c>
      <c r="G177" s="83">
        <f>G153</f>
        <v/>
      </c>
      <c r="H177" s="83">
        <f>H153</f>
        <v/>
      </c>
      <c r="I177" s="83">
        <f>I153</f>
        <v/>
      </c>
      <c r="J177" s="83">
        <f>J153</f>
        <v/>
      </c>
      <c r="K177" s="83">
        <f>K153</f>
        <v/>
      </c>
      <c r="L177" s="83">
        <f>L153</f>
        <v/>
      </c>
      <c r="M177" s="83">
        <f>M153</f>
        <v/>
      </c>
      <c r="N177" s="83">
        <f>N153</f>
        <v/>
      </c>
      <c r="O177" s="83">
        <f>O153</f>
        <v/>
      </c>
      <c r="P177" s="83">
        <f>P153</f>
        <v/>
      </c>
    </row>
    <row r="178">
      <c r="B178" s="8" t="inlineStr">
        <is>
          <t>Net Capex</t>
        </is>
      </c>
      <c r="C178" t="inlineStr">
        <is>
          <t>A$m</t>
        </is>
      </c>
      <c r="D178" s="82">
        <f>D158+D160</f>
        <v/>
      </c>
      <c r="E178" s="82">
        <f>E158+E160</f>
        <v/>
      </c>
      <c r="F178" s="82">
        <f>F158+F160</f>
        <v/>
      </c>
      <c r="G178" s="83">
        <f>G158+G160</f>
        <v/>
      </c>
      <c r="H178" s="83">
        <f>H158+H160</f>
        <v/>
      </c>
      <c r="I178" s="83">
        <f>I158+I160</f>
        <v/>
      </c>
      <c r="J178" s="83">
        <f>J158+J160</f>
        <v/>
      </c>
      <c r="K178" s="83">
        <f>K158+K160</f>
        <v/>
      </c>
      <c r="L178" s="83">
        <f>L158+L160</f>
        <v/>
      </c>
      <c r="M178" s="83">
        <f>M158+M160</f>
        <v/>
      </c>
      <c r="N178" s="83">
        <f>N158+N160</f>
        <v/>
      </c>
      <c r="O178" s="83">
        <f>O158+O160</f>
        <v/>
      </c>
      <c r="P178" s="83">
        <f>P158+P160</f>
        <v/>
      </c>
    </row>
    <row r="179">
      <c r="B179" s="8" t="inlineStr">
        <is>
          <t>Lease Principal</t>
        </is>
      </c>
      <c r="C179" t="inlineStr">
        <is>
          <t>A$m</t>
        </is>
      </c>
      <c r="D179" s="82">
        <f>D169</f>
        <v/>
      </c>
      <c r="E179" s="82">
        <f>E169</f>
        <v/>
      </c>
      <c r="F179" s="82">
        <f>F169</f>
        <v/>
      </c>
      <c r="G179" s="83">
        <f>G169</f>
        <v/>
      </c>
      <c r="H179" s="83">
        <f>H169</f>
        <v/>
      </c>
      <c r="I179" s="83">
        <f>I169</f>
        <v/>
      </c>
      <c r="J179" s="83">
        <f>J169</f>
        <v/>
      </c>
      <c r="K179" s="83">
        <f>K169</f>
        <v/>
      </c>
      <c r="L179" s="83">
        <f>L169</f>
        <v/>
      </c>
      <c r="M179" s="83">
        <f>M169</f>
        <v/>
      </c>
      <c r="N179" s="83">
        <f>N169</f>
        <v/>
      </c>
      <c r="O179" s="83">
        <f>O169</f>
        <v/>
      </c>
      <c r="P179" s="83">
        <f>P169</f>
        <v/>
      </c>
    </row>
    <row r="180">
      <c r="B180" s="19" t="inlineStr">
        <is>
          <t>Operating Free Cash Flow</t>
        </is>
      </c>
      <c r="C180" s="19" t="inlineStr">
        <is>
          <t>A$m</t>
        </is>
      </c>
      <c r="D180" s="82">
        <f>SUM(D177:D179)</f>
        <v/>
      </c>
      <c r="E180" s="82">
        <f>SUM(E177:E179)</f>
        <v/>
      </c>
      <c r="F180" s="82">
        <f>SUM(F177:F179)</f>
        <v/>
      </c>
      <c r="G180" s="83">
        <f>SUM(G177:G179)</f>
        <v/>
      </c>
      <c r="H180" s="83">
        <f>SUM(H177:H179)</f>
        <v/>
      </c>
      <c r="I180" s="83">
        <f>SUM(I177:I179)</f>
        <v/>
      </c>
      <c r="J180" s="83">
        <f>SUM(J177:J179)</f>
        <v/>
      </c>
      <c r="K180" s="83">
        <f>SUM(K177:K179)</f>
        <v/>
      </c>
      <c r="L180" s="83">
        <f>SUM(L177:L179)</f>
        <v/>
      </c>
      <c r="M180" s="83">
        <f>SUM(M177:M179)</f>
        <v/>
      </c>
      <c r="N180" s="83">
        <f>SUM(N177:N179)</f>
        <v/>
      </c>
      <c r="O180" s="83">
        <f>SUM(O177:O179)</f>
        <v/>
      </c>
      <c r="P180" s="83">
        <f>SUM(P177:P179)</f>
        <v/>
      </c>
    </row>
    <row r="181">
      <c r="B181" s="8" t="inlineStr">
        <is>
          <t>FCF per Share</t>
        </is>
      </c>
      <c r="C181" t="inlineStr">
        <is>
          <t>cps</t>
        </is>
      </c>
      <c r="D181" s="86">
        <f>IF(D72=0,"",D180/D72*100)</f>
        <v/>
      </c>
      <c r="E181" s="86">
        <f>IF(E72=0,"",E180/E72*100)</f>
        <v/>
      </c>
      <c r="F181" s="86">
        <f>IF(F72=0,"",F180/F72*100)</f>
        <v/>
      </c>
      <c r="G181" s="87">
        <f>IF(G72=0,"",G180/G72*100)</f>
        <v/>
      </c>
      <c r="H181" s="87">
        <f>IF(H72=0,"",H180/H72*100)</f>
        <v/>
      </c>
      <c r="I181" s="87">
        <f>IF(I72=0,"",I180/I72*100)</f>
        <v/>
      </c>
      <c r="J181" s="87">
        <f>IF(J72=0,"",J180/J72*100)</f>
        <v/>
      </c>
      <c r="K181" s="87">
        <f>IF(K72=0,"",K180/K72*100)</f>
        <v/>
      </c>
      <c r="L181" s="87">
        <f>IF(L72=0,"",L180/L72*100)</f>
        <v/>
      </c>
      <c r="M181" s="87">
        <f>IF(M72=0,"",M180/M72*100)</f>
        <v/>
      </c>
      <c r="N181" s="87">
        <f>IF(N72=0,"",N180/N72*100)</f>
        <v/>
      </c>
      <c r="O181" s="87">
        <f>IF(O72=0,"",O180/O72*100)</f>
        <v/>
      </c>
      <c r="P181" s="87">
        <f>IF(P72=0,"",P180/P72*100)</f>
        <v/>
      </c>
    </row>
    <row r="182">
      <c r="B182" s="8" t="inlineStr">
        <is>
          <t>FCF Yield</t>
        </is>
      </c>
      <c r="C182" t="inlineStr">
        <is>
          <t>%</t>
        </is>
      </c>
      <c r="D182" s="94">
        <f>IF(Value!$C$4=0,"",D181/Value!$C$4/100)</f>
        <v/>
      </c>
      <c r="E182" s="94">
        <f>IF(Value!$C$4=0,"",E181/Value!$C$4/100)</f>
        <v/>
      </c>
      <c r="F182" s="94">
        <f>IF(Value!$C$4=0,"",F181/Value!$C$4/100)</f>
        <v/>
      </c>
      <c r="G182" s="95">
        <f>IF(Value!$C$4=0,"",G181/Value!$C$4/100)</f>
        <v/>
      </c>
      <c r="H182" s="95">
        <f>IF(Value!$C$4=0,"",H181/Value!$C$4/100)</f>
        <v/>
      </c>
      <c r="I182" s="95">
        <f>IF(Value!$C$4=0,"",I181/Value!$C$4/100)</f>
        <v/>
      </c>
      <c r="J182" s="95">
        <f>IF(Value!$C$4=0,"",J181/Value!$C$4/100)</f>
        <v/>
      </c>
      <c r="K182" s="95">
        <f>IF(Value!$C$4=0,"",K181/Value!$C$4/100)</f>
        <v/>
      </c>
      <c r="L182" s="95">
        <f>IF(Value!$C$4=0,"",L181/Value!$C$4/100)</f>
        <v/>
      </c>
      <c r="M182" s="95">
        <f>IF(Value!$C$4=0,"",M181/Value!$C$4/100)</f>
        <v/>
      </c>
      <c r="N182" s="95">
        <f>IF(Value!$C$4=0,"",N181/Value!$C$4/100)</f>
        <v/>
      </c>
      <c r="O182" s="95">
        <f>IF(Value!$C$4=0,"",O181/Value!$C$4/100)</f>
        <v/>
      </c>
      <c r="P182" s="95">
        <f>IF(Value!$C$4=0,"",P181/Value!$C$4/100)</f>
        <v/>
      </c>
    </row>
    <row r="183">
      <c r="B183" s="8" t="inlineStr">
        <is>
          <t>FCF Margin</t>
        </is>
      </c>
      <c r="C183" t="inlineStr">
        <is>
          <t>%</t>
        </is>
      </c>
      <c r="D183" s="94">
        <f>IF(D12=0,"",D180/D12)</f>
        <v/>
      </c>
      <c r="E183" s="94">
        <f>IF(E12=0,"",E180/E12)</f>
        <v/>
      </c>
      <c r="F183" s="94">
        <f>IF(F12=0,"",F180/F12)</f>
        <v/>
      </c>
      <c r="G183" s="95">
        <f>IF(G12=0,"",G180/G12)</f>
        <v/>
      </c>
      <c r="H183" s="95">
        <f>IF(H12=0,"",H180/H12)</f>
        <v/>
      </c>
      <c r="I183" s="95">
        <f>IF(I12=0,"",I180/I12)</f>
        <v/>
      </c>
      <c r="J183" s="95">
        <f>IF(J12=0,"",J180/J12)</f>
        <v/>
      </c>
      <c r="K183" s="95">
        <f>IF(K12=0,"",K180/K12)</f>
        <v/>
      </c>
      <c r="L183" s="95">
        <f>IF(L12=0,"",L180/L12)</f>
        <v/>
      </c>
      <c r="M183" s="95">
        <f>IF(M12=0,"",M180/M12)</f>
        <v/>
      </c>
      <c r="N183" s="95">
        <f>IF(N12=0,"",N180/N12)</f>
        <v/>
      </c>
      <c r="O183" s="95">
        <f>IF(O12=0,"",O180/O12)</f>
        <v/>
      </c>
      <c r="P183" s="95">
        <f>IF(P12=0,"",P180/P12)</f>
        <v/>
      </c>
    </row>
    <row r="184">
      <c r="D184" s="34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4" t="n"/>
      <c r="N184" s="34" t="n"/>
      <c r="O184" s="34" t="n"/>
      <c r="P184" s="34" t="n"/>
    </row>
    <row r="185">
      <c r="D185" s="34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4" t="n"/>
      <c r="N185" s="34" t="n"/>
      <c r="O185" s="34" t="n"/>
      <c r="P185" s="34" t="n"/>
    </row>
    <row r="186">
      <c r="A186" s="91" t="n"/>
      <c r="B186" s="92" t="inlineStr">
        <is>
          <t>ROIC</t>
        </is>
      </c>
      <c r="C186" s="91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</row>
    <row r="187">
      <c r="B187" s="8" t="inlineStr">
        <is>
          <t>Invested Capital</t>
        </is>
      </c>
      <c r="C187" t="inlineStr">
        <is>
          <t>A$m</t>
        </is>
      </c>
      <c r="D187" s="82">
        <f>D138+D128</f>
        <v/>
      </c>
      <c r="E187" s="82">
        <f>E138+E128</f>
        <v/>
      </c>
      <c r="F187" s="82">
        <f>F138+F128</f>
        <v/>
      </c>
      <c r="G187" s="83">
        <f>G138+G128</f>
        <v/>
      </c>
      <c r="H187" s="83">
        <f>H138+H128</f>
        <v/>
      </c>
      <c r="I187" s="83">
        <f>I138+I128</f>
        <v/>
      </c>
      <c r="J187" s="83">
        <f>J138+J128</f>
        <v/>
      </c>
      <c r="K187" s="83">
        <f>K138+K128</f>
        <v/>
      </c>
      <c r="L187" s="83">
        <f>L138+L128</f>
        <v/>
      </c>
      <c r="M187" s="83">
        <f>M138+M128</f>
        <v/>
      </c>
      <c r="N187" s="83">
        <f>N138+N128</f>
        <v/>
      </c>
      <c r="O187" s="83">
        <f>O138+O128</f>
        <v/>
      </c>
      <c r="P187" s="83">
        <f>P138+P128</f>
        <v/>
      </c>
    </row>
    <row r="188">
      <c r="B188" s="8" t="inlineStr">
        <is>
          <t>Underlying EBIT</t>
        </is>
      </c>
      <c r="C188" t="inlineStr">
        <is>
          <t>A$m</t>
        </is>
      </c>
      <c r="D188" s="82">
        <f>D48</f>
        <v/>
      </c>
      <c r="E188" s="82">
        <f>E48</f>
        <v/>
      </c>
      <c r="F188" s="82">
        <f>F48</f>
        <v/>
      </c>
      <c r="G188" s="83">
        <f>G48</f>
        <v/>
      </c>
      <c r="H188" s="83">
        <f>H48</f>
        <v/>
      </c>
      <c r="I188" s="83">
        <f>I48</f>
        <v/>
      </c>
      <c r="J188" s="83">
        <f>J48</f>
        <v/>
      </c>
      <c r="K188" s="83">
        <f>K48</f>
        <v/>
      </c>
      <c r="L188" s="83">
        <f>L48</f>
        <v/>
      </c>
      <c r="M188" s="83">
        <f>M48</f>
        <v/>
      </c>
      <c r="N188" s="83">
        <f>N48</f>
        <v/>
      </c>
      <c r="O188" s="83">
        <f>O48</f>
        <v/>
      </c>
      <c r="P188" s="83">
        <f>P48</f>
        <v/>
      </c>
    </row>
    <row r="189">
      <c r="B189" s="8" t="inlineStr">
        <is>
          <t>ROFE</t>
        </is>
      </c>
      <c r="C189" t="inlineStr">
        <is>
          <t>%</t>
        </is>
      </c>
      <c r="D189" s="94">
        <f>IF(D187=0,"",D188/D187)</f>
        <v/>
      </c>
      <c r="E189" s="94">
        <f>IF(E187=0,"",E188/E187)</f>
        <v/>
      </c>
      <c r="F189" s="94">
        <f>IF(F187=0,"",F188/F187)</f>
        <v/>
      </c>
      <c r="G189" s="95">
        <f>IF(G187=0,"",G188/G187)</f>
        <v/>
      </c>
      <c r="H189" s="95">
        <f>IF(H187=0,"",H188/H187)</f>
        <v/>
      </c>
      <c r="I189" s="95">
        <f>IF(I187=0,"",I188/I187)</f>
        <v/>
      </c>
      <c r="J189" s="95">
        <f>IF(J187=0,"",J188/J187)</f>
        <v/>
      </c>
      <c r="K189" s="95">
        <f>IF(K187=0,"",K188/K187)</f>
        <v/>
      </c>
      <c r="L189" s="95">
        <f>IF(L187=0,"",L188/L187)</f>
        <v/>
      </c>
      <c r="M189" s="95">
        <f>IF(M187=0,"",M188/M187)</f>
        <v/>
      </c>
      <c r="N189" s="95">
        <f>IF(N187=0,"",N188/N187)</f>
        <v/>
      </c>
      <c r="O189" s="95">
        <f>IF(O187=0,"",O188/O187)</f>
        <v/>
      </c>
      <c r="P189" s="95">
        <f>IF(P187=0,"",P188/P187)</f>
        <v/>
      </c>
    </row>
    <row r="190">
      <c r="B190" s="8" t="inlineStr">
        <is>
          <t>NOPAT</t>
        </is>
      </c>
      <c r="C190" t="inlineStr">
        <is>
          <t>A$m</t>
        </is>
      </c>
      <c r="D190" s="82">
        <f>D188*(1-ABS(D63))</f>
        <v/>
      </c>
      <c r="E190" s="82">
        <f>E188*(1-ABS(E63))</f>
        <v/>
      </c>
      <c r="F190" s="82">
        <f>F188*(1-ABS(F63))</f>
        <v/>
      </c>
      <c r="G190" s="83">
        <f>G188*(1-0.3)</f>
        <v/>
      </c>
      <c r="H190" s="83">
        <f>H188*(1-0.3)</f>
        <v/>
      </c>
      <c r="I190" s="83">
        <f>I188*(1-0.3)</f>
        <v/>
      </c>
      <c r="J190" s="83">
        <f>J188*(1-0.3)</f>
        <v/>
      </c>
      <c r="K190" s="83">
        <f>K188*(1-0.3)</f>
        <v/>
      </c>
      <c r="L190" s="83">
        <f>L188*(1-0.3)</f>
        <v/>
      </c>
      <c r="M190" s="83">
        <f>M188*(1-0.3)</f>
        <v/>
      </c>
      <c r="N190" s="83">
        <f>N188*(1-0.3)</f>
        <v/>
      </c>
      <c r="O190" s="83">
        <f>O188*(1-0.3)</f>
        <v/>
      </c>
      <c r="P190" s="83">
        <f>P188*(1-0.3)</f>
        <v/>
      </c>
    </row>
    <row r="191">
      <c r="B191" s="8" t="inlineStr">
        <is>
          <t>ROIC</t>
        </is>
      </c>
      <c r="C191" t="inlineStr">
        <is>
          <t>%</t>
        </is>
      </c>
      <c r="D191" s="94">
        <f>IF(D187=0,"",D190/D187)</f>
        <v/>
      </c>
      <c r="E191" s="94">
        <f>IF(E187=0,"",E190/E187)</f>
        <v/>
      </c>
      <c r="F191" s="94">
        <f>IF(F187=0,"",F190/F187)</f>
        <v/>
      </c>
      <c r="G191" s="95">
        <f>IF(G187=0,"",G190/G187)</f>
        <v/>
      </c>
      <c r="H191" s="95">
        <f>IF(H187=0,"",H190/H187)</f>
        <v/>
      </c>
      <c r="I191" s="95">
        <f>IF(I187=0,"",I190/I187)</f>
        <v/>
      </c>
      <c r="J191" s="95">
        <f>IF(J187=0,"",J190/J187)</f>
        <v/>
      </c>
      <c r="K191" s="95">
        <f>IF(K187=0,"",K190/K187)</f>
        <v/>
      </c>
      <c r="L191" s="95">
        <f>IF(L187=0,"",L190/L187)</f>
        <v/>
      </c>
      <c r="M191" s="95">
        <f>IF(M187=0,"",M190/M187)</f>
        <v/>
      </c>
      <c r="N191" s="95">
        <f>IF(N187=0,"",N190/N187)</f>
        <v/>
      </c>
      <c r="O191" s="95">
        <f>IF(O187=0,"",O190/O187)</f>
        <v/>
      </c>
      <c r="P191" s="95">
        <f>IF(P187=0,"",P190/P187)</f>
        <v/>
      </c>
    </row>
    <row r="192"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</row>
    <row r="193"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4" t="n"/>
      <c r="P193" s="34" t="n"/>
    </row>
    <row r="194">
      <c r="A194" s="91" t="n"/>
      <c r="B194" s="92" t="n"/>
      <c r="C194" s="91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</row>
    <row r="195">
      <c r="B195" s="20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</row>
    <row r="196">
      <c r="B196" s="20" t="n"/>
      <c r="D196" s="34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</row>
    <row r="197">
      <c r="B197" s="20" t="n"/>
      <c r="D197" s="34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</row>
    <row r="198">
      <c r="D198" s="34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4" t="n"/>
      <c r="N198" s="34" t="n"/>
      <c r="O198" s="34" t="n"/>
      <c r="P198" s="34" t="n"/>
    </row>
    <row r="199">
      <c r="D199" s="34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6"/>
  <sheetViews>
    <sheetView tabSelected="1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N114" sqref="N114"/>
    </sheetView>
  </sheetViews>
  <sheetFormatPr baseColWidth="8" defaultRowHeight="14.5"/>
  <cols>
    <col hidden="1" width="30" customWidth="1" min="1" max="1"/>
    <col width="32" customWidth="1" min="2" max="2"/>
    <col width="8" customWidth="1" min="3" max="3"/>
    <col width="11" customWidth="1" min="4" max="33"/>
  </cols>
  <sheetData>
    <row r="1">
      <c r="D1" t="n">
        <v>2023</v>
      </c>
      <c r="E1" t="n">
        <v>2023</v>
      </c>
      <c r="F1" t="n">
        <v>2024</v>
      </c>
      <c r="G1" t="n">
        <v>2024</v>
      </c>
      <c r="H1" t="n">
        <v>2025</v>
      </c>
      <c r="I1" t="n">
        <v>2025</v>
      </c>
      <c r="J1" t="n">
        <v>2026</v>
      </c>
      <c r="K1" t="n">
        <v>2026</v>
      </c>
      <c r="L1" t="n">
        <v>2027</v>
      </c>
      <c r="M1" t="n">
        <v>2027</v>
      </c>
      <c r="N1" t="n">
        <v>2028</v>
      </c>
      <c r="O1" t="n">
        <v>2028</v>
      </c>
      <c r="P1" t="n">
        <v>2029</v>
      </c>
      <c r="Q1" t="n">
        <v>2029</v>
      </c>
      <c r="R1" t="n">
        <v>2030</v>
      </c>
      <c r="S1" t="n">
        <v>2030</v>
      </c>
      <c r="T1" t="n">
        <v>2031</v>
      </c>
      <c r="U1" t="n">
        <v>2031</v>
      </c>
      <c r="V1" t="n">
        <v>2032</v>
      </c>
      <c r="W1" t="n">
        <v>2032</v>
      </c>
      <c r="X1" t="n">
        <v>2033</v>
      </c>
      <c r="Y1" t="n">
        <v>2033</v>
      </c>
      <c r="Z1" t="n">
        <v>2034</v>
      </c>
      <c r="AA1" t="n">
        <v>2034</v>
      </c>
      <c r="AB1" t="n">
        <v>2035</v>
      </c>
      <c r="AC1" t="n">
        <v>2035</v>
      </c>
    </row>
    <row r="2" ht="18.5" customHeight="1">
      <c r="B2" s="14" t="inlineStr">
        <is>
          <t>GYG Segments (Half-Year)</t>
        </is>
      </c>
      <c r="D2" s="79" t="inlineStr">
        <is>
          <t>Actual ----------&gt;</t>
        </is>
      </c>
      <c r="E2" s="79" t="n"/>
      <c r="F2" s="79" t="n"/>
      <c r="G2" s="79" t="n"/>
      <c r="H2" s="79" t="n"/>
      <c r="I2" s="79" t="n"/>
      <c r="J2" s="79" t="n"/>
      <c r="K2" s="80" t="inlineStr">
        <is>
          <t>Forecast -----&gt;</t>
        </is>
      </c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  <c r="Z2" s="80" t="n"/>
      <c r="AA2" s="80" t="n"/>
      <c r="AB2" s="80" t="n"/>
      <c r="AC2" s="80" t="n"/>
    </row>
    <row r="3">
      <c r="B3" t="inlineStr">
        <is>
          <t>Guzman y Gomez (GYG.AX)</t>
        </is>
      </c>
      <c r="C3" t="inlineStr">
        <is>
          <t>Units</t>
        </is>
      </c>
      <c r="D3" s="7" t="inlineStr">
        <is>
          <t>1H23</t>
        </is>
      </c>
      <c r="E3" s="7" t="inlineStr">
        <is>
          <t>2H23</t>
        </is>
      </c>
      <c r="F3" s="7" t="inlineStr">
        <is>
          <t>1H24</t>
        </is>
      </c>
      <c r="G3" s="7" t="inlineStr">
        <is>
          <t>2H24</t>
        </is>
      </c>
      <c r="H3" s="7" t="inlineStr">
        <is>
          <t>1H25</t>
        </is>
      </c>
      <c r="I3" s="7" t="inlineStr">
        <is>
          <t>2H25</t>
        </is>
      </c>
      <c r="J3" s="7" t="inlineStr">
        <is>
          <t>1H26</t>
        </is>
      </c>
      <c r="K3" s="7" t="inlineStr">
        <is>
          <t>2H26</t>
        </is>
      </c>
      <c r="L3" s="7" t="inlineStr">
        <is>
          <t>1H27</t>
        </is>
      </c>
      <c r="M3" s="7" t="inlineStr">
        <is>
          <t>2H27</t>
        </is>
      </c>
      <c r="N3" s="7" t="inlineStr">
        <is>
          <t>1H28</t>
        </is>
      </c>
      <c r="O3" s="7" t="inlineStr">
        <is>
          <t>2H28</t>
        </is>
      </c>
      <c r="P3" s="7" t="inlineStr">
        <is>
          <t>1H29</t>
        </is>
      </c>
      <c r="Q3" s="7" t="inlineStr">
        <is>
          <t>2H29</t>
        </is>
      </c>
      <c r="R3" s="7" t="inlineStr">
        <is>
          <t>1H30</t>
        </is>
      </c>
      <c r="S3" s="7" t="inlineStr">
        <is>
          <t>2H30</t>
        </is>
      </c>
      <c r="T3" s="7" t="inlineStr">
        <is>
          <t>1H31</t>
        </is>
      </c>
      <c r="U3" s="7" t="inlineStr">
        <is>
          <t>2H31</t>
        </is>
      </c>
      <c r="V3" s="7" t="inlineStr">
        <is>
          <t>1H32</t>
        </is>
      </c>
      <c r="W3" s="7" t="inlineStr">
        <is>
          <t>2H32</t>
        </is>
      </c>
      <c r="X3" s="7" t="inlineStr">
        <is>
          <t>1H33</t>
        </is>
      </c>
      <c r="Y3" s="7" t="inlineStr">
        <is>
          <t>2H33</t>
        </is>
      </c>
      <c r="Z3" s="7" t="inlineStr">
        <is>
          <t>1H34</t>
        </is>
      </c>
      <c r="AA3" s="7" t="inlineStr">
        <is>
          <t>2H34</t>
        </is>
      </c>
      <c r="AB3" s="7" t="inlineStr">
        <is>
          <t>1H35</t>
        </is>
      </c>
      <c r="AC3" s="7" t="inlineStr">
        <is>
          <t>2H35</t>
        </is>
      </c>
    </row>
    <row r="4">
      <c r="D4" s="17" t="n">
        <v>44926</v>
      </c>
      <c r="E4" s="17" t="n">
        <v>45107</v>
      </c>
      <c r="F4" s="17" t="n">
        <v>45291</v>
      </c>
      <c r="G4" s="17" t="n">
        <v>45473</v>
      </c>
      <c r="H4" s="17" t="n">
        <v>45657</v>
      </c>
      <c r="I4" s="17" t="n">
        <v>45838</v>
      </c>
      <c r="J4" s="17" t="n">
        <v>46022</v>
      </c>
      <c r="K4" s="17" t="n">
        <v>46203</v>
      </c>
      <c r="L4" s="17" t="n">
        <v>46387</v>
      </c>
      <c r="M4" s="17" t="n">
        <v>46568</v>
      </c>
      <c r="N4" s="17" t="n">
        <v>46752</v>
      </c>
      <c r="O4" s="17" t="n">
        <v>46934</v>
      </c>
      <c r="P4" s="17" t="n">
        <v>47118</v>
      </c>
      <c r="Q4" s="17" t="n">
        <v>47299</v>
      </c>
      <c r="R4" s="17" t="n">
        <v>47483</v>
      </c>
      <c r="S4" s="17" t="n">
        <v>47664</v>
      </c>
      <c r="T4" s="17" t="n">
        <v>47848</v>
      </c>
      <c r="U4" s="17" t="n">
        <v>48029</v>
      </c>
      <c r="V4" s="17" t="n">
        <v>48213</v>
      </c>
      <c r="W4" s="17" t="n">
        <v>48395</v>
      </c>
      <c r="X4" s="17" t="n">
        <v>48579</v>
      </c>
      <c r="Y4" s="17" t="n">
        <v>48760</v>
      </c>
      <c r="Z4" s="17" t="n">
        <v>48944</v>
      </c>
      <c r="AA4" s="17" t="n">
        <v>49125</v>
      </c>
      <c r="AB4" s="17" t="n">
        <v>49309</v>
      </c>
      <c r="AC4" s="17" t="n">
        <v>49490</v>
      </c>
    </row>
    <row r="5">
      <c r="A5" s="81" t="n"/>
      <c r="B5" s="35" t="inlineStr">
        <is>
          <t>P&amp;L</t>
        </is>
      </c>
      <c r="C5" s="81" t="n"/>
      <c r="D5" s="81" t="n"/>
      <c r="E5" s="81" t="n"/>
      <c r="F5" s="81" t="n"/>
      <c r="G5" s="81" t="n"/>
      <c r="H5" s="81" t="n"/>
      <c r="I5" s="81" t="n"/>
      <c r="J5" s="81" t="n"/>
      <c r="K5" s="81" t="n"/>
      <c r="L5" s="81" t="n"/>
      <c r="M5" s="81" t="n"/>
      <c r="N5" s="81" t="n"/>
      <c r="O5" s="81" t="n"/>
      <c r="P5" s="81" t="n"/>
      <c r="Q5" s="81" t="n"/>
      <c r="R5" s="81" t="n"/>
      <c r="S5" s="81" t="n"/>
      <c r="T5" s="81" t="n"/>
      <c r="U5" s="81" t="n"/>
      <c r="V5" s="81" t="n"/>
      <c r="W5" s="81" t="n"/>
      <c r="X5" s="81" t="n"/>
      <c r="Y5" s="81" t="n"/>
      <c r="Z5" s="81" t="n"/>
      <c r="AA5" s="81" t="n"/>
      <c r="AB5" s="81" t="n"/>
      <c r="AC5" s="81" t="n"/>
    </row>
    <row r="6">
      <c r="A6" s="34" t="n"/>
      <c r="B6" s="36" t="inlineStr">
        <is>
          <t>Revenue</t>
        </is>
      </c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4" t="n"/>
      <c r="AB6" s="34" t="n"/>
      <c r="AC6" s="34" t="n"/>
    </row>
    <row r="7">
      <c r="A7" s="34" t="inlineStr">
        <is>
          <t>Rev-Corp Restaurant Sales Aus</t>
        </is>
      </c>
      <c r="B7" s="34" t="inlineStr">
        <is>
          <t>Corp Restaurant Sales - Australia</t>
        </is>
      </c>
      <c r="C7" s="34" t="inlineStr">
        <is>
          <t>A$m</t>
        </is>
      </c>
      <c r="D7" s="37" t="n"/>
      <c r="E7" s="37" t="n"/>
      <c r="F7" s="44" t="n">
        <v>136.155</v>
      </c>
      <c r="G7" s="44" t="n">
        <v>142.722</v>
      </c>
      <c r="H7" s="44" t="n">
        <v>176.051</v>
      </c>
      <c r="I7" s="44" t="n">
        <v>183.671</v>
      </c>
      <c r="J7" s="44" t="n">
        <v>215.116</v>
      </c>
      <c r="K7" s="58">
        <f>K90</f>
        <v/>
      </c>
      <c r="L7" s="58">
        <f>L90</f>
        <v/>
      </c>
      <c r="M7" s="58">
        <f>M90</f>
        <v/>
      </c>
      <c r="N7" s="58">
        <f>N90</f>
        <v/>
      </c>
      <c r="O7" s="58">
        <f>O90</f>
        <v/>
      </c>
      <c r="P7" s="58">
        <f>P90</f>
        <v/>
      </c>
      <c r="Q7" s="58">
        <f>Q90</f>
        <v/>
      </c>
      <c r="R7" s="58">
        <f>R90</f>
        <v/>
      </c>
      <c r="S7" s="58">
        <f>S90</f>
        <v/>
      </c>
      <c r="T7" s="58">
        <f>T90</f>
        <v/>
      </c>
      <c r="U7" s="58">
        <f>U90</f>
        <v/>
      </c>
      <c r="V7" s="58">
        <f>V90</f>
        <v/>
      </c>
      <c r="W7" s="58">
        <f>W90</f>
        <v/>
      </c>
      <c r="X7" s="58">
        <f>X90</f>
        <v/>
      </c>
      <c r="Y7" s="58">
        <f>Y90</f>
        <v/>
      </c>
      <c r="Z7" s="58">
        <f>Z90</f>
        <v/>
      </c>
      <c r="AA7" s="58">
        <f>AA90</f>
        <v/>
      </c>
      <c r="AB7" s="58">
        <f>AB90</f>
        <v/>
      </c>
      <c r="AC7" s="58">
        <f>AC90</f>
        <v/>
      </c>
    </row>
    <row r="8">
      <c r="A8" s="34" t="inlineStr">
        <is>
          <t>Rev-Corp Restaurant Sales US</t>
        </is>
      </c>
      <c r="B8" s="34" t="inlineStr">
        <is>
          <t>Corp Restaurant Sales - US</t>
        </is>
      </c>
      <c r="C8" s="34" t="inlineStr">
        <is>
          <t>A$m</t>
        </is>
      </c>
      <c r="D8" s="37" t="n"/>
      <c r="E8" s="37" t="n"/>
      <c r="F8" s="44" t="n">
        <v>5.618</v>
      </c>
      <c r="G8" s="44" t="n">
        <v>5.216</v>
      </c>
      <c r="H8" s="44" t="n">
        <v>3.232</v>
      </c>
      <c r="I8" s="44" t="n">
        <v>5.637</v>
      </c>
      <c r="J8" s="44" t="n">
        <v>6.46</v>
      </c>
      <c r="K8" s="58">
        <f>K102</f>
        <v/>
      </c>
      <c r="L8" s="58">
        <f>L102</f>
        <v/>
      </c>
      <c r="M8" s="58">
        <f>M102</f>
        <v/>
      </c>
      <c r="N8" s="58">
        <f>N102</f>
        <v/>
      </c>
      <c r="O8" s="58">
        <f>O102</f>
        <v/>
      </c>
      <c r="P8" s="58">
        <f>P102</f>
        <v/>
      </c>
      <c r="Q8" s="58">
        <f>Q102</f>
        <v/>
      </c>
      <c r="R8" s="58">
        <f>R102</f>
        <v/>
      </c>
      <c r="S8" s="58">
        <f>S102</f>
        <v/>
      </c>
      <c r="T8" s="58">
        <f>T102</f>
        <v/>
      </c>
      <c r="U8" s="58">
        <f>U102</f>
        <v/>
      </c>
      <c r="V8" s="58">
        <f>V102</f>
        <v/>
      </c>
      <c r="W8" s="58">
        <f>W102</f>
        <v/>
      </c>
      <c r="X8" s="58">
        <f>X102</f>
        <v/>
      </c>
      <c r="Y8" s="58">
        <f>Y102</f>
        <v/>
      </c>
      <c r="Z8" s="58">
        <f>Z102</f>
        <v/>
      </c>
      <c r="AA8" s="58">
        <f>AA102</f>
        <v/>
      </c>
      <c r="AB8" s="58">
        <f>AB102</f>
        <v/>
      </c>
      <c r="AC8" s="58">
        <f>AC102</f>
        <v/>
      </c>
    </row>
    <row r="9">
      <c r="A9" s="34" t="inlineStr">
        <is>
          <t>Rev-Total Corp Restaurant Sales</t>
        </is>
      </c>
      <c r="B9" s="38" t="inlineStr">
        <is>
          <t>Total Corp Restaurant Sales</t>
        </is>
      </c>
      <c r="C9" s="38" t="inlineStr">
        <is>
          <t>A$m</t>
        </is>
      </c>
      <c r="D9" s="97" t="n"/>
      <c r="E9" s="97" t="n"/>
      <c r="F9" s="82" t="n">
        <v>141.773</v>
      </c>
      <c r="G9" s="82" t="n">
        <v>147.938</v>
      </c>
      <c r="H9" s="82" t="n">
        <v>179.283</v>
      </c>
      <c r="I9" s="82" t="n">
        <v>189.308</v>
      </c>
      <c r="J9" s="82" t="n">
        <v>221.576</v>
      </c>
      <c r="K9" s="83">
        <f>K7+K8</f>
        <v/>
      </c>
      <c r="L9" s="83">
        <f>L7+L8</f>
        <v/>
      </c>
      <c r="M9" s="83">
        <f>M7+M8</f>
        <v/>
      </c>
      <c r="N9" s="83">
        <f>N7+N8</f>
        <v/>
      </c>
      <c r="O9" s="83">
        <f>O7+O8</f>
        <v/>
      </c>
      <c r="P9" s="83">
        <f>P7+P8</f>
        <v/>
      </c>
      <c r="Q9" s="83">
        <f>Q7+Q8</f>
        <v/>
      </c>
      <c r="R9" s="83">
        <f>R7+R8</f>
        <v/>
      </c>
      <c r="S9" s="83">
        <f>S7+S8</f>
        <v/>
      </c>
      <c r="T9" s="83">
        <f>T7+T8</f>
        <v/>
      </c>
      <c r="U9" s="83">
        <f>U7+U8</f>
        <v/>
      </c>
      <c r="V9" s="83">
        <f>V7+V8</f>
        <v/>
      </c>
      <c r="W9" s="83">
        <f>W7+W8</f>
        <v/>
      </c>
      <c r="X9" s="83">
        <f>X7+X8</f>
        <v/>
      </c>
      <c r="Y9" s="83">
        <f>Y7+Y8</f>
        <v/>
      </c>
      <c r="Z9" s="83">
        <f>Z7+Z8</f>
        <v/>
      </c>
      <c r="AA9" s="83">
        <f>AA7+AA8</f>
        <v/>
      </c>
      <c r="AB9" s="83">
        <f>AB7+AB8</f>
        <v/>
      </c>
      <c r="AC9" s="83">
        <f>AC7+AC8</f>
        <v/>
      </c>
    </row>
    <row r="10">
      <c r="A10" s="34" t="inlineStr">
        <is>
          <t>Rev-Franchise Royalty Revenue</t>
        </is>
      </c>
      <c r="B10" s="34" t="inlineStr">
        <is>
          <t>Franchise Royalty Revenue</t>
        </is>
      </c>
      <c r="C10" s="34" t="inlineStr">
        <is>
          <t>A$m</t>
        </is>
      </c>
      <c r="D10" s="37" t="n"/>
      <c r="E10" s="37" t="n"/>
      <c r="F10" s="44" t="n">
        <v>25.063</v>
      </c>
      <c r="G10" s="44" t="n">
        <v>26.795</v>
      </c>
      <c r="H10" s="44" t="n">
        <v>32.187</v>
      </c>
      <c r="I10" s="44" t="n">
        <v>34.574</v>
      </c>
      <c r="J10" s="44" t="n">
        <v>39.325</v>
      </c>
      <c r="K10" s="58">
        <f>I10*(1+K91)</f>
        <v/>
      </c>
      <c r="L10" s="58">
        <f>J10*(1+L91)</f>
        <v/>
      </c>
      <c r="M10" s="58">
        <f>K10*(1+M91)</f>
        <v/>
      </c>
      <c r="N10" s="58">
        <f>L10*(1+N91)</f>
        <v/>
      </c>
      <c r="O10" s="58">
        <f>M10*(1+O91)</f>
        <v/>
      </c>
      <c r="P10" s="58">
        <f>N10*(1+P91)</f>
        <v/>
      </c>
      <c r="Q10" s="58">
        <f>O10*(1+Q91)</f>
        <v/>
      </c>
      <c r="R10" s="58">
        <f>P10*(1+R91)</f>
        <v/>
      </c>
      <c r="S10" s="58">
        <f>Q10*(1+S91)</f>
        <v/>
      </c>
      <c r="T10" s="58">
        <f>R10*(1+T91)</f>
        <v/>
      </c>
      <c r="U10" s="58">
        <f>S10*(1+U91)</f>
        <v/>
      </c>
      <c r="V10" s="58">
        <f>T10*(1+V91)</f>
        <v/>
      </c>
      <c r="W10" s="58">
        <f>U10*(1+W91)</f>
        <v/>
      </c>
      <c r="X10" s="58">
        <f>V10*(1+X91)</f>
        <v/>
      </c>
      <c r="Y10" s="58">
        <f>W10*(1+Y91)</f>
        <v/>
      </c>
      <c r="Z10" s="58">
        <f>X10*(1+Z91)</f>
        <v/>
      </c>
      <c r="AA10" s="58">
        <f>Y10*(1+AA91)</f>
        <v/>
      </c>
      <c r="AB10" s="58">
        <f>Z10*(1+AB91)</f>
        <v/>
      </c>
      <c r="AC10" s="58">
        <f>AA10*(1+AC91)</f>
        <v/>
      </c>
    </row>
    <row r="11">
      <c r="A11" s="34" t="inlineStr">
        <is>
          <t>Rev-Franchise Fee Revenue</t>
        </is>
      </c>
      <c r="B11" s="34" t="inlineStr">
        <is>
          <t>Franchise Fee Revenue</t>
        </is>
      </c>
      <c r="C11" s="34" t="inlineStr">
        <is>
          <t>A$m</t>
        </is>
      </c>
      <c r="D11" s="37" t="n"/>
      <c r="E11" s="37" t="n"/>
      <c r="F11" s="44" t="n">
        <v>0.451</v>
      </c>
      <c r="G11" s="44" t="n">
        <v>0.194</v>
      </c>
      <c r="H11" s="44" t="n">
        <v>0.949</v>
      </c>
      <c r="I11" s="44" t="n">
        <v>-0.319</v>
      </c>
      <c r="J11" s="44" t="n">
        <v>0.3</v>
      </c>
      <c r="K11" s="58">
        <f>I11</f>
        <v/>
      </c>
      <c r="L11" s="58">
        <f>J11</f>
        <v/>
      </c>
      <c r="M11" s="58">
        <f>K11</f>
        <v/>
      </c>
      <c r="N11" s="58">
        <f>L11</f>
        <v/>
      </c>
      <c r="O11" s="58">
        <f>M11</f>
        <v/>
      </c>
      <c r="P11" s="58">
        <f>N11</f>
        <v/>
      </c>
      <c r="Q11" s="58">
        <f>O11</f>
        <v/>
      </c>
      <c r="R11" s="58">
        <f>P11</f>
        <v/>
      </c>
      <c r="S11" s="58">
        <f>Q11</f>
        <v/>
      </c>
      <c r="T11" s="58">
        <f>R11</f>
        <v/>
      </c>
      <c r="U11" s="58">
        <f>S11</f>
        <v/>
      </c>
      <c r="V11" s="58">
        <f>T11</f>
        <v/>
      </c>
      <c r="W11" s="58">
        <f>U11</f>
        <v/>
      </c>
      <c r="X11" s="58">
        <f>V11</f>
        <v/>
      </c>
      <c r="Y11" s="58">
        <f>W11</f>
        <v/>
      </c>
      <c r="Z11" s="58">
        <f>X11</f>
        <v/>
      </c>
      <c r="AA11" s="58">
        <f>Y11</f>
        <v/>
      </c>
      <c r="AB11" s="58">
        <f>Z11</f>
        <v/>
      </c>
      <c r="AC11" s="58">
        <f>AA11</f>
        <v/>
      </c>
    </row>
    <row r="12">
      <c r="A12" s="34" t="inlineStr">
        <is>
          <t>Rev-Total Revenue</t>
        </is>
      </c>
      <c r="B12" s="38" t="inlineStr">
        <is>
          <t>Total Revenue</t>
        </is>
      </c>
      <c r="C12" s="38" t="inlineStr">
        <is>
          <t>A$m</t>
        </is>
      </c>
      <c r="D12" s="97" t="n"/>
      <c r="E12" s="97" t="n"/>
      <c r="F12" s="82" t="n">
        <v>167.287</v>
      </c>
      <c r="G12" s="82" t="n">
        <v>174.927</v>
      </c>
      <c r="H12" s="82" t="n">
        <v>212.419</v>
      </c>
      <c r="I12" s="82" t="n">
        <v>223.563</v>
      </c>
      <c r="J12" s="82" t="n">
        <v>261.201</v>
      </c>
      <c r="K12" s="83">
        <f>K9+K10+K11</f>
        <v/>
      </c>
      <c r="L12" s="83">
        <f>L9+L10+L11</f>
        <v/>
      </c>
      <c r="M12" s="83">
        <f>M9+M10+M11</f>
        <v/>
      </c>
      <c r="N12" s="83">
        <f>N9+N10+N11</f>
        <v/>
      </c>
      <c r="O12" s="83">
        <f>O9+O10+O11</f>
        <v/>
      </c>
      <c r="P12" s="83">
        <f>P9+P10+P11</f>
        <v/>
      </c>
      <c r="Q12" s="83">
        <f>Q9+Q10+Q11</f>
        <v/>
      </c>
      <c r="R12" s="83">
        <f>R9+R10+R11</f>
        <v/>
      </c>
      <c r="S12" s="83">
        <f>S9+S10+S11</f>
        <v/>
      </c>
      <c r="T12" s="83">
        <f>T9+T10+T11</f>
        <v/>
      </c>
      <c r="U12" s="83">
        <f>U9+U10+U11</f>
        <v/>
      </c>
      <c r="V12" s="83">
        <f>V9+V10+V11</f>
        <v/>
      </c>
      <c r="W12" s="83">
        <f>W9+W10+W11</f>
        <v/>
      </c>
      <c r="X12" s="83">
        <f>X9+X10+X11</f>
        <v/>
      </c>
      <c r="Y12" s="83">
        <f>Y9+Y10+Y11</f>
        <v/>
      </c>
      <c r="Z12" s="83">
        <f>Z9+Z10+Z11</f>
        <v/>
      </c>
      <c r="AA12" s="83">
        <f>AA9+AA10+AA11</f>
        <v/>
      </c>
      <c r="AB12" s="83">
        <f>AB9+AB10+AB11</f>
        <v/>
      </c>
      <c r="AC12" s="83">
        <f>AC9+AC10+AC11</f>
        <v/>
      </c>
    </row>
    <row r="13">
      <c r="A13" s="34" t="n"/>
      <c r="B13" s="34" t="inlineStr">
        <is>
          <t>Revenue Growth (YoY)</t>
        </is>
      </c>
      <c r="C13" s="34" t="inlineStr">
        <is>
          <t>% YoY</t>
        </is>
      </c>
      <c r="D13" s="40" t="n"/>
      <c r="E13" s="40" t="n"/>
      <c r="F13" s="40" t="n"/>
      <c r="G13" s="40" t="n"/>
      <c r="H13" s="46">
        <f>IF(F12=0,"",H12/F12-1)</f>
        <v/>
      </c>
      <c r="I13" s="46">
        <f>IF(G12=0,"",I12/G12-1)</f>
        <v/>
      </c>
      <c r="J13" s="46">
        <f>IF(H12=0,"",J12/H12-1)</f>
        <v/>
      </c>
      <c r="K13" s="60">
        <f>IF(I12=0,"",K12/I12-1)</f>
        <v/>
      </c>
      <c r="L13" s="60">
        <f>IF(J12=0,"",L12/J12-1)</f>
        <v/>
      </c>
      <c r="M13" s="60">
        <f>IF(K12=0,"",M12/K12-1)</f>
        <v/>
      </c>
      <c r="N13" s="60">
        <f>IF(L12=0,"",N12/L12-1)</f>
        <v/>
      </c>
      <c r="O13" s="60">
        <f>IF(M12=0,"",O12/M12-1)</f>
        <v/>
      </c>
      <c r="P13" s="60">
        <f>IF(N12=0,"",P12/N12-1)</f>
        <v/>
      </c>
      <c r="Q13" s="60">
        <f>IF(O12=0,"",Q12/O12-1)</f>
        <v/>
      </c>
      <c r="R13" s="60">
        <f>IF(P12=0,"",R12/P12-1)</f>
        <v/>
      </c>
      <c r="S13" s="60">
        <f>IF(Q12=0,"",S12/Q12-1)</f>
        <v/>
      </c>
      <c r="T13" s="60">
        <f>IF(R12=0,"",T12/R12-1)</f>
        <v/>
      </c>
      <c r="U13" s="60">
        <f>IF(S12=0,"",U12/S12-1)</f>
        <v/>
      </c>
      <c r="V13" s="60">
        <f>IF(T12=0,"",V12/T12-1)</f>
        <v/>
      </c>
      <c r="W13" s="60">
        <f>IF(U12=0,"",W12/U12-1)</f>
        <v/>
      </c>
      <c r="X13" s="60">
        <f>IF(V12=0,"",X12/V12-1)</f>
        <v/>
      </c>
      <c r="Y13" s="60">
        <f>IF(W12=0,"",Y12/W12-1)</f>
        <v/>
      </c>
      <c r="Z13" s="60">
        <f>IF(X12=0,"",Z12/X12-1)</f>
        <v/>
      </c>
      <c r="AA13" s="60">
        <f>IF(Y12=0,"",AA12/Y12-1)</f>
        <v/>
      </c>
      <c r="AB13" s="60">
        <f>IF(Z12=0,"",AB12/Z12-1)</f>
        <v/>
      </c>
      <c r="AC13" s="60">
        <f>IF(AA12=0,"",AC12/AA12-1)</f>
        <v/>
      </c>
    </row>
    <row r="14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</row>
    <row r="15">
      <c r="A15" s="34" t="n"/>
      <c r="B15" s="36" t="inlineStr">
        <is>
          <t>Other Revenue</t>
        </is>
      </c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4" t="n"/>
    </row>
    <row r="16">
      <c r="A16" s="34" t="inlineStr">
        <is>
          <t>OthRev-Marketing Levy</t>
        </is>
      </c>
      <c r="B16" s="34" t="inlineStr">
        <is>
          <t>Marketing Levy Revenue</t>
        </is>
      </c>
      <c r="C16" s="34" t="inlineStr">
        <is>
          <t>A$m</t>
        </is>
      </c>
      <c r="D16" s="37" t="n"/>
      <c r="E16" s="37" t="n"/>
      <c r="F16" s="44" t="n">
        <v>7.658</v>
      </c>
      <c r="G16" s="44" t="n">
        <v>8.724</v>
      </c>
      <c r="H16" s="44" t="n">
        <v>10.976</v>
      </c>
      <c r="I16" s="44" t="n">
        <v>8.712</v>
      </c>
      <c r="J16" s="44" t="n">
        <v>11.893</v>
      </c>
      <c r="K16" s="58">
        <f>I16*(1+K91)</f>
        <v/>
      </c>
      <c r="L16" s="58">
        <f>J16*(1+L91)</f>
        <v/>
      </c>
      <c r="M16" s="58">
        <f>K16*(1+M91)</f>
        <v/>
      </c>
      <c r="N16" s="58">
        <f>L16*(1+N91)</f>
        <v/>
      </c>
      <c r="O16" s="58">
        <f>M16*(1+O91)</f>
        <v/>
      </c>
      <c r="P16" s="58">
        <f>N16*(1+P91)</f>
        <v/>
      </c>
      <c r="Q16" s="58">
        <f>O16*(1+Q91)</f>
        <v/>
      </c>
      <c r="R16" s="58">
        <f>P16*(1+R91)</f>
        <v/>
      </c>
      <c r="S16" s="58">
        <f>Q16*(1+S91)</f>
        <v/>
      </c>
      <c r="T16" s="58">
        <f>R16*(1+T91)</f>
        <v/>
      </c>
      <c r="U16" s="58">
        <f>S16*(1+U91)</f>
        <v/>
      </c>
      <c r="V16" s="58">
        <f>T16*(1+V91)</f>
        <v/>
      </c>
      <c r="W16" s="58">
        <f>U16*(1+W91)</f>
        <v/>
      </c>
      <c r="X16" s="58">
        <f>V16*(1+X91)</f>
        <v/>
      </c>
      <c r="Y16" s="58">
        <f>W16*(1+Y91)</f>
        <v/>
      </c>
      <c r="Z16" s="58">
        <f>X16*(1+Z91)</f>
        <v/>
      </c>
      <c r="AA16" s="58">
        <f>Y16*(1+AA91)</f>
        <v/>
      </c>
      <c r="AB16" s="58">
        <f>Z16*(1+AB91)</f>
        <v/>
      </c>
      <c r="AC16" s="58">
        <f>AA16*(1+AC91)</f>
        <v/>
      </c>
    </row>
    <row r="17">
      <c r="A17" s="34" t="inlineStr">
        <is>
          <t>OthRev-Other Franchise Revenue</t>
        </is>
      </c>
      <c r="B17" s="34" t="inlineStr">
        <is>
          <t>Other Franchise Revenue</t>
        </is>
      </c>
      <c r="C17" s="34" t="inlineStr">
        <is>
          <t>A$m</t>
        </is>
      </c>
      <c r="D17" s="37" t="n"/>
      <c r="E17" s="37" t="n"/>
      <c r="F17" s="44" t="n">
        <v>2.573</v>
      </c>
      <c r="G17" s="44" t="n">
        <v>3.591</v>
      </c>
      <c r="H17" s="44" t="n">
        <v>3.423</v>
      </c>
      <c r="I17" s="44" t="n">
        <v>5.519</v>
      </c>
      <c r="J17" s="44" t="n">
        <v>3.343</v>
      </c>
      <c r="K17" s="58">
        <f>I17*(1+K91)</f>
        <v/>
      </c>
      <c r="L17" s="58">
        <f>J17*(1+L91)</f>
        <v/>
      </c>
      <c r="M17" s="58">
        <f>K17*(1+M91)</f>
        <v/>
      </c>
      <c r="N17" s="58">
        <f>L17*(1+N91)</f>
        <v/>
      </c>
      <c r="O17" s="58">
        <f>M17*(1+O91)</f>
        <v/>
      </c>
      <c r="P17" s="58">
        <f>N17*(1+P91)</f>
        <v/>
      </c>
      <c r="Q17" s="58">
        <f>O17*(1+Q91)</f>
        <v/>
      </c>
      <c r="R17" s="58">
        <f>P17*(1+R91)</f>
        <v/>
      </c>
      <c r="S17" s="58">
        <f>Q17*(1+S91)</f>
        <v/>
      </c>
      <c r="T17" s="58">
        <f>R17*(1+T91)</f>
        <v/>
      </c>
      <c r="U17" s="58">
        <f>S17*(1+U91)</f>
        <v/>
      </c>
      <c r="V17" s="58">
        <f>T17*(1+V91)</f>
        <v/>
      </c>
      <c r="W17" s="58">
        <f>U17*(1+W91)</f>
        <v/>
      </c>
      <c r="X17" s="58">
        <f>V17*(1+X91)</f>
        <v/>
      </c>
      <c r="Y17" s="58">
        <f>W17*(1+Y91)</f>
        <v/>
      </c>
      <c r="Z17" s="58">
        <f>X17*(1+Z91)</f>
        <v/>
      </c>
      <c r="AA17" s="58">
        <f>Y17*(1+AA91)</f>
        <v/>
      </c>
      <c r="AB17" s="58">
        <f>Z17*(1+AB91)</f>
        <v/>
      </c>
      <c r="AC17" s="58">
        <f>AA17*(1+AC91)</f>
        <v/>
      </c>
    </row>
    <row r="18">
      <c r="A18" s="34" t="inlineStr">
        <is>
          <t>OthRev-Other Income</t>
        </is>
      </c>
      <c r="B18" s="34" t="inlineStr">
        <is>
          <t>Other Income</t>
        </is>
      </c>
      <c r="C18" s="34" t="inlineStr">
        <is>
          <t>A$m</t>
        </is>
      </c>
      <c r="D18" s="37" t="n"/>
      <c r="E18" s="37" t="n"/>
      <c r="F18" s="44" t="n">
        <v>1.337</v>
      </c>
      <c r="G18" s="44" t="n">
        <v>-1.109</v>
      </c>
      <c r="H18" s="44" t="n">
        <v>0.312</v>
      </c>
      <c r="I18" s="44" t="n">
        <v>3.082</v>
      </c>
      <c r="J18" s="44" t="n">
        <v>2.127</v>
      </c>
      <c r="K18" s="70" t="n">
        <v>0</v>
      </c>
      <c r="L18" s="70" t="n">
        <v>0</v>
      </c>
      <c r="M18" s="70" t="n">
        <v>0</v>
      </c>
      <c r="N18" s="70" t="n">
        <v>0</v>
      </c>
      <c r="O18" s="70" t="n">
        <v>0</v>
      </c>
      <c r="P18" s="70" t="n">
        <v>0</v>
      </c>
      <c r="Q18" s="70" t="n">
        <v>0</v>
      </c>
      <c r="R18" s="70" t="n">
        <v>0</v>
      </c>
      <c r="S18" s="70" t="n">
        <v>0</v>
      </c>
      <c r="T18" s="70" t="n">
        <v>0</v>
      </c>
      <c r="U18" s="70" t="n">
        <v>0</v>
      </c>
      <c r="V18" s="70" t="n">
        <v>0</v>
      </c>
      <c r="W18" s="70" t="n">
        <v>0</v>
      </c>
      <c r="X18" s="70" t="n">
        <v>0</v>
      </c>
      <c r="Y18" s="70" t="n">
        <v>0</v>
      </c>
      <c r="Z18" s="70" t="n">
        <v>0</v>
      </c>
      <c r="AA18" s="70" t="n">
        <v>0</v>
      </c>
      <c r="AB18" s="70" t="n">
        <v>0</v>
      </c>
      <c r="AC18" s="70" t="n">
        <v>0</v>
      </c>
    </row>
    <row r="19">
      <c r="A19" s="34" t="inlineStr">
        <is>
          <t>OthRev-Total Other Revenue</t>
        </is>
      </c>
      <c r="B19" s="38" t="inlineStr">
        <is>
          <t>Total Other Revenue &amp; Income</t>
        </is>
      </c>
      <c r="C19" s="38" t="inlineStr">
        <is>
          <t>A$m</t>
        </is>
      </c>
      <c r="D19" s="97" t="n"/>
      <c r="E19" s="97" t="n"/>
      <c r="F19" s="82" t="n">
        <v>11.568</v>
      </c>
      <c r="G19" s="82" t="n">
        <v>11.206</v>
      </c>
      <c r="H19" s="82" t="n">
        <v>14.711</v>
      </c>
      <c r="I19" s="82" t="n">
        <v>17.313</v>
      </c>
      <c r="J19" s="82" t="n">
        <v>17.363</v>
      </c>
      <c r="K19" s="83">
        <f>SUM(K16:K18)</f>
        <v/>
      </c>
      <c r="L19" s="83">
        <f>SUM(L16:L18)</f>
        <v/>
      </c>
      <c r="M19" s="83">
        <f>SUM(M16:M18)</f>
        <v/>
      </c>
      <c r="N19" s="83">
        <f>SUM(N16:N18)</f>
        <v/>
      </c>
      <c r="O19" s="83">
        <f>SUM(O16:O18)</f>
        <v/>
      </c>
      <c r="P19" s="83">
        <f>SUM(P16:P18)</f>
        <v/>
      </c>
      <c r="Q19" s="83">
        <f>SUM(Q16:Q18)</f>
        <v/>
      </c>
      <c r="R19" s="83">
        <f>SUM(R16:R18)</f>
        <v/>
      </c>
      <c r="S19" s="83">
        <f>SUM(S16:S18)</f>
        <v/>
      </c>
      <c r="T19" s="83">
        <f>SUM(T16:T18)</f>
        <v/>
      </c>
      <c r="U19" s="83">
        <f>SUM(U16:U18)</f>
        <v/>
      </c>
      <c r="V19" s="83">
        <f>SUM(V16:V18)</f>
        <v/>
      </c>
      <c r="W19" s="83">
        <f>SUM(W16:W18)</f>
        <v/>
      </c>
      <c r="X19" s="83">
        <f>SUM(X16:X18)</f>
        <v/>
      </c>
      <c r="Y19" s="83">
        <f>SUM(Y16:Y18)</f>
        <v/>
      </c>
      <c r="Z19" s="83">
        <f>SUM(Z16:Z18)</f>
        <v/>
      </c>
      <c r="AA19" s="83">
        <f>SUM(AA16:AA18)</f>
        <v/>
      </c>
      <c r="AB19" s="83">
        <f>SUM(AB16:AB18)</f>
        <v/>
      </c>
      <c r="AC19" s="83">
        <f>SUM(AC16:AC18)</f>
        <v/>
      </c>
    </row>
    <row r="20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</row>
    <row r="21">
      <c r="A21" s="34" t="n"/>
      <c r="B21" s="38" t="inlineStr">
        <is>
          <t>Total Revenue &amp; Other Income</t>
        </is>
      </c>
      <c r="C21" s="38" t="inlineStr">
        <is>
          <t>A$m</t>
        </is>
      </c>
      <c r="D21" s="97" t="n"/>
      <c r="E21" s="97" t="n"/>
      <c r="F21" s="82">
        <f>F12+F19</f>
        <v/>
      </c>
      <c r="G21" s="82">
        <f>G12+G19</f>
        <v/>
      </c>
      <c r="H21" s="82">
        <f>H12+H19</f>
        <v/>
      </c>
      <c r="I21" s="82">
        <f>I12+I19</f>
        <v/>
      </c>
      <c r="J21" s="82">
        <f>J12+J19</f>
        <v/>
      </c>
      <c r="K21" s="83">
        <f>K12+K19</f>
        <v/>
      </c>
      <c r="L21" s="83">
        <f>L12+L19</f>
        <v/>
      </c>
      <c r="M21" s="83">
        <f>M12+M19</f>
        <v/>
      </c>
      <c r="N21" s="83">
        <f>N12+N19</f>
        <v/>
      </c>
      <c r="O21" s="83">
        <f>O12+O19</f>
        <v/>
      </c>
      <c r="P21" s="83">
        <f>P12+P19</f>
        <v/>
      </c>
      <c r="Q21" s="83">
        <f>Q12+Q19</f>
        <v/>
      </c>
      <c r="R21" s="83">
        <f>R12+R19</f>
        <v/>
      </c>
      <c r="S21" s="83">
        <f>S12+S19</f>
        <v/>
      </c>
      <c r="T21" s="83">
        <f>T12+T19</f>
        <v/>
      </c>
      <c r="U21" s="83">
        <f>U12+U19</f>
        <v/>
      </c>
      <c r="V21" s="83">
        <f>V12+V19</f>
        <v/>
      </c>
      <c r="W21" s="83">
        <f>W12+W19</f>
        <v/>
      </c>
      <c r="X21" s="83">
        <f>X12+X19</f>
        <v/>
      </c>
      <c r="Y21" s="83">
        <f>Y12+Y19</f>
        <v/>
      </c>
      <c r="Z21" s="83">
        <f>Z12+Z19</f>
        <v/>
      </c>
      <c r="AA21" s="83">
        <f>AA12+AA19</f>
        <v/>
      </c>
      <c r="AB21" s="83">
        <f>AB12+AB19</f>
        <v/>
      </c>
      <c r="AC21" s="83">
        <f>AC12+AC19</f>
        <v/>
      </c>
    </row>
    <row r="22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  <c r="AA22" s="34" t="n"/>
      <c r="AB22" s="34" t="n"/>
      <c r="AC22" s="34" t="n"/>
    </row>
    <row r="23">
      <c r="A23" s="34" t="n"/>
      <c r="B23" s="36" t="inlineStr">
        <is>
          <t>Segment EBITDA Bridge</t>
        </is>
      </c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</row>
    <row r="24">
      <c r="A24" s="34" t="inlineStr">
        <is>
          <t>SegEBITDA-Australia</t>
        </is>
      </c>
      <c r="B24" s="34" t="inlineStr">
        <is>
          <t>Australia Segment EBITDA</t>
        </is>
      </c>
      <c r="C24" s="34" t="inlineStr">
        <is>
          <t>A$m</t>
        </is>
      </c>
      <c r="D24" s="37" t="n"/>
      <c r="E24" s="37" t="n"/>
      <c r="F24" s="44" t="n">
        <v>24.249</v>
      </c>
      <c r="G24" s="44" t="n">
        <v>23.287</v>
      </c>
      <c r="H24" s="44" t="n">
        <v>31.781</v>
      </c>
      <c r="I24" s="44" t="n">
        <v>34.248</v>
      </c>
      <c r="J24" s="44" t="n">
        <v>41.314</v>
      </c>
      <c r="K24" s="58">
        <f>K97</f>
        <v/>
      </c>
      <c r="L24" s="58">
        <f>L97</f>
        <v/>
      </c>
      <c r="M24" s="58">
        <f>M97</f>
        <v/>
      </c>
      <c r="N24" s="58">
        <f>N97</f>
        <v/>
      </c>
      <c r="O24" s="58">
        <f>O97</f>
        <v/>
      </c>
      <c r="P24" s="58">
        <f>P97</f>
        <v/>
      </c>
      <c r="Q24" s="58">
        <f>Q97</f>
        <v/>
      </c>
      <c r="R24" s="58">
        <f>R97</f>
        <v/>
      </c>
      <c r="S24" s="58">
        <f>S97</f>
        <v/>
      </c>
      <c r="T24" s="58">
        <f>T97</f>
        <v/>
      </c>
      <c r="U24" s="58">
        <f>U97</f>
        <v/>
      </c>
      <c r="V24" s="58">
        <f>V97</f>
        <v/>
      </c>
      <c r="W24" s="58">
        <f>W97</f>
        <v/>
      </c>
      <c r="X24" s="58">
        <f>X97</f>
        <v/>
      </c>
      <c r="Y24" s="58">
        <f>Y97</f>
        <v/>
      </c>
      <c r="Z24" s="58">
        <f>Z97</f>
        <v/>
      </c>
      <c r="AA24" s="58">
        <f>AA97</f>
        <v/>
      </c>
      <c r="AB24" s="58">
        <f>AB97</f>
        <v/>
      </c>
      <c r="AC24" s="58">
        <f>AC97</f>
        <v/>
      </c>
    </row>
    <row r="25">
      <c r="A25" s="34" t="inlineStr">
        <is>
          <t>SegEBITDA-US</t>
        </is>
      </c>
      <c r="B25" s="34" t="inlineStr">
        <is>
          <t>US Segment EBITDA</t>
        </is>
      </c>
      <c r="C25" s="34" t="inlineStr">
        <is>
          <t>A$m</t>
        </is>
      </c>
      <c r="D25" s="37" t="n"/>
      <c r="E25" s="37" t="n"/>
      <c r="F25" s="44" t="n">
        <v>-3.095</v>
      </c>
      <c r="G25" s="44" t="n">
        <v>-3.449</v>
      </c>
      <c r="H25" s="44" t="n">
        <v>-5.014</v>
      </c>
      <c r="I25" s="44" t="n">
        <v>-8.209</v>
      </c>
      <c r="J25" s="44" t="n">
        <v>-8.308</v>
      </c>
      <c r="K25" s="58">
        <f>K106</f>
        <v/>
      </c>
      <c r="L25" s="58">
        <f>L106</f>
        <v/>
      </c>
      <c r="M25" s="58">
        <f>M106</f>
        <v/>
      </c>
      <c r="N25" s="58">
        <f>N106</f>
        <v/>
      </c>
      <c r="O25" s="58">
        <f>O106</f>
        <v/>
      </c>
      <c r="P25" s="58">
        <f>P106</f>
        <v/>
      </c>
      <c r="Q25" s="58">
        <f>Q106</f>
        <v/>
      </c>
      <c r="R25" s="58">
        <f>R106</f>
        <v/>
      </c>
      <c r="S25" s="58">
        <f>S106</f>
        <v/>
      </c>
      <c r="T25" s="58">
        <f>T106</f>
        <v/>
      </c>
      <c r="U25" s="58">
        <f>U106</f>
        <v/>
      </c>
      <c r="V25" s="58">
        <f>V106</f>
        <v/>
      </c>
      <c r="W25" s="58">
        <f>W106</f>
        <v/>
      </c>
      <c r="X25" s="58">
        <f>X106</f>
        <v/>
      </c>
      <c r="Y25" s="58">
        <f>Y106</f>
        <v/>
      </c>
      <c r="Z25" s="58">
        <f>Z106</f>
        <v/>
      </c>
      <c r="AA25" s="58">
        <f>AA106</f>
        <v/>
      </c>
      <c r="AB25" s="58">
        <f>AB106</f>
        <v/>
      </c>
      <c r="AC25" s="58">
        <f>AC106</f>
        <v/>
      </c>
    </row>
    <row r="26">
      <c r="A26" s="34" t="inlineStr">
        <is>
          <t>SegEBITDA-Total Segment EBITDA</t>
        </is>
      </c>
      <c r="B26" s="38" t="inlineStr">
        <is>
          <t>Total Segment Underlying EBITDA</t>
        </is>
      </c>
      <c r="C26" s="38" t="inlineStr">
        <is>
          <t>A$m</t>
        </is>
      </c>
      <c r="D26" s="97" t="n"/>
      <c r="E26" s="97" t="n"/>
      <c r="F26" s="82">
        <f>F24+F25</f>
        <v/>
      </c>
      <c r="G26" s="82">
        <f>G24+G25</f>
        <v/>
      </c>
      <c r="H26" s="82">
        <f>H24+H25</f>
        <v/>
      </c>
      <c r="I26" s="82">
        <f>I24+I25</f>
        <v/>
      </c>
      <c r="J26" s="82">
        <f>J24+J25</f>
        <v/>
      </c>
      <c r="K26" s="83">
        <f>K24+K25</f>
        <v/>
      </c>
      <c r="L26" s="83">
        <f>L24+L25</f>
        <v/>
      </c>
      <c r="M26" s="83">
        <f>M24+M25</f>
        <v/>
      </c>
      <c r="N26" s="83">
        <f>N24+N25</f>
        <v/>
      </c>
      <c r="O26" s="83">
        <f>O24+O25</f>
        <v/>
      </c>
      <c r="P26" s="83">
        <f>P24+P25</f>
        <v/>
      </c>
      <c r="Q26" s="83">
        <f>Q24+Q25</f>
        <v/>
      </c>
      <c r="R26" s="83">
        <f>R24+R25</f>
        <v/>
      </c>
      <c r="S26" s="83">
        <f>S24+S25</f>
        <v/>
      </c>
      <c r="T26" s="83">
        <f>T24+T25</f>
        <v/>
      </c>
      <c r="U26" s="83">
        <f>U24+U25</f>
        <v/>
      </c>
      <c r="V26" s="83">
        <f>V24+V25</f>
        <v/>
      </c>
      <c r="W26" s="83">
        <f>W24+W25</f>
        <v/>
      </c>
      <c r="X26" s="83">
        <f>X24+X25</f>
        <v/>
      </c>
      <c r="Y26" s="83">
        <f>Y24+Y25</f>
        <v/>
      </c>
      <c r="Z26" s="83">
        <f>Z24+Z25</f>
        <v/>
      </c>
      <c r="AA26" s="83">
        <f>AA24+AA25</f>
        <v/>
      </c>
      <c r="AB26" s="83">
        <f>AB24+AB25</f>
        <v/>
      </c>
      <c r="AC26" s="83">
        <f>AC24+AC25</f>
        <v/>
      </c>
    </row>
    <row r="27">
      <c r="A27" s="34" t="inlineStr">
        <is>
          <t>Bridge-Cash Rent</t>
        </is>
      </c>
      <c r="B27" s="34" t="inlineStr">
        <is>
          <t>Cash Rent Addback</t>
        </is>
      </c>
      <c r="C27" s="34" t="inlineStr">
        <is>
          <t>A$m</t>
        </is>
      </c>
      <c r="D27" s="37" t="n"/>
      <c r="E27" s="37" t="n"/>
      <c r="F27" s="44" t="n">
        <v>8.217000000000001</v>
      </c>
      <c r="G27" s="44" t="n">
        <v>8.867000000000001</v>
      </c>
      <c r="H27" s="44" t="n">
        <v>9.398</v>
      </c>
      <c r="I27" s="44" t="n">
        <v>9.074999999999999</v>
      </c>
      <c r="J27" s="44" t="n">
        <v>10.767</v>
      </c>
      <c r="K27" s="70">
        <f>I27</f>
        <v/>
      </c>
      <c r="L27" s="70">
        <f>J27</f>
        <v/>
      </c>
      <c r="M27" s="70">
        <f>K27</f>
        <v/>
      </c>
      <c r="N27" s="70">
        <f>L27</f>
        <v/>
      </c>
      <c r="O27" s="70">
        <f>M27</f>
        <v/>
      </c>
      <c r="P27" s="70">
        <f>N27</f>
        <v/>
      </c>
      <c r="Q27" s="70">
        <f>O27</f>
        <v/>
      </c>
      <c r="R27" s="70">
        <f>P27</f>
        <v/>
      </c>
      <c r="S27" s="70">
        <f>Q27</f>
        <v/>
      </c>
      <c r="T27" s="70">
        <f>R27</f>
        <v/>
      </c>
      <c r="U27" s="70">
        <f>S27</f>
        <v/>
      </c>
      <c r="V27" s="70">
        <f>T27</f>
        <v/>
      </c>
      <c r="W27" s="70">
        <f>U27</f>
        <v/>
      </c>
      <c r="X27" s="70">
        <f>V27</f>
        <v/>
      </c>
      <c r="Y27" s="70">
        <f>W27</f>
        <v/>
      </c>
      <c r="Z27" s="70">
        <f>X27</f>
        <v/>
      </c>
      <c r="AA27" s="70">
        <f>Y27</f>
        <v/>
      </c>
      <c r="AB27" s="70">
        <f>Z27</f>
        <v/>
      </c>
      <c r="AC27" s="70">
        <f>AA27</f>
        <v/>
      </c>
    </row>
    <row r="28">
      <c r="A28" s="34" t="inlineStr">
        <is>
          <t>Bridge-SBP</t>
        </is>
      </c>
      <c r="B28" s="34" t="inlineStr">
        <is>
          <t>Share-Based Payments</t>
        </is>
      </c>
      <c r="C28" s="34" t="inlineStr">
        <is>
          <t>A$m</t>
        </is>
      </c>
      <c r="D28" s="37" t="n"/>
      <c r="E28" s="37" t="n"/>
      <c r="F28" s="44" t="n">
        <v>-6.02</v>
      </c>
      <c r="G28" s="44" t="n">
        <v>-5.122</v>
      </c>
      <c r="H28" s="44" t="n">
        <v>-4.587</v>
      </c>
      <c r="I28" s="44" t="n">
        <v>-4.431</v>
      </c>
      <c r="J28" s="44" t="n">
        <v>-4.72</v>
      </c>
      <c r="K28" s="70">
        <f>I28</f>
        <v/>
      </c>
      <c r="L28" s="70">
        <f>J28</f>
        <v/>
      </c>
      <c r="M28" s="70">
        <f>K28</f>
        <v/>
      </c>
      <c r="N28" s="70">
        <f>L28</f>
        <v/>
      </c>
      <c r="O28" s="70">
        <f>M28</f>
        <v/>
      </c>
      <c r="P28" s="70">
        <f>N28</f>
        <v/>
      </c>
      <c r="Q28" s="70">
        <f>O28</f>
        <v/>
      </c>
      <c r="R28" s="70">
        <f>P28</f>
        <v/>
      </c>
      <c r="S28" s="70">
        <f>Q28</f>
        <v/>
      </c>
      <c r="T28" s="70">
        <f>R28</f>
        <v/>
      </c>
      <c r="U28" s="70">
        <f>S28</f>
        <v/>
      </c>
      <c r="V28" s="70">
        <f>T28</f>
        <v/>
      </c>
      <c r="W28" s="70">
        <f>U28</f>
        <v/>
      </c>
      <c r="X28" s="70">
        <f>V28</f>
        <v/>
      </c>
      <c r="Y28" s="70">
        <f>W28</f>
        <v/>
      </c>
      <c r="Z28" s="70">
        <f>X28</f>
        <v/>
      </c>
      <c r="AA28" s="70">
        <f>Y28</f>
        <v/>
      </c>
      <c r="AB28" s="70">
        <f>Z28</f>
        <v/>
      </c>
      <c r="AC28" s="70">
        <f>AA28</f>
        <v/>
      </c>
    </row>
    <row r="29">
      <c r="A29" s="34" t="inlineStr">
        <is>
          <t>Bridge-Other</t>
        </is>
      </c>
      <c r="B29" s="34" t="inlineStr">
        <is>
          <t>Other Income/(Costs)</t>
        </is>
      </c>
      <c r="C29" s="34" t="inlineStr">
        <is>
          <t>A$m</t>
        </is>
      </c>
      <c r="D29" s="37" t="n"/>
      <c r="E29" s="37" t="n"/>
      <c r="F29" s="44" t="n">
        <v>-4.447</v>
      </c>
      <c r="G29" s="44" t="n">
        <v>-15.214</v>
      </c>
      <c r="H29" s="44" t="n">
        <v>0</v>
      </c>
      <c r="I29" s="44" t="n">
        <v>2.858</v>
      </c>
      <c r="J29" s="44" t="n">
        <v>1.885</v>
      </c>
      <c r="K29" s="70" t="n">
        <v>0</v>
      </c>
      <c r="L29" s="70" t="n">
        <v>0</v>
      </c>
      <c r="M29" s="70" t="n">
        <v>0</v>
      </c>
      <c r="N29" s="70" t="n">
        <v>0</v>
      </c>
      <c r="O29" s="70" t="n">
        <v>0</v>
      </c>
      <c r="P29" s="70" t="n">
        <v>0</v>
      </c>
      <c r="Q29" s="70" t="n">
        <v>0</v>
      </c>
      <c r="R29" s="70" t="n">
        <v>0</v>
      </c>
      <c r="S29" s="70" t="n">
        <v>0</v>
      </c>
      <c r="T29" s="70" t="n">
        <v>0</v>
      </c>
      <c r="U29" s="70" t="n">
        <v>0</v>
      </c>
      <c r="V29" s="70" t="n">
        <v>0</v>
      </c>
      <c r="W29" s="70" t="n">
        <v>0</v>
      </c>
      <c r="X29" s="70" t="n">
        <v>0</v>
      </c>
      <c r="Y29" s="70" t="n">
        <v>0</v>
      </c>
      <c r="Z29" s="70" t="n">
        <v>0</v>
      </c>
      <c r="AA29" s="70" t="n">
        <v>0</v>
      </c>
      <c r="AB29" s="70" t="n">
        <v>0</v>
      </c>
      <c r="AC29" s="70" t="n">
        <v>0</v>
      </c>
    </row>
    <row r="30">
      <c r="A30" s="34" t="inlineStr">
        <is>
          <t>EBITDA-Statutory EBITDA</t>
        </is>
      </c>
      <c r="B30" s="38" t="inlineStr">
        <is>
          <t>EBITDA</t>
        </is>
      </c>
      <c r="C30" s="38" t="inlineStr">
        <is>
          <t>A$m</t>
        </is>
      </c>
      <c r="D30" s="97" t="n"/>
      <c r="E30" s="97" t="n"/>
      <c r="F30" s="82">
        <f>F26+F27+F28+F29</f>
        <v/>
      </c>
      <c r="G30" s="82">
        <f>G26+G27+G28+G29</f>
        <v/>
      </c>
      <c r="H30" s="82">
        <f>H26+H27+H28+H29</f>
        <v/>
      </c>
      <c r="I30" s="82">
        <f>I26+I27+I28+I29</f>
        <v/>
      </c>
      <c r="J30" s="82">
        <f>J26+J27+J28+J29</f>
        <v/>
      </c>
      <c r="K30" s="83">
        <f>K26+K27+K28+K29</f>
        <v/>
      </c>
      <c r="L30" s="83">
        <f>L26+L27+L28+L29</f>
        <v/>
      </c>
      <c r="M30" s="83">
        <f>M26+M27+M28+M29</f>
        <v/>
      </c>
      <c r="N30" s="83">
        <f>N26+N27+N28+N29</f>
        <v/>
      </c>
      <c r="O30" s="83">
        <f>O26+O27+O28+O29</f>
        <v/>
      </c>
      <c r="P30" s="83">
        <f>P26+P27+P28+P29</f>
        <v/>
      </c>
      <c r="Q30" s="83">
        <f>Q26+Q27+Q28+Q29</f>
        <v/>
      </c>
      <c r="R30" s="83">
        <f>R26+R27+R28+R29</f>
        <v/>
      </c>
      <c r="S30" s="83">
        <f>S26+S27+S28+S29</f>
        <v/>
      </c>
      <c r="T30" s="83">
        <f>T26+T27+T28+T29</f>
        <v/>
      </c>
      <c r="U30" s="83">
        <f>U26+U27+U28+U29</f>
        <v/>
      </c>
      <c r="V30" s="83">
        <f>V26+V27+V28+V29</f>
        <v/>
      </c>
      <c r="W30" s="83">
        <f>W26+W27+W28+W29</f>
        <v/>
      </c>
      <c r="X30" s="83">
        <f>X26+X27+X28+X29</f>
        <v/>
      </c>
      <c r="Y30" s="83">
        <f>Y26+Y27+Y28+Y29</f>
        <v/>
      </c>
      <c r="Z30" s="83">
        <f>Z26+Z27+Z28+Z29</f>
        <v/>
      </c>
      <c r="AA30" s="83">
        <f>AA26+AA27+AA28+AA29</f>
        <v/>
      </c>
      <c r="AB30" s="83">
        <f>AB26+AB27+AB28+AB29</f>
        <v/>
      </c>
      <c r="AC30" s="83">
        <f>AC26+AC27+AC28+AC29</f>
        <v/>
      </c>
    </row>
    <row r="31">
      <c r="A31" s="34" t="n"/>
      <c r="B31" s="34" t="inlineStr">
        <is>
          <t>EBITDA Margin</t>
        </is>
      </c>
      <c r="C31" s="34" t="inlineStr">
        <is>
          <t>%</t>
        </is>
      </c>
      <c r="D31" s="40" t="n"/>
      <c r="E31" s="40" t="n"/>
      <c r="F31" s="46">
        <f>IF(F21=0,"",F30/F21)</f>
        <v/>
      </c>
      <c r="G31" s="46">
        <f>IF(G21=0,"",G30/G21)</f>
        <v/>
      </c>
      <c r="H31" s="46">
        <f>IF(H21=0,"",H30/H21)</f>
        <v/>
      </c>
      <c r="I31" s="46">
        <f>IF(I21=0,"",I30/I21)</f>
        <v/>
      </c>
      <c r="J31" s="46">
        <f>IF(J21=0,"",J30/J21)</f>
        <v/>
      </c>
      <c r="K31" s="60">
        <f>IF(K21=0,"",K30/K21)</f>
        <v/>
      </c>
      <c r="L31" s="60">
        <f>IF(L21=0,"",L30/L21)</f>
        <v/>
      </c>
      <c r="M31" s="60">
        <f>IF(M21=0,"",M30/M21)</f>
        <v/>
      </c>
      <c r="N31" s="60">
        <f>IF(N21=0,"",N30/N21)</f>
        <v/>
      </c>
      <c r="O31" s="60">
        <f>IF(O21=0,"",O30/O21)</f>
        <v/>
      </c>
      <c r="P31" s="60">
        <f>IF(P21=0,"",P30/P21)</f>
        <v/>
      </c>
      <c r="Q31" s="60">
        <f>IF(Q21=0,"",Q30/Q21)</f>
        <v/>
      </c>
      <c r="R31" s="60">
        <f>IF(R21=0,"",R30/R21)</f>
        <v/>
      </c>
      <c r="S31" s="60">
        <f>IF(S21=0,"",S30/S21)</f>
        <v/>
      </c>
      <c r="T31" s="60">
        <f>IF(T21=0,"",T30/T21)</f>
        <v/>
      </c>
      <c r="U31" s="60">
        <f>IF(U21=0,"",U30/U21)</f>
        <v/>
      </c>
      <c r="V31" s="60">
        <f>IF(V21=0,"",V30/V21)</f>
        <v/>
      </c>
      <c r="W31" s="60">
        <f>IF(W21=0,"",W30/W21)</f>
        <v/>
      </c>
      <c r="X31" s="60">
        <f>IF(X21=0,"",X30/X21)</f>
        <v/>
      </c>
      <c r="Y31" s="60">
        <f>IF(Y21=0,"",Y30/Y21)</f>
        <v/>
      </c>
      <c r="Z31" s="60">
        <f>IF(Z21=0,"",Z30/Z21)</f>
        <v/>
      </c>
      <c r="AA31" s="60">
        <f>IF(AA21=0,"",AA30/AA21)</f>
        <v/>
      </c>
      <c r="AB31" s="60">
        <f>IF(AB21=0,"",AB30/AB21)</f>
        <v/>
      </c>
      <c r="AC31" s="60">
        <f>IF(AC21=0,"",AC30/AC21)</f>
        <v/>
      </c>
    </row>
    <row r="32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</row>
    <row r="33">
      <c r="A33" s="34" t="n"/>
      <c r="B33" s="36" t="inlineStr">
        <is>
          <t>Expenses (Memo)</t>
        </is>
      </c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  <c r="AA33" s="34" t="n"/>
      <c r="AB33" s="34" t="n"/>
      <c r="AC33" s="34" t="n"/>
    </row>
    <row r="34">
      <c r="A34" s="34" t="inlineStr">
        <is>
          <t>Exp-Food &amp; Packaging</t>
        </is>
      </c>
      <c r="B34" s="34" t="inlineStr">
        <is>
          <t>Cost of Food &amp; Packaging</t>
        </is>
      </c>
      <c r="C34" s="34" t="inlineStr">
        <is>
          <t>A$m</t>
        </is>
      </c>
      <c r="D34" s="37" t="n"/>
      <c r="E34" s="37" t="n"/>
      <c r="F34" s="44" t="n">
        <v>-43.192</v>
      </c>
      <c r="G34" s="44" t="n">
        <v>-44.388</v>
      </c>
      <c r="H34" s="44" t="n">
        <v>-55.071</v>
      </c>
      <c r="I34" s="44" t="n">
        <v>-58.877</v>
      </c>
      <c r="J34" s="44" t="n">
        <v>-67.126</v>
      </c>
      <c r="K34" s="58">
        <f>IF(I39=0,0,K39*I34/I39)</f>
        <v/>
      </c>
      <c r="L34" s="58">
        <f>IF(J39=0,0,L39*J34/J39)</f>
        <v/>
      </c>
      <c r="M34" s="58">
        <f>IF(K39=0,0,M39*K34/K39)</f>
        <v/>
      </c>
      <c r="N34" s="58">
        <f>IF(L39=0,0,N39*L34/L39)</f>
        <v/>
      </c>
      <c r="O34" s="58">
        <f>IF(M39=0,0,O39*M34/M39)</f>
        <v/>
      </c>
      <c r="P34" s="58">
        <f>IF(N39=0,0,P39*N34/N39)</f>
        <v/>
      </c>
      <c r="Q34" s="58">
        <f>IF(O39=0,0,Q39*O34/O39)</f>
        <v/>
      </c>
      <c r="R34" s="58">
        <f>IF(P39=0,0,R39*P34/P39)</f>
        <v/>
      </c>
      <c r="S34" s="58">
        <f>IF(Q39=0,0,S39*Q34/Q39)</f>
        <v/>
      </c>
      <c r="T34" s="58">
        <f>IF(R39=0,0,T39*R34/R39)</f>
        <v/>
      </c>
      <c r="U34" s="58">
        <f>IF(S39=0,0,U39*S34/S39)</f>
        <v/>
      </c>
      <c r="V34" s="58">
        <f>IF(T39=0,0,V39*T34/T39)</f>
        <v/>
      </c>
      <c r="W34" s="58">
        <f>IF(U39=0,0,W39*U34/U39)</f>
        <v/>
      </c>
      <c r="X34" s="58">
        <f>IF(V39=0,0,X39*V34/V39)</f>
        <v/>
      </c>
      <c r="Y34" s="58">
        <f>IF(W39=0,0,Y39*W34/W39)</f>
        <v/>
      </c>
      <c r="Z34" s="58">
        <f>IF(X39=0,0,Z39*X34/X39)</f>
        <v/>
      </c>
      <c r="AA34" s="58">
        <f>IF(Y39=0,0,AA39*Y34/Y39)</f>
        <v/>
      </c>
      <c r="AB34" s="58">
        <f>IF(Z39=0,0,AB39*Z34/Z39)</f>
        <v/>
      </c>
      <c r="AC34" s="58">
        <f>IF(AA39=0,0,AC39*AA34/AA39)</f>
        <v/>
      </c>
    </row>
    <row r="35">
      <c r="A35" s="34" t="inlineStr">
        <is>
          <t>Exp-Employee Benefits</t>
        </is>
      </c>
      <c r="B35" s="34" t="inlineStr">
        <is>
          <t>Employee Benefit Expenses</t>
        </is>
      </c>
      <c r="C35" s="34" t="inlineStr">
        <is>
          <t>A$m</t>
        </is>
      </c>
      <c r="D35" s="37" t="n"/>
      <c r="E35" s="37" t="n"/>
      <c r="F35" s="44" t="n">
        <v>-73.32599999999999</v>
      </c>
      <c r="G35" s="44" t="n">
        <v>-80.407</v>
      </c>
      <c r="H35" s="44" t="n">
        <v>-89.003</v>
      </c>
      <c r="I35" s="44" t="n">
        <v>-95.65300000000001</v>
      </c>
      <c r="J35" s="44" t="n">
        <v>-110.669</v>
      </c>
      <c r="K35" s="58">
        <f>IF(I39=0,0,K39*I35/I39)</f>
        <v/>
      </c>
      <c r="L35" s="58">
        <f>IF(J39=0,0,L39*J35/J39)</f>
        <v/>
      </c>
      <c r="M35" s="58">
        <f>IF(K39=0,0,M39*K35/K39)</f>
        <v/>
      </c>
      <c r="N35" s="58">
        <f>IF(L39=0,0,N39*L35/L39)</f>
        <v/>
      </c>
      <c r="O35" s="58">
        <f>IF(M39=0,0,O39*M35/M39)</f>
        <v/>
      </c>
      <c r="P35" s="58">
        <f>IF(N39=0,0,P39*N35/N39)</f>
        <v/>
      </c>
      <c r="Q35" s="58">
        <f>IF(O39=0,0,Q39*O35/O39)</f>
        <v/>
      </c>
      <c r="R35" s="58">
        <f>IF(P39=0,0,R39*P35/P39)</f>
        <v/>
      </c>
      <c r="S35" s="58">
        <f>IF(Q39=0,0,S39*Q35/Q39)</f>
        <v/>
      </c>
      <c r="T35" s="58">
        <f>IF(R39=0,0,T39*R35/R39)</f>
        <v/>
      </c>
      <c r="U35" s="58">
        <f>IF(S39=0,0,U39*S35/S39)</f>
        <v/>
      </c>
      <c r="V35" s="58">
        <f>IF(T39=0,0,V39*T35/T39)</f>
        <v/>
      </c>
      <c r="W35" s="58">
        <f>IF(U39=0,0,W39*U35/U39)</f>
        <v/>
      </c>
      <c r="X35" s="58">
        <f>IF(V39=0,0,X39*V35/V39)</f>
        <v/>
      </c>
      <c r="Y35" s="58">
        <f>IF(W39=0,0,Y39*W35/W39)</f>
        <v/>
      </c>
      <c r="Z35" s="58">
        <f>IF(X39=0,0,Z39*X35/X39)</f>
        <v/>
      </c>
      <c r="AA35" s="58">
        <f>IF(Y39=0,0,AA39*Y35/Y39)</f>
        <v/>
      </c>
      <c r="AB35" s="58">
        <f>IF(Z39=0,0,AB39*Z35/Z39)</f>
        <v/>
      </c>
      <c r="AC35" s="58">
        <f>IF(AA39=0,0,AC39*AA35/AA39)</f>
        <v/>
      </c>
    </row>
    <row r="36">
      <c r="A36" s="34" t="inlineStr">
        <is>
          <t>Exp-Admin</t>
        </is>
      </c>
      <c r="B36" s="34" t="inlineStr">
        <is>
          <t>Administrative Expenses</t>
        </is>
      </c>
      <c r="C36" s="34" t="inlineStr">
        <is>
          <t>A$m</t>
        </is>
      </c>
      <c r="D36" s="37" t="n"/>
      <c r="E36" s="37" t="n"/>
      <c r="F36" s="44" t="n">
        <v>-25.346</v>
      </c>
      <c r="G36" s="44" t="n">
        <v>-35.249</v>
      </c>
      <c r="H36" s="44" t="n">
        <v>-25.865</v>
      </c>
      <c r="I36" s="44" t="n">
        <v>-27.75</v>
      </c>
      <c r="J36" s="44" t="n">
        <v>-28.718</v>
      </c>
      <c r="K36" s="58">
        <f>IF(I39=0,0,K39*I36/I39)</f>
        <v/>
      </c>
      <c r="L36" s="58">
        <f>IF(J39=0,0,L39*J36/J39)</f>
        <v/>
      </c>
      <c r="M36" s="58">
        <f>IF(K39=0,0,M39*K36/K39)</f>
        <v/>
      </c>
      <c r="N36" s="58">
        <f>IF(L39=0,0,N39*L36/L39)</f>
        <v/>
      </c>
      <c r="O36" s="58">
        <f>IF(M39=0,0,O39*M36/M39)</f>
        <v/>
      </c>
      <c r="P36" s="58">
        <f>IF(N39=0,0,P39*N36/N39)</f>
        <v/>
      </c>
      <c r="Q36" s="58">
        <f>IF(O39=0,0,Q39*O36/O39)</f>
        <v/>
      </c>
      <c r="R36" s="58">
        <f>IF(P39=0,0,R39*P36/P39)</f>
        <v/>
      </c>
      <c r="S36" s="58">
        <f>IF(Q39=0,0,S39*Q36/Q39)</f>
        <v/>
      </c>
      <c r="T36" s="58">
        <f>IF(R39=0,0,T39*R36/R39)</f>
        <v/>
      </c>
      <c r="U36" s="58">
        <f>IF(S39=0,0,U39*S36/S39)</f>
        <v/>
      </c>
      <c r="V36" s="58">
        <f>IF(T39=0,0,V39*T36/T39)</f>
        <v/>
      </c>
      <c r="W36" s="58">
        <f>IF(U39=0,0,W39*U36/U39)</f>
        <v/>
      </c>
      <c r="X36" s="58">
        <f>IF(V39=0,0,X39*V36/V39)</f>
        <v/>
      </c>
      <c r="Y36" s="58">
        <f>IF(W39=0,0,Y39*W36/W39)</f>
        <v/>
      </c>
      <c r="Z36" s="58">
        <f>IF(X39=0,0,Z39*X36/X39)</f>
        <v/>
      </c>
      <c r="AA36" s="58">
        <f>IF(Y39=0,0,AA39*Y36/Y39)</f>
        <v/>
      </c>
      <c r="AB36" s="58">
        <f>IF(Z39=0,0,AB39*Z36/Z39)</f>
        <v/>
      </c>
      <c r="AC36" s="58">
        <f>IF(AA39=0,0,AC39*AA36/AA39)</f>
        <v/>
      </c>
    </row>
    <row r="37">
      <c r="A37" s="34" t="inlineStr">
        <is>
          <t>Exp-Marketing</t>
        </is>
      </c>
      <c r="B37" s="34" t="inlineStr">
        <is>
          <t>Marketing Expenses</t>
        </is>
      </c>
      <c r="C37" s="34" t="inlineStr">
        <is>
          <t>A$m</t>
        </is>
      </c>
      <c r="D37" s="37" t="n"/>
      <c r="E37" s="37" t="n"/>
      <c r="F37" s="44" t="n">
        <v>-8.537000000000001</v>
      </c>
      <c r="G37" s="44" t="n">
        <v>-9.401</v>
      </c>
      <c r="H37" s="44" t="n">
        <v>-11.302</v>
      </c>
      <c r="I37" s="44" t="n">
        <v>-9.984999999999999</v>
      </c>
      <c r="J37" s="44" t="n">
        <v>-13.706</v>
      </c>
      <c r="K37" s="58">
        <f>IF(I39=0,0,K39*I37/I39)</f>
        <v/>
      </c>
      <c r="L37" s="58">
        <f>IF(J39=0,0,L39*J37/J39)</f>
        <v/>
      </c>
      <c r="M37" s="58">
        <f>IF(K39=0,0,M39*K37/K39)</f>
        <v/>
      </c>
      <c r="N37" s="58">
        <f>IF(L39=0,0,N39*L37/L39)</f>
        <v/>
      </c>
      <c r="O37" s="58">
        <f>IF(M39=0,0,O39*M37/M39)</f>
        <v/>
      </c>
      <c r="P37" s="58">
        <f>IF(N39=0,0,P39*N37/N39)</f>
        <v/>
      </c>
      <c r="Q37" s="58">
        <f>IF(O39=0,0,Q39*O37/O39)</f>
        <v/>
      </c>
      <c r="R37" s="58">
        <f>IF(P39=0,0,R39*P37/P39)</f>
        <v/>
      </c>
      <c r="S37" s="58">
        <f>IF(Q39=0,0,S39*Q37/Q39)</f>
        <v/>
      </c>
      <c r="T37" s="58">
        <f>IF(R39=0,0,T39*R37/R39)</f>
        <v/>
      </c>
      <c r="U37" s="58">
        <f>IF(S39=0,0,U39*S37/S39)</f>
        <v/>
      </c>
      <c r="V37" s="58">
        <f>IF(T39=0,0,V39*T37/T39)</f>
        <v/>
      </c>
      <c r="W37" s="58">
        <f>IF(U39=0,0,W39*U37/U39)</f>
        <v/>
      </c>
      <c r="X37" s="58">
        <f>IF(V39=0,0,X39*V37/V39)</f>
        <v/>
      </c>
      <c r="Y37" s="58">
        <f>IF(W39=0,0,Y39*W37/W39)</f>
        <v/>
      </c>
      <c r="Z37" s="58">
        <f>IF(X39=0,0,Z39*X37/X39)</f>
        <v/>
      </c>
      <c r="AA37" s="58">
        <f>IF(Y39=0,0,AA39*Y37/Y39)</f>
        <v/>
      </c>
      <c r="AB37" s="58">
        <f>IF(Z39=0,0,AB39*Z37/Z39)</f>
        <v/>
      </c>
      <c r="AC37" s="58">
        <f>IF(AA39=0,0,AC39*AA37/AA39)</f>
        <v/>
      </c>
    </row>
    <row r="38">
      <c r="A38" s="34" t="inlineStr">
        <is>
          <t>Exp-Other Expenses</t>
        </is>
      </c>
      <c r="B38" s="34" t="inlineStr">
        <is>
          <t>Other Expenses</t>
        </is>
      </c>
      <c r="C38" s="34" t="inlineStr">
        <is>
          <t>A$m</t>
        </is>
      </c>
      <c r="D38" s="37" t="n"/>
      <c r="E38" s="37" t="n"/>
      <c r="F38" s="44" t="n">
        <v>-9.550000000000001</v>
      </c>
      <c r="G38" s="44" t="n">
        <v>-8.318</v>
      </c>
      <c r="H38" s="44" t="n">
        <v>-14.311</v>
      </c>
      <c r="I38" s="44" t="n">
        <v>-15.07</v>
      </c>
      <c r="J38" s="44" t="n">
        <v>-17.407</v>
      </c>
      <c r="K38" s="58">
        <f>IF(I39=0,0,K39*I38/I39)</f>
        <v/>
      </c>
      <c r="L38" s="58">
        <f>IF(J39=0,0,L39*J38/J39)</f>
        <v/>
      </c>
      <c r="M38" s="58">
        <f>IF(K39=0,0,M39*K38/K39)</f>
        <v/>
      </c>
      <c r="N38" s="58">
        <f>IF(L39=0,0,N39*L38/L39)</f>
        <v/>
      </c>
      <c r="O38" s="58">
        <f>IF(M39=0,0,O39*M38/M39)</f>
        <v/>
      </c>
      <c r="P38" s="58">
        <f>IF(N39=0,0,P39*N38/N39)</f>
        <v/>
      </c>
      <c r="Q38" s="58">
        <f>IF(O39=0,0,Q39*O38/O39)</f>
        <v/>
      </c>
      <c r="R38" s="58">
        <f>IF(P39=0,0,R39*P38/P39)</f>
        <v/>
      </c>
      <c r="S38" s="58">
        <f>IF(Q39=0,0,S39*Q38/Q39)</f>
        <v/>
      </c>
      <c r="T38" s="58">
        <f>IF(R39=0,0,T39*R38/R39)</f>
        <v/>
      </c>
      <c r="U38" s="58">
        <f>IF(S39=0,0,U39*S38/S39)</f>
        <v/>
      </c>
      <c r="V38" s="58">
        <f>IF(T39=0,0,V39*T38/T39)</f>
        <v/>
      </c>
      <c r="W38" s="58">
        <f>IF(U39=0,0,W39*U38/U39)</f>
        <v/>
      </c>
      <c r="X38" s="58">
        <f>IF(V39=0,0,X39*V38/V39)</f>
        <v/>
      </c>
      <c r="Y38" s="58">
        <f>IF(W39=0,0,Y39*W38/W39)</f>
        <v/>
      </c>
      <c r="Z38" s="58">
        <f>IF(X39=0,0,Z39*X38/X39)</f>
        <v/>
      </c>
      <c r="AA38" s="58">
        <f>IF(Y39=0,0,AA39*Y38/Y39)</f>
        <v/>
      </c>
      <c r="AB38" s="58">
        <f>IF(Z39=0,0,AB39*Z38/Z39)</f>
        <v/>
      </c>
      <c r="AC38" s="58">
        <f>IF(AA39=0,0,AC39*AA38/AA39)</f>
        <v/>
      </c>
    </row>
    <row r="39">
      <c r="A39" s="34" t="inlineStr">
        <is>
          <t>Exp-Total Expenses</t>
        </is>
      </c>
      <c r="B39" s="38" t="inlineStr">
        <is>
          <t>Total Expenses (excl D&amp;A)</t>
        </is>
      </c>
      <c r="C39" s="38" t="inlineStr">
        <is>
          <t>A$m</t>
        </is>
      </c>
      <c r="D39" s="97" t="n"/>
      <c r="E39" s="97" t="n"/>
      <c r="F39" s="82">
        <f>SUM(F34:F38)</f>
        <v/>
      </c>
      <c r="G39" s="82">
        <f>SUM(G34:G38)</f>
        <v/>
      </c>
      <c r="H39" s="82">
        <f>SUM(H34:H38)</f>
        <v/>
      </c>
      <c r="I39" s="82">
        <f>SUM(I34:I38)</f>
        <v/>
      </c>
      <c r="J39" s="82">
        <f>SUM(J34:J38)</f>
        <v/>
      </c>
      <c r="K39" s="83">
        <f>K21-K30</f>
        <v/>
      </c>
      <c r="L39" s="83">
        <f>L21-L30</f>
        <v/>
      </c>
      <c r="M39" s="83">
        <f>M21-M30</f>
        <v/>
      </c>
      <c r="N39" s="83">
        <f>N21-N30</f>
        <v/>
      </c>
      <c r="O39" s="83">
        <f>O21-O30</f>
        <v/>
      </c>
      <c r="P39" s="83">
        <f>P21-P30</f>
        <v/>
      </c>
      <c r="Q39" s="83">
        <f>Q21-Q30</f>
        <v/>
      </c>
      <c r="R39" s="83">
        <f>R21-R30</f>
        <v/>
      </c>
      <c r="S39" s="83">
        <f>S21-S30</f>
        <v/>
      </c>
      <c r="T39" s="83">
        <f>T21-T30</f>
        <v/>
      </c>
      <c r="U39" s="83">
        <f>U21-U30</f>
        <v/>
      </c>
      <c r="V39" s="83">
        <f>V21-V30</f>
        <v/>
      </c>
      <c r="W39" s="83">
        <f>W21-W30</f>
        <v/>
      </c>
      <c r="X39" s="83">
        <f>X21-X30</f>
        <v/>
      </c>
      <c r="Y39" s="83">
        <f>Y21-Y30</f>
        <v/>
      </c>
      <c r="Z39" s="83">
        <f>Z21-Z30</f>
        <v/>
      </c>
      <c r="AA39" s="83">
        <f>AA21-AA30</f>
        <v/>
      </c>
      <c r="AB39" s="83">
        <f>AB21-AB30</f>
        <v/>
      </c>
      <c r="AC39" s="83">
        <f>AC21-AC30</f>
        <v/>
      </c>
    </row>
    <row r="40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  <c r="AA40" s="34" t="n"/>
      <c r="AB40" s="34" t="n"/>
      <c r="AC40" s="34" t="n"/>
    </row>
    <row r="41">
      <c r="A41" s="34" t="n"/>
      <c r="B41" s="36" t="inlineStr">
        <is>
          <t>Depreciation &amp; Amortisation</t>
        </is>
      </c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  <c r="AA41" s="34" t="n"/>
      <c r="AB41" s="34" t="n"/>
      <c r="AC41" s="34" t="n"/>
    </row>
    <row r="42">
      <c r="A42" s="34" t="inlineStr">
        <is>
          <t>DA-ROU Depreciation</t>
        </is>
      </c>
      <c r="B42" s="34" t="inlineStr">
        <is>
          <t>Depreciation - ROU Assets</t>
        </is>
      </c>
      <c r="C42" s="34" t="inlineStr">
        <is>
          <t>A$m</t>
        </is>
      </c>
      <c r="D42" s="37" t="n"/>
      <c r="E42" s="37" t="n"/>
      <c r="F42" s="44" t="n">
        <v>-6.324</v>
      </c>
      <c r="G42" s="44" t="n">
        <v>-4.923</v>
      </c>
      <c r="H42" s="44" t="n">
        <v>-7.743</v>
      </c>
      <c r="I42" s="44" t="n">
        <v>-6.131</v>
      </c>
      <c r="J42" s="44" t="n">
        <v>-8.071</v>
      </c>
      <c r="K42" s="58">
        <f>IF(I46=0,0,K46*I42/I46)</f>
        <v/>
      </c>
      <c r="L42" s="58">
        <f>IF(J46=0,0,L46*J42/J46)</f>
        <v/>
      </c>
      <c r="M42" s="58">
        <f>IF(K46=0,0,M46*K42/K46)</f>
        <v/>
      </c>
      <c r="N42" s="58">
        <f>IF(L46=0,0,N46*L42/L46)</f>
        <v/>
      </c>
      <c r="O42" s="58">
        <f>IF(M46=0,0,O46*M42/M46)</f>
        <v/>
      </c>
      <c r="P42" s="58">
        <f>IF(N46=0,0,P46*N42/N46)</f>
        <v/>
      </c>
      <c r="Q42" s="58">
        <f>IF(O46=0,0,Q46*O42/O46)</f>
        <v/>
      </c>
      <c r="R42" s="58">
        <f>IF(P46=0,0,R46*P42/P46)</f>
        <v/>
      </c>
      <c r="S42" s="58">
        <f>IF(Q46=0,0,S46*Q42/Q46)</f>
        <v/>
      </c>
      <c r="T42" s="58">
        <f>IF(R46=0,0,T46*R42/R46)</f>
        <v/>
      </c>
      <c r="U42" s="58">
        <f>IF(S46=0,0,U46*S42/S46)</f>
        <v/>
      </c>
      <c r="V42" s="58">
        <f>IF(T46=0,0,V46*T42/T46)</f>
        <v/>
      </c>
      <c r="W42" s="58">
        <f>IF(U46=0,0,W46*U42/U46)</f>
        <v/>
      </c>
      <c r="X42" s="58">
        <f>IF(V46=0,0,X46*V42/V46)</f>
        <v/>
      </c>
      <c r="Y42" s="58">
        <f>IF(W46=0,0,Y46*W42/W46)</f>
        <v/>
      </c>
      <c r="Z42" s="58">
        <f>IF(X46=0,0,Z46*X42/X46)</f>
        <v/>
      </c>
      <c r="AA42" s="58">
        <f>IF(Y46=0,0,AA46*Y42/Y46)</f>
        <v/>
      </c>
      <c r="AB42" s="58">
        <f>IF(Z46=0,0,AB46*Z42/Z46)</f>
        <v/>
      </c>
      <c r="AC42" s="58">
        <f>IF(AA46=0,0,AC46*AA42/AA46)</f>
        <v/>
      </c>
    </row>
    <row r="43">
      <c r="A43" s="34" t="inlineStr">
        <is>
          <t>DA-PPE Depreciation</t>
        </is>
      </c>
      <c r="B43" s="34" t="inlineStr">
        <is>
          <t>Depreciation - PPE</t>
        </is>
      </c>
      <c r="C43" s="34" t="inlineStr">
        <is>
          <t>A$m</t>
        </is>
      </c>
      <c r="D43" s="37" t="n"/>
      <c r="E43" s="37" t="n"/>
      <c r="F43" s="44" t="n">
        <v>-6.062</v>
      </c>
      <c r="G43" s="44" t="n">
        <v>-6.898</v>
      </c>
      <c r="H43" s="44" t="n">
        <v>-7.832</v>
      </c>
      <c r="I43" s="44" t="n">
        <v>-11.464</v>
      </c>
      <c r="J43" s="44" t="n">
        <v>-10.155</v>
      </c>
      <c r="K43" s="58">
        <f>IF(I46=0,0,K46*I43/I46)</f>
        <v/>
      </c>
      <c r="L43" s="58">
        <f>IF(J46=0,0,L46*J43/J46)</f>
        <v/>
      </c>
      <c r="M43" s="58">
        <f>IF(K46=0,0,M46*K43/K46)</f>
        <v/>
      </c>
      <c r="N43" s="58">
        <f>IF(L46=0,0,N46*L43/L46)</f>
        <v/>
      </c>
      <c r="O43" s="58">
        <f>IF(M46=0,0,O46*M43/M46)</f>
        <v/>
      </c>
      <c r="P43" s="58">
        <f>IF(N46=0,0,P46*N43/N46)</f>
        <v/>
      </c>
      <c r="Q43" s="58">
        <f>IF(O46=0,0,Q46*O43/O46)</f>
        <v/>
      </c>
      <c r="R43" s="58">
        <f>IF(P46=0,0,R46*P43/P46)</f>
        <v/>
      </c>
      <c r="S43" s="58">
        <f>IF(Q46=0,0,S46*Q43/Q46)</f>
        <v/>
      </c>
      <c r="T43" s="58">
        <f>IF(R46=0,0,T46*R43/R46)</f>
        <v/>
      </c>
      <c r="U43" s="58">
        <f>IF(S46=0,0,U46*S43/S46)</f>
        <v/>
      </c>
      <c r="V43" s="58">
        <f>IF(T46=0,0,V46*T43/T46)</f>
        <v/>
      </c>
      <c r="W43" s="58">
        <f>IF(U46=0,0,W46*U43/U46)</f>
        <v/>
      </c>
      <c r="X43" s="58">
        <f>IF(V46=0,0,X46*V43/V46)</f>
        <v/>
      </c>
      <c r="Y43" s="58">
        <f>IF(W46=0,0,Y46*W43/W46)</f>
        <v/>
      </c>
      <c r="Z43" s="58">
        <f>IF(X46=0,0,Z46*X43/X46)</f>
        <v/>
      </c>
      <c r="AA43" s="58">
        <f>IF(Y46=0,0,AA46*Y43/Y46)</f>
        <v/>
      </c>
      <c r="AB43" s="58">
        <f>IF(Z46=0,0,AB46*Z43/Z46)</f>
        <v/>
      </c>
      <c r="AC43" s="58">
        <f>IF(AA46=0,0,AC46*AA43/AA46)</f>
        <v/>
      </c>
    </row>
    <row r="44">
      <c r="A44" s="34" t="inlineStr">
        <is>
          <t>DA-Amortisation Reacquired</t>
        </is>
      </c>
      <c r="B44" s="34" t="inlineStr">
        <is>
          <t>Amortisation - Reacquired Rights</t>
        </is>
      </c>
      <c r="C44" s="34" t="inlineStr">
        <is>
          <t>A$m</t>
        </is>
      </c>
      <c r="D44" s="37" t="n"/>
      <c r="E44" s="37" t="n"/>
      <c r="F44" s="44" t="n">
        <v>-1.434</v>
      </c>
      <c r="G44" s="44" t="n">
        <v>-1.501</v>
      </c>
      <c r="H44" s="44" t="n">
        <v>-1.89</v>
      </c>
      <c r="I44" s="44" t="n">
        <v>-1.778</v>
      </c>
      <c r="J44" s="44" t="n">
        <v>-1.231</v>
      </c>
      <c r="K44" s="58">
        <f>IF(I46=0,0,K46*I44/I46)</f>
        <v/>
      </c>
      <c r="L44" s="58">
        <f>IF(J46=0,0,L46*J44/J46)</f>
        <v/>
      </c>
      <c r="M44" s="58">
        <f>IF(K46=0,0,M46*K44/K46)</f>
        <v/>
      </c>
      <c r="N44" s="58">
        <f>IF(L46=0,0,N46*L44/L46)</f>
        <v/>
      </c>
      <c r="O44" s="58">
        <f>IF(M46=0,0,O46*M44/M46)</f>
        <v/>
      </c>
      <c r="P44" s="58">
        <f>IF(N46=0,0,P46*N44/N46)</f>
        <v/>
      </c>
      <c r="Q44" s="58">
        <f>IF(O46=0,0,Q46*O44/O46)</f>
        <v/>
      </c>
      <c r="R44" s="58">
        <f>IF(P46=0,0,R46*P44/P46)</f>
        <v/>
      </c>
      <c r="S44" s="58">
        <f>IF(Q46=0,0,S46*Q44/Q46)</f>
        <v/>
      </c>
      <c r="T44" s="58">
        <f>IF(R46=0,0,T46*R44/R46)</f>
        <v/>
      </c>
      <c r="U44" s="58">
        <f>IF(S46=0,0,U46*S44/S46)</f>
        <v/>
      </c>
      <c r="V44" s="58">
        <f>IF(T46=0,0,V46*T44/T46)</f>
        <v/>
      </c>
      <c r="W44" s="58">
        <f>IF(U46=0,0,W46*U44/U46)</f>
        <v/>
      </c>
      <c r="X44" s="58">
        <f>IF(V46=0,0,X46*V44/V46)</f>
        <v/>
      </c>
      <c r="Y44" s="58">
        <f>IF(W46=0,0,Y46*W44/W46)</f>
        <v/>
      </c>
      <c r="Z44" s="58">
        <f>IF(X46=0,0,Z46*X44/X46)</f>
        <v/>
      </c>
      <c r="AA44" s="58">
        <f>IF(Y46=0,0,AA46*Y44/Y46)</f>
        <v/>
      </c>
      <c r="AB44" s="58">
        <f>IF(Z46=0,0,AB46*Z44/Z46)</f>
        <v/>
      </c>
      <c r="AC44" s="58">
        <f>IF(AA46=0,0,AC46*AA44/AA46)</f>
        <v/>
      </c>
    </row>
    <row r="45">
      <c r="A45" s="34" t="inlineStr">
        <is>
          <t>DA-Amortisation Other</t>
        </is>
      </c>
      <c r="B45" s="34" t="inlineStr">
        <is>
          <t>Amortisation - Other</t>
        </is>
      </c>
      <c r="C45" s="34" t="inlineStr">
        <is>
          <t>A$m</t>
        </is>
      </c>
      <c r="D45" s="37" t="n"/>
      <c r="E45" s="37" t="n"/>
      <c r="F45" s="44" t="n">
        <v>-2.08</v>
      </c>
      <c r="G45" s="44" t="n">
        <v>-1.901</v>
      </c>
      <c r="H45" s="44" t="n">
        <v>-1.615</v>
      </c>
      <c r="I45" s="44" t="n">
        <v>-1.228</v>
      </c>
      <c r="J45" s="44" t="n">
        <v>-1.724</v>
      </c>
      <c r="K45" s="58">
        <f>IF(I46=0,0,K46*I45/I46)</f>
        <v/>
      </c>
      <c r="L45" s="58">
        <f>IF(J46=0,0,L46*J45/J46)</f>
        <v/>
      </c>
      <c r="M45" s="58">
        <f>IF(K46=0,0,M46*K45/K46)</f>
        <v/>
      </c>
      <c r="N45" s="58">
        <f>IF(L46=0,0,N46*L45/L46)</f>
        <v/>
      </c>
      <c r="O45" s="58">
        <f>IF(M46=0,0,O46*M45/M46)</f>
        <v/>
      </c>
      <c r="P45" s="58">
        <f>IF(N46=0,0,P46*N45/N46)</f>
        <v/>
      </c>
      <c r="Q45" s="58">
        <f>IF(O46=0,0,Q46*O45/O46)</f>
        <v/>
      </c>
      <c r="R45" s="58">
        <f>IF(P46=0,0,R46*P45/P46)</f>
        <v/>
      </c>
      <c r="S45" s="58">
        <f>IF(Q46=0,0,S46*Q45/Q46)</f>
        <v/>
      </c>
      <c r="T45" s="58">
        <f>IF(R46=0,0,T46*R45/R46)</f>
        <v/>
      </c>
      <c r="U45" s="58">
        <f>IF(S46=0,0,U46*S45/S46)</f>
        <v/>
      </c>
      <c r="V45" s="58">
        <f>IF(T46=0,0,V46*T45/T46)</f>
        <v/>
      </c>
      <c r="W45" s="58">
        <f>IF(U46=0,0,W46*U45/U46)</f>
        <v/>
      </c>
      <c r="X45" s="58">
        <f>IF(V46=0,0,X46*V45/V46)</f>
        <v/>
      </c>
      <c r="Y45" s="58">
        <f>IF(W46=0,0,Y46*W45/W46)</f>
        <v/>
      </c>
      <c r="Z45" s="58">
        <f>IF(X46=0,0,Z46*X45/X46)</f>
        <v/>
      </c>
      <c r="AA45" s="58">
        <f>IF(Y46=0,0,AA46*Y45/Y46)</f>
        <v/>
      </c>
      <c r="AB45" s="58">
        <f>IF(Z46=0,0,AB46*Z45/Z46)</f>
        <v/>
      </c>
      <c r="AC45" s="58">
        <f>IF(AA46=0,0,AC46*AA45/AA46)</f>
        <v/>
      </c>
    </row>
    <row r="46">
      <c r="A46" s="34" t="inlineStr">
        <is>
          <t>DA-Total DA</t>
        </is>
      </c>
      <c r="B46" s="38" t="inlineStr">
        <is>
          <t>Total D&amp;A</t>
        </is>
      </c>
      <c r="C46" s="38" t="inlineStr">
        <is>
          <t>A$m</t>
        </is>
      </c>
      <c r="D46" s="97" t="n"/>
      <c r="E46" s="97" t="n"/>
      <c r="F46" s="82">
        <f>SUM(F42:F45)</f>
        <v/>
      </c>
      <c r="G46" s="82">
        <f>SUM(G42:G45)</f>
        <v/>
      </c>
      <c r="H46" s="82">
        <f>SUM(H42:H45)</f>
        <v/>
      </c>
      <c r="I46" s="82">
        <f>SUM(I42:I45)</f>
        <v/>
      </c>
      <c r="J46" s="82">
        <f>SUM(J42:J45)</f>
        <v/>
      </c>
      <c r="K46" s="83">
        <f>K12*K47</f>
        <v/>
      </c>
      <c r="L46" s="83">
        <f>L12*L47</f>
        <v/>
      </c>
      <c r="M46" s="83">
        <f>M12*M47</f>
        <v/>
      </c>
      <c r="N46" s="83">
        <f>N12*N47</f>
        <v/>
      </c>
      <c r="O46" s="83">
        <f>O12*O47</f>
        <v/>
      </c>
      <c r="P46" s="83">
        <f>P12*P47</f>
        <v/>
      </c>
      <c r="Q46" s="83">
        <f>Q12*Q47</f>
        <v/>
      </c>
      <c r="R46" s="83">
        <f>R12*R47</f>
        <v/>
      </c>
      <c r="S46" s="83">
        <f>S12*S47</f>
        <v/>
      </c>
      <c r="T46" s="83">
        <f>T12*T47</f>
        <v/>
      </c>
      <c r="U46" s="83">
        <f>U12*U47</f>
        <v/>
      </c>
      <c r="V46" s="83">
        <f>V12*V47</f>
        <v/>
      </c>
      <c r="W46" s="83">
        <f>W12*W47</f>
        <v/>
      </c>
      <c r="X46" s="83">
        <f>X12*X47</f>
        <v/>
      </c>
      <c r="Y46" s="83">
        <f>Y12*Y47</f>
        <v/>
      </c>
      <c r="Z46" s="83">
        <f>Z12*Z47</f>
        <v/>
      </c>
      <c r="AA46" s="83">
        <f>AA12*AA47</f>
        <v/>
      </c>
      <c r="AB46" s="83">
        <f>AB12*AB47</f>
        <v/>
      </c>
      <c r="AC46" s="83">
        <f>AC12*AC47</f>
        <v/>
      </c>
    </row>
    <row r="47">
      <c r="A47" s="34" t="n"/>
      <c r="B47" s="34" t="inlineStr">
        <is>
          <t>D&amp;A / Revenue</t>
        </is>
      </c>
      <c r="C47" s="34" t="inlineStr">
        <is>
          <t>%</t>
        </is>
      </c>
      <c r="D47" s="40" t="n"/>
      <c r="E47" s="40" t="n"/>
      <c r="F47" s="46">
        <f>IF(F12=0,"",F46/F12)</f>
        <v/>
      </c>
      <c r="G47" s="46">
        <f>IF(G12=0,"",G46/G12)</f>
        <v/>
      </c>
      <c r="H47" s="46">
        <f>IF(H12=0,"",H46/H12)</f>
        <v/>
      </c>
      <c r="I47" s="46">
        <f>IF(I12=0,"",I46/I12)</f>
        <v/>
      </c>
      <c r="J47" s="46">
        <f>IF(J12=0,"",J46/J12)</f>
        <v/>
      </c>
      <c r="K47" s="71">
        <f>I47</f>
        <v/>
      </c>
      <c r="L47" s="71">
        <f>J47</f>
        <v/>
      </c>
      <c r="M47" s="71">
        <f>K47</f>
        <v/>
      </c>
      <c r="N47" s="71">
        <f>L47</f>
        <v/>
      </c>
      <c r="O47" s="71">
        <f>M47</f>
        <v/>
      </c>
      <c r="P47" s="71">
        <f>N47</f>
        <v/>
      </c>
      <c r="Q47" s="71">
        <f>O47</f>
        <v/>
      </c>
      <c r="R47" s="71">
        <f>P47</f>
        <v/>
      </c>
      <c r="S47" s="71">
        <f>Q47</f>
        <v/>
      </c>
      <c r="T47" s="71">
        <f>R47</f>
        <v/>
      </c>
      <c r="U47" s="71">
        <f>S47</f>
        <v/>
      </c>
      <c r="V47" s="71">
        <f>T47</f>
        <v/>
      </c>
      <c r="W47" s="71">
        <f>U47</f>
        <v/>
      </c>
      <c r="X47" s="71">
        <f>V47</f>
        <v/>
      </c>
      <c r="Y47" s="71">
        <f>W47</f>
        <v/>
      </c>
      <c r="Z47" s="71">
        <f>X47</f>
        <v/>
      </c>
      <c r="AA47" s="71">
        <f>Y47</f>
        <v/>
      </c>
      <c r="AB47" s="71">
        <f>Z47</f>
        <v/>
      </c>
      <c r="AC47" s="71">
        <f>AA47</f>
        <v/>
      </c>
    </row>
    <row r="48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  <c r="AA48" s="34" t="n"/>
      <c r="AB48" s="34" t="n"/>
      <c r="AC48" s="34" t="n"/>
    </row>
    <row r="49">
      <c r="A49" s="34" t="inlineStr">
        <is>
          <t>EBIT-EBIT</t>
        </is>
      </c>
      <c r="B49" s="38" t="inlineStr">
        <is>
          <t>EBIT</t>
        </is>
      </c>
      <c r="C49" s="38" t="inlineStr">
        <is>
          <t>A$m</t>
        </is>
      </c>
      <c r="D49" s="97" t="n"/>
      <c r="E49" s="97" t="n"/>
      <c r="F49" s="82">
        <f>F30+F46</f>
        <v/>
      </c>
      <c r="G49" s="82">
        <f>G30+G46</f>
        <v/>
      </c>
      <c r="H49" s="82">
        <f>H30+H46</f>
        <v/>
      </c>
      <c r="I49" s="82">
        <f>I30+I46</f>
        <v/>
      </c>
      <c r="J49" s="82">
        <f>J30+J46</f>
        <v/>
      </c>
      <c r="K49" s="83">
        <f>K30+K46</f>
        <v/>
      </c>
      <c r="L49" s="83">
        <f>L30+L46</f>
        <v/>
      </c>
      <c r="M49" s="83">
        <f>M30+M46</f>
        <v/>
      </c>
      <c r="N49" s="83">
        <f>N30+N46</f>
        <v/>
      </c>
      <c r="O49" s="83">
        <f>O30+O46</f>
        <v/>
      </c>
      <c r="P49" s="83">
        <f>P30+P46</f>
        <v/>
      </c>
      <c r="Q49" s="83">
        <f>Q30+Q46</f>
        <v/>
      </c>
      <c r="R49" s="83">
        <f>R30+R46</f>
        <v/>
      </c>
      <c r="S49" s="83">
        <f>S30+S46</f>
        <v/>
      </c>
      <c r="T49" s="83">
        <f>T30+T46</f>
        <v/>
      </c>
      <c r="U49" s="83">
        <f>U30+U46</f>
        <v/>
      </c>
      <c r="V49" s="83">
        <f>V30+V46</f>
        <v/>
      </c>
      <c r="W49" s="83">
        <f>W30+W46</f>
        <v/>
      </c>
      <c r="X49" s="83">
        <f>X30+X46</f>
        <v/>
      </c>
      <c r="Y49" s="83">
        <f>Y30+Y46</f>
        <v/>
      </c>
      <c r="Z49" s="83">
        <f>Z30+Z46</f>
        <v/>
      </c>
      <c r="AA49" s="83">
        <f>AA30+AA46</f>
        <v/>
      </c>
      <c r="AB49" s="83">
        <f>AB30+AB46</f>
        <v/>
      </c>
      <c r="AC49" s="83">
        <f>AC30+AC46</f>
        <v/>
      </c>
    </row>
    <row r="50">
      <c r="A50" s="34" t="n"/>
      <c r="B50" s="34" t="inlineStr">
        <is>
          <t>EBIT Margin</t>
        </is>
      </c>
      <c r="C50" s="34" t="inlineStr">
        <is>
          <t>%</t>
        </is>
      </c>
      <c r="D50" s="40" t="n"/>
      <c r="E50" s="40" t="n"/>
      <c r="F50" s="46">
        <f>IF(F21=0,"",F49/F21)</f>
        <v/>
      </c>
      <c r="G50" s="46">
        <f>IF(G21=0,"",G49/G21)</f>
        <v/>
      </c>
      <c r="H50" s="46">
        <f>IF(H21=0,"",H49/H21)</f>
        <v/>
      </c>
      <c r="I50" s="46">
        <f>IF(I21=0,"",I49/I21)</f>
        <v/>
      </c>
      <c r="J50" s="46">
        <f>IF(J21=0,"",J49/J21)</f>
        <v/>
      </c>
      <c r="K50" s="60">
        <f>IF(K21=0,"",K49/K21)</f>
        <v/>
      </c>
      <c r="L50" s="60">
        <f>IF(L21=0,"",L49/L21)</f>
        <v/>
      </c>
      <c r="M50" s="60">
        <f>IF(M21=0,"",M49/M21)</f>
        <v/>
      </c>
      <c r="N50" s="60">
        <f>IF(N21=0,"",N49/N21)</f>
        <v/>
      </c>
      <c r="O50" s="60">
        <f>IF(O21=0,"",O49/O21)</f>
        <v/>
      </c>
      <c r="P50" s="60">
        <f>IF(P21=0,"",P49/P21)</f>
        <v/>
      </c>
      <c r="Q50" s="60">
        <f>IF(Q21=0,"",Q49/Q21)</f>
        <v/>
      </c>
      <c r="R50" s="60">
        <f>IF(R21=0,"",R49/R21)</f>
        <v/>
      </c>
      <c r="S50" s="60">
        <f>IF(S21=0,"",S49/S21)</f>
        <v/>
      </c>
      <c r="T50" s="60">
        <f>IF(T21=0,"",T49/T21)</f>
        <v/>
      </c>
      <c r="U50" s="60">
        <f>IF(U21=0,"",U49/U21)</f>
        <v/>
      </c>
      <c r="V50" s="60">
        <f>IF(V21=0,"",V49/V21)</f>
        <v/>
      </c>
      <c r="W50" s="60">
        <f>IF(W21=0,"",W49/W21)</f>
        <v/>
      </c>
      <c r="X50" s="60">
        <f>IF(X21=0,"",X49/X21)</f>
        <v/>
      </c>
      <c r="Y50" s="60">
        <f>IF(Y21=0,"",Y49/Y21)</f>
        <v/>
      </c>
      <c r="Z50" s="60">
        <f>IF(Z21=0,"",Z49/Z21)</f>
        <v/>
      </c>
      <c r="AA50" s="60">
        <f>IF(AA21=0,"",AA49/AA21)</f>
        <v/>
      </c>
      <c r="AB50" s="60">
        <f>IF(AB21=0,"",AB49/AB21)</f>
        <v/>
      </c>
      <c r="AC50" s="60">
        <f>IF(AC21=0,"",AC49/AC21)</f>
        <v/>
      </c>
    </row>
    <row r="51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  <c r="AA51" s="34" t="n"/>
      <c r="AB51" s="34" t="n"/>
      <c r="AC51" s="34" t="n"/>
    </row>
    <row r="52">
      <c r="A52" s="34" t="n"/>
      <c r="B52" s="36" t="inlineStr">
        <is>
          <t>Finance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  <c r="AA52" s="34" t="n"/>
      <c r="AB52" s="34" t="n"/>
      <c r="AC52" s="34" t="n"/>
    </row>
    <row r="53">
      <c r="A53" s="34" t="inlineStr">
        <is>
          <t>Int-Term Deposit Income</t>
        </is>
      </c>
      <c r="B53" s="34" t="inlineStr">
        <is>
          <t>Interest Income - Term Deposits</t>
        </is>
      </c>
      <c r="C53" s="34" t="inlineStr">
        <is>
          <t>A$m</t>
        </is>
      </c>
      <c r="D53" s="37" t="n"/>
      <c r="E53" s="37" t="n"/>
      <c r="F53" s="44" t="n">
        <v>0.459</v>
      </c>
      <c r="G53" s="44" t="n">
        <v>0.637</v>
      </c>
      <c r="H53" s="44" t="n">
        <v>6.632</v>
      </c>
      <c r="I53" s="44" t="n">
        <v>5.898</v>
      </c>
      <c r="J53" s="44" t="n">
        <v>5.051</v>
      </c>
      <c r="K53" s="70">
        <f>I53</f>
        <v/>
      </c>
      <c r="L53" s="70">
        <f>J53</f>
        <v/>
      </c>
      <c r="M53" s="70">
        <f>K53</f>
        <v/>
      </c>
      <c r="N53" s="70">
        <f>L53</f>
        <v/>
      </c>
      <c r="O53" s="70">
        <f>M53</f>
        <v/>
      </c>
      <c r="P53" s="70">
        <f>N53</f>
        <v/>
      </c>
      <c r="Q53" s="70">
        <f>O53</f>
        <v/>
      </c>
      <c r="R53" s="70">
        <f>P53</f>
        <v/>
      </c>
      <c r="S53" s="70">
        <f>Q53</f>
        <v/>
      </c>
      <c r="T53" s="70">
        <f>R53</f>
        <v/>
      </c>
      <c r="U53" s="70">
        <f>S53</f>
        <v/>
      </c>
      <c r="V53" s="70">
        <f>T53</f>
        <v/>
      </c>
      <c r="W53" s="70">
        <f>U53</f>
        <v/>
      </c>
      <c r="X53" s="70">
        <f>V53</f>
        <v/>
      </c>
      <c r="Y53" s="70">
        <f>W53</f>
        <v/>
      </c>
      <c r="Z53" s="70">
        <f>X53</f>
        <v/>
      </c>
      <c r="AA53" s="70">
        <f>Y53</f>
        <v/>
      </c>
      <c r="AB53" s="70">
        <f>Z53</f>
        <v/>
      </c>
      <c r="AC53" s="70">
        <f>AA53</f>
        <v/>
      </c>
    </row>
    <row r="54">
      <c r="A54" s="34" t="inlineStr">
        <is>
          <t>Int-Lease Receivable Income</t>
        </is>
      </c>
      <c r="B54" s="34" t="inlineStr">
        <is>
          <t>Interest Income - Lease Receivables</t>
        </is>
      </c>
      <c r="C54" s="34" t="inlineStr">
        <is>
          <t>A$m</t>
        </is>
      </c>
      <c r="D54" s="37" t="n"/>
      <c r="E54" s="37" t="n"/>
      <c r="F54" s="44" t="n">
        <v>1.824</v>
      </c>
      <c r="G54" s="44" t="n">
        <v>3.017</v>
      </c>
      <c r="H54" s="44" t="n">
        <v>4.752</v>
      </c>
      <c r="I54" s="44" t="n">
        <v>5.29</v>
      </c>
      <c r="J54" s="44" t="n">
        <v>6.378</v>
      </c>
      <c r="K54" s="70">
        <f>I54*1.05</f>
        <v/>
      </c>
      <c r="L54" s="70">
        <f>J54*1.05</f>
        <v/>
      </c>
      <c r="M54" s="70">
        <f>K54*1.05</f>
        <v/>
      </c>
      <c r="N54" s="70">
        <f>L54*1.05</f>
        <v/>
      </c>
      <c r="O54" s="70">
        <f>M54*1.05</f>
        <v/>
      </c>
      <c r="P54" s="70">
        <f>N54*1.05</f>
        <v/>
      </c>
      <c r="Q54" s="70">
        <f>O54*1.05</f>
        <v/>
      </c>
      <c r="R54" s="70">
        <f>P54*1.05</f>
        <v/>
      </c>
      <c r="S54" s="70">
        <f>Q54*1.05</f>
        <v/>
      </c>
      <c r="T54" s="70">
        <f>R54*1.05</f>
        <v/>
      </c>
      <c r="U54" s="70">
        <f>S54*1.05</f>
        <v/>
      </c>
      <c r="V54" s="70">
        <f>T54*1.05</f>
        <v/>
      </c>
      <c r="W54" s="70">
        <f>U54*1.05</f>
        <v/>
      </c>
      <c r="X54" s="70">
        <f>V54*1.05</f>
        <v/>
      </c>
      <c r="Y54" s="70">
        <f>W54*1.05</f>
        <v/>
      </c>
      <c r="Z54" s="70">
        <f>X54*1.05</f>
        <v/>
      </c>
      <c r="AA54" s="70">
        <f>Y54*1.05</f>
        <v/>
      </c>
      <c r="AB54" s="70">
        <f>Z54*1.05</f>
        <v/>
      </c>
      <c r="AC54" s="70">
        <f>AA54*1.05</f>
        <v/>
      </c>
    </row>
    <row r="55">
      <c r="A55" s="34" t="inlineStr">
        <is>
          <t>Int-Other Finance Income</t>
        </is>
      </c>
      <c r="B55" s="34" t="inlineStr">
        <is>
          <t>Other Finance Income</t>
        </is>
      </c>
      <c r="C55" s="34" t="inlineStr">
        <is>
          <t>A$m</t>
        </is>
      </c>
      <c r="D55" s="37" t="n"/>
      <c r="E55" s="37" t="n"/>
      <c r="F55" s="44" t="n">
        <v>0.044</v>
      </c>
      <c r="G55" s="44" t="n">
        <v>0.031</v>
      </c>
      <c r="H55" s="44" t="n">
        <v>0.061</v>
      </c>
      <c r="I55" s="44" t="n">
        <v>0.041</v>
      </c>
      <c r="J55" s="44" t="n">
        <v>0.003</v>
      </c>
      <c r="K55" s="70" t="n">
        <v>0</v>
      </c>
      <c r="L55" s="70" t="n">
        <v>0</v>
      </c>
      <c r="M55" s="70" t="n">
        <v>0</v>
      </c>
      <c r="N55" s="70" t="n">
        <v>0</v>
      </c>
      <c r="O55" s="70" t="n">
        <v>0</v>
      </c>
      <c r="P55" s="70" t="n">
        <v>0</v>
      </c>
      <c r="Q55" s="70" t="n">
        <v>0</v>
      </c>
      <c r="R55" s="70" t="n">
        <v>0</v>
      </c>
      <c r="S55" s="70" t="n">
        <v>0</v>
      </c>
      <c r="T55" s="70" t="n">
        <v>0</v>
      </c>
      <c r="U55" s="70" t="n">
        <v>0</v>
      </c>
      <c r="V55" s="70" t="n">
        <v>0</v>
      </c>
      <c r="W55" s="70" t="n">
        <v>0</v>
      </c>
      <c r="X55" s="70" t="n">
        <v>0</v>
      </c>
      <c r="Y55" s="70" t="n">
        <v>0</v>
      </c>
      <c r="Z55" s="70" t="n">
        <v>0</v>
      </c>
      <c r="AA55" s="70" t="n">
        <v>0</v>
      </c>
      <c r="AB55" s="70" t="n">
        <v>0</v>
      </c>
      <c r="AC55" s="70" t="n">
        <v>0</v>
      </c>
    </row>
    <row r="56">
      <c r="A56" s="34" t="inlineStr">
        <is>
          <t>Int-Total Finance Income</t>
        </is>
      </c>
      <c r="B56" s="38" t="inlineStr">
        <is>
          <t>Total Finance Income</t>
        </is>
      </c>
      <c r="C56" s="38" t="inlineStr">
        <is>
          <t>A$m</t>
        </is>
      </c>
      <c r="D56" s="97" t="n"/>
      <c r="E56" s="97" t="n"/>
      <c r="F56" s="82">
        <f>SUM(F53:F55)</f>
        <v/>
      </c>
      <c r="G56" s="82">
        <f>SUM(G53:G55)</f>
        <v/>
      </c>
      <c r="H56" s="82">
        <f>SUM(H53:H55)</f>
        <v/>
      </c>
      <c r="I56" s="82">
        <f>SUM(I53:I55)</f>
        <v/>
      </c>
      <c r="J56" s="82">
        <f>SUM(J53:J55)</f>
        <v/>
      </c>
      <c r="K56" s="83">
        <f>SUM(K53:K55)</f>
        <v/>
      </c>
      <c r="L56" s="83">
        <f>SUM(L53:L55)</f>
        <v/>
      </c>
      <c r="M56" s="83">
        <f>SUM(M53:M55)</f>
        <v/>
      </c>
      <c r="N56" s="83">
        <f>SUM(N53:N55)</f>
        <v/>
      </c>
      <c r="O56" s="83">
        <f>SUM(O53:O55)</f>
        <v/>
      </c>
      <c r="P56" s="83">
        <f>SUM(P53:P55)</f>
        <v/>
      </c>
      <c r="Q56" s="83">
        <f>SUM(Q53:Q55)</f>
        <v/>
      </c>
      <c r="R56" s="83">
        <f>SUM(R53:R55)</f>
        <v/>
      </c>
      <c r="S56" s="83">
        <f>SUM(S53:S55)</f>
        <v/>
      </c>
      <c r="T56" s="83">
        <f>SUM(T53:T55)</f>
        <v/>
      </c>
      <c r="U56" s="83">
        <f>SUM(U53:U55)</f>
        <v/>
      </c>
      <c r="V56" s="83">
        <f>SUM(V53:V55)</f>
        <v/>
      </c>
      <c r="W56" s="83">
        <f>SUM(W53:W55)</f>
        <v/>
      </c>
      <c r="X56" s="83">
        <f>SUM(X53:X55)</f>
        <v/>
      </c>
      <c r="Y56" s="83">
        <f>SUM(Y53:Y55)</f>
        <v/>
      </c>
      <c r="Z56" s="83">
        <f>SUM(Z53:Z55)</f>
        <v/>
      </c>
      <c r="AA56" s="83">
        <f>SUM(AA53:AA55)</f>
        <v/>
      </c>
      <c r="AB56" s="83">
        <f>SUM(AB53:AB55)</f>
        <v/>
      </c>
      <c r="AC56" s="83">
        <f>SUM(AC53:AC55)</f>
        <v/>
      </c>
    </row>
    <row r="57">
      <c r="A57" s="34" t="inlineStr">
        <is>
          <t>Int-Lease Liability Costs</t>
        </is>
      </c>
      <c r="B57" s="34" t="inlineStr">
        <is>
          <t>Finance Costs - Lease Liabilities</t>
        </is>
      </c>
      <c r="C57" s="34" t="inlineStr">
        <is>
          <t>A$m</t>
        </is>
      </c>
      <c r="D57" s="37" t="n"/>
      <c r="E57" s="37" t="n"/>
      <c r="F57" s="44" t="n">
        <v>-6.261</v>
      </c>
      <c r="G57" s="44" t="n">
        <v>-7.133</v>
      </c>
      <c r="H57" s="44" t="n">
        <v>-8.686</v>
      </c>
      <c r="I57" s="44" t="n">
        <v>-10.085</v>
      </c>
      <c r="J57" s="44" t="n">
        <v>-11.946</v>
      </c>
      <c r="K57" s="70">
        <f>I57*1.08</f>
        <v/>
      </c>
      <c r="L57" s="70">
        <f>J57*1.08</f>
        <v/>
      </c>
      <c r="M57" s="70">
        <f>K57*1.08</f>
        <v/>
      </c>
      <c r="N57" s="70">
        <f>L57*1.08</f>
        <v/>
      </c>
      <c r="O57" s="70">
        <f>M57*1.08</f>
        <v/>
      </c>
      <c r="P57" s="70">
        <f>N57*1.08</f>
        <v/>
      </c>
      <c r="Q57" s="70">
        <f>O57*1.08</f>
        <v/>
      </c>
      <c r="R57" s="70">
        <f>P57*1.08</f>
        <v/>
      </c>
      <c r="S57" s="70">
        <f>Q57*1.08</f>
        <v/>
      </c>
      <c r="T57" s="70">
        <f>R57*1.08</f>
        <v/>
      </c>
      <c r="U57" s="70">
        <f>S57*1.08</f>
        <v/>
      </c>
      <c r="V57" s="70">
        <f>T57*1.08</f>
        <v/>
      </c>
      <c r="W57" s="70">
        <f>U57*1.08</f>
        <v/>
      </c>
      <c r="X57" s="70">
        <f>V57*1.08</f>
        <v/>
      </c>
      <c r="Y57" s="70">
        <f>W57*1.08</f>
        <v/>
      </c>
      <c r="Z57" s="70">
        <f>X57*1.08</f>
        <v/>
      </c>
      <c r="AA57" s="70">
        <f>Y57*1.08</f>
        <v/>
      </c>
      <c r="AB57" s="70">
        <f>Z57*1.08</f>
        <v/>
      </c>
      <c r="AC57" s="70">
        <f>AA57*1.08</f>
        <v/>
      </c>
    </row>
    <row r="58">
      <c r="A58" s="34" t="inlineStr">
        <is>
          <t>Int-Other Finance Costs</t>
        </is>
      </c>
      <c r="B58" s="34" t="inlineStr">
        <is>
          <t>Other Finance Costs</t>
        </is>
      </c>
      <c r="C58" s="34" t="inlineStr">
        <is>
          <t>A$m</t>
        </is>
      </c>
      <c r="D58" s="37" t="n"/>
      <c r="E58" s="37" t="n"/>
      <c r="F58" s="44" t="n">
        <v>-0.149</v>
      </c>
      <c r="G58" s="44" t="n">
        <v>-0.181</v>
      </c>
      <c r="H58" s="44" t="n">
        <v>-0.066</v>
      </c>
      <c r="I58" s="44" t="n">
        <v>-0.065</v>
      </c>
      <c r="J58" s="44" t="n">
        <v>-0.068</v>
      </c>
      <c r="K58" s="70" t="n">
        <v>0</v>
      </c>
      <c r="L58" s="70" t="n">
        <v>0</v>
      </c>
      <c r="M58" s="70" t="n">
        <v>0</v>
      </c>
      <c r="N58" s="70" t="n">
        <v>0</v>
      </c>
      <c r="O58" s="70" t="n">
        <v>0</v>
      </c>
      <c r="P58" s="70" t="n">
        <v>0</v>
      </c>
      <c r="Q58" s="70" t="n">
        <v>0</v>
      </c>
      <c r="R58" s="70" t="n">
        <v>0</v>
      </c>
      <c r="S58" s="70" t="n">
        <v>0</v>
      </c>
      <c r="T58" s="70" t="n">
        <v>0</v>
      </c>
      <c r="U58" s="70" t="n">
        <v>0</v>
      </c>
      <c r="V58" s="70" t="n">
        <v>0</v>
      </c>
      <c r="W58" s="70" t="n">
        <v>0</v>
      </c>
      <c r="X58" s="70" t="n">
        <v>0</v>
      </c>
      <c r="Y58" s="70" t="n">
        <v>0</v>
      </c>
      <c r="Z58" s="70" t="n">
        <v>0</v>
      </c>
      <c r="AA58" s="70" t="n">
        <v>0</v>
      </c>
      <c r="AB58" s="70" t="n">
        <v>0</v>
      </c>
      <c r="AC58" s="70" t="n">
        <v>0</v>
      </c>
    </row>
    <row r="59">
      <c r="A59" s="34" t="inlineStr">
        <is>
          <t>Int-Total Finance Costs</t>
        </is>
      </c>
      <c r="B59" s="38" t="inlineStr">
        <is>
          <t>Total Finance Costs</t>
        </is>
      </c>
      <c r="C59" s="38" t="inlineStr">
        <is>
          <t>A$m</t>
        </is>
      </c>
      <c r="D59" s="97" t="n"/>
      <c r="E59" s="97" t="n"/>
      <c r="F59" s="82">
        <f>SUM(F57:F58)</f>
        <v/>
      </c>
      <c r="G59" s="82">
        <f>SUM(G57:G58)</f>
        <v/>
      </c>
      <c r="H59" s="82">
        <f>SUM(H57:H58)</f>
        <v/>
      </c>
      <c r="I59" s="82">
        <f>SUM(I57:I58)</f>
        <v/>
      </c>
      <c r="J59" s="82">
        <f>SUM(J57:J58)</f>
        <v/>
      </c>
      <c r="K59" s="83">
        <f>SUM(K57:K58)</f>
        <v/>
      </c>
      <c r="L59" s="83">
        <f>SUM(L57:L58)</f>
        <v/>
      </c>
      <c r="M59" s="83">
        <f>SUM(M57:M58)</f>
        <v/>
      </c>
      <c r="N59" s="83">
        <f>SUM(N57:N58)</f>
        <v/>
      </c>
      <c r="O59" s="83">
        <f>SUM(O57:O58)</f>
        <v/>
      </c>
      <c r="P59" s="83">
        <f>SUM(P57:P58)</f>
        <v/>
      </c>
      <c r="Q59" s="83">
        <f>SUM(Q57:Q58)</f>
        <v/>
      </c>
      <c r="R59" s="83">
        <f>SUM(R57:R58)</f>
        <v/>
      </c>
      <c r="S59" s="83">
        <f>SUM(S57:S58)</f>
        <v/>
      </c>
      <c r="T59" s="83">
        <f>SUM(T57:T58)</f>
        <v/>
      </c>
      <c r="U59" s="83">
        <f>SUM(U57:U58)</f>
        <v/>
      </c>
      <c r="V59" s="83">
        <f>SUM(V57:V58)</f>
        <v/>
      </c>
      <c r="W59" s="83">
        <f>SUM(W57:W58)</f>
        <v/>
      </c>
      <c r="X59" s="83">
        <f>SUM(X57:X58)</f>
        <v/>
      </c>
      <c r="Y59" s="83">
        <f>SUM(Y57:Y58)</f>
        <v/>
      </c>
      <c r="Z59" s="83">
        <f>SUM(Z57:Z58)</f>
        <v/>
      </c>
      <c r="AA59" s="83">
        <f>SUM(AA57:AA58)</f>
        <v/>
      </c>
      <c r="AB59" s="83">
        <f>SUM(AB57:AB58)</f>
        <v/>
      </c>
      <c r="AC59" s="83">
        <f>SUM(AC57:AC58)</f>
        <v/>
      </c>
    </row>
    <row r="60">
      <c r="A60" s="34" t="inlineStr">
        <is>
          <t>Int-Net Finance</t>
        </is>
      </c>
      <c r="B60" s="38" t="inlineStr">
        <is>
          <t>Net Finance Income/(Costs)</t>
        </is>
      </c>
      <c r="C60" s="38" t="inlineStr">
        <is>
          <t>A$m</t>
        </is>
      </c>
      <c r="D60" s="97" t="n"/>
      <c r="E60" s="97" t="n"/>
      <c r="F60" s="82">
        <f>F56+F59</f>
        <v/>
      </c>
      <c r="G60" s="82">
        <f>G56+G59</f>
        <v/>
      </c>
      <c r="H60" s="82">
        <f>H56+H59</f>
        <v/>
      </c>
      <c r="I60" s="82">
        <f>I56+I59</f>
        <v/>
      </c>
      <c r="J60" s="82">
        <f>J56+J59</f>
        <v/>
      </c>
      <c r="K60" s="83">
        <f>K56+K59</f>
        <v/>
      </c>
      <c r="L60" s="83">
        <f>L56+L59</f>
        <v/>
      </c>
      <c r="M60" s="83">
        <f>M56+M59</f>
        <v/>
      </c>
      <c r="N60" s="83">
        <f>N56+N59</f>
        <v/>
      </c>
      <c r="O60" s="83">
        <f>O56+O59</f>
        <v/>
      </c>
      <c r="P60" s="83">
        <f>P56+P59</f>
        <v/>
      </c>
      <c r="Q60" s="83">
        <f>Q56+Q59</f>
        <v/>
      </c>
      <c r="R60" s="83">
        <f>R56+R59</f>
        <v/>
      </c>
      <c r="S60" s="83">
        <f>S56+S59</f>
        <v/>
      </c>
      <c r="T60" s="83">
        <f>T56+T59</f>
        <v/>
      </c>
      <c r="U60" s="83">
        <f>U56+U59</f>
        <v/>
      </c>
      <c r="V60" s="83">
        <f>V56+V59</f>
        <v/>
      </c>
      <c r="W60" s="83">
        <f>W56+W59</f>
        <v/>
      </c>
      <c r="X60" s="83">
        <f>X56+X59</f>
        <v/>
      </c>
      <c r="Y60" s="83">
        <f>Y56+Y59</f>
        <v/>
      </c>
      <c r="Z60" s="83">
        <f>Z56+Z59</f>
        <v/>
      </c>
      <c r="AA60" s="83">
        <f>AA56+AA59</f>
        <v/>
      </c>
      <c r="AB60" s="83">
        <f>AB56+AB59</f>
        <v/>
      </c>
      <c r="AC60" s="83">
        <f>AC56+AC59</f>
        <v/>
      </c>
    </row>
    <row r="61">
      <c r="A61" s="34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  <c r="AA61" s="34" t="n"/>
      <c r="AB61" s="34" t="n"/>
      <c r="AC61" s="34" t="n"/>
    </row>
    <row r="62">
      <c r="A62" s="34" t="inlineStr">
        <is>
          <t>PBT-PBT</t>
        </is>
      </c>
      <c r="B62" s="38" t="inlineStr">
        <is>
          <t>PBT</t>
        </is>
      </c>
      <c r="C62" s="38" t="inlineStr">
        <is>
          <t>A$m</t>
        </is>
      </c>
      <c r="D62" s="97" t="n"/>
      <c r="E62" s="97" t="n"/>
      <c r="F62" s="82">
        <f>F49+F60</f>
        <v/>
      </c>
      <c r="G62" s="82">
        <f>G49+G60</f>
        <v/>
      </c>
      <c r="H62" s="82">
        <f>H49+H60</f>
        <v/>
      </c>
      <c r="I62" s="82">
        <f>I49+I60</f>
        <v/>
      </c>
      <c r="J62" s="82">
        <f>J49+J60</f>
        <v/>
      </c>
      <c r="K62" s="83">
        <f>K49+K60</f>
        <v/>
      </c>
      <c r="L62" s="83">
        <f>L49+L60</f>
        <v/>
      </c>
      <c r="M62" s="83">
        <f>M49+M60</f>
        <v/>
      </c>
      <c r="N62" s="83">
        <f>N49+N60</f>
        <v/>
      </c>
      <c r="O62" s="83">
        <f>O49+O60</f>
        <v/>
      </c>
      <c r="P62" s="83">
        <f>P49+P60</f>
        <v/>
      </c>
      <c r="Q62" s="83">
        <f>Q49+Q60</f>
        <v/>
      </c>
      <c r="R62" s="83">
        <f>R49+R60</f>
        <v/>
      </c>
      <c r="S62" s="83">
        <f>S49+S60</f>
        <v/>
      </c>
      <c r="T62" s="83">
        <f>T49+T60</f>
        <v/>
      </c>
      <c r="U62" s="83">
        <f>U49+U60</f>
        <v/>
      </c>
      <c r="V62" s="83">
        <f>V49+V60</f>
        <v/>
      </c>
      <c r="W62" s="83">
        <f>W49+W60</f>
        <v/>
      </c>
      <c r="X62" s="83">
        <f>X49+X60</f>
        <v/>
      </c>
      <c r="Y62" s="83">
        <f>Y49+Y60</f>
        <v/>
      </c>
      <c r="Z62" s="83">
        <f>Z49+Z60</f>
        <v/>
      </c>
      <c r="AA62" s="83">
        <f>AA49+AA60</f>
        <v/>
      </c>
      <c r="AB62" s="83">
        <f>AB49+AB60</f>
        <v/>
      </c>
      <c r="AC62" s="83">
        <f>AC49+AC60</f>
        <v/>
      </c>
    </row>
    <row r="63">
      <c r="A63" s="34" t="inlineStr">
        <is>
          <t>Tax-Tax Expense</t>
        </is>
      </c>
      <c r="B63" s="34" t="inlineStr">
        <is>
          <t>Income Tax Expense</t>
        </is>
      </c>
      <c r="C63" s="34" t="inlineStr">
        <is>
          <t>A$m</t>
        </is>
      </c>
      <c r="D63" s="37" t="n"/>
      <c r="E63" s="37" t="n"/>
      <c r="F63" s="44" t="n">
        <v>-2.881</v>
      </c>
      <c r="G63" s="44" t="n">
        <v>0.694</v>
      </c>
      <c r="H63" s="44" t="n">
        <v>-7.89</v>
      </c>
      <c r="I63" s="44" t="n">
        <v>-6.844</v>
      </c>
      <c r="J63" s="44" t="n">
        <v>-8.595000000000001</v>
      </c>
      <c r="K63" s="58">
        <f>-K62*0.3</f>
        <v/>
      </c>
      <c r="L63" s="58">
        <f>-L62*0.3</f>
        <v/>
      </c>
      <c r="M63" s="58">
        <f>-M62*0.3</f>
        <v/>
      </c>
      <c r="N63" s="58">
        <f>-N62*0.3</f>
        <v/>
      </c>
      <c r="O63" s="58">
        <f>-O62*0.3</f>
        <v/>
      </c>
      <c r="P63" s="58">
        <f>-P62*0.3</f>
        <v/>
      </c>
      <c r="Q63" s="58">
        <f>-Q62*0.3</f>
        <v/>
      </c>
      <c r="R63" s="58">
        <f>-R62*0.3</f>
        <v/>
      </c>
      <c r="S63" s="58">
        <f>-S62*0.3</f>
        <v/>
      </c>
      <c r="T63" s="58">
        <f>-T62*0.3</f>
        <v/>
      </c>
      <c r="U63" s="58">
        <f>-U62*0.3</f>
        <v/>
      </c>
      <c r="V63" s="58">
        <f>-V62*0.3</f>
        <v/>
      </c>
      <c r="W63" s="58">
        <f>-W62*0.3</f>
        <v/>
      </c>
      <c r="X63" s="58">
        <f>-X62*0.3</f>
        <v/>
      </c>
      <c r="Y63" s="58">
        <f>-Y62*0.3</f>
        <v/>
      </c>
      <c r="Z63" s="58">
        <f>-Z62*0.3</f>
        <v/>
      </c>
      <c r="AA63" s="58">
        <f>-AA62*0.3</f>
        <v/>
      </c>
      <c r="AB63" s="58">
        <f>-AB62*0.3</f>
        <v/>
      </c>
      <c r="AC63" s="58">
        <f>-AC62*0.3</f>
        <v/>
      </c>
    </row>
    <row r="64">
      <c r="A64" s="34" t="n"/>
      <c r="B64" s="34" t="inlineStr">
        <is>
          <t>Tax Rate</t>
        </is>
      </c>
      <c r="C64" s="34" t="inlineStr">
        <is>
          <t>%</t>
        </is>
      </c>
      <c r="D64" s="40" t="n"/>
      <c r="E64" s="40" t="n"/>
      <c r="F64" s="46">
        <f>IF(F62=0,"",F63/F62)</f>
        <v/>
      </c>
      <c r="G64" s="46">
        <f>IF(G62=0,"",G63/G62)</f>
        <v/>
      </c>
      <c r="H64" s="46">
        <f>IF(H62=0,"",H63/H62)</f>
        <v/>
      </c>
      <c r="I64" s="46">
        <f>IF(I62=0,"",I63/I62)</f>
        <v/>
      </c>
      <c r="J64" s="46">
        <f>IF(J62=0,"",J63/J62)</f>
        <v/>
      </c>
      <c r="K64" s="60">
        <f>IF(K62=0,"",K63/K62)</f>
        <v/>
      </c>
      <c r="L64" s="60">
        <f>IF(L62=0,"",L63/L62)</f>
        <v/>
      </c>
      <c r="M64" s="60">
        <f>IF(M62=0,"",M63/M62)</f>
        <v/>
      </c>
      <c r="N64" s="60">
        <f>IF(N62=0,"",N63/N62)</f>
        <v/>
      </c>
      <c r="O64" s="60">
        <f>IF(O62=0,"",O63/O62)</f>
        <v/>
      </c>
      <c r="P64" s="60">
        <f>IF(P62=0,"",P63/P62)</f>
        <v/>
      </c>
      <c r="Q64" s="60">
        <f>IF(Q62=0,"",Q63/Q62)</f>
        <v/>
      </c>
      <c r="R64" s="60">
        <f>IF(R62=0,"",R63/R62)</f>
        <v/>
      </c>
      <c r="S64" s="60">
        <f>IF(S62=0,"",S63/S62)</f>
        <v/>
      </c>
      <c r="T64" s="60">
        <f>IF(T62=0,"",T63/T62)</f>
        <v/>
      </c>
      <c r="U64" s="60">
        <f>IF(U62=0,"",U63/U62)</f>
        <v/>
      </c>
      <c r="V64" s="60">
        <f>IF(V62=0,"",V63/V62)</f>
        <v/>
      </c>
      <c r="W64" s="60">
        <f>IF(W62=0,"",W63/W62)</f>
        <v/>
      </c>
      <c r="X64" s="60">
        <f>IF(X62=0,"",X63/X62)</f>
        <v/>
      </c>
      <c r="Y64" s="60">
        <f>IF(Y62=0,"",Y63/Y62)</f>
        <v/>
      </c>
      <c r="Z64" s="60">
        <f>IF(Z62=0,"",Z63/Z62)</f>
        <v/>
      </c>
      <c r="AA64" s="60">
        <f>IF(AA62=0,"",AA63/AA62)</f>
        <v/>
      </c>
      <c r="AB64" s="60">
        <f>IF(AB62=0,"",AB63/AB62)</f>
        <v/>
      </c>
      <c r="AC64" s="60">
        <f>IF(AC62=0,"",AC63/AC62)</f>
        <v/>
      </c>
    </row>
    <row r="65">
      <c r="A65" s="34" t="inlineStr">
        <is>
          <t>NPAT-NPAT</t>
        </is>
      </c>
      <c r="B65" s="38" t="inlineStr">
        <is>
          <t>NPAT</t>
        </is>
      </c>
      <c r="C65" s="38" t="inlineStr">
        <is>
          <t>A$m</t>
        </is>
      </c>
      <c r="D65" s="97" t="n"/>
      <c r="E65" s="97" t="n"/>
      <c r="F65" s="82">
        <f>F62+F63</f>
        <v/>
      </c>
      <c r="G65" s="82">
        <f>G62+G63</f>
        <v/>
      </c>
      <c r="H65" s="82">
        <f>H62+H63</f>
        <v/>
      </c>
      <c r="I65" s="82">
        <f>I62+I63</f>
        <v/>
      </c>
      <c r="J65" s="82">
        <f>J62+J63</f>
        <v/>
      </c>
      <c r="K65" s="83">
        <f>K62+K63</f>
        <v/>
      </c>
      <c r="L65" s="83">
        <f>L62+L63</f>
        <v/>
      </c>
      <c r="M65" s="83">
        <f>M62+M63</f>
        <v/>
      </c>
      <c r="N65" s="83">
        <f>N62+N63</f>
        <v/>
      </c>
      <c r="O65" s="83">
        <f>O62+O63</f>
        <v/>
      </c>
      <c r="P65" s="83">
        <f>P62+P63</f>
        <v/>
      </c>
      <c r="Q65" s="83">
        <f>Q62+Q63</f>
        <v/>
      </c>
      <c r="R65" s="83">
        <f>R62+R63</f>
        <v/>
      </c>
      <c r="S65" s="83">
        <f>S62+S63</f>
        <v/>
      </c>
      <c r="T65" s="83">
        <f>T62+T63</f>
        <v/>
      </c>
      <c r="U65" s="83">
        <f>U62+U63</f>
        <v/>
      </c>
      <c r="V65" s="83">
        <f>V62+V63</f>
        <v/>
      </c>
      <c r="W65" s="83">
        <f>W62+W63</f>
        <v/>
      </c>
      <c r="X65" s="83">
        <f>X62+X63</f>
        <v/>
      </c>
      <c r="Y65" s="83">
        <f>Y62+Y63</f>
        <v/>
      </c>
      <c r="Z65" s="83">
        <f>Z62+Z63</f>
        <v/>
      </c>
      <c r="AA65" s="83">
        <f>AA62+AA63</f>
        <v/>
      </c>
      <c r="AB65" s="83">
        <f>AB62+AB63</f>
        <v/>
      </c>
      <c r="AC65" s="83">
        <f>AC62+AC63</f>
        <v/>
      </c>
    </row>
    <row r="66">
      <c r="A66" s="34" t="n"/>
      <c r="B66" s="34" t="inlineStr">
        <is>
          <t>NPAT Growth (YoY)</t>
        </is>
      </c>
      <c r="C66" s="34" t="inlineStr">
        <is>
          <t>% YoY</t>
        </is>
      </c>
      <c r="D66" s="40" t="n"/>
      <c r="E66" s="40" t="n"/>
      <c r="F66" s="40" t="n"/>
      <c r="G66" s="40" t="n"/>
      <c r="H66" s="46">
        <f>IF(F65=0,"",H65/F65-1)</f>
        <v/>
      </c>
      <c r="I66" s="46">
        <f>IF(G65=0,"",I65/G65-1)</f>
        <v/>
      </c>
      <c r="J66" s="46">
        <f>IF(H65=0,"",J65/H65-1)</f>
        <v/>
      </c>
      <c r="K66" s="60">
        <f>IF(I65=0,"",K65/I65-1)</f>
        <v/>
      </c>
      <c r="L66" s="60">
        <f>IF(J65=0,"",L65/J65-1)</f>
        <v/>
      </c>
      <c r="M66" s="60">
        <f>IF(K65=0,"",M65/K65-1)</f>
        <v/>
      </c>
      <c r="N66" s="60">
        <f>IF(L65=0,"",N65/L65-1)</f>
        <v/>
      </c>
      <c r="O66" s="60">
        <f>IF(M65=0,"",O65/M65-1)</f>
        <v/>
      </c>
      <c r="P66" s="60">
        <f>IF(N65=0,"",P65/N65-1)</f>
        <v/>
      </c>
      <c r="Q66" s="60">
        <f>IF(O65=0,"",Q65/O65-1)</f>
        <v/>
      </c>
      <c r="R66" s="60">
        <f>IF(P65=0,"",R65/P65-1)</f>
        <v/>
      </c>
      <c r="S66" s="60">
        <f>IF(Q65=0,"",S65/Q65-1)</f>
        <v/>
      </c>
      <c r="T66" s="60">
        <f>IF(R65=0,"",T65/R65-1)</f>
        <v/>
      </c>
      <c r="U66" s="60">
        <f>IF(S65=0,"",U65/S65-1)</f>
        <v/>
      </c>
      <c r="V66" s="60">
        <f>IF(T65=0,"",V65/T65-1)</f>
        <v/>
      </c>
      <c r="W66" s="60">
        <f>IF(U65=0,"",W65/U65-1)</f>
        <v/>
      </c>
      <c r="X66" s="60">
        <f>IF(V65=0,"",X65/V65-1)</f>
        <v/>
      </c>
      <c r="Y66" s="60">
        <f>IF(W65=0,"",Y65/W65-1)</f>
        <v/>
      </c>
      <c r="Z66" s="60">
        <f>IF(X65=0,"",Z65/X65-1)</f>
        <v/>
      </c>
      <c r="AA66" s="60">
        <f>IF(Y65=0,"",AA65/Y65-1)</f>
        <v/>
      </c>
      <c r="AB66" s="60">
        <f>IF(Z65=0,"",AB65/Z65-1)</f>
        <v/>
      </c>
      <c r="AC66" s="60">
        <f>IF(AA65=0,"",AC65/AA65-1)</f>
        <v/>
      </c>
    </row>
    <row r="67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  <c r="AA67" s="34" t="n"/>
      <c r="AB67" s="34" t="n"/>
      <c r="AC67" s="34" t="n"/>
    </row>
    <row r="68">
      <c r="A68" s="88" t="n"/>
      <c r="B68" s="41" t="inlineStr">
        <is>
          <t>Operating Metrics</t>
        </is>
      </c>
      <c r="C68" s="88" t="n"/>
      <c r="D68" s="88" t="n"/>
      <c r="E68" s="88" t="n"/>
      <c r="F68" s="88" t="n"/>
      <c r="G68" s="88" t="n"/>
      <c r="H68" s="88" t="n"/>
      <c r="I68" s="88" t="n"/>
      <c r="J68" s="88" t="n"/>
      <c r="K68" s="88" t="n"/>
      <c r="L68" s="88" t="n"/>
      <c r="M68" s="88" t="n"/>
      <c r="N68" s="88" t="n"/>
      <c r="O68" s="88" t="n"/>
      <c r="P68" s="88" t="n"/>
      <c r="Q68" s="88" t="n"/>
      <c r="R68" s="88" t="n"/>
      <c r="S68" s="88" t="n"/>
      <c r="T68" s="88" t="n"/>
      <c r="U68" s="88" t="n"/>
      <c r="V68" s="88" t="n"/>
      <c r="W68" s="88" t="n"/>
      <c r="X68" s="88" t="n"/>
      <c r="Y68" s="88" t="n"/>
      <c r="Z68" s="88" t="n"/>
      <c r="AA68" s="88" t="n"/>
      <c r="AB68" s="88" t="n"/>
      <c r="AC68" s="88" t="n"/>
    </row>
    <row r="69">
      <c r="A69" s="34" t="inlineStr">
        <is>
          <t>KPI-Corp Restaurants Aus</t>
        </is>
      </c>
      <c r="B69" s="34" t="inlineStr">
        <is>
          <t>Corporate Restaurants - Australia</t>
        </is>
      </c>
      <c r="C69" s="34" t="inlineStr">
        <is>
          <t>#</t>
        </is>
      </c>
      <c r="D69" s="42" t="n"/>
      <c r="E69" s="42" t="n"/>
      <c r="F69" s="52" t="n">
        <v>62</v>
      </c>
      <c r="G69" s="52" t="n">
        <v>64</v>
      </c>
      <c r="H69" s="52" t="n">
        <v>74</v>
      </c>
      <c r="I69" s="52" t="n">
        <v>81</v>
      </c>
      <c r="J69" s="52" t="n">
        <v>87</v>
      </c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</row>
    <row r="70">
      <c r="A70" s="34" t="inlineStr">
        <is>
          <t>KPI-Franchise Restaurants Aus</t>
        </is>
      </c>
      <c r="B70" s="34" t="inlineStr">
        <is>
          <t>Franchise Restaurants - Australia</t>
        </is>
      </c>
      <c r="C70" s="34" t="inlineStr">
        <is>
          <t>#</t>
        </is>
      </c>
      <c r="D70" s="42" t="n"/>
      <c r="E70" s="42" t="n"/>
      <c r="F70" s="52" t="n">
        <v>121</v>
      </c>
      <c r="G70" s="52" t="n">
        <v>130</v>
      </c>
      <c r="H70" s="52" t="n">
        <v>136</v>
      </c>
      <c r="I70" s="52" t="n">
        <v>143</v>
      </c>
      <c r="J70" s="52" t="n">
        <v>150</v>
      </c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</row>
    <row r="71">
      <c r="A71" s="34" t="inlineStr">
        <is>
          <t>KPI-Franchise Restaurants Asia</t>
        </is>
      </c>
      <c r="B71" s="34" t="inlineStr">
        <is>
          <t>Franchise Restaurants - Asia</t>
        </is>
      </c>
      <c r="C71" s="34" t="inlineStr">
        <is>
          <t>#</t>
        </is>
      </c>
      <c r="D71" s="42" t="n"/>
      <c r="E71" s="42" t="n"/>
      <c r="F71" s="52" t="n">
        <v>22</v>
      </c>
      <c r="G71" s="52" t="n">
        <v>22</v>
      </c>
      <c r="H71" s="52" t="n">
        <v>25</v>
      </c>
      <c r="I71" s="52" t="n">
        <v>26</v>
      </c>
      <c r="J71" s="52" t="n">
        <v>27</v>
      </c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</row>
    <row r="72">
      <c r="A72" s="34" t="inlineStr">
        <is>
          <t>KPI-US Restaurants</t>
        </is>
      </c>
      <c r="B72" s="34" t="inlineStr">
        <is>
          <t>US Restaurants</t>
        </is>
      </c>
      <c r="C72" s="34" t="inlineStr">
        <is>
          <t>#</t>
        </is>
      </c>
      <c r="D72" s="42" t="n"/>
      <c r="E72" s="42" t="n"/>
      <c r="F72" s="52" t="n">
        <v>4</v>
      </c>
      <c r="G72" s="52" t="n">
        <v>4</v>
      </c>
      <c r="H72" s="52" t="n">
        <v>4</v>
      </c>
      <c r="I72" s="52" t="n">
        <v>6</v>
      </c>
      <c r="J72" s="52" t="n">
        <v>8</v>
      </c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</row>
    <row r="73">
      <c r="A73" s="34" t="inlineStr">
        <is>
          <t>KPI-Total Restaurants</t>
        </is>
      </c>
      <c r="B73" s="38" t="inlineStr">
        <is>
          <t>Total Global Restaurants</t>
        </is>
      </c>
      <c r="C73" s="38" t="inlineStr">
        <is>
          <t>#</t>
        </is>
      </c>
      <c r="D73" s="90" t="n"/>
      <c r="E73" s="90" t="n"/>
      <c r="F73" s="89">
        <f>SUM(F69:F72)</f>
        <v/>
      </c>
      <c r="G73" s="89">
        <f>SUM(G69:G72)</f>
        <v/>
      </c>
      <c r="H73" s="89">
        <f>SUM(H69:H72)</f>
        <v/>
      </c>
      <c r="I73" s="89">
        <f>SUM(I69:I72)</f>
        <v/>
      </c>
      <c r="J73" s="89">
        <f>SUM(J69:J72)</f>
        <v/>
      </c>
      <c r="K73" s="90" t="n"/>
      <c r="L73" s="90" t="n"/>
      <c r="M73" s="90" t="n"/>
      <c r="N73" s="90" t="n"/>
      <c r="O73" s="90" t="n"/>
      <c r="P73" s="90" t="n"/>
      <c r="Q73" s="90" t="n"/>
      <c r="R73" s="90" t="n"/>
      <c r="S73" s="90" t="n"/>
      <c r="T73" s="90" t="n"/>
      <c r="U73" s="90" t="n"/>
      <c r="V73" s="90" t="n"/>
      <c r="W73" s="90" t="n"/>
      <c r="X73" s="90" t="n"/>
      <c r="Y73" s="90" t="n"/>
      <c r="Z73" s="90" t="n"/>
      <c r="AA73" s="90" t="n"/>
      <c r="AB73" s="90" t="n"/>
      <c r="AC73" s="90" t="n"/>
    </row>
    <row r="74">
      <c r="A74" s="34" t="inlineStr">
        <is>
          <t>KPI-Aus Network Sales</t>
        </is>
      </c>
      <c r="B74" s="34" t="inlineStr">
        <is>
          <t>Australia Network Sales</t>
        </is>
      </c>
      <c r="C74" s="34" t="inlineStr">
        <is>
          <t>A$m</t>
        </is>
      </c>
      <c r="D74" s="37" t="n"/>
      <c r="E74" s="37" t="n"/>
      <c r="F74" s="54" t="n">
        <v>465.1</v>
      </c>
      <c r="G74" s="54" t="n">
        <v>483.8</v>
      </c>
      <c r="H74" s="54" t="n">
        <v>573</v>
      </c>
      <c r="I74" s="54" t="n">
        <v>595.5</v>
      </c>
      <c r="J74" s="54" t="n">
        <v>673.6</v>
      </c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  <c r="AC74" s="37" t="n"/>
    </row>
    <row r="75">
      <c r="A75" s="34" t="inlineStr">
        <is>
          <t>KPI-Total Network Sales</t>
        </is>
      </c>
      <c r="B75" s="34" t="inlineStr">
        <is>
          <t>Global Network Sales</t>
        </is>
      </c>
      <c r="C75" s="34" t="inlineStr">
        <is>
          <t>A$m</t>
        </is>
      </c>
      <c r="D75" s="37" t="n"/>
      <c r="E75" s="37" t="n"/>
      <c r="F75" s="54" t="n">
        <v>470.7</v>
      </c>
      <c r="G75" s="54" t="n">
        <v>489</v>
      </c>
      <c r="H75" s="54" t="n">
        <v>577.9</v>
      </c>
      <c r="I75" s="54" t="n">
        <v>602.8</v>
      </c>
      <c r="J75" s="54" t="n">
        <v>681.8</v>
      </c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  <c r="AC75" s="37" t="n"/>
    </row>
    <row r="76">
      <c r="A76" s="34" t="inlineStr">
        <is>
          <t>KPI-Comp Sales Growth</t>
        </is>
      </c>
      <c r="B76" s="34" t="inlineStr">
        <is>
          <t>Comp Sales Growth (Australia)</t>
        </is>
      </c>
      <c r="C76" s="34" t="inlineStr">
        <is>
          <t>%</t>
        </is>
      </c>
      <c r="D76" s="40" t="n"/>
      <c r="E76" s="40" t="n"/>
      <c r="F76" s="46" t="n">
        <v>0.101</v>
      </c>
      <c r="G76" s="46" t="n">
        <v>0.06</v>
      </c>
      <c r="H76" s="46" t="n">
        <v>0.094</v>
      </c>
      <c r="I76" s="46" t="n">
        <v>0.097</v>
      </c>
      <c r="J76" s="46" t="n">
        <v>0.044</v>
      </c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40" t="n"/>
      <c r="AB76" s="40" t="n"/>
      <c r="AC76" s="40" t="n"/>
    </row>
    <row r="77">
      <c r="A77" s="34" t="inlineStr">
        <is>
          <t>KPI-DT AUV</t>
        </is>
      </c>
      <c r="B77" s="34" t="inlineStr">
        <is>
          <t>Drive Thru AUV (annualised)</t>
        </is>
      </c>
      <c r="C77" s="34" t="inlineStr">
        <is>
          <t>A$m</t>
        </is>
      </c>
      <c r="D77" s="37" t="n"/>
      <c r="E77" s="37" t="n"/>
      <c r="F77" s="37" t="n"/>
      <c r="G77" s="37" t="n"/>
      <c r="H77" s="54" t="n">
        <v>6.9</v>
      </c>
      <c r="I77" s="37" t="n"/>
      <c r="J77" s="54" t="n">
        <v>6.9</v>
      </c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  <c r="AC77" s="37" t="n"/>
    </row>
    <row r="78">
      <c r="A78" s="34" t="inlineStr">
        <is>
          <t>KPI-Strip AUV</t>
        </is>
      </c>
      <c r="B78" s="34" t="inlineStr">
        <is>
          <t>Strip AUV (annualised)</t>
        </is>
      </c>
      <c r="C78" s="34" t="inlineStr">
        <is>
          <t>A$m</t>
        </is>
      </c>
      <c r="D78" s="37" t="n"/>
      <c r="E78" s="37" t="n"/>
      <c r="F78" s="37" t="n"/>
      <c r="G78" s="37" t="n"/>
      <c r="H78" s="54" t="n">
        <v>5</v>
      </c>
      <c r="I78" s="37" t="n"/>
      <c r="J78" s="54" t="n">
        <v>5.2</v>
      </c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  <c r="AC78" s="37" t="n"/>
    </row>
    <row r="79">
      <c r="A79" s="34" t="inlineStr">
        <is>
          <t>KPI-DT Network Margin</t>
        </is>
      </c>
      <c r="B79" s="34" t="inlineStr">
        <is>
          <t>DT Network Restaurant Margin</t>
        </is>
      </c>
      <c r="C79" s="34" t="inlineStr">
        <is>
          <t>%</t>
        </is>
      </c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</row>
    <row r="80">
      <c r="A80" s="34" t="inlineStr">
        <is>
          <t>KPI-Strip Network Margin</t>
        </is>
      </c>
      <c r="B80" s="34" t="inlineStr">
        <is>
          <t>Strip Network Restaurant Margin</t>
        </is>
      </c>
      <c r="C80" s="34" t="inlineStr">
        <is>
          <t>%</t>
        </is>
      </c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</row>
    <row r="81">
      <c r="A81" s="34" t="inlineStr">
        <is>
          <t>KPI-Breakfast Mix</t>
        </is>
      </c>
      <c r="B81" s="34" t="inlineStr">
        <is>
          <t>Breakfast % of Network Sales</t>
        </is>
      </c>
      <c r="C81" s="34" t="inlineStr">
        <is>
          <t>%</t>
        </is>
      </c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</row>
    <row r="82">
      <c r="A82" s="34" t="inlineStr">
        <is>
          <t>KPI-After 9pm Mix</t>
        </is>
      </c>
      <c r="B82" s="34" t="inlineStr">
        <is>
          <t>After 9pm % of Network Sales</t>
        </is>
      </c>
      <c r="C82" s="34" t="inlineStr">
        <is>
          <t>%</t>
        </is>
      </c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</row>
    <row r="83">
      <c r="A83" s="34" t="inlineStr">
        <is>
          <t>KPI-Delivery Mix</t>
        </is>
      </c>
      <c r="B83" s="34" t="inlineStr">
        <is>
          <t>Delivery % of Network Sales</t>
        </is>
      </c>
      <c r="C83" s="34" t="inlineStr">
        <is>
          <t>%</t>
        </is>
      </c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</row>
    <row r="84">
      <c r="A84" s="34" t="inlineStr">
        <is>
          <t>KPI-Owned Digital Mix</t>
        </is>
      </c>
      <c r="B84" s="34" t="inlineStr">
        <is>
          <t>Owned Digital % of Network Sales</t>
        </is>
      </c>
      <c r="C84" s="34" t="inlineStr">
        <is>
          <t>%</t>
        </is>
      </c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</row>
    <row r="85">
      <c r="A85" s="34" t="inlineStr">
        <is>
          <t>KPI-24/7 Restaurants</t>
        </is>
      </c>
      <c r="B85" s="34" t="inlineStr">
        <is>
          <t>24/7 Trading Restaurants</t>
        </is>
      </c>
      <c r="C85" s="34" t="inlineStr">
        <is>
          <t>#</t>
        </is>
      </c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</row>
    <row r="86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  <c r="AA86" s="34" t="n"/>
      <c r="AB86" s="34" t="n"/>
      <c r="AC86" s="34" t="n"/>
    </row>
    <row r="87">
      <c r="A87" s="88" t="n"/>
      <c r="B87" s="41" t="inlineStr">
        <is>
          <t>Segment Forecast - Australia</t>
        </is>
      </c>
      <c r="C87" s="88" t="n"/>
      <c r="D87" s="88" t="n"/>
      <c r="E87" s="88" t="n"/>
      <c r="F87" s="88" t="n"/>
      <c r="G87" s="88" t="n"/>
      <c r="H87" s="88" t="n"/>
      <c r="I87" s="88" t="n"/>
      <c r="J87" s="88" t="n"/>
      <c r="K87" s="88" t="n"/>
      <c r="L87" s="88" t="n"/>
      <c r="M87" s="88" t="n"/>
      <c r="N87" s="88" t="n"/>
      <c r="O87" s="88" t="n"/>
      <c r="P87" s="88" t="n"/>
      <c r="Q87" s="88" t="n"/>
      <c r="R87" s="88" t="n"/>
      <c r="S87" s="88" t="n"/>
      <c r="T87" s="88" t="n"/>
      <c r="U87" s="88" t="n"/>
      <c r="V87" s="88" t="n"/>
      <c r="W87" s="88" t="n"/>
      <c r="X87" s="88" t="n"/>
      <c r="Y87" s="88" t="n"/>
      <c r="Z87" s="88" t="n"/>
      <c r="AA87" s="88" t="n"/>
      <c r="AB87" s="88" t="n"/>
      <c r="AC87" s="88" t="n"/>
    </row>
    <row r="88">
      <c r="A88" s="34" t="n"/>
      <c r="B88" s="34" t="inlineStr">
        <is>
          <t>Corp Restaurants</t>
        </is>
      </c>
      <c r="C88" s="34" t="inlineStr">
        <is>
          <t>#</t>
        </is>
      </c>
      <c r="D88" s="42" t="n"/>
      <c r="E88" s="42" t="n"/>
      <c r="F88" s="72" t="n">
        <v>62</v>
      </c>
      <c r="G88" s="72" t="n">
        <v>64</v>
      </c>
      <c r="H88" s="72" t="n">
        <v>74</v>
      </c>
      <c r="I88" s="72" t="n">
        <v>81</v>
      </c>
      <c r="J88" s="72" t="n">
        <v>87</v>
      </c>
      <c r="K88" s="73">
        <f>J88+K89</f>
        <v/>
      </c>
      <c r="L88" s="73">
        <f>K88+L89</f>
        <v/>
      </c>
      <c r="M88" s="73">
        <f>L88+M89</f>
        <v/>
      </c>
      <c r="N88" s="73">
        <f>M88+N89</f>
        <v/>
      </c>
      <c r="O88" s="73">
        <f>N88+O89</f>
        <v/>
      </c>
      <c r="P88" s="73">
        <f>O88+P89</f>
        <v/>
      </c>
      <c r="Q88" s="73">
        <f>P88+Q89</f>
        <v/>
      </c>
      <c r="R88" s="73">
        <f>Q88+R89</f>
        <v/>
      </c>
      <c r="S88" s="73">
        <f>R88+S89</f>
        <v/>
      </c>
      <c r="T88" s="73">
        <f>S88+T89</f>
        <v/>
      </c>
      <c r="U88" s="73">
        <f>T88+U89</f>
        <v/>
      </c>
      <c r="V88" s="73">
        <f>U88+V89</f>
        <v/>
      </c>
      <c r="W88" s="73">
        <f>V88+W89</f>
        <v/>
      </c>
      <c r="X88" s="73">
        <f>W88+X89</f>
        <v/>
      </c>
      <c r="Y88" s="73">
        <f>X88+Y89</f>
        <v/>
      </c>
      <c r="Z88" s="73">
        <f>Y88+Z89</f>
        <v/>
      </c>
      <c r="AA88" s="73">
        <f>Z88+AA89</f>
        <v/>
      </c>
      <c r="AB88" s="73">
        <f>AA88+AB89</f>
        <v/>
      </c>
      <c r="AC88" s="73">
        <f>AB88+AC89</f>
        <v/>
      </c>
    </row>
    <row r="89">
      <c r="A89" s="34" t="n"/>
      <c r="B89" s="34" t="inlineStr">
        <is>
          <t>New Corp Restaurant Openings</t>
        </is>
      </c>
      <c r="C89" s="34" t="inlineStr">
        <is>
          <t>#</t>
        </is>
      </c>
      <c r="D89" s="42" t="n"/>
      <c r="E89" s="42" t="n"/>
      <c r="F89" s="72" t="n">
        <v>7</v>
      </c>
      <c r="G89" s="72" t="n">
        <v>2</v>
      </c>
      <c r="H89" s="72" t="n">
        <v>10</v>
      </c>
      <c r="I89" s="72" t="n">
        <v>7</v>
      </c>
      <c r="J89" s="72" t="n">
        <v>6</v>
      </c>
      <c r="K89" s="74" t="n">
        <v>6</v>
      </c>
      <c r="L89" s="74">
        <f>J89</f>
        <v/>
      </c>
      <c r="M89" s="74">
        <f>K89</f>
        <v/>
      </c>
      <c r="N89" s="74">
        <f>L89</f>
        <v/>
      </c>
      <c r="O89" s="74">
        <f>M89</f>
        <v/>
      </c>
      <c r="P89" s="74">
        <f>N89</f>
        <v/>
      </c>
      <c r="Q89" s="74">
        <f>O89</f>
        <v/>
      </c>
      <c r="R89" s="74">
        <f>P89</f>
        <v/>
      </c>
      <c r="S89" s="74">
        <f>Q89</f>
        <v/>
      </c>
      <c r="T89" s="74">
        <f>R89</f>
        <v/>
      </c>
      <c r="U89" s="74">
        <f>S89</f>
        <v/>
      </c>
      <c r="V89" s="74">
        <f>T89</f>
        <v/>
      </c>
      <c r="W89" s="74">
        <f>U89</f>
        <v/>
      </c>
      <c r="X89" s="74">
        <f>V89</f>
        <v/>
      </c>
      <c r="Y89" s="74">
        <f>W89</f>
        <v/>
      </c>
      <c r="Z89" s="74">
        <f>X89</f>
        <v/>
      </c>
      <c r="AA89" s="74">
        <f>Y89</f>
        <v/>
      </c>
      <c r="AB89" s="74">
        <f>Z89</f>
        <v/>
      </c>
      <c r="AC89" s="74">
        <f>AA89</f>
        <v/>
      </c>
    </row>
    <row r="90">
      <c r="A90" s="34" t="n"/>
      <c r="B90" s="34" t="inlineStr">
        <is>
          <t>Corp Restaurant Revenue</t>
        </is>
      </c>
      <c r="C90" s="34" t="inlineStr">
        <is>
          <t>A$m</t>
        </is>
      </c>
      <c r="D90" s="37" t="n"/>
      <c r="E90" s="37" t="n"/>
      <c r="F90" s="75" t="n">
        <v>136.155</v>
      </c>
      <c r="G90" s="75" t="n">
        <v>142.722</v>
      </c>
      <c r="H90" s="75" t="n">
        <v>176.051</v>
      </c>
      <c r="I90" s="75" t="n">
        <v>183.671</v>
      </c>
      <c r="J90" s="75" t="n">
        <v>215.116</v>
      </c>
      <c r="K90" s="58">
        <f>I90*(1+K91)</f>
        <v/>
      </c>
      <c r="L90" s="58">
        <f>J90*(1+L91)</f>
        <v/>
      </c>
      <c r="M90" s="58">
        <f>K90*(1+M91)</f>
        <v/>
      </c>
      <c r="N90" s="58">
        <f>L90*(1+N91)</f>
        <v/>
      </c>
      <c r="O90" s="58">
        <f>M90*(1+O91)</f>
        <v/>
      </c>
      <c r="P90" s="58">
        <f>N90*(1+P91)</f>
        <v/>
      </c>
      <c r="Q90" s="58">
        <f>O90*(1+Q91)</f>
        <v/>
      </c>
      <c r="R90" s="58">
        <f>P90*(1+R91)</f>
        <v/>
      </c>
      <c r="S90" s="58">
        <f>Q90*(1+S91)</f>
        <v/>
      </c>
      <c r="T90" s="58">
        <f>R90*(1+T91)</f>
        <v/>
      </c>
      <c r="U90" s="58">
        <f>S90*(1+U91)</f>
        <v/>
      </c>
      <c r="V90" s="58">
        <f>T90*(1+V91)</f>
        <v/>
      </c>
      <c r="W90" s="58">
        <f>U90*(1+W91)</f>
        <v/>
      </c>
      <c r="X90" s="58">
        <f>V90*(1+X91)</f>
        <v/>
      </c>
      <c r="Y90" s="58">
        <f>W90*(1+Y91)</f>
        <v/>
      </c>
      <c r="Z90" s="58">
        <f>X90*(1+Z91)</f>
        <v/>
      </c>
      <c r="AA90" s="58">
        <f>Y90*(1+AA91)</f>
        <v/>
      </c>
      <c r="AB90" s="58">
        <f>Z90*(1+AB91)</f>
        <v/>
      </c>
      <c r="AC90" s="58">
        <f>AA90*(1+AC91)</f>
        <v/>
      </c>
    </row>
    <row r="91">
      <c r="A91" s="34" t="n"/>
      <c r="B91" s="34" t="inlineStr">
        <is>
          <t>Corp Restaurant Revenue Growth</t>
        </is>
      </c>
      <c r="C91" s="34" t="inlineStr">
        <is>
          <t>% YoY</t>
        </is>
      </c>
      <c r="D91" s="40" t="n"/>
      <c r="E91" s="40" t="n"/>
      <c r="F91" s="40" t="n"/>
      <c r="G91" s="40" t="n"/>
      <c r="H91" s="76">
        <f>IF(F90=0,"",H90/F90-1)</f>
        <v/>
      </c>
      <c r="I91" s="76">
        <f>IF(G90=0,"",I90/G90-1)</f>
        <v/>
      </c>
      <c r="J91" s="76">
        <f>IF(H90=0,"",J90/H90-1)</f>
        <v/>
      </c>
      <c r="K91" s="71" t="n">
        <v>0.05</v>
      </c>
      <c r="L91" s="71">
        <f>J91</f>
        <v/>
      </c>
      <c r="M91" s="71">
        <f>K91</f>
        <v/>
      </c>
      <c r="N91" s="71">
        <f>L91</f>
        <v/>
      </c>
      <c r="O91" s="71">
        <f>M91</f>
        <v/>
      </c>
      <c r="P91" s="71">
        <f>N91</f>
        <v/>
      </c>
      <c r="Q91" s="71">
        <f>O91</f>
        <v/>
      </c>
      <c r="R91" s="71">
        <f>P91</f>
        <v/>
      </c>
      <c r="S91" s="71">
        <f>Q91</f>
        <v/>
      </c>
      <c r="T91" s="71">
        <f>R91</f>
        <v/>
      </c>
      <c r="U91" s="71">
        <f>S91</f>
        <v/>
      </c>
      <c r="V91" s="71">
        <f>T91</f>
        <v/>
      </c>
      <c r="W91" s="71">
        <f>U91</f>
        <v/>
      </c>
      <c r="X91" s="71">
        <f>V91</f>
        <v/>
      </c>
      <c r="Y91" s="71">
        <f>W91</f>
        <v/>
      </c>
      <c r="Z91" s="71">
        <f>X91</f>
        <v/>
      </c>
      <c r="AA91" s="71">
        <f>Y91</f>
        <v/>
      </c>
      <c r="AB91" s="71">
        <f>Z91</f>
        <v/>
      </c>
      <c r="AC91" s="71">
        <f>AA91</f>
        <v/>
      </c>
    </row>
    <row r="92">
      <c r="A92" s="34" t="n"/>
      <c r="B92" s="34" t="inlineStr">
        <is>
          <t>Corp AUV</t>
        </is>
      </c>
      <c r="C92" s="34" t="inlineStr">
        <is>
          <t>A$m</t>
        </is>
      </c>
      <c r="D92" s="37" t="n"/>
      <c r="E92" s="37" t="n"/>
      <c r="F92" s="75" t="n">
        <v>4.654</v>
      </c>
      <c r="G92" s="75" t="n">
        <v>4.531</v>
      </c>
      <c r="H92" s="75" t="n">
        <v>5.103</v>
      </c>
      <c r="I92" s="75" t="n">
        <v>4.74</v>
      </c>
      <c r="J92" s="75" t="n">
        <v>5.122</v>
      </c>
      <c r="K92" s="58">
        <f>IF((J88+K88)/2=0,"",2*K90/((J88+K88)/2))</f>
        <v/>
      </c>
      <c r="L92" s="58">
        <f>IF((K88+L88)/2=0,"",2*L90/((K88+L88)/2))</f>
        <v/>
      </c>
      <c r="M92" s="58">
        <f>IF((L88+M88)/2=0,"",2*M90/((L88+M88)/2))</f>
        <v/>
      </c>
      <c r="N92" s="58">
        <f>IF((M88+N88)/2=0,"",2*N90/((M88+N88)/2))</f>
        <v/>
      </c>
      <c r="O92" s="58">
        <f>IF((N88+O88)/2=0,"",2*O90/((N88+O88)/2))</f>
        <v/>
      </c>
      <c r="P92" s="58">
        <f>IF((O88+P88)/2=0,"",2*P90/((O88+P88)/2))</f>
        <v/>
      </c>
      <c r="Q92" s="58">
        <f>IF((P88+Q88)/2=0,"",2*Q90/((P88+Q88)/2))</f>
        <v/>
      </c>
      <c r="R92" s="58">
        <f>IF((Q88+R88)/2=0,"",2*R90/((Q88+R88)/2))</f>
        <v/>
      </c>
      <c r="S92" s="58">
        <f>IF((R88+S88)/2=0,"",2*S90/((R88+S88)/2))</f>
        <v/>
      </c>
      <c r="T92" s="58">
        <f>IF((S88+T88)/2=0,"",2*T90/((S88+T88)/2))</f>
        <v/>
      </c>
      <c r="U92" s="58">
        <f>IF((T88+U88)/2=0,"",2*U90/((T88+U88)/2))</f>
        <v/>
      </c>
      <c r="V92" s="58">
        <f>IF((U88+V88)/2=0,"",2*V90/((U88+V88)/2))</f>
        <v/>
      </c>
      <c r="W92" s="58">
        <f>IF((V88+W88)/2=0,"",2*W90/((V88+W88)/2))</f>
        <v/>
      </c>
      <c r="X92" s="58">
        <f>IF((W88+X88)/2=0,"",2*X90/((W88+X88)/2))</f>
        <v/>
      </c>
      <c r="Y92" s="58">
        <f>IF((X88+Y88)/2=0,"",2*Y90/((X88+Y88)/2))</f>
        <v/>
      </c>
      <c r="Z92" s="58">
        <f>IF((Y88+Z88)/2=0,"",2*Z90/((Y88+Z88)/2))</f>
        <v/>
      </c>
      <c r="AA92" s="58">
        <f>IF((Z88+AA88)/2=0,"",2*AA90/((Z88+AA88)/2))</f>
        <v/>
      </c>
      <c r="AB92" s="58">
        <f>IF((AA88+AB88)/2=0,"",2*AB90/((AA88+AB88)/2))</f>
        <v/>
      </c>
      <c r="AC92" s="58">
        <f>IF((AB88+AC88)/2=0,"",2*AC90/((AB88+AC88)/2))</f>
        <v/>
      </c>
    </row>
    <row r="93">
      <c r="A93" s="34" t="n"/>
      <c r="B93" s="34" t="inlineStr">
        <is>
          <t>Franchise Restaurants</t>
        </is>
      </c>
      <c r="C93" s="34" t="inlineStr">
        <is>
          <t>#</t>
        </is>
      </c>
      <c r="D93" s="42" t="n"/>
      <c r="E93" s="42" t="n"/>
      <c r="F93" s="72" t="n">
        <v>143</v>
      </c>
      <c r="G93" s="72" t="n">
        <v>152</v>
      </c>
      <c r="H93" s="72" t="n">
        <v>161</v>
      </c>
      <c r="I93" s="72" t="n">
        <v>169</v>
      </c>
      <c r="J93" s="72" t="n">
        <v>177</v>
      </c>
      <c r="K93" s="73">
        <f>J93+5</f>
        <v/>
      </c>
      <c r="L93" s="73">
        <f>K93+5</f>
        <v/>
      </c>
      <c r="M93" s="73">
        <f>L93+5</f>
        <v/>
      </c>
      <c r="N93" s="73">
        <f>M93+5</f>
        <v/>
      </c>
      <c r="O93" s="73">
        <f>N93+5</f>
        <v/>
      </c>
      <c r="P93" s="73">
        <f>O93+5</f>
        <v/>
      </c>
      <c r="Q93" s="73">
        <f>P93+5</f>
        <v/>
      </c>
      <c r="R93" s="73">
        <f>Q93+5</f>
        <v/>
      </c>
      <c r="S93" s="73">
        <f>R93+5</f>
        <v/>
      </c>
      <c r="T93" s="73">
        <f>S93+5</f>
        <v/>
      </c>
      <c r="U93" s="73">
        <f>T93+5</f>
        <v/>
      </c>
      <c r="V93" s="73">
        <f>U93+5</f>
        <v/>
      </c>
      <c r="W93" s="73">
        <f>V93+5</f>
        <v/>
      </c>
      <c r="X93" s="73">
        <f>W93+5</f>
        <v/>
      </c>
      <c r="Y93" s="73">
        <f>X93+5</f>
        <v/>
      </c>
      <c r="Z93" s="73">
        <f>Y93+5</f>
        <v/>
      </c>
      <c r="AA93" s="73">
        <f>Z93+5</f>
        <v/>
      </c>
      <c r="AB93" s="73">
        <f>AA93+5</f>
        <v/>
      </c>
      <c r="AC93" s="73">
        <f>AB93+5</f>
        <v/>
      </c>
    </row>
    <row r="94">
      <c r="A94" s="34" t="n"/>
      <c r="B94" s="34" t="inlineStr">
        <is>
          <t>Franchise Revenue</t>
        </is>
      </c>
      <c r="C94" s="34" t="inlineStr">
        <is>
          <t>A$m</t>
        </is>
      </c>
      <c r="D94" s="37" t="n"/>
      <c r="E94" s="37" t="n"/>
      <c r="F94" s="75" t="n">
        <v>29.477</v>
      </c>
      <c r="G94" s="75" t="n">
        <v>31.268</v>
      </c>
      <c r="H94" s="75" t="n">
        <v>38.197</v>
      </c>
      <c r="I94" s="75" t="n">
        <v>40.463</v>
      </c>
      <c r="J94" s="75" t="n">
        <v>42.829</v>
      </c>
      <c r="K94" s="58">
        <f>I94*(1+K91)</f>
        <v/>
      </c>
      <c r="L94" s="58">
        <f>J94*(1+L91)</f>
        <v/>
      </c>
      <c r="M94" s="58">
        <f>K94*(1+M91)</f>
        <v/>
      </c>
      <c r="N94" s="58">
        <f>L94*(1+N91)</f>
        <v/>
      </c>
      <c r="O94" s="58">
        <f>M94*(1+O91)</f>
        <v/>
      </c>
      <c r="P94" s="58">
        <f>N94*(1+P91)</f>
        <v/>
      </c>
      <c r="Q94" s="58">
        <f>O94*(1+Q91)</f>
        <v/>
      </c>
      <c r="R94" s="58">
        <f>P94*(1+R91)</f>
        <v/>
      </c>
      <c r="S94" s="58">
        <f>Q94*(1+S91)</f>
        <v/>
      </c>
      <c r="T94" s="58">
        <f>R94*(1+T91)</f>
        <v/>
      </c>
      <c r="U94" s="58">
        <f>S94*(1+U91)</f>
        <v/>
      </c>
      <c r="V94" s="58">
        <f>T94*(1+V91)</f>
        <v/>
      </c>
      <c r="W94" s="58">
        <f>U94*(1+W91)</f>
        <v/>
      </c>
      <c r="X94" s="58">
        <f>V94*(1+X91)</f>
        <v/>
      </c>
      <c r="Y94" s="58">
        <f>W94*(1+Y91)</f>
        <v/>
      </c>
      <c r="Z94" s="58">
        <f>X94*(1+Z91)</f>
        <v/>
      </c>
      <c r="AA94" s="58">
        <f>Y94*(1+AA91)</f>
        <v/>
      </c>
      <c r="AB94" s="58">
        <f>Z94*(1+AB91)</f>
        <v/>
      </c>
      <c r="AC94" s="58">
        <f>AA94*(1+AC91)</f>
        <v/>
      </c>
    </row>
    <row r="95">
      <c r="A95" s="34" t="n"/>
      <c r="B95" s="38" t="inlineStr">
        <is>
          <t>Total Australia Revenue</t>
        </is>
      </c>
      <c r="C95" s="38" t="inlineStr">
        <is>
          <t>A$m</t>
        </is>
      </c>
      <c r="D95" s="97" t="n"/>
      <c r="E95" s="97" t="n"/>
      <c r="F95" s="98">
        <f>F90+F94</f>
        <v/>
      </c>
      <c r="G95" s="98">
        <f>G90+G94</f>
        <v/>
      </c>
      <c r="H95" s="98">
        <f>H90+H94</f>
        <v/>
      </c>
      <c r="I95" s="98">
        <f>I90+I94</f>
        <v/>
      </c>
      <c r="J95" s="98">
        <f>J90+J94</f>
        <v/>
      </c>
      <c r="K95" s="83">
        <f>K90+K94</f>
        <v/>
      </c>
      <c r="L95" s="83">
        <f>L90+L94</f>
        <v/>
      </c>
      <c r="M95" s="83">
        <f>M90+M94</f>
        <v/>
      </c>
      <c r="N95" s="83">
        <f>N90+N94</f>
        <v/>
      </c>
      <c r="O95" s="83">
        <f>O90+O94</f>
        <v/>
      </c>
      <c r="P95" s="83">
        <f>P90+P94</f>
        <v/>
      </c>
      <c r="Q95" s="83">
        <f>Q90+Q94</f>
        <v/>
      </c>
      <c r="R95" s="83">
        <f>R90+R94</f>
        <v/>
      </c>
      <c r="S95" s="83">
        <f>S90+S94</f>
        <v/>
      </c>
      <c r="T95" s="83">
        <f>T90+T94</f>
        <v/>
      </c>
      <c r="U95" s="83">
        <f>U90+U94</f>
        <v/>
      </c>
      <c r="V95" s="83">
        <f>V90+V94</f>
        <v/>
      </c>
      <c r="W95" s="83">
        <f>W90+W94</f>
        <v/>
      </c>
      <c r="X95" s="83">
        <f>X90+X94</f>
        <v/>
      </c>
      <c r="Y95" s="83">
        <f>Y90+Y94</f>
        <v/>
      </c>
      <c r="Z95" s="83">
        <f>Z90+Z94</f>
        <v/>
      </c>
      <c r="AA95" s="83">
        <f>AA90+AA94</f>
        <v/>
      </c>
      <c r="AB95" s="83">
        <f>AB90+AB94</f>
        <v/>
      </c>
      <c r="AC95" s="83">
        <f>AC90+AC94</f>
        <v/>
      </c>
    </row>
    <row r="96">
      <c r="A96" s="34" t="n"/>
      <c r="B96" s="34" t="inlineStr">
        <is>
          <t>EBITDA / Segment Revenue</t>
        </is>
      </c>
      <c r="C96" s="34" t="inlineStr">
        <is>
          <t>%</t>
        </is>
      </c>
      <c r="D96" s="40" t="n"/>
      <c r="E96" s="40" t="n"/>
      <c r="F96" s="76">
        <f>IF(F95=0,"",F97/F95)</f>
        <v/>
      </c>
      <c r="G96" s="76">
        <f>IF(G95=0,"",G97/G95)</f>
        <v/>
      </c>
      <c r="H96" s="76">
        <f>IF(H95=0,"",H97/H95)</f>
        <v/>
      </c>
      <c r="I96" s="76">
        <f>IF(I95=0,"",I97/I95)</f>
        <v/>
      </c>
      <c r="J96" s="76">
        <f>IF(J95=0,"",J97/J95)</f>
        <v/>
      </c>
      <c r="K96" s="71" t="n">
        <v>0.162</v>
      </c>
      <c r="L96" s="71">
        <f>J96</f>
        <v/>
      </c>
      <c r="M96" s="71">
        <f>K96</f>
        <v/>
      </c>
      <c r="N96" s="71">
        <f>L96</f>
        <v/>
      </c>
      <c r="O96" s="71">
        <f>M96</f>
        <v/>
      </c>
      <c r="P96" s="71">
        <f>N96</f>
        <v/>
      </c>
      <c r="Q96" s="71">
        <f>O96</f>
        <v/>
      </c>
      <c r="R96" s="71">
        <f>P96</f>
        <v/>
      </c>
      <c r="S96" s="71">
        <f>Q96</f>
        <v/>
      </c>
      <c r="T96" s="71">
        <f>R96</f>
        <v/>
      </c>
      <c r="U96" s="71">
        <f>S96</f>
        <v/>
      </c>
      <c r="V96" s="71">
        <f>T96</f>
        <v/>
      </c>
      <c r="W96" s="71">
        <f>U96</f>
        <v/>
      </c>
      <c r="X96" s="71">
        <f>V96</f>
        <v/>
      </c>
      <c r="Y96" s="71">
        <f>W96</f>
        <v/>
      </c>
      <c r="Z96" s="71">
        <f>X96</f>
        <v/>
      </c>
      <c r="AA96" s="71">
        <f>Y96</f>
        <v/>
      </c>
      <c r="AB96" s="71">
        <f>Z96</f>
        <v/>
      </c>
      <c r="AC96" s="71">
        <f>AA96</f>
        <v/>
      </c>
    </row>
    <row r="97">
      <c r="A97" s="34" t="n"/>
      <c r="B97" s="38" t="inlineStr">
        <is>
          <t>Segment EBITDA</t>
        </is>
      </c>
      <c r="C97" s="38" t="inlineStr">
        <is>
          <t>A$m</t>
        </is>
      </c>
      <c r="D97" s="97" t="n"/>
      <c r="E97" s="97" t="n"/>
      <c r="F97" s="98" t="n">
        <v>24.249</v>
      </c>
      <c r="G97" s="98" t="n">
        <v>23.287</v>
      </c>
      <c r="H97" s="98" t="n">
        <v>31.781</v>
      </c>
      <c r="I97" s="98" t="n">
        <v>34.248</v>
      </c>
      <c r="J97" s="98" t="n">
        <v>41.314</v>
      </c>
      <c r="K97" s="83">
        <f>K95*K96</f>
        <v/>
      </c>
      <c r="L97" s="83">
        <f>L95*L96</f>
        <v/>
      </c>
      <c r="M97" s="83">
        <f>M95*M96</f>
        <v/>
      </c>
      <c r="N97" s="83">
        <f>N95*N96</f>
        <v/>
      </c>
      <c r="O97" s="83">
        <f>O95*O96</f>
        <v/>
      </c>
      <c r="P97" s="83">
        <f>P95*P96</f>
        <v/>
      </c>
      <c r="Q97" s="83">
        <f>Q95*Q96</f>
        <v/>
      </c>
      <c r="R97" s="83">
        <f>R95*R96</f>
        <v/>
      </c>
      <c r="S97" s="83">
        <f>S95*S96</f>
        <v/>
      </c>
      <c r="T97" s="83">
        <f>T95*T96</f>
        <v/>
      </c>
      <c r="U97" s="83">
        <f>U95*U96</f>
        <v/>
      </c>
      <c r="V97" s="83">
        <f>V95*V96</f>
        <v/>
      </c>
      <c r="W97" s="83">
        <f>W95*W96</f>
        <v/>
      </c>
      <c r="X97" s="83">
        <f>X95*X96</f>
        <v/>
      </c>
      <c r="Y97" s="83">
        <f>Y95*Y96</f>
        <v/>
      </c>
      <c r="Z97" s="83">
        <f>Z95*Z96</f>
        <v/>
      </c>
      <c r="AA97" s="83">
        <f>AA95*AA96</f>
        <v/>
      </c>
      <c r="AB97" s="83">
        <f>AB95*AB96</f>
        <v/>
      </c>
      <c r="AC97" s="83">
        <f>AC95*AC96</f>
        <v/>
      </c>
    </row>
    <row r="98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  <c r="AA98" s="34" t="n"/>
      <c r="AB98" s="34" t="n"/>
      <c r="AC98" s="34" t="n"/>
    </row>
    <row r="99">
      <c r="A99" s="88" t="n"/>
      <c r="B99" s="41" t="inlineStr">
        <is>
          <t>Segment Forecast - US</t>
        </is>
      </c>
      <c r="C99" s="88" t="n"/>
      <c r="D99" s="88" t="n"/>
      <c r="E99" s="88" t="n"/>
      <c r="F99" s="88" t="n"/>
      <c r="G99" s="88" t="n"/>
      <c r="H99" s="88" t="n"/>
      <c r="I99" s="88" t="n"/>
      <c r="J99" s="88" t="n"/>
      <c r="K99" s="88" t="n"/>
      <c r="L99" s="88" t="n"/>
      <c r="M99" s="88" t="n"/>
      <c r="N99" s="88" t="n"/>
      <c r="O99" s="88" t="n"/>
      <c r="P99" s="88" t="n"/>
      <c r="Q99" s="88" t="n"/>
      <c r="R99" s="88" t="n"/>
      <c r="S99" s="88" t="n"/>
      <c r="T99" s="88" t="n"/>
      <c r="U99" s="88" t="n"/>
      <c r="V99" s="88" t="n"/>
      <c r="W99" s="88" t="n"/>
      <c r="X99" s="88" t="n"/>
      <c r="Y99" s="88" t="n"/>
      <c r="Z99" s="88" t="n"/>
      <c r="AA99" s="88" t="n"/>
      <c r="AB99" s="88" t="n"/>
      <c r="AC99" s="88" t="n"/>
    </row>
    <row r="100">
      <c r="A100" s="34" t="n"/>
      <c r="B100" s="34" t="inlineStr">
        <is>
          <t>US Corp Restaurants</t>
        </is>
      </c>
      <c r="C100" s="34" t="inlineStr">
        <is>
          <t>#</t>
        </is>
      </c>
      <c r="D100" s="42" t="n"/>
      <c r="E100" s="42" t="n"/>
      <c r="F100" s="72" t="n">
        <v>4</v>
      </c>
      <c r="G100" s="72" t="n">
        <v>4</v>
      </c>
      <c r="H100" s="72" t="n">
        <v>4</v>
      </c>
      <c r="I100" s="72" t="n">
        <v>6</v>
      </c>
      <c r="J100" s="72" t="n">
        <v>8</v>
      </c>
      <c r="K100" s="73">
        <f>J100+K101</f>
        <v/>
      </c>
      <c r="L100" s="73">
        <f>K100+L101</f>
        <v/>
      </c>
      <c r="M100" s="73">
        <f>L100+M101</f>
        <v/>
      </c>
      <c r="N100" s="73">
        <f>M100+N101</f>
        <v/>
      </c>
      <c r="O100" s="73">
        <f>N100+O101</f>
        <v/>
      </c>
      <c r="P100" s="73">
        <f>O100+P101</f>
        <v/>
      </c>
      <c r="Q100" s="73">
        <f>P100+Q101</f>
        <v/>
      </c>
      <c r="R100" s="73">
        <f>Q100+R101</f>
        <v/>
      </c>
      <c r="S100" s="73">
        <f>R100+S101</f>
        <v/>
      </c>
      <c r="T100" s="73">
        <f>S100+T101</f>
        <v/>
      </c>
      <c r="U100" s="73">
        <f>T100+U101</f>
        <v/>
      </c>
      <c r="V100" s="73">
        <f>U100+V101</f>
        <v/>
      </c>
      <c r="W100" s="73">
        <f>V100+W101</f>
        <v/>
      </c>
      <c r="X100" s="73">
        <f>W100+X101</f>
        <v/>
      </c>
      <c r="Y100" s="73">
        <f>X100+Y101</f>
        <v/>
      </c>
      <c r="Z100" s="73">
        <f>Y100+Z101</f>
        <v/>
      </c>
      <c r="AA100" s="73">
        <f>Z100+AA101</f>
        <v/>
      </c>
      <c r="AB100" s="73">
        <f>AA100+AB101</f>
        <v/>
      </c>
      <c r="AC100" s="73">
        <f>AB100+AC101</f>
        <v/>
      </c>
    </row>
    <row r="101">
      <c r="A101" s="34" t="n"/>
      <c r="B101" s="34" t="inlineStr">
        <is>
          <t>New US Restaurant Openings</t>
        </is>
      </c>
      <c r="C101" s="34" t="inlineStr">
        <is>
          <t>#</t>
        </is>
      </c>
      <c r="D101" s="42" t="n"/>
      <c r="E101" s="42" t="n"/>
      <c r="F101" s="72" t="n">
        <v>0</v>
      </c>
      <c r="G101" s="72" t="n">
        <v>0</v>
      </c>
      <c r="H101" s="72" t="n">
        <v>0</v>
      </c>
      <c r="I101" s="72" t="n">
        <v>2</v>
      </c>
      <c r="J101" s="72" t="n">
        <v>2</v>
      </c>
      <c r="K101" s="74" t="n">
        <v>1</v>
      </c>
      <c r="L101" s="74">
        <f>J101</f>
        <v/>
      </c>
      <c r="M101" s="74">
        <f>K101</f>
        <v/>
      </c>
      <c r="N101" s="74">
        <f>L101</f>
        <v/>
      </c>
      <c r="O101" s="74">
        <f>M101</f>
        <v/>
      </c>
      <c r="P101" s="74">
        <f>N101</f>
        <v/>
      </c>
      <c r="Q101" s="74">
        <f>O101</f>
        <v/>
      </c>
      <c r="R101" s="74">
        <f>P101</f>
        <v/>
      </c>
      <c r="S101" s="74">
        <f>Q101</f>
        <v/>
      </c>
      <c r="T101" s="74">
        <f>R101</f>
        <v/>
      </c>
      <c r="U101" s="74">
        <f>S101</f>
        <v/>
      </c>
      <c r="V101" s="74">
        <f>T101</f>
        <v/>
      </c>
      <c r="W101" s="74">
        <f>U101</f>
        <v/>
      </c>
      <c r="X101" s="74">
        <f>V101</f>
        <v/>
      </c>
      <c r="Y101" s="74">
        <f>W101</f>
        <v/>
      </c>
      <c r="Z101" s="74">
        <f>X101</f>
        <v/>
      </c>
      <c r="AA101" s="74">
        <f>Y101</f>
        <v/>
      </c>
      <c r="AB101" s="74">
        <f>Z101</f>
        <v/>
      </c>
      <c r="AC101" s="74">
        <f>AA101</f>
        <v/>
      </c>
    </row>
    <row r="102">
      <c r="A102" s="34" t="n"/>
      <c r="B102" s="34" t="inlineStr">
        <is>
          <t>US Revenue</t>
        </is>
      </c>
      <c r="C102" s="34" t="inlineStr">
        <is>
          <t>A$m</t>
        </is>
      </c>
      <c r="D102" s="37" t="n"/>
      <c r="E102" s="37" t="n"/>
      <c r="F102" s="75" t="n">
        <v>5.618</v>
      </c>
      <c r="G102" s="75" t="n">
        <v>5.216</v>
      </c>
      <c r="H102" s="75" t="n">
        <v>3.368</v>
      </c>
      <c r="I102" s="75" t="n">
        <v>5.765</v>
      </c>
      <c r="J102" s="75" t="n">
        <v>6.601</v>
      </c>
      <c r="K102" s="58">
        <f>I102*(1+K103)</f>
        <v/>
      </c>
      <c r="L102" s="58">
        <f>J102*(1+L103)</f>
        <v/>
      </c>
      <c r="M102" s="58">
        <f>K102*(1+M103)</f>
        <v/>
      </c>
      <c r="N102" s="58">
        <f>L102*(1+N103)</f>
        <v/>
      </c>
      <c r="O102" s="58">
        <f>M102*(1+O103)</f>
        <v/>
      </c>
      <c r="P102" s="58">
        <f>N102*(1+P103)</f>
        <v/>
      </c>
      <c r="Q102" s="58">
        <f>O102*(1+Q103)</f>
        <v/>
      </c>
      <c r="R102" s="58">
        <f>P102*(1+R103)</f>
        <v/>
      </c>
      <c r="S102" s="58">
        <f>Q102*(1+S103)</f>
        <v/>
      </c>
      <c r="T102" s="58">
        <f>R102*(1+T103)</f>
        <v/>
      </c>
      <c r="U102" s="58">
        <f>S102*(1+U103)</f>
        <v/>
      </c>
      <c r="V102" s="58">
        <f>T102*(1+V103)</f>
        <v/>
      </c>
      <c r="W102" s="58">
        <f>U102*(1+W103)</f>
        <v/>
      </c>
      <c r="X102" s="58">
        <f>V102*(1+X103)</f>
        <v/>
      </c>
      <c r="Y102" s="58">
        <f>W102*(1+Y103)</f>
        <v/>
      </c>
      <c r="Z102" s="58">
        <f>X102*(1+Z103)</f>
        <v/>
      </c>
      <c r="AA102" s="58">
        <f>Y102*(1+AA103)</f>
        <v/>
      </c>
      <c r="AB102" s="58">
        <f>Z102*(1+AB103)</f>
        <v/>
      </c>
      <c r="AC102" s="58">
        <f>AA102*(1+AC103)</f>
        <v/>
      </c>
    </row>
    <row r="103">
      <c r="A103" s="34" t="n"/>
      <c r="B103" s="34" t="inlineStr">
        <is>
          <t>US Revenue Growth</t>
        </is>
      </c>
      <c r="C103" s="34" t="inlineStr">
        <is>
          <t>% YoY</t>
        </is>
      </c>
      <c r="D103" s="40" t="n"/>
      <c r="E103" s="40" t="n"/>
      <c r="F103" s="40" t="n"/>
      <c r="G103" s="40" t="n"/>
      <c r="H103" s="76">
        <f>IF(F102=0,"",H102/F102-1)</f>
        <v/>
      </c>
      <c r="I103" s="76">
        <f>IF(G102=0,"",I102/G102-1)</f>
        <v/>
      </c>
      <c r="J103" s="76">
        <f>IF(H102=0,"",J102/H102-1)</f>
        <v/>
      </c>
      <c r="K103" s="71" t="n">
        <v>0.15</v>
      </c>
      <c r="L103" s="71">
        <f>J103</f>
        <v/>
      </c>
      <c r="M103" s="71">
        <f>K103</f>
        <v/>
      </c>
      <c r="N103" s="71">
        <f>L103</f>
        <v/>
      </c>
      <c r="O103" s="71">
        <f>M103</f>
        <v/>
      </c>
      <c r="P103" s="71">
        <f>N103</f>
        <v/>
      </c>
      <c r="Q103" s="71">
        <f>O103</f>
        <v/>
      </c>
      <c r="R103" s="71">
        <f>P103</f>
        <v/>
      </c>
      <c r="S103" s="71">
        <f>Q103</f>
        <v/>
      </c>
      <c r="T103" s="71">
        <f>R103</f>
        <v/>
      </c>
      <c r="U103" s="71">
        <f>S103</f>
        <v/>
      </c>
      <c r="V103" s="71">
        <f>T103</f>
        <v/>
      </c>
      <c r="W103" s="71">
        <f>U103</f>
        <v/>
      </c>
      <c r="X103" s="71">
        <f>V103</f>
        <v/>
      </c>
      <c r="Y103" s="71">
        <f>W103</f>
        <v/>
      </c>
      <c r="Z103" s="71">
        <f>X103</f>
        <v/>
      </c>
      <c r="AA103" s="71">
        <f>Y103</f>
        <v/>
      </c>
      <c r="AB103" s="71">
        <f>Z103</f>
        <v/>
      </c>
      <c r="AC103" s="71">
        <f>AA103</f>
        <v/>
      </c>
    </row>
    <row r="104">
      <c r="A104" s="34" t="n"/>
      <c r="B104" s="34" t="inlineStr">
        <is>
          <t>US AUV</t>
        </is>
      </c>
      <c r="C104" s="34" t="inlineStr">
        <is>
          <t>A$m</t>
        </is>
      </c>
      <c r="D104" s="37" t="n"/>
      <c r="E104" s="37" t="n"/>
      <c r="F104" s="75" t="n">
        <v>3.21</v>
      </c>
      <c r="G104" s="75" t="n">
        <v>2.608</v>
      </c>
      <c r="H104" s="75" t="n">
        <v>1.684</v>
      </c>
      <c r="I104" s="75" t="n">
        <v>2.306</v>
      </c>
      <c r="J104" s="75" t="n">
        <v>1.886</v>
      </c>
      <c r="K104" s="58">
        <f>IF((J100+K100)/2=0,"",2*K102/((J100+K100)/2))</f>
        <v/>
      </c>
      <c r="L104" s="58">
        <f>IF((K100+L100)/2=0,"",2*L102/((K100+L100)/2))</f>
        <v/>
      </c>
      <c r="M104" s="58">
        <f>IF((L100+M100)/2=0,"",2*M102/((L100+M100)/2))</f>
        <v/>
      </c>
      <c r="N104" s="58">
        <f>IF((M100+N100)/2=0,"",2*N102/((M100+N100)/2))</f>
        <v/>
      </c>
      <c r="O104" s="58">
        <f>IF((N100+O100)/2=0,"",2*O102/((N100+O100)/2))</f>
        <v/>
      </c>
      <c r="P104" s="58">
        <f>IF((O100+P100)/2=0,"",2*P102/((O100+P100)/2))</f>
        <v/>
      </c>
      <c r="Q104" s="58">
        <f>IF((P100+Q100)/2=0,"",2*Q102/((P100+Q100)/2))</f>
        <v/>
      </c>
      <c r="R104" s="58">
        <f>IF((Q100+R100)/2=0,"",2*R102/((Q100+R100)/2))</f>
        <v/>
      </c>
      <c r="S104" s="58">
        <f>IF((R100+S100)/2=0,"",2*S102/((R100+S100)/2))</f>
        <v/>
      </c>
      <c r="T104" s="58">
        <f>IF((S100+T100)/2=0,"",2*T102/((S100+T100)/2))</f>
        <v/>
      </c>
      <c r="U104" s="58">
        <f>IF((T100+U100)/2=0,"",2*U102/((T100+U100)/2))</f>
        <v/>
      </c>
      <c r="V104" s="58">
        <f>IF((U100+V100)/2=0,"",2*V102/((U100+V100)/2))</f>
        <v/>
      </c>
      <c r="W104" s="58">
        <f>IF((V100+W100)/2=0,"",2*W102/((V100+W100)/2))</f>
        <v/>
      </c>
      <c r="X104" s="58">
        <f>IF((W100+X100)/2=0,"",2*X102/((W100+X100)/2))</f>
        <v/>
      </c>
      <c r="Y104" s="58">
        <f>IF((X100+Y100)/2=0,"",2*Y102/((X100+Y100)/2))</f>
        <v/>
      </c>
      <c r="Z104" s="58">
        <f>IF((Y100+Z100)/2=0,"",2*Z102/((Y100+Z100)/2))</f>
        <v/>
      </c>
      <c r="AA104" s="58">
        <f>IF((Z100+AA100)/2=0,"",2*AA102/((Z100+AA100)/2))</f>
        <v/>
      </c>
      <c r="AB104" s="58">
        <f>IF((AA100+AB100)/2=0,"",2*AB102/((AA100+AB100)/2))</f>
        <v/>
      </c>
      <c r="AC104" s="58">
        <f>IF((AB100+AC100)/2=0,"",2*AC102/((AB100+AC100)/2))</f>
        <v/>
      </c>
    </row>
    <row r="105">
      <c r="A105" s="34" t="n"/>
      <c r="B105" s="34" t="inlineStr">
        <is>
          <t>US EBITDA Margin</t>
        </is>
      </c>
      <c r="C105" s="34" t="inlineStr">
        <is>
          <t>%</t>
        </is>
      </c>
      <c r="D105" s="40" t="n"/>
      <c r="E105" s="40" t="n"/>
      <c r="F105" s="76" t="n">
        <v>0</v>
      </c>
      <c r="G105" s="76" t="n">
        <v>0</v>
      </c>
      <c r="H105" s="76" t="n">
        <v>0</v>
      </c>
      <c r="I105" s="76" t="n">
        <v>0</v>
      </c>
      <c r="J105" s="76" t="n">
        <v>0</v>
      </c>
      <c r="K105" s="71" t="n">
        <v>0</v>
      </c>
      <c r="L105" s="71" t="n">
        <v>0</v>
      </c>
      <c r="M105" s="71" t="n">
        <v>0</v>
      </c>
      <c r="N105" s="71" t="n">
        <v>0</v>
      </c>
      <c r="O105" s="71" t="n">
        <v>0</v>
      </c>
      <c r="P105" s="71" t="n">
        <v>0</v>
      </c>
      <c r="Q105" s="71" t="n">
        <v>0</v>
      </c>
      <c r="R105" s="71" t="n">
        <v>0</v>
      </c>
      <c r="S105" s="71" t="n">
        <v>0</v>
      </c>
      <c r="T105" s="71" t="n">
        <v>0</v>
      </c>
      <c r="U105" s="71" t="n">
        <v>0</v>
      </c>
      <c r="V105" s="71" t="n">
        <v>0</v>
      </c>
      <c r="W105" s="71" t="n">
        <v>0</v>
      </c>
      <c r="X105" s="71" t="n">
        <v>0</v>
      </c>
      <c r="Y105" s="71" t="n">
        <v>0</v>
      </c>
      <c r="Z105" s="71" t="n">
        <v>0</v>
      </c>
      <c r="AA105" s="71" t="n">
        <v>0</v>
      </c>
      <c r="AB105" s="71" t="n">
        <v>0</v>
      </c>
      <c r="AC105" s="71" t="n">
        <v>0</v>
      </c>
    </row>
    <row r="106">
      <c r="A106" s="34" t="n"/>
      <c r="B106" s="38" t="inlineStr">
        <is>
          <t>US Segment EBITDA</t>
        </is>
      </c>
      <c r="C106" s="38" t="inlineStr">
        <is>
          <t>A$m</t>
        </is>
      </c>
      <c r="D106" s="97" t="n"/>
      <c r="E106" s="97" t="n"/>
      <c r="F106" s="98" t="n">
        <v>-3.095</v>
      </c>
      <c r="G106" s="98" t="n">
        <v>-3.449</v>
      </c>
      <c r="H106" s="98" t="n">
        <v>-5.014</v>
      </c>
      <c r="I106" s="98" t="n">
        <v>-8.209</v>
      </c>
      <c r="J106" s="98" t="n">
        <v>-8.308</v>
      </c>
      <c r="K106" s="99">
        <f>I106</f>
        <v/>
      </c>
      <c r="L106" s="99">
        <f>J106</f>
        <v/>
      </c>
      <c r="M106" s="99">
        <f>K106</f>
        <v/>
      </c>
      <c r="N106" s="99">
        <f>L106</f>
        <v/>
      </c>
      <c r="O106" s="99">
        <f>M106</f>
        <v/>
      </c>
      <c r="P106" s="99">
        <f>N106</f>
        <v/>
      </c>
      <c r="Q106" s="99">
        <f>O106</f>
        <v/>
      </c>
      <c r="R106" s="99">
        <f>P106</f>
        <v/>
      </c>
      <c r="S106" s="99">
        <f>Q106</f>
        <v/>
      </c>
      <c r="T106" s="99">
        <f>R106</f>
        <v/>
      </c>
      <c r="U106" s="99">
        <f>S106</f>
        <v/>
      </c>
      <c r="V106" s="99">
        <f>T106</f>
        <v/>
      </c>
      <c r="W106" s="99">
        <f>U106</f>
        <v/>
      </c>
      <c r="X106" s="99">
        <f>V106</f>
        <v/>
      </c>
      <c r="Y106" s="99">
        <f>W106</f>
        <v/>
      </c>
      <c r="Z106" s="99">
        <f>X106</f>
        <v/>
      </c>
      <c r="AA106" s="99">
        <f>Y106</f>
        <v/>
      </c>
      <c r="AB106" s="99">
        <f>Z106</f>
        <v/>
      </c>
      <c r="AC106" s="99">
        <f>AA106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2026-03-02T02:03:35Z</dcterms:created>
  <dcterms:modified xmlns:dcterms="http://purl.org/dc/terms/" xmlns:xsi="http://www.w3.org/2001/XMLSchema-instance" xsi:type="dcterms:W3CDTF">2026-03-18T01:41:10Z</dcterms:modified>
  <cp:lastModifiedBy>Peter Wilson</cp:lastModifiedBy>
</cp:coreProperties>
</file>