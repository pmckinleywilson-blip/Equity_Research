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Value" sheetId="1" state="visible" r:id="rId1"/>
    <sheet xmlns:r="http://schemas.openxmlformats.org/officeDocument/2006/relationships" name="Annual" sheetId="2" state="visible" r:id="rId2"/>
    <sheet xmlns:r="http://schemas.openxmlformats.org/officeDocument/2006/relationships" name="HY &amp; Segment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#,##0.0"/>
    <numFmt numFmtId="166" formatCode="0.0%"/>
    <numFmt numFmtId="167" formatCode="0.000"/>
    <numFmt numFmtId="168" formatCode="0.0\x"/>
    <numFmt numFmtId="169" formatCode="d/mm/yy"/>
    <numFmt numFmtId="170" formatCode="dd\-mmm\-yy"/>
  </numFmts>
  <fonts count="2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  <u val="single"/>
    </font>
    <font>
      <name val="Calibri"/>
      <family val="2"/>
      <color rgb="FFC00000"/>
      <sz val="11"/>
    </font>
    <font>
      <name val="Calibri"/>
      <family val="2"/>
      <b val="1"/>
      <sz val="12"/>
    </font>
    <font>
      <name val="Calibri"/>
      <family val="2"/>
      <color rgb="FF0000CC"/>
      <sz val="11"/>
    </font>
    <font>
      <name val="Calibri"/>
      <family val="2"/>
      <b val="1"/>
      <color rgb="FF0000CC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color rgb="FF0000CC"/>
      <sz val="11"/>
    </font>
    <font>
      <name val="Calibri"/>
      <color rgb="FFC00000"/>
      <sz val="11"/>
    </font>
    <font>
      <name val="Calibri"/>
      <b val="1"/>
      <sz val="14"/>
    </font>
    <font>
      <name val="Calibri"/>
      <b val="1"/>
      <sz val="11"/>
    </font>
    <font>
      <name val="Calibri"/>
      <color rgb="FFC00000"/>
      <sz val="11"/>
    </font>
    <font>
      <name val="Calibri"/>
      <color rgb="FF0000CC"/>
      <sz val="11"/>
    </font>
    <font>
      <name val="Calibri"/>
      <color rgb="FFC00000"/>
      <sz val="11"/>
    </font>
    <font>
      <name val="Calibri"/>
      <color rgb="FF0000CC"/>
      <sz val="11"/>
    </font>
    <font>
      <name val="Calibri"/>
      <b val="1"/>
      <color rgb="FF1B2A4A"/>
      <sz val="11"/>
    </font>
    <font>
      <name val="Calibri"/>
      <b val="1"/>
      <sz val="10"/>
    </font>
    <font>
      <name val="Calibri"/>
      <sz val="10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  <scheme val="minor"/>
    </font>
    <font>
      <b val="1"/>
    </font>
    <font/>
    <font>
      <color rgb="FFC00000"/>
    </font>
  </fonts>
  <fills count="11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C5D9F1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C5D9F1"/>
        <bgColor rgb="FFC5D9F1"/>
      </patternFill>
    </fill>
    <fill>
      <patternFill patternType="solid">
        <fgColor rgb="FFC5D9F1"/>
        <bgColor rgb="FFC5D9F1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top style="thin"/>
      <bottom style="thin"/>
    </border>
  </borders>
  <cellStyleXfs count="2">
    <xf numFmtId="0" fontId="23" fillId="0" borderId="0"/>
    <xf numFmtId="9" fontId="23" fillId="0" borderId="0"/>
  </cellStyleXfs>
  <cellXfs count="86">
    <xf numFmtId="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2" fontId="6" fillId="0" borderId="0" pivotButton="0" quotePrefix="0" xfId="0"/>
    <xf numFmtId="168" fontId="5" fillId="6" borderId="0" pivotButton="0" quotePrefix="0" xfId="0"/>
    <xf numFmtId="168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169" fontId="0" fillId="0" borderId="0" pivotButton="0" quotePrefix="0" xfId="0"/>
    <xf numFmtId="0" fontId="3" fillId="4" borderId="0" pivotButton="0" quotePrefix="0" xfId="0"/>
    <xf numFmtId="165" fontId="7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164" fontId="7" fillId="0" borderId="0" pivotButton="0" quotePrefix="0" xfId="0"/>
    <xf numFmtId="167" fontId="3" fillId="0" borderId="1" pivotButton="0" quotePrefix="0" xfId="0"/>
    <xf numFmtId="167" fontId="7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0" fontId="0" fillId="5" borderId="0" pivotButton="0" quotePrefix="0" xfId="0"/>
    <xf numFmtId="0" fontId="3" fillId="5" borderId="0" pivotButton="0" quotePrefix="0" xfId="0"/>
    <xf numFmtId="3" fontId="0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165" fontId="8" fillId="0" borderId="1" pivotButton="0" quotePrefix="0" xfId="0"/>
    <xf numFmtId="0" fontId="9" fillId="0" borderId="1" pivotButton="0" quotePrefix="0" xfId="0"/>
    <xf numFmtId="165" fontId="9" fillId="0" borderId="1" pivotButton="0" quotePrefix="0" xfId="0"/>
    <xf numFmtId="165" fontId="0" fillId="0" borderId="2" pivotButton="0" quotePrefix="0" xfId="0"/>
    <xf numFmtId="0" fontId="0" fillId="0" borderId="3" pivotButton="0" quotePrefix="0" xfId="0"/>
    <xf numFmtId="165" fontId="0" fillId="0" borderId="3" pivotButton="0" quotePrefix="0" xfId="0"/>
    <xf numFmtId="0" fontId="0" fillId="0" borderId="2" pivotButton="0" quotePrefix="0" xfId="0"/>
    <xf numFmtId="165" fontId="3" fillId="0" borderId="2" pivotButton="0" quotePrefix="0" xfId="0"/>
    <xf numFmtId="165" fontId="10" fillId="0" borderId="0" pivotButton="0" quotePrefix="0" xfId="0"/>
    <xf numFmtId="165" fontId="11" fillId="0" borderId="0" pivotButton="0" quotePrefix="0" xfId="0"/>
    <xf numFmtId="165" fontId="12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6" fontId="5" fillId="0" borderId="3" pivotButton="0" quotePrefix="0" xfId="0"/>
    <xf numFmtId="165" fontId="1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14" fillId="7" borderId="0" pivotButton="0" quotePrefix="0" xfId="0"/>
    <xf numFmtId="0" fontId="0" fillId="7" borderId="0" pivotButton="0" quotePrefix="0" xfId="0"/>
    <xf numFmtId="166" fontId="15" fillId="0" borderId="0" pivotButton="0" quotePrefix="0" xfId="0"/>
    <xf numFmtId="165" fontId="15" fillId="0" borderId="0" pivotButton="0" quotePrefix="0" xfId="0"/>
    <xf numFmtId="165" fontId="18" fillId="0" borderId="0" pivotButton="0" quotePrefix="0" xfId="0"/>
    <xf numFmtId="0" fontId="0" fillId="8" borderId="0" pivotButton="0" quotePrefix="0" xfId="0"/>
    <xf numFmtId="166" fontId="17" fillId="0" borderId="0" pivotButton="0" quotePrefix="0" xfId="0"/>
    <xf numFmtId="165" fontId="17" fillId="0" borderId="0" pivotButton="0" quotePrefix="0" xfId="0"/>
    <xf numFmtId="0" fontId="19" fillId="0" borderId="0" pivotButton="0" quotePrefix="0" xfId="0"/>
    <xf numFmtId="0" fontId="20" fillId="0" borderId="4" pivotButton="0" quotePrefix="0" xfId="0"/>
    <xf numFmtId="0" fontId="21" fillId="0" borderId="0" pivotButton="0" quotePrefix="0" xfId="0"/>
    <xf numFmtId="164" fontId="5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6" fontId="10" fillId="0" borderId="0" pivotButton="0" quotePrefix="0" xfId="0"/>
    <xf numFmtId="170" fontId="22" fillId="9" borderId="0" pivotButton="0" quotePrefix="0" xfId="0"/>
    <xf numFmtId="2" fontId="0" fillId="0" borderId="0" pivotButton="0" quotePrefix="0" xfId="0"/>
    <xf numFmtId="9" fontId="0" fillId="0" borderId="0" pivotButton="0" quotePrefix="0" xfId="1"/>
    <xf numFmtId="9" fontId="12" fillId="0" borderId="0" pivotButton="0" quotePrefix="0" xfId="1"/>
    <xf numFmtId="0" fontId="24" fillId="8" borderId="0" pivotButton="0" quotePrefix="0" xfId="0"/>
    <xf numFmtId="0" fontId="25" fillId="0" borderId="0" pivotButton="0" quotePrefix="0" xfId="0"/>
    <xf numFmtId="0" fontId="25" fillId="0" borderId="1" pivotButton="0" quotePrefix="0" xfId="0"/>
    <xf numFmtId="0" fontId="24" fillId="0" borderId="5" pivotButton="0" quotePrefix="0" xfId="0"/>
    <xf numFmtId="165" fontId="24" fillId="0" borderId="5" pivotButton="0" quotePrefix="0" xfId="0"/>
    <xf numFmtId="165" fontId="24" fillId="8" borderId="0" pivotButton="0" quotePrefix="0" xfId="0"/>
    <xf numFmtId="0" fontId="24" fillId="8" borderId="1" pivotButton="0" quotePrefix="0" xfId="0"/>
    <xf numFmtId="165" fontId="24" fillId="8" borderId="1" pivotButton="0" quotePrefix="0" xfId="0"/>
    <xf numFmtId="0" fontId="24" fillId="0" borderId="0" pivotButton="0" quotePrefix="0" xfId="0"/>
    <xf numFmtId="0" fontId="24" fillId="10" borderId="0" pivotButton="0" quotePrefix="0" xfId="0"/>
    <xf numFmtId="3" fontId="26" fillId="0" borderId="0" pivotButton="0" quotePrefix="0" xfId="0"/>
    <xf numFmtId="166" fontId="26" fillId="0" borderId="0" pivotButton="0" quotePrefix="0" xfId="0"/>
    <xf numFmtId="3" fontId="5" fillId="0" borderId="0" pivotButton="0" quotePrefix="0" xfId="0"/>
    <xf numFmtId="0" fontId="24" fillId="0" borderId="1" pivotButton="0" quotePrefix="0" xfId="0"/>
    <xf numFmtId="165" fontId="26" fillId="0" borderId="0" pivotButton="0" quotePrefix="0" xfId="0"/>
    <xf numFmtId="164" fontId="26" fillId="0" borderId="0" pivotButton="0" quotePrefix="0" xfId="0"/>
    <xf numFmtId="9" fontId="26" fillId="0" borderId="0" pivotButton="0" quotePrefix="0" xfId="1"/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Group EBITDA Movement from FY24 to FY25 (NZ$m)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Charts!$E$2</f>
              <strCache>
                <ptCount val="1"/>
                <pt idx="0">
                  <v>Base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Charts!$A$3:$A$9</f>
              <strCache>
                <ptCount val="7"/>
                <pt idx="0">
                  <v>FY24 (statutory)</v>
                </pt>
                <pt idx="1">
                  <v>Significant Items</v>
                </pt>
                <pt idx="2">
                  <v>FY24 (adjusted)</v>
                </pt>
                <pt idx="3">
                  <v>Volume (000t)</v>
                </pt>
                <pt idx="4">
                  <v>Gross Margin (NZ$/t)</v>
                </pt>
                <pt idx="5">
                  <v>OPEX (NZ$m)</v>
                </pt>
                <pt idx="6">
                  <v>FY25 (adjusted)</v>
                </pt>
              </strCache>
            </strRef>
          </cat>
          <val>
            <numRef>
              <f>Charts!$E$3:$E$9</f>
              <numCache>
                <formatCode>#,##0.0</formatCode>
                <ptCount val="7"/>
                <pt idx="0">
                  <v>0</v>
                </pt>
                <pt idx="1">
                  <v>147.6</v>
                </pt>
                <pt idx="2">
                  <v>0</v>
                </pt>
                <pt idx="3">
                  <v>121.6807811194654</v>
                </pt>
                <pt idx="4">
                  <v>111.1999999999999</v>
                </pt>
                <pt idx="5">
                  <v>111.1999999999999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Charts!$F$2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rgbClr val="B2B2B2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Charts!$A$3:$A$9</f>
              <strCache>
                <ptCount val="7"/>
                <pt idx="0">
                  <v>FY24 (statutory)</v>
                </pt>
                <pt idx="1">
                  <v>Significant Items</v>
                </pt>
                <pt idx="2">
                  <v>FY24 (adjusted)</v>
                </pt>
                <pt idx="3">
                  <v>Volume (000t)</v>
                </pt>
                <pt idx="4">
                  <v>Gross Margin (NZ$/t)</v>
                </pt>
                <pt idx="5">
                  <v>OPEX (NZ$m)</v>
                </pt>
                <pt idx="6">
                  <v>FY25 (adjusted)</v>
                </pt>
              </strCache>
            </strRef>
          </cat>
          <val>
            <numRef>
              <f>Charts!$F$3:$F$9</f>
              <numCache>
                <formatCode>#,##0.0</formatCode>
                <ptCount val="7"/>
                <pt idx="0">
                  <v>147.6</v>
                </pt>
                <pt idx="1">
                  <v>0</v>
                </pt>
                <pt idx="2">
                  <v>147.6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112</v>
                </pt>
              </numCache>
            </numRef>
          </val>
        </ser>
        <ser>
          <idx val="2"/>
          <order val="2"/>
          <tx>
            <strRef>
              <f>Charts!$G$2</f>
              <strCache>
                <ptCount val="1"/>
                <pt idx="0">
                  <v>Increase</v>
                </pt>
              </strCache>
            </strRef>
          </tx>
          <spPr>
            <a:solidFill xmlns:a="http://schemas.openxmlformats.org/drawingml/2006/main">
              <a:srgbClr val="B6F0BD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Charts!$A$3:$A$9</f>
              <strCache>
                <ptCount val="7"/>
                <pt idx="0">
                  <v>FY24 (statutory)</v>
                </pt>
                <pt idx="1">
                  <v>Significant Items</v>
                </pt>
                <pt idx="2">
                  <v>FY24 (adjusted)</v>
                </pt>
                <pt idx="3">
                  <v>Volume (000t)</v>
                </pt>
                <pt idx="4">
                  <v>Gross Margin (NZ$/t)</v>
                </pt>
                <pt idx="5">
                  <v>OPEX (NZ$m)</v>
                </pt>
                <pt idx="6">
                  <v>FY25 (adjusted)</v>
                </pt>
              </strCache>
            </strRef>
          </cat>
          <val>
            <numRef>
              <f>Charts!$G$3:$G$9</f>
              <numCache>
                <formatCode>#,##0.0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0.8000000000000682</v>
                </pt>
                <pt idx="6">
                  <v>0</v>
                </pt>
              </numCache>
            </numRef>
          </val>
        </ser>
        <ser>
          <idx val="3"/>
          <order val="3"/>
          <tx>
            <strRef>
              <f>Charts!$H$2</f>
              <strCache>
                <ptCount val="1"/>
                <pt idx="0">
                  <v>Decrease</v>
                </pt>
              </strCache>
            </strRef>
          </tx>
          <spPr>
            <a:solidFill xmlns:a="http://schemas.openxmlformats.org/drawingml/2006/main">
              <a:srgbClr val="FFB7AF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Charts!$A$3:$A$9</f>
              <strCache>
                <ptCount val="7"/>
                <pt idx="0">
                  <v>FY24 (statutory)</v>
                </pt>
                <pt idx="1">
                  <v>Significant Items</v>
                </pt>
                <pt idx="2">
                  <v>FY24 (adjusted)</v>
                </pt>
                <pt idx="3">
                  <v>Volume (000t)</v>
                </pt>
                <pt idx="4">
                  <v>Gross Margin (NZ$/t)</v>
                </pt>
                <pt idx="5">
                  <v>OPEX (NZ$m)</v>
                </pt>
                <pt idx="6">
                  <v>FY25 (adjusted)</v>
                </pt>
              </strCache>
            </strRef>
          </cat>
          <val>
            <numRef>
              <f>Charts!$H$3:$H$9</f>
              <numCache>
                <formatCode>#,##0.0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25.91921888053468</v>
                </pt>
                <pt idx="4">
                  <v>10.48078111946542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Steel EBITDA Movement from FY24 to FY25 (NZ$m)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Charts!$E$13</f>
              <strCache>
                <ptCount val="1"/>
                <pt idx="0">
                  <v>Base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Charts!$A$14:$A$18</f>
              <strCache>
                <ptCount val="5"/>
                <pt idx="0">
                  <v>FY24 Steel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Steel EBITDA</v>
                </pt>
              </strCache>
            </strRef>
          </cat>
          <val>
            <numRef>
              <f>Charts!$E$14:$E$18</f>
              <numCache>
                <formatCode>#,##0.0</formatCode>
                <ptCount val="5"/>
                <pt idx="0">
                  <v>0</v>
                </pt>
                <pt idx="1">
                  <v>60.55055555555555</v>
                </pt>
                <pt idx="2">
                  <v>44.3</v>
                </pt>
                <pt idx="3">
                  <v>44.1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Charts!$F$13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rgbClr val="B2B2B2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Charts!$A$14:$A$18</f>
              <strCache>
                <ptCount val="5"/>
                <pt idx="0">
                  <v>FY24 Steel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Steel EBITDA</v>
                </pt>
              </strCache>
            </strRef>
          </cat>
          <val>
            <numRef>
              <f>Charts!$F$14:$F$18</f>
              <numCache>
                <formatCode>#,##0.0</formatCode>
                <ptCount val="5"/>
                <pt idx="0">
                  <v>68.8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44.1</v>
                </pt>
              </numCache>
            </numRef>
          </val>
        </ser>
        <ser>
          <idx val="2"/>
          <order val="2"/>
          <tx>
            <strRef>
              <f>Charts!$G$13</f>
              <strCache>
                <ptCount val="1"/>
                <pt idx="0">
                  <v>Increase</v>
                </pt>
              </strCache>
            </strRef>
          </tx>
          <spPr>
            <a:solidFill xmlns:a="http://schemas.openxmlformats.org/drawingml/2006/main">
              <a:srgbClr val="B6F0BD"/>
            </a:solidFill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Charts!$A$14:$A$18</f>
              <strCache>
                <ptCount val="5"/>
                <pt idx="0">
                  <v>FY24 Steel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Steel EBITDA</v>
                </pt>
              </strCache>
            </strRef>
          </cat>
          <val>
            <numRef>
              <f>Charts!$G$14:$G$18</f>
              <numCache>
                <formatCode>#,##0.0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3"/>
          <order val="3"/>
          <tx>
            <strRef>
              <f>Charts!$H$13</f>
              <strCache>
                <ptCount val="1"/>
                <pt idx="0">
                  <v>Decrease</v>
                </pt>
              </strCache>
            </strRef>
          </tx>
          <spPr>
            <a:solidFill xmlns:a="http://schemas.openxmlformats.org/drawingml/2006/main">
              <a:srgbClr val="FFB7AF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Charts!$A$14:$A$18</f>
              <strCache>
                <ptCount val="5"/>
                <pt idx="0">
                  <v>FY24 Steel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Steel EBITDA</v>
                </pt>
              </strCache>
            </strRef>
          </cat>
          <val>
            <numRef>
              <f>Charts!$H$14:$H$18</f>
              <numCache>
                <formatCode>#,##0.0</formatCode>
                <ptCount val="5"/>
                <pt idx="0">
                  <v>0</v>
                </pt>
                <pt idx="1">
                  <v>8.249444444444453</v>
                </pt>
                <pt idx="2">
                  <v>16.25055555555555</v>
                </pt>
                <pt idx="3">
                  <v>0.1999999999999957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Metals EBITDA Movement from FY24 to FY25 (NZ$m)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Charts!$E$22</f>
              <strCache>
                <ptCount val="1"/>
                <pt idx="0">
                  <v>Base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Charts!$A$23:$A$27</f>
              <strCache>
                <ptCount val="5"/>
                <pt idx="0">
                  <v>FY24 Metals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Metals EBITDA</v>
                </pt>
              </strCache>
            </strRef>
          </cat>
          <val>
            <numRef>
              <f>Charts!$E$23:$E$27</f>
              <numCache>
                <formatCode>#,##0.0</formatCode>
                <ptCount val="5"/>
                <pt idx="0">
                  <v>0</v>
                </pt>
                <pt idx="1">
                  <v>81.83022556390978</v>
                </pt>
                <pt idx="2">
                  <v>81.83022556390978</v>
                </pt>
                <pt idx="3">
                  <v>84.90000000000001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Charts!$F$22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rgbClr val="B2B2B2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Charts!$A$23:$A$27</f>
              <strCache>
                <ptCount val="5"/>
                <pt idx="0">
                  <v>FY24 Metals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Metals EBITDA</v>
                </pt>
              </strCache>
            </strRef>
          </cat>
          <val>
            <numRef>
              <f>Charts!$F$23:$F$27</f>
              <numCache>
                <formatCode>#,##0.0</formatCode>
                <ptCount val="5"/>
                <pt idx="0">
                  <v>99.5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84.90000000000001</v>
                </pt>
              </numCache>
            </numRef>
          </val>
        </ser>
        <ser>
          <idx val="2"/>
          <order val="2"/>
          <tx>
            <strRef>
              <f>Charts!$G$22</f>
              <strCache>
                <ptCount val="1"/>
                <pt idx="0">
                  <v>Increase</v>
                </pt>
              </strCache>
            </strRef>
          </tx>
          <spPr>
            <a:solidFill xmlns:a="http://schemas.openxmlformats.org/drawingml/2006/main">
              <a:srgbClr val="B6F0BD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Charts!$A$23:$A$27</f>
              <strCache>
                <ptCount val="5"/>
                <pt idx="0">
                  <v>FY24 Metals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Metals EBITDA</v>
                </pt>
              </strCache>
            </strRef>
          </cat>
          <val>
            <numRef>
              <f>Charts!$G$23:$G$27</f>
              <numCache>
                <formatCode>#,##0.0</formatCode>
                <ptCount val="5"/>
                <pt idx="0">
                  <v>0</v>
                </pt>
                <pt idx="1">
                  <v>0</v>
                </pt>
                <pt idx="2">
                  <v>5.769774436090188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3"/>
          <order val="3"/>
          <tx>
            <strRef>
              <f>Charts!$H$22</f>
              <strCache>
                <ptCount val="1"/>
                <pt idx="0">
                  <v>Decrease</v>
                </pt>
              </strCache>
            </strRef>
          </tx>
          <spPr>
            <a:solidFill xmlns:a="http://schemas.openxmlformats.org/drawingml/2006/main">
              <a:srgbClr val="FFB7AF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Charts!$A$23:$A$27</f>
              <strCache>
                <ptCount val="5"/>
                <pt idx="0">
                  <v>FY24 Metals EBITDA</v>
                </pt>
                <pt idx="1">
                  <v>Volume (000t)</v>
                </pt>
                <pt idx="2">
                  <v>Gross Margin (NZ$/t)</v>
                </pt>
                <pt idx="3">
                  <v>OPEX (NZ$m)</v>
                </pt>
                <pt idx="4">
                  <v>FY25 Metals EBITDA</v>
                </pt>
              </strCache>
            </strRef>
          </cat>
          <val>
            <numRef>
              <f>Charts!$H$23:$H$27</f>
              <numCache>
                <formatCode>#,##0.0</formatCode>
                <ptCount val="5"/>
                <pt idx="0">
                  <v>0</v>
                </pt>
                <pt idx="1">
                  <v>17.66977443609022</v>
                </pt>
                <pt idx="2">
                  <v>0</v>
                </pt>
                <pt idx="3">
                  <v>2.69999999999996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FY25 Earnings and Cashflow (CF) Movements (NZ$m)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Charts!$E$31</f>
              <strCache>
                <ptCount val="1"/>
                <pt idx="0">
                  <v>Base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Charts!$A$32:$A$41</f>
              <strCache>
                <ptCount val="10"/>
                <pt idx="0">
                  <v>Adjusted EBITDA</v>
                </pt>
                <pt idx="1">
                  <v>Lease interest</v>
                </pt>
                <pt idx="2">
                  <v>Interest Paid</v>
                </pt>
                <pt idx="3">
                  <v>Tax paid</v>
                </pt>
                <pt idx="4">
                  <v>CF pre W/Capital</v>
                </pt>
                <pt idx="5">
                  <v>W/Cap/Other</v>
                </pt>
                <pt idx="6">
                  <v>Operating CF</v>
                </pt>
                <pt idx="7">
                  <v>Net Capex</v>
                </pt>
                <pt idx="8">
                  <v>Lease payments</v>
                </pt>
                <pt idx="9">
                  <v>Free cash flow</v>
                </pt>
              </strCache>
            </strRef>
          </cat>
          <val>
            <numRef>
              <f>Charts!$E$32:$E$41</f>
              <numCache>
                <formatCode>#,##0.0</formatCode>
                <ptCount val="10"/>
                <pt idx="0">
                  <v>0</v>
                </pt>
                <pt idx="1">
                  <v>94</v>
                </pt>
                <pt idx="2">
                  <v>70.09999999999999</v>
                </pt>
                <pt idx="3">
                  <v>62.59999999999999</v>
                </pt>
                <pt idx="4">
                  <v>0</v>
                </pt>
                <pt idx="5">
                  <v>62.59999999999999</v>
                </pt>
                <pt idx="6">
                  <v>0</v>
                </pt>
                <pt idx="7">
                  <v>87.8</v>
                </pt>
                <pt idx="8">
                  <v>61.09999999999999</v>
                </pt>
                <pt idx="9">
                  <v>0</v>
                </pt>
              </numCache>
            </numRef>
          </val>
        </ser>
        <ser>
          <idx val="1"/>
          <order val="1"/>
          <tx>
            <strRef>
              <f>Charts!$F$31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rgbClr val="B2B2B2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Charts!$A$32:$A$41</f>
              <strCache>
                <ptCount val="10"/>
                <pt idx="0">
                  <v>Adjusted EBITDA</v>
                </pt>
                <pt idx="1">
                  <v>Lease interest</v>
                </pt>
                <pt idx="2">
                  <v>Interest Paid</v>
                </pt>
                <pt idx="3">
                  <v>Tax paid</v>
                </pt>
                <pt idx="4">
                  <v>CF pre W/Capital</v>
                </pt>
                <pt idx="5">
                  <v>W/Cap/Other</v>
                </pt>
                <pt idx="6">
                  <v>Operating CF</v>
                </pt>
                <pt idx="7">
                  <v>Net Capex</v>
                </pt>
                <pt idx="8">
                  <v>Lease payments</v>
                </pt>
                <pt idx="9">
                  <v>Free cash flow</v>
                </pt>
              </strCache>
            </strRef>
          </cat>
          <val>
            <numRef>
              <f>Charts!$F$32:$F$41</f>
              <numCache>
                <formatCode>#,##0.0</formatCode>
                <ptCount val="10"/>
                <pt idx="0">
                  <v>112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62.59999999999999</v>
                </pt>
                <pt idx="5">
                  <v>0</v>
                </pt>
                <pt idx="6">
                  <v>105</v>
                </pt>
                <pt idx="7">
                  <v>0</v>
                </pt>
                <pt idx="8">
                  <v>0</v>
                </pt>
                <pt idx="9">
                  <v>61.09999999999999</v>
                </pt>
              </numCache>
            </numRef>
          </val>
        </ser>
        <ser>
          <idx val="2"/>
          <order val="2"/>
          <tx>
            <strRef>
              <f>Charts!$G$31</f>
              <strCache>
                <ptCount val="1"/>
                <pt idx="0">
                  <v>Increase</v>
                </pt>
              </strCache>
            </strRef>
          </tx>
          <spPr>
            <a:solidFill xmlns:a="http://schemas.openxmlformats.org/drawingml/2006/main">
              <a:srgbClr val="B6F0BD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Charts!$A$32:$A$41</f>
              <strCache>
                <ptCount val="10"/>
                <pt idx="0">
                  <v>Adjusted EBITDA</v>
                </pt>
                <pt idx="1">
                  <v>Lease interest</v>
                </pt>
                <pt idx="2">
                  <v>Interest Paid</v>
                </pt>
                <pt idx="3">
                  <v>Tax paid</v>
                </pt>
                <pt idx="4">
                  <v>CF pre W/Capital</v>
                </pt>
                <pt idx="5">
                  <v>W/Cap/Other</v>
                </pt>
                <pt idx="6">
                  <v>Operating CF</v>
                </pt>
                <pt idx="7">
                  <v>Net Capex</v>
                </pt>
                <pt idx="8">
                  <v>Lease payments</v>
                </pt>
                <pt idx="9">
                  <v>Free cash flow</v>
                </pt>
              </strCache>
            </strRef>
          </cat>
          <val>
            <numRef>
              <f>Charts!$G$32:$G$41</f>
              <numCache>
                <formatCode>#,##0.0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42.40000000000001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3"/>
          <order val="3"/>
          <tx>
            <strRef>
              <f>Charts!$H$31</f>
              <strCache>
                <ptCount val="1"/>
                <pt idx="0">
                  <v>Decrease</v>
                </pt>
              </strCache>
            </strRef>
          </tx>
          <spPr>
            <a:solidFill xmlns:a="http://schemas.openxmlformats.org/drawingml/2006/main">
              <a:srgbClr val="FFB7AF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Charts!$A$32:$A$41</f>
              <strCache>
                <ptCount val="10"/>
                <pt idx="0">
                  <v>Adjusted EBITDA</v>
                </pt>
                <pt idx="1">
                  <v>Lease interest</v>
                </pt>
                <pt idx="2">
                  <v>Interest Paid</v>
                </pt>
                <pt idx="3">
                  <v>Tax paid</v>
                </pt>
                <pt idx="4">
                  <v>CF pre W/Capital</v>
                </pt>
                <pt idx="5">
                  <v>W/Cap/Other</v>
                </pt>
                <pt idx="6">
                  <v>Operating CF</v>
                </pt>
                <pt idx="7">
                  <v>Net Capex</v>
                </pt>
                <pt idx="8">
                  <v>Lease payments</v>
                </pt>
                <pt idx="9">
                  <v>Free cash flow</v>
                </pt>
              </strCache>
            </strRef>
          </cat>
          <val>
            <numRef>
              <f>Charts!$H$32:$H$41</f>
              <numCache>
                <formatCode>#,##0.0</formatCode>
                <ptCount val="10"/>
                <pt idx="0">
                  <v>0</v>
                </pt>
                <pt idx="1">
                  <v>18</v>
                </pt>
                <pt idx="2">
                  <v>23.9</v>
                </pt>
                <pt idx="3">
                  <v>7.5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17.2</v>
                </pt>
                <pt idx="8">
                  <v>26.7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Movement in Working Capital (excl tax, NZ$m)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Charts!$E$45</f>
              <strCache>
                <ptCount val="1"/>
                <pt idx="0">
                  <v>Base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Charts!$A$46:$A$50</f>
              <strCache>
                <ptCount val="5"/>
                <pt idx="0">
                  <v>Jun 24</v>
                </pt>
                <pt idx="1">
                  <v>Inventory</v>
                </pt>
                <pt idx="2">
                  <v>Debtors</v>
                </pt>
                <pt idx="3">
                  <v>Creditors</v>
                </pt>
                <pt idx="4">
                  <v>Jun 25</v>
                </pt>
              </strCache>
            </strRef>
          </cat>
          <val>
            <numRef>
              <f>Charts!$E$46:$E$50</f>
              <numCache>
                <formatCode>#,##0.0</formatCode>
                <ptCount val="5"/>
                <pt idx="0">
                  <v>0</v>
                </pt>
                <pt idx="1">
                  <v>334.6</v>
                </pt>
                <pt idx="2">
                  <v>320.6</v>
                </pt>
                <pt idx="3">
                  <v>320.6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Charts!$F$45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rgbClr val="B2B2B2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Charts!$A$46:$A$50</f>
              <strCache>
                <ptCount val="5"/>
                <pt idx="0">
                  <v>Jun 24</v>
                </pt>
                <pt idx="1">
                  <v>Inventory</v>
                </pt>
                <pt idx="2">
                  <v>Debtors</v>
                </pt>
                <pt idx="3">
                  <v>Creditors</v>
                </pt>
                <pt idx="4">
                  <v>Jun 25</v>
                </pt>
              </strCache>
            </strRef>
          </cat>
          <val>
            <numRef>
              <f>Charts!$F$46:$F$50</f>
              <numCache>
                <formatCode>#,##0.0</formatCode>
                <ptCount val="5"/>
                <pt idx="0">
                  <v>361.3000000000001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321.4</v>
                </pt>
              </numCache>
            </numRef>
          </val>
        </ser>
        <ser>
          <idx val="2"/>
          <order val="2"/>
          <tx>
            <strRef>
              <f>Charts!$G$45</f>
              <strCache>
                <ptCount val="1"/>
                <pt idx="0">
                  <v>Increase</v>
                </pt>
              </strCache>
            </strRef>
          </tx>
          <spPr>
            <a:solidFill xmlns:a="http://schemas.openxmlformats.org/drawingml/2006/main">
              <a:srgbClr val="B6F0BD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Charts!$A$46:$A$50</f>
              <strCache>
                <ptCount val="5"/>
                <pt idx="0">
                  <v>Jun 24</v>
                </pt>
                <pt idx="1">
                  <v>Inventory</v>
                </pt>
                <pt idx="2">
                  <v>Debtors</v>
                </pt>
                <pt idx="3">
                  <v>Creditors</v>
                </pt>
                <pt idx="4">
                  <v>Jun 25</v>
                </pt>
              </strCache>
            </strRef>
          </cat>
          <val>
            <numRef>
              <f>Charts!$G$46:$G$50</f>
              <numCache>
                <formatCode>#,##0.0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0.7999999999999829</v>
                </pt>
                <pt idx="4">
                  <v>0</v>
                </pt>
              </numCache>
            </numRef>
          </val>
        </ser>
        <ser>
          <idx val="3"/>
          <order val="3"/>
          <tx>
            <strRef>
              <f>Charts!$H$45</f>
              <strCache>
                <ptCount val="1"/>
                <pt idx="0">
                  <v>Decrease</v>
                </pt>
              </strCache>
            </strRef>
          </tx>
          <spPr>
            <a:solidFill xmlns:a="http://schemas.openxmlformats.org/drawingml/2006/main">
              <a:srgbClr val="FFB7AF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>
                      <a:solidFill>
                        <a:srgbClr val="000000"/>
                      </a:solidFill>
                    </a:defRPr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Charts!$A$46:$A$50</f>
              <strCache>
                <ptCount val="5"/>
                <pt idx="0">
                  <v>Jun 24</v>
                </pt>
                <pt idx="1">
                  <v>Inventory</v>
                </pt>
                <pt idx="2">
                  <v>Debtors</v>
                </pt>
                <pt idx="3">
                  <v>Creditors</v>
                </pt>
                <pt idx="4">
                  <v>Jun 25</v>
                </pt>
              </strCache>
            </strRef>
          </cat>
          <val>
            <numRef>
              <f>Charts!$H$46:$H$50</f>
              <numCache>
                <formatCode>#,##0.0</formatCode>
                <ptCount val="5"/>
                <pt idx="0">
                  <v>0</v>
                </pt>
                <pt idx="1">
                  <v>26.70000000000005</v>
                </pt>
                <pt idx="2">
                  <v>14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Revenue Movement from FY24 to FY25 (NZ$m)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Charts!$E$53</f>
              <strCache>
                <ptCount val="1"/>
                <pt idx="0">
                  <v>Base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Charts!$A$54:$A$59</f>
              <strCache>
                <ptCount val="6"/>
                <pt idx="0">
                  <v>FY24 Revenue</v>
                </pt>
                <pt idx="1">
                  <v>Steel Volume (000t)</v>
                </pt>
                <pt idx="2">
                  <v>Steel Price (NZ$/t)</v>
                </pt>
                <pt idx="3">
                  <v>Metals Volume (000t)</v>
                </pt>
                <pt idx="4">
                  <v>Metals Price (NZ$/t)</v>
                </pt>
                <pt idx="5">
                  <v>FY25 Revenue</v>
                </pt>
              </strCache>
            </strRef>
          </cat>
          <val>
            <numRef>
              <f>Charts!$E$54:$E$59</f>
              <numCache>
                <formatCode>#,##0.0</formatCode>
                <ptCount val="6"/>
                <pt idx="0">
                  <v>0</v>
                </pt>
                <pt idx="1">
                  <v>1037.243888888889</v>
                </pt>
                <pt idx="2">
                  <v>1002.7</v>
                </pt>
                <pt idx="3">
                  <v>954.5466165413532</v>
                </pt>
                <pt idx="4">
                  <v>948.0999999999998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Charts!$F$53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rgbClr val="B2B2B2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Charts!$A$54:$A$59</f>
              <strCache>
                <ptCount val="6"/>
                <pt idx="0">
                  <v>FY24 Revenue</v>
                </pt>
                <pt idx="1">
                  <v>Steel Volume (000t)</v>
                </pt>
                <pt idx="2">
                  <v>Steel Price (NZ$/t)</v>
                </pt>
                <pt idx="3">
                  <v>Metals Volume (000t)</v>
                </pt>
                <pt idx="4">
                  <v>Metals Price (NZ$/t)</v>
                </pt>
                <pt idx="5">
                  <v>FY25 Revenue</v>
                </pt>
              </strCache>
            </strRef>
          </cat>
          <val>
            <numRef>
              <f>Charts!$F$54:$F$59</f>
              <numCache>
                <formatCode>#,##0.0</formatCode>
                <ptCount val="6"/>
                <pt idx="0">
                  <v>1064.3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948.0999999999999</v>
                </pt>
              </numCache>
            </numRef>
          </val>
        </ser>
        <ser>
          <idx val="2"/>
          <order val="2"/>
          <tx>
            <strRef>
              <f>Charts!$G$53</f>
              <strCache>
                <ptCount val="1"/>
                <pt idx="0">
                  <v>Increase</v>
                </pt>
              </strCache>
            </strRef>
          </tx>
          <spPr>
            <a:solidFill xmlns:a="http://schemas.openxmlformats.org/drawingml/2006/main">
              <a:srgbClr val="B6F0BD"/>
            </a:solidFill>
            <a:ln xmlns:a="http://schemas.openxmlformats.org/drawingml/2006/main">
              <a:noFill/>
              <a:prstDash val="solid"/>
            </a:ln>
          </spPr>
          <invertIfNegative val="1"/>
          <cat>
            <strRef>
              <f>Charts!$A$54:$A$59</f>
              <strCache>
                <ptCount val="6"/>
                <pt idx="0">
                  <v>FY24 Revenue</v>
                </pt>
                <pt idx="1">
                  <v>Steel Volume (000t)</v>
                </pt>
                <pt idx="2">
                  <v>Steel Price (NZ$/t)</v>
                </pt>
                <pt idx="3">
                  <v>Metals Volume (000t)</v>
                </pt>
                <pt idx="4">
                  <v>Metals Price (NZ$/t)</v>
                </pt>
                <pt idx="5">
                  <v>FY25 Revenue</v>
                </pt>
              </strCache>
            </strRef>
          </cat>
          <val>
            <numRef>
              <f>Charts!$G$54:$G$59</f>
              <numCache>
                <formatCode>#,##0.0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3"/>
          <order val="3"/>
          <tx>
            <strRef>
              <f>Charts!$H$53</f>
              <strCache>
                <ptCount val="1"/>
                <pt idx="0">
                  <v>Decrease</v>
                </pt>
              </strCache>
            </strRef>
          </tx>
          <spPr>
            <a:solidFill xmlns:a="http://schemas.openxmlformats.org/drawingml/2006/main">
              <a:srgbClr val="FFB7AF"/>
            </a:solidFill>
            <a:ln xmlns:a="http://schemas.openxmlformats.org/drawingml/2006/main">
              <a:noFill/>
              <a:prstDash val="solid"/>
            </a:ln>
          </spPr>
          <invertIfNegative val="1"/>
          <dLbls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/>
                  </a:pPr>
                  <a:r>
                    <a:t>None</a:t>
                  </a:r>
                  <a:endParaRPr lang="en-US"/>
                </a:p>
              </txPr>
              <dLblPos val="inBase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Charts!$A$54:$A$59</f>
              <strCache>
                <ptCount val="6"/>
                <pt idx="0">
                  <v>FY24 Revenue</v>
                </pt>
                <pt idx="1">
                  <v>Steel Volume (000t)</v>
                </pt>
                <pt idx="2">
                  <v>Steel Price (NZ$/t)</v>
                </pt>
                <pt idx="3">
                  <v>Metals Volume (000t)</v>
                </pt>
                <pt idx="4">
                  <v>Metals Price (NZ$/t)</v>
                </pt>
                <pt idx="5">
                  <v>FY25 Revenue</v>
                </pt>
              </strCache>
            </strRef>
          </cat>
          <val>
            <numRef>
              <f>Charts!$H$54:$H$59</f>
              <numCache>
                <formatCode>#,##0.0</formatCode>
                <ptCount val="6"/>
                <pt idx="0">
                  <v>0</v>
                </pt>
                <pt idx="1">
                  <v>27.05611111111115</v>
                </pt>
                <pt idx="2">
                  <v>34.54388888888885</v>
                </pt>
                <pt idx="3">
                  <v>48.1533834586466</v>
                </pt>
                <pt idx="4">
                  <v>6.446616541353324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#,##0.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4572000" cy="27432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4572000" cy="27432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32</row>
      <rowOff>0</rowOff>
    </from>
    <ext cx="4572000" cy="27432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48</row>
      <rowOff>0</rowOff>
    </from>
    <ext cx="4572000" cy="27432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114300</colOff>
      <row>64</row>
      <rowOff>85725</rowOff>
    </from>
    <ext cx="4572000" cy="27432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95250</colOff>
      <row>80</row>
      <rowOff>85725</rowOff>
    </from>
    <ext cx="4572000" cy="27432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6"/>
  <sheetViews>
    <sheetView topLeftCell="A18" workbookViewId="0">
      <selection activeCell="G24" sqref="G24"/>
    </sheetView>
  </sheetViews>
  <sheetFormatPr baseColWidth="8" defaultRowHeight="14.5"/>
  <cols>
    <col width="3" customWidth="1" min="1" max="1"/>
    <col width="30" customWidth="1" min="2" max="2"/>
    <col width="12" customWidth="1" min="3" max="18"/>
  </cols>
  <sheetData>
    <row r="2" ht="18.5" customHeight="1">
      <c r="B2" s="1" t="inlineStr">
        <is>
          <t>DCF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4">
      <c r="B4" t="inlineStr">
        <is>
          <t>Current Share Price (AUD)</t>
        </is>
      </c>
      <c r="C4" s="44" t="n">
        <v>35</v>
      </c>
    </row>
    <row r="5">
      <c r="B5" t="inlineStr">
        <is>
          <t>Shares Outstanding (#m)</t>
        </is>
      </c>
      <c r="C5" s="3">
        <f>Annual!G79</f>
        <v/>
      </c>
    </row>
    <row r="6">
      <c r="B6" t="inlineStr">
        <is>
          <t>Market Cap (NZDm)</t>
        </is>
      </c>
      <c r="C6" s="4">
        <f>C4*C5</f>
        <v/>
      </c>
    </row>
    <row r="7">
      <c r="B7" t="inlineStr">
        <is>
          <t>Net Debt (NZDm)</t>
        </is>
      </c>
      <c r="C7" s="4">
        <f>Annual!F131</f>
        <v/>
      </c>
    </row>
    <row r="8">
      <c r="B8" t="inlineStr">
        <is>
          <t>Market EV (NZDm)</t>
        </is>
      </c>
      <c r="C8" s="4">
        <f>C6+C7</f>
        <v/>
      </c>
    </row>
    <row r="9">
      <c r="B9" t="inlineStr">
        <is>
          <t>Valuation Date</t>
        </is>
      </c>
      <c r="C9" s="65" t="n">
        <v>45838</v>
      </c>
    </row>
    <row r="11">
      <c r="B11" s="5" t="inlineStr">
        <is>
          <t>WACC Inputs</t>
        </is>
      </c>
    </row>
    <row r="12">
      <c r="B12" t="inlineStr">
        <is>
          <t>Risk-free Rate</t>
        </is>
      </c>
      <c r="C12" s="26" t="n">
        <v>0.045</v>
      </c>
    </row>
    <row r="13">
      <c r="B13" t="inlineStr">
        <is>
          <t>Equity Risk Premium</t>
        </is>
      </c>
      <c r="C13" s="26" t="n">
        <v>0.06</v>
      </c>
    </row>
    <row r="14">
      <c r="B14" t="inlineStr">
        <is>
          <t>Beta</t>
        </is>
      </c>
      <c r="C14" s="44" t="n">
        <v>0.9</v>
      </c>
    </row>
    <row r="15">
      <c r="B15" t="inlineStr">
        <is>
          <t>Cost of Equity</t>
        </is>
      </c>
      <c r="C15" s="6">
        <f>C12+C13*C14</f>
        <v/>
      </c>
    </row>
    <row r="16">
      <c r="B16" t="inlineStr">
        <is>
          <t>Pre-tax Cost of Debt</t>
        </is>
      </c>
      <c r="C16" s="26" t="n">
        <v>0.05</v>
      </c>
    </row>
    <row r="17">
      <c r="B17" t="inlineStr">
        <is>
          <t>Tax Rate</t>
        </is>
      </c>
      <c r="C17" s="26" t="n">
        <v>0.3</v>
      </c>
    </row>
    <row r="18">
      <c r="B18" t="inlineStr">
        <is>
          <t>After-tax Cost of Debt</t>
        </is>
      </c>
      <c r="C18" s="6">
        <f>C16*(1-C17)</f>
        <v/>
      </c>
    </row>
    <row r="19">
      <c r="B19" s="36" t="inlineStr">
        <is>
          <t>Debt Weight (D/(D+E))</t>
        </is>
      </c>
      <c r="C19" s="45" t="n">
        <v>0</v>
      </c>
    </row>
    <row r="20">
      <c r="B20" t="inlineStr">
        <is>
          <t>WACC</t>
        </is>
      </c>
      <c r="C20" s="6">
        <f>C15*(1-C19)+C18*C19</f>
        <v/>
      </c>
    </row>
    <row r="21">
      <c r="B21" t="inlineStr">
        <is>
          <t>Terminal Growth Rate</t>
        </is>
      </c>
      <c r="C21" s="26" t="n">
        <v>0.025</v>
      </c>
    </row>
    <row r="22">
      <c r="B22" t="inlineStr">
        <is>
          <t>Stub Period</t>
        </is>
      </c>
      <c r="C22" s="66">
        <f>(Annual!G4-C9)/365.25</f>
        <v/>
      </c>
    </row>
    <row r="23">
      <c r="C23" s="9" t="n"/>
    </row>
    <row r="24">
      <c r="B24" s="5" t="inlineStr">
        <is>
          <t>FCF Projection</t>
        </is>
      </c>
      <c r="D24" s="7" t="inlineStr">
        <is>
          <t>FY26E</t>
        </is>
      </c>
      <c r="E24" s="7" t="inlineStr">
        <is>
          <t>FY27E</t>
        </is>
      </c>
      <c r="F24" s="7" t="inlineStr">
        <is>
          <t>FY28E</t>
        </is>
      </c>
      <c r="G24" s="7" t="inlineStr">
        <is>
          <t>FY29E</t>
        </is>
      </c>
      <c r="H24" s="7" t="inlineStr">
        <is>
          <t>FY30E</t>
        </is>
      </c>
      <c r="I24" s="7" t="inlineStr">
        <is>
          <t>FY31E</t>
        </is>
      </c>
      <c r="J24" s="7" t="inlineStr">
        <is>
          <t>FY32E</t>
        </is>
      </c>
      <c r="K24" s="7" t="inlineStr">
        <is>
          <t>FY33E</t>
        </is>
      </c>
      <c r="L24" s="7" t="inlineStr">
        <is>
          <t>FY34E</t>
        </is>
      </c>
      <c r="M24" s="7" t="inlineStr">
        <is>
          <t>FY35E</t>
        </is>
      </c>
    </row>
    <row r="25">
      <c r="B25" t="inlineStr">
        <is>
          <t>EBITDA</t>
        </is>
      </c>
      <c r="C25" t="inlineStr">
        <is>
          <t>NZDm</t>
        </is>
      </c>
      <c r="D25" s="4">
        <f>Annual!G38</f>
        <v/>
      </c>
      <c r="E25" s="4">
        <f>Annual!H38</f>
        <v/>
      </c>
      <c r="F25" s="4">
        <f>Annual!I38</f>
        <v/>
      </c>
      <c r="G25" s="4">
        <f>Annual!J38</f>
        <v/>
      </c>
      <c r="H25" s="4">
        <f>Annual!K38</f>
        <v/>
      </c>
      <c r="I25" s="4">
        <f>Annual!L38</f>
        <v/>
      </c>
      <c r="J25" s="4">
        <f>Annual!M38</f>
        <v/>
      </c>
      <c r="K25" s="4">
        <f>Annual!N38</f>
        <v/>
      </c>
      <c r="L25" s="4">
        <f>Annual!O38</f>
        <v/>
      </c>
      <c r="M25" s="4">
        <f>Annual!P38</f>
        <v/>
      </c>
    </row>
    <row r="26">
      <c r="B26" t="inlineStr">
        <is>
          <t>less D&amp;A</t>
        </is>
      </c>
      <c r="C26" t="inlineStr">
        <is>
          <t>NZDm</t>
        </is>
      </c>
      <c r="D26" s="4">
        <f>Annual!G50</f>
        <v/>
      </c>
      <c r="E26" s="4">
        <f>Annual!H50</f>
        <v/>
      </c>
      <c r="F26" s="4">
        <f>Annual!I50</f>
        <v/>
      </c>
      <c r="G26" s="4">
        <f>Annual!J50</f>
        <v/>
      </c>
      <c r="H26" s="4">
        <f>Annual!K50</f>
        <v/>
      </c>
      <c r="I26" s="4">
        <f>Annual!L50</f>
        <v/>
      </c>
      <c r="J26" s="4">
        <f>Annual!M50</f>
        <v/>
      </c>
      <c r="K26" s="4">
        <f>Annual!N50</f>
        <v/>
      </c>
      <c r="L26" s="4">
        <f>Annual!O50</f>
        <v/>
      </c>
      <c r="M26" s="4">
        <f>Annual!P50</f>
        <v/>
      </c>
    </row>
    <row r="27">
      <c r="B27" t="inlineStr">
        <is>
          <t>EBIT</t>
        </is>
      </c>
      <c r="C27" t="inlineStr">
        <is>
          <t>NZDm</t>
        </is>
      </c>
      <c r="D27" s="4">
        <f>Annual!G54</f>
        <v/>
      </c>
      <c r="E27" s="4">
        <f>Annual!H54</f>
        <v/>
      </c>
      <c r="F27" s="4">
        <f>Annual!I54</f>
        <v/>
      </c>
      <c r="G27" s="4">
        <f>Annual!J54</f>
        <v/>
      </c>
      <c r="H27" s="4">
        <f>Annual!K54</f>
        <v/>
      </c>
      <c r="I27" s="4">
        <f>Annual!L54</f>
        <v/>
      </c>
      <c r="J27" s="4">
        <f>Annual!M54</f>
        <v/>
      </c>
      <c r="K27" s="4">
        <f>Annual!N54</f>
        <v/>
      </c>
      <c r="L27" s="4">
        <f>Annual!O54</f>
        <v/>
      </c>
      <c r="M27" s="4">
        <f>Annual!P54</f>
        <v/>
      </c>
    </row>
    <row r="28">
      <c r="B28" t="inlineStr">
        <is>
          <t>less Tax on EBIT</t>
        </is>
      </c>
      <c r="C28" t="inlineStr">
        <is>
          <t>NZDm</t>
        </is>
      </c>
      <c r="D28" s="4">
        <f>-D27*$C$17</f>
        <v/>
      </c>
      <c r="E28" s="4">
        <f>-E27*$C$17</f>
        <v/>
      </c>
      <c r="F28" s="4">
        <f>-F27*$C$17</f>
        <v/>
      </c>
      <c r="G28" s="4">
        <f>-G27*$C$17</f>
        <v/>
      </c>
      <c r="H28" s="4">
        <f>-H27*$C$17</f>
        <v/>
      </c>
      <c r="I28" s="4">
        <f>-I27*$C$17</f>
        <v/>
      </c>
      <c r="J28" s="4">
        <f>-J27*$C$17</f>
        <v/>
      </c>
      <c r="K28" s="4">
        <f>-K27*$C$17</f>
        <v/>
      </c>
      <c r="L28" s="4">
        <f>-L27*$C$17</f>
        <v/>
      </c>
      <c r="M28" s="4">
        <f>-M27*$C$17</f>
        <v/>
      </c>
    </row>
    <row r="29">
      <c r="B29" t="inlineStr">
        <is>
          <t>NOPAT</t>
        </is>
      </c>
      <c r="C29" t="inlineStr">
        <is>
          <t>NZDm</t>
        </is>
      </c>
      <c r="D29" s="4">
        <f>D27+D28</f>
        <v/>
      </c>
      <c r="E29" s="4">
        <f>E27+E28</f>
        <v/>
      </c>
      <c r="F29" s="4">
        <f>F27+F28</f>
        <v/>
      </c>
      <c r="G29" s="4">
        <f>G27+G28</f>
        <v/>
      </c>
      <c r="H29" s="4">
        <f>H27+H28</f>
        <v/>
      </c>
      <c r="I29" s="4">
        <f>I27+I28</f>
        <v/>
      </c>
      <c r="J29" s="4">
        <f>J27+J28</f>
        <v/>
      </c>
      <c r="K29" s="4">
        <f>K27+K28</f>
        <v/>
      </c>
      <c r="L29" s="4">
        <f>L27+L28</f>
        <v/>
      </c>
      <c r="M29" s="4">
        <f>M27+M28</f>
        <v/>
      </c>
    </row>
    <row r="30">
      <c r="B30" t="inlineStr">
        <is>
          <t>plus D&amp;A</t>
        </is>
      </c>
      <c r="C30" t="inlineStr">
        <is>
          <t>NZDm</t>
        </is>
      </c>
      <c r="D30" s="4">
        <f>-D26</f>
        <v/>
      </c>
      <c r="E30" s="4">
        <f>-E26</f>
        <v/>
      </c>
      <c r="F30" s="4">
        <f>-F26</f>
        <v/>
      </c>
      <c r="G30" s="4">
        <f>-G26</f>
        <v/>
      </c>
      <c r="H30" s="4">
        <f>-H26</f>
        <v/>
      </c>
      <c r="I30" s="4">
        <f>-I26</f>
        <v/>
      </c>
      <c r="J30" s="4">
        <f>-J26</f>
        <v/>
      </c>
      <c r="K30" s="4">
        <f>-K26</f>
        <v/>
      </c>
      <c r="L30" s="4">
        <f>-L26</f>
        <v/>
      </c>
      <c r="M30" s="4">
        <f>-M26</f>
        <v/>
      </c>
    </row>
    <row r="31">
      <c r="B31" t="inlineStr">
        <is>
          <t>less Capex</t>
        </is>
      </c>
      <c r="C31" t="inlineStr">
        <is>
          <t>NZDm</t>
        </is>
      </c>
      <c r="D31" s="4">
        <f>Annual!G160+Annual!G162</f>
        <v/>
      </c>
      <c r="E31" s="4">
        <f>Annual!H160+Annual!H162</f>
        <v/>
      </c>
      <c r="F31" s="4">
        <f>Annual!I160+Annual!I162</f>
        <v/>
      </c>
      <c r="G31" s="4">
        <f>Annual!J160+Annual!J162</f>
        <v/>
      </c>
      <c r="H31" s="4">
        <f>Annual!K160+Annual!K162</f>
        <v/>
      </c>
      <c r="I31" s="4">
        <f>Annual!L160+Annual!L162</f>
        <v/>
      </c>
      <c r="J31" s="4">
        <f>Annual!M160+Annual!M162</f>
        <v/>
      </c>
      <c r="K31" s="4">
        <f>Annual!N160+Annual!N162</f>
        <v/>
      </c>
      <c r="L31" s="4">
        <f>Annual!O160+Annual!O162</f>
        <v/>
      </c>
      <c r="M31" s="4">
        <f>Annual!P160+Annual!P162</f>
        <v/>
      </c>
    </row>
    <row r="32">
      <c r="B32" t="inlineStr">
        <is>
          <t>less WC Change</t>
        </is>
      </c>
      <c r="C32" t="inlineStr">
        <is>
          <t>NZDm</t>
        </is>
      </c>
      <c r="D32" s="4">
        <f>Annual!G149</f>
        <v/>
      </c>
      <c r="E32" s="4">
        <f>Annual!H149</f>
        <v/>
      </c>
      <c r="F32" s="4">
        <f>Annual!I149</f>
        <v/>
      </c>
      <c r="G32" s="4">
        <f>Annual!J149</f>
        <v/>
      </c>
      <c r="H32" s="4">
        <f>Annual!K149</f>
        <v/>
      </c>
      <c r="I32" s="4">
        <f>Annual!L149</f>
        <v/>
      </c>
      <c r="J32" s="4">
        <f>Annual!M149</f>
        <v/>
      </c>
      <c r="K32" s="4">
        <f>Annual!N149</f>
        <v/>
      </c>
      <c r="L32" s="4">
        <f>Annual!O149</f>
        <v/>
      </c>
      <c r="M32" s="4">
        <f>Annual!P149</f>
        <v/>
      </c>
    </row>
    <row r="33">
      <c r="B33" s="33" t="inlineStr">
        <is>
          <t>FCFF</t>
        </is>
      </c>
      <c r="C33" s="33" t="inlineStr">
        <is>
          <t>NZDm</t>
        </is>
      </c>
      <c r="D33" s="34">
        <f>D29+D30+D31+D32</f>
        <v/>
      </c>
      <c r="E33" s="34">
        <f>E29+E30+E31+E32</f>
        <v/>
      </c>
      <c r="F33" s="34">
        <f>F29+F30+F31+F32</f>
        <v/>
      </c>
      <c r="G33" s="34">
        <f>G29+G30+G31+G32</f>
        <v/>
      </c>
      <c r="H33" s="34">
        <f>H29+H30+H31+H32</f>
        <v/>
      </c>
      <c r="I33" s="34">
        <f>I29+I30+I31+I32</f>
        <v/>
      </c>
      <c r="J33" s="34">
        <f>J29+J30+J31+J32</f>
        <v/>
      </c>
      <c r="K33" s="34">
        <f>K29+K30+K31+K32</f>
        <v/>
      </c>
      <c r="L33" s="34">
        <f>L29+L30+L31+L32</f>
        <v/>
      </c>
      <c r="M33" s="34">
        <f>M29+M30+M31+M32</f>
        <v/>
      </c>
    </row>
    <row r="34" ht="15" customHeight="1" thickBot="1">
      <c r="B34" t="inlineStr">
        <is>
          <t>Normalised FCFF (capex=D&amp;A)</t>
        </is>
      </c>
      <c r="C34" t="inlineStr">
        <is>
          <t>NZDm</t>
        </is>
      </c>
      <c r="M34" s="35">
        <f>M29+M32</f>
        <v/>
      </c>
    </row>
    <row r="35">
      <c r="B35" s="8" t="inlineStr">
        <is>
          <t>Terminal Value</t>
        </is>
      </c>
      <c r="M35" s="4">
        <f>M34*(1+$C$21)/($C$20-$C$21)</f>
        <v/>
      </c>
    </row>
    <row r="37">
      <c r="B37" t="inlineStr">
        <is>
          <t>Discount Factor</t>
        </is>
      </c>
      <c r="D37" s="66">
        <f>1/(1+$C$20)^($C$22+0)</f>
        <v/>
      </c>
      <c r="E37" s="66">
        <f>1/(1+$C$20)^($C$22+1)</f>
        <v/>
      </c>
      <c r="F37" s="66">
        <f>1/(1+$C$20)^($C$22+2)</f>
        <v/>
      </c>
      <c r="G37" s="66">
        <f>1/(1+$C$20)^($C$22+3)</f>
        <v/>
      </c>
      <c r="H37" s="66">
        <f>1/(1+$C$20)^($C$22+4)</f>
        <v/>
      </c>
      <c r="I37" s="66">
        <f>1/(1+$C$20)^($C$22+5)</f>
        <v/>
      </c>
      <c r="J37" s="66">
        <f>1/(1+$C$20)^($C$22+6)</f>
        <v/>
      </c>
      <c r="K37" s="66">
        <f>1/(1+$C$20)^($C$22+7)</f>
        <v/>
      </c>
      <c r="L37" s="66">
        <f>1/(1+$C$20)^($C$22+8)</f>
        <v/>
      </c>
      <c r="M37" s="66">
        <f>1/(1+$C$20)^($C$22+9)</f>
        <v/>
      </c>
    </row>
    <row r="38">
      <c r="B38" s="36" t="inlineStr">
        <is>
          <t>PV of FCFF</t>
        </is>
      </c>
      <c r="C38" s="36" t="n"/>
      <c r="D38" s="37">
        <f>D33*D37</f>
        <v/>
      </c>
      <c r="E38" s="37">
        <f>E33*E37</f>
        <v/>
      </c>
      <c r="F38" s="37">
        <f>F33*F37</f>
        <v/>
      </c>
      <c r="G38" s="37">
        <f>G33*G37</f>
        <v/>
      </c>
      <c r="H38" s="37">
        <f>H33*H37</f>
        <v/>
      </c>
      <c r="I38" s="37">
        <f>I33*I37</f>
        <v/>
      </c>
      <c r="J38" s="37">
        <f>J33*J37</f>
        <v/>
      </c>
      <c r="K38" s="37">
        <f>K33*K37</f>
        <v/>
      </c>
      <c r="L38" s="37">
        <f>L33*L37</f>
        <v/>
      </c>
      <c r="M38" s="37">
        <f>M33*M37</f>
        <v/>
      </c>
    </row>
    <row r="39">
      <c r="B39" t="inlineStr">
        <is>
          <t>PV of Terminal Value</t>
        </is>
      </c>
      <c r="M39" s="4">
        <f>M35*M37</f>
        <v/>
      </c>
    </row>
    <row r="41">
      <c r="B41" t="inlineStr">
        <is>
          <t>Sum of PV of FCFs</t>
        </is>
      </c>
      <c r="C41" s="4">
        <f>SUM(D38:M38)</f>
        <v/>
      </c>
    </row>
    <row r="42">
      <c r="B42" s="36" t="inlineStr">
        <is>
          <t>PV of Terminal Value</t>
        </is>
      </c>
      <c r="C42" s="37">
        <f>M39</f>
        <v/>
      </c>
    </row>
    <row r="43">
      <c r="B43" t="inlineStr">
        <is>
          <t>Enterprise Value</t>
        </is>
      </c>
      <c r="C43" s="10">
        <f>C41+C42</f>
        <v/>
      </c>
    </row>
    <row r="45">
      <c r="B45" t="inlineStr">
        <is>
          <t>less Net Debt</t>
        </is>
      </c>
      <c r="C45" s="4">
        <f>-C7</f>
        <v/>
      </c>
    </row>
    <row r="46">
      <c r="B46" t="inlineStr">
        <is>
          <t>less Lease Liabilities</t>
        </is>
      </c>
      <c r="C46" s="4">
        <f>-Annual!F127</f>
        <v/>
      </c>
    </row>
    <row r="47" ht="15" customHeight="1" thickBot="1">
      <c r="B47" s="38" t="inlineStr">
        <is>
          <t>Equity Value</t>
        </is>
      </c>
      <c r="C47" s="39">
        <f>C43+C45+C46</f>
        <v/>
      </c>
    </row>
    <row r="48" ht="15.5" customHeight="1">
      <c r="B48" t="inlineStr">
        <is>
          <t>Per Share Value (NZD)</t>
        </is>
      </c>
      <c r="C48" s="11">
        <f>C47/C5</f>
        <v/>
      </c>
    </row>
    <row r="49">
      <c r="B49" t="inlineStr">
        <is>
          <t>Upside / Downside</t>
        </is>
      </c>
      <c r="C49" s="6">
        <f>IF(C4=0,"",C48/C4-1)</f>
        <v/>
      </c>
    </row>
    <row r="52" ht="18.5" customHeight="1">
      <c r="B52" s="1" t="inlineStr">
        <is>
          <t>EV/EBITDA Sum-of-the-Parts</t>
        </is>
      </c>
      <c r="C52" s="2" t="n"/>
      <c r="D52" s="2" t="n"/>
      <c r="E52" s="2" t="n"/>
      <c r="F52" s="2" t="n"/>
      <c r="G52" s="2" t="n"/>
      <c r="H52" s="2" t="n"/>
      <c r="I52" s="2" t="n"/>
    </row>
    <row r="54">
      <c r="B54" s="8" t="inlineStr">
        <is>
          <t>Segment</t>
        </is>
      </c>
      <c r="C54" s="8" t="inlineStr">
        <is>
          <t>FY27E EBITDA</t>
        </is>
      </c>
      <c r="D54" s="8" t="inlineStr">
        <is>
          <t>Multiple</t>
        </is>
      </c>
      <c r="E54" s="8" t="inlineStr">
        <is>
          <t>Implied EV</t>
        </is>
      </c>
    </row>
    <row r="55">
      <c r="B55" t="inlineStr">
        <is>
          <t>AU Segment EBITDA</t>
        </is>
      </c>
      <c r="C55" s="4">
        <f>Annual!H32</f>
        <v/>
      </c>
      <c r="D55" s="12" t="n">
        <v>25</v>
      </c>
      <c r="E55" s="4">
        <f>C55*D55</f>
        <v/>
      </c>
    </row>
    <row r="56">
      <c r="B56" t="inlineStr">
        <is>
          <t>US Segment EBITDA</t>
        </is>
      </c>
      <c r="C56" s="4">
        <f>Annual!H33</f>
        <v/>
      </c>
      <c r="D56" s="12" t="n">
        <v>0</v>
      </c>
      <c r="E56" s="4">
        <f>C56*D56</f>
        <v/>
      </c>
    </row>
    <row r="57">
      <c r="B57" t="inlineStr">
        <is>
          <t>Corporate/Overhead</t>
        </is>
      </c>
      <c r="C57" s="4" t="n">
        <v>0</v>
      </c>
      <c r="D57" s="12">
        <f>IF((C55+C56)=0,"",(C55*D55+C56*D56)/(C55+C56))</f>
        <v/>
      </c>
      <c r="E57" s="4">
        <f>C57*D57</f>
        <v/>
      </c>
    </row>
    <row r="59">
      <c r="B59" s="8" t="inlineStr">
        <is>
          <t>Group EV</t>
        </is>
      </c>
      <c r="E59" s="10">
        <f>SUM(E55:E57)</f>
        <v/>
      </c>
    </row>
    <row r="60">
      <c r="B60" t="inlineStr">
        <is>
          <t>less Net Debt</t>
        </is>
      </c>
      <c r="E60" s="4">
        <f>-C7</f>
        <v/>
      </c>
    </row>
    <row r="61">
      <c r="B61" t="inlineStr">
        <is>
          <t>less Lease Liabilities</t>
        </is>
      </c>
      <c r="E61" s="4">
        <f>-Annual!F127</f>
        <v/>
      </c>
    </row>
    <row r="62">
      <c r="B62" t="inlineStr">
        <is>
          <t>Equity Value</t>
        </is>
      </c>
      <c r="E62" s="10">
        <f>E59+E60+E61</f>
        <v/>
      </c>
    </row>
    <row r="63" ht="15.5" customHeight="1">
      <c r="B63" t="inlineStr">
        <is>
          <t>Per Share Value (NZD)</t>
        </is>
      </c>
      <c r="E63" s="11">
        <f>E62/C5</f>
        <v/>
      </c>
    </row>
    <row r="64">
      <c r="B64" t="inlineStr">
        <is>
          <t>Upside / Downside</t>
        </is>
      </c>
      <c r="E64" s="6">
        <f>IF(C4=0,"",E63/C4-1)</f>
        <v/>
      </c>
    </row>
    <row r="66">
      <c r="B66" t="inlineStr">
        <is>
          <t>Implied Group EV/EBITDA</t>
        </is>
      </c>
      <c r="E66" s="13">
        <f>IF(Annual!H38=0,"",E59/Annual!H38)</f>
        <v/>
      </c>
    </row>
  </sheetData>
  <conditionalFormatting sqref="C49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E64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xSplit="3" ySplit="4" topLeftCell="D77" activePane="bottomRight" state="frozen"/>
      <selection pane="topRight" activeCell="A1" sqref="A1"/>
      <selection pane="bottomLeft" activeCell="A1" sqref="A1"/>
      <selection pane="bottomRight" activeCell="G172" sqref="G172"/>
    </sheetView>
  </sheetViews>
  <sheetFormatPr baseColWidth="8" defaultRowHeight="14.5"/>
  <cols>
    <col hidden="1" width="30" customWidth="1" min="1" max="1"/>
    <col width="32" customWidth="1" min="2" max="2"/>
    <col width="8" customWidth="1" min="3" max="3"/>
    <col width="12" customWidth="1" min="4" max="18"/>
  </cols>
  <sheetData>
    <row r="1"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</row>
    <row r="2" ht="18.5" customHeight="1">
      <c r="B2" s="14" t="inlineStr">
        <is>
          <t>GYG Model Summary</t>
        </is>
      </c>
      <c r="D2" s="15" t="inlineStr">
        <is>
          <t>Actual ----------&gt;</t>
        </is>
      </c>
      <c r="E2" s="15" t="n"/>
      <c r="F2" s="15" t="n"/>
      <c r="G2" s="16" t="inlineStr">
        <is>
          <t>Forecast -----&gt;</t>
        </is>
      </c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3">
      <c r="B3" t="inlineStr">
        <is>
          <t>Guzman y Gomez (GYG.AX)</t>
        </is>
      </c>
      <c r="C3" t="inlineStr">
        <is>
          <t>Units</t>
        </is>
      </c>
      <c r="D3" s="7" t="inlineStr">
        <is>
          <t>FY23A</t>
        </is>
      </c>
      <c r="E3" s="7" t="inlineStr">
        <is>
          <t>FY24A</t>
        </is>
      </c>
      <c r="F3" s="7" t="inlineStr">
        <is>
          <t>FY25A</t>
        </is>
      </c>
      <c r="G3" s="7" t="inlineStr">
        <is>
          <t>FY26E</t>
        </is>
      </c>
      <c r="H3" s="7" t="inlineStr">
        <is>
          <t>FY27E</t>
        </is>
      </c>
      <c r="I3" s="7" t="inlineStr">
        <is>
          <t>FY28E</t>
        </is>
      </c>
      <c r="J3" s="7" t="inlineStr">
        <is>
          <t>FY29E</t>
        </is>
      </c>
      <c r="K3" s="7" t="inlineStr">
        <is>
          <t>FY30E</t>
        </is>
      </c>
      <c r="L3" s="7" t="inlineStr">
        <is>
          <t>FY31E</t>
        </is>
      </c>
      <c r="M3" s="7" t="inlineStr">
        <is>
          <t>FY32E</t>
        </is>
      </c>
      <c r="N3" s="7" t="inlineStr">
        <is>
          <t>FY33E</t>
        </is>
      </c>
      <c r="O3" s="7" t="inlineStr">
        <is>
          <t>FY34E</t>
        </is>
      </c>
      <c r="P3" s="7" t="inlineStr">
        <is>
          <t>FY35E</t>
        </is>
      </c>
    </row>
    <row r="4">
      <c r="D4" s="17" t="n">
        <v>45107</v>
      </c>
      <c r="E4" s="17" t="n">
        <v>45473</v>
      </c>
      <c r="F4" s="17" t="n">
        <v>45838</v>
      </c>
      <c r="G4" s="17" t="n">
        <v>46203</v>
      </c>
      <c r="H4" s="17" t="n">
        <v>46568</v>
      </c>
      <c r="I4" s="17" t="n">
        <v>46934</v>
      </c>
      <c r="J4" s="17" t="n">
        <v>47299</v>
      </c>
      <c r="K4" s="17" t="n">
        <v>47664</v>
      </c>
      <c r="L4" s="17" t="n">
        <v>48029</v>
      </c>
      <c r="M4" s="17" t="n">
        <v>48395</v>
      </c>
      <c r="N4" s="17" t="n">
        <v>48760</v>
      </c>
      <c r="O4" s="17" t="n">
        <v>49125</v>
      </c>
      <c r="P4" s="17" t="n">
        <v>49490</v>
      </c>
    </row>
    <row r="5">
      <c r="A5" s="2" t="n"/>
      <c r="B5" s="69" t="inlineStr">
        <is>
          <t>P&amp;L</t>
        </is>
      </c>
      <c r="C5" s="69" t="n"/>
      <c r="D5" s="69" t="n"/>
      <c r="E5" s="69" t="n"/>
      <c r="F5" s="69" t="n"/>
      <c r="G5" s="69" t="n"/>
      <c r="H5" s="69" t="n"/>
      <c r="I5" s="69" t="n"/>
      <c r="J5" s="69" t="n"/>
      <c r="K5" s="69" t="n"/>
      <c r="L5" s="69" t="n"/>
      <c r="M5" s="69" t="n"/>
      <c r="N5" s="69" t="n"/>
      <c r="O5" s="69" t="n"/>
      <c r="P5" s="69" t="n"/>
    </row>
    <row r="6">
      <c r="B6" s="69" t="inlineStr">
        <is>
          <t>Revenue</t>
        </is>
      </c>
      <c r="C6" s="69" t="n"/>
      <c r="D6" s="69" t="n"/>
      <c r="E6" s="69" t="n"/>
      <c r="F6" s="69" t="n"/>
      <c r="G6" s="69" t="n"/>
      <c r="H6" s="69" t="n"/>
      <c r="I6" s="69" t="n"/>
      <c r="J6" s="69" t="n"/>
      <c r="K6" s="69" t="n"/>
      <c r="L6" s="69" t="n"/>
      <c r="M6" s="69" t="n"/>
      <c r="N6" s="69" t="n"/>
      <c r="O6" s="69" t="n"/>
      <c r="P6" s="69" t="n"/>
    </row>
    <row r="7">
      <c r="A7" t="inlineStr">
        <is>
          <t>Rev-AU Corp Sales</t>
        </is>
      </c>
      <c r="B7" s="70" t="inlineStr">
        <is>
          <t>AU Corporate Restaurant Sales</t>
        </is>
      </c>
      <c r="C7" t="inlineStr">
        <is>
          <t>AUDm</t>
        </is>
      </c>
      <c r="D7" s="19" t="n">
        <v>211.975</v>
      </c>
      <c r="E7" s="19" t="n">
        <v>278.877</v>
      </c>
      <c r="F7" s="19" t="n">
        <v>359.722</v>
      </c>
      <c r="G7" s="4">
        <f>INDEX('HY &amp; Segments'!$A:$AB,MATCH($A7,'HY &amp; Segments'!$A:$A,0),MATCH("1H"&amp;RIGHT(G$1,2),'HY &amp; Segments'!$3:$3,0))+INDEX('HY &amp; Segments'!$A:$AB,MATCH($A7,'HY &amp; Segments'!$A:$A,0),MATCH("2H"&amp;RIGHT(G$1,2),'HY &amp; Segments'!$3:$3,0))</f>
        <v/>
      </c>
      <c r="H7" s="4">
        <f>INDEX('HY &amp; Segments'!$A:$AB,MATCH($A7,'HY &amp; Segments'!$A:$A,0),MATCH("1H"&amp;RIGHT(H$1,2),'HY &amp; Segments'!$3:$3,0))+INDEX('HY &amp; Segments'!$A:$AB,MATCH($A7,'HY &amp; Segments'!$A:$A,0),MATCH("2H"&amp;RIGHT(H$1,2),'HY &amp; Segments'!$3:$3,0))</f>
        <v/>
      </c>
      <c r="I7" s="4">
        <f>INDEX('HY &amp; Segments'!$A:$AB,MATCH($A7,'HY &amp; Segments'!$A:$A,0),MATCH("1H"&amp;RIGHT(I$1,2),'HY &amp; Segments'!$3:$3,0))+INDEX('HY &amp; Segments'!$A:$AB,MATCH($A7,'HY &amp; Segments'!$A:$A,0),MATCH("2H"&amp;RIGHT(I$1,2),'HY &amp; Segments'!$3:$3,0))</f>
        <v/>
      </c>
      <c r="J7" s="4">
        <f>INDEX('HY &amp; Segments'!$A:$AB,MATCH($A7,'HY &amp; Segments'!$A:$A,0),MATCH("1H"&amp;RIGHT(J$1,2),'HY &amp; Segments'!$3:$3,0))+INDEX('HY &amp; Segments'!$A:$AB,MATCH($A7,'HY &amp; Segments'!$A:$A,0),MATCH("2H"&amp;RIGHT(J$1,2),'HY &amp; Segments'!$3:$3,0))</f>
        <v/>
      </c>
      <c r="K7" s="4">
        <f>INDEX('HY &amp; Segments'!$A:$AB,MATCH($A7,'HY &amp; Segments'!$A:$A,0),MATCH("1H"&amp;RIGHT(K$1,2),'HY &amp; Segments'!$3:$3,0))+INDEX('HY &amp; Segments'!$A:$AB,MATCH($A7,'HY &amp; Segments'!$A:$A,0),MATCH("2H"&amp;RIGHT(K$1,2),'HY &amp; Segments'!$3:$3,0))</f>
        <v/>
      </c>
      <c r="L7" s="4">
        <f>INDEX('HY &amp; Segments'!$A:$AB,MATCH($A7,'HY &amp; Segments'!$A:$A,0),MATCH("1H"&amp;RIGHT(L$1,2),'HY &amp; Segments'!$3:$3,0))+INDEX('HY &amp; Segments'!$A:$AB,MATCH($A7,'HY &amp; Segments'!$A:$A,0),MATCH("2H"&amp;RIGHT(L$1,2),'HY &amp; Segments'!$3:$3,0))</f>
        <v/>
      </c>
      <c r="M7" s="4">
        <f>INDEX('HY &amp; Segments'!$A:$AB,MATCH($A7,'HY &amp; Segments'!$A:$A,0),MATCH("1H"&amp;RIGHT(M$1,2),'HY &amp; Segments'!$3:$3,0))+INDEX('HY &amp; Segments'!$A:$AB,MATCH($A7,'HY &amp; Segments'!$A:$A,0),MATCH("2H"&amp;RIGHT(M$1,2),'HY &amp; Segments'!$3:$3,0))</f>
        <v/>
      </c>
      <c r="N7" s="4">
        <f>INDEX('HY &amp; Segments'!$A:$AB,MATCH($A7,'HY &amp; Segments'!$A:$A,0),MATCH("1H"&amp;RIGHT(N$1,2),'HY &amp; Segments'!$3:$3,0))+INDEX('HY &amp; Segments'!$A:$AB,MATCH($A7,'HY &amp; Segments'!$A:$A,0),MATCH("2H"&amp;RIGHT(N$1,2),'HY &amp; Segments'!$3:$3,0))</f>
        <v/>
      </c>
      <c r="O7" s="4">
        <f>INDEX('HY &amp; Segments'!$A:$AB,MATCH($A7,'HY &amp; Segments'!$A:$A,0),MATCH("1H"&amp;RIGHT(O$1,2),'HY &amp; Segments'!$3:$3,0))+INDEX('HY &amp; Segments'!$A:$AB,MATCH($A7,'HY &amp; Segments'!$A:$A,0),MATCH("2H"&amp;RIGHT(O$1,2),'HY &amp; Segments'!$3:$3,0))</f>
        <v/>
      </c>
      <c r="P7" s="4">
        <f>INDEX('HY &amp; Segments'!$A:$AB,MATCH($A7,'HY &amp; Segments'!$A:$A,0),MATCH("1H"&amp;RIGHT(P$1,2),'HY &amp; Segments'!$3:$3,0))+INDEX('HY &amp; Segments'!$A:$AB,MATCH($A7,'HY &amp; Segments'!$A:$A,0),MATCH("2H"&amp;RIGHT(P$1,2),'HY &amp; Segments'!$3:$3,0))</f>
        <v/>
      </c>
    </row>
    <row r="8">
      <c r="A8" t="inlineStr">
        <is>
          <t>Rev-US Corp Sales</t>
        </is>
      </c>
      <c r="B8" s="70" t="inlineStr">
        <is>
          <t>US Corporate Restaurant Sales</t>
        </is>
      </c>
      <c r="C8" t="inlineStr">
        <is>
          <t>AUDm</t>
        </is>
      </c>
      <c r="D8" s="19" t="n">
        <v>5.959</v>
      </c>
      <c r="E8" s="19" t="n">
        <v>10.834</v>
      </c>
      <c r="F8" s="19" t="n">
        <v>8.869</v>
      </c>
      <c r="G8" s="4">
        <f>INDEX('HY &amp; Segments'!$A:$AB,MATCH($A8,'HY &amp; Segments'!$A:$A,0),MATCH("1H"&amp;RIGHT(G$1,2),'HY &amp; Segments'!$3:$3,0))+INDEX('HY &amp; Segments'!$A:$AB,MATCH($A8,'HY &amp; Segments'!$A:$A,0),MATCH("2H"&amp;RIGHT(G$1,2),'HY &amp; Segments'!$3:$3,0))</f>
        <v/>
      </c>
      <c r="H8" s="4">
        <f>INDEX('HY &amp; Segments'!$A:$AB,MATCH($A8,'HY &amp; Segments'!$A:$A,0),MATCH("1H"&amp;RIGHT(H$1,2),'HY &amp; Segments'!$3:$3,0))+INDEX('HY &amp; Segments'!$A:$AB,MATCH($A8,'HY &amp; Segments'!$A:$A,0),MATCH("2H"&amp;RIGHT(H$1,2),'HY &amp; Segments'!$3:$3,0))</f>
        <v/>
      </c>
      <c r="I8" s="4">
        <f>INDEX('HY &amp; Segments'!$A:$AB,MATCH($A8,'HY &amp; Segments'!$A:$A,0),MATCH("1H"&amp;RIGHT(I$1,2),'HY &amp; Segments'!$3:$3,0))+INDEX('HY &amp; Segments'!$A:$AB,MATCH($A8,'HY &amp; Segments'!$A:$A,0),MATCH("2H"&amp;RIGHT(I$1,2),'HY &amp; Segments'!$3:$3,0))</f>
        <v/>
      </c>
      <c r="J8" s="4">
        <f>INDEX('HY &amp; Segments'!$A:$AB,MATCH($A8,'HY &amp; Segments'!$A:$A,0),MATCH("1H"&amp;RIGHT(J$1,2),'HY &amp; Segments'!$3:$3,0))+INDEX('HY &amp; Segments'!$A:$AB,MATCH($A8,'HY &amp; Segments'!$A:$A,0),MATCH("2H"&amp;RIGHT(J$1,2),'HY &amp; Segments'!$3:$3,0))</f>
        <v/>
      </c>
      <c r="K8" s="4">
        <f>INDEX('HY &amp; Segments'!$A:$AB,MATCH($A8,'HY &amp; Segments'!$A:$A,0),MATCH("1H"&amp;RIGHT(K$1,2),'HY &amp; Segments'!$3:$3,0))+INDEX('HY &amp; Segments'!$A:$AB,MATCH($A8,'HY &amp; Segments'!$A:$A,0),MATCH("2H"&amp;RIGHT(K$1,2),'HY &amp; Segments'!$3:$3,0))</f>
        <v/>
      </c>
      <c r="L8" s="4">
        <f>INDEX('HY &amp; Segments'!$A:$AB,MATCH($A8,'HY &amp; Segments'!$A:$A,0),MATCH("1H"&amp;RIGHT(L$1,2),'HY &amp; Segments'!$3:$3,0))+INDEX('HY &amp; Segments'!$A:$AB,MATCH($A8,'HY &amp; Segments'!$A:$A,0),MATCH("2H"&amp;RIGHT(L$1,2),'HY &amp; Segments'!$3:$3,0))</f>
        <v/>
      </c>
      <c r="M8" s="4">
        <f>INDEX('HY &amp; Segments'!$A:$AB,MATCH($A8,'HY &amp; Segments'!$A:$A,0),MATCH("1H"&amp;RIGHT(M$1,2),'HY &amp; Segments'!$3:$3,0))+INDEX('HY &amp; Segments'!$A:$AB,MATCH($A8,'HY &amp; Segments'!$A:$A,0),MATCH("2H"&amp;RIGHT(M$1,2),'HY &amp; Segments'!$3:$3,0))</f>
        <v/>
      </c>
      <c r="N8" s="4">
        <f>INDEX('HY &amp; Segments'!$A:$AB,MATCH($A8,'HY &amp; Segments'!$A:$A,0),MATCH("1H"&amp;RIGHT(N$1,2),'HY &amp; Segments'!$3:$3,0))+INDEX('HY &amp; Segments'!$A:$AB,MATCH($A8,'HY &amp; Segments'!$A:$A,0),MATCH("2H"&amp;RIGHT(N$1,2),'HY &amp; Segments'!$3:$3,0))</f>
        <v/>
      </c>
      <c r="O8" s="4">
        <f>INDEX('HY &amp; Segments'!$A:$AB,MATCH($A8,'HY &amp; Segments'!$A:$A,0),MATCH("1H"&amp;RIGHT(O$1,2),'HY &amp; Segments'!$3:$3,0))+INDEX('HY &amp; Segments'!$A:$AB,MATCH($A8,'HY &amp; Segments'!$A:$A,0),MATCH("2H"&amp;RIGHT(O$1,2),'HY &amp; Segments'!$3:$3,0))</f>
        <v/>
      </c>
      <c r="P8" s="4">
        <f>INDEX('HY &amp; Segments'!$A:$AB,MATCH($A8,'HY &amp; Segments'!$A:$A,0),MATCH("1H"&amp;RIGHT(P$1,2),'HY &amp; Segments'!$3:$3,0))+INDEX('HY &amp; Segments'!$A:$AB,MATCH($A8,'HY &amp; Segments'!$A:$A,0),MATCH("2H"&amp;RIGHT(P$1,2),'HY &amp; Segments'!$3:$3,0))</f>
        <v/>
      </c>
    </row>
    <row r="9">
      <c r="A9" t="inlineStr">
        <is>
          <t>Rev-Franchise Royalty</t>
        </is>
      </c>
      <c r="B9" s="71" t="inlineStr">
        <is>
          <t>Franchise Royalty Revenue</t>
        </is>
      </c>
      <c r="C9" s="20" t="inlineStr">
        <is>
          <t>AUDm</t>
        </is>
      </c>
      <c r="D9" s="21" t="n">
        <v>40.51</v>
      </c>
      <c r="E9" s="21" t="n">
        <v>51.858</v>
      </c>
      <c r="F9" s="21" t="n">
        <v>66.761</v>
      </c>
      <c r="G9" s="21">
        <f>INDEX('HY &amp; Segments'!$A:$AB,MATCH($A9,'HY &amp; Segments'!$A:$A,0),MATCH("1H"&amp;RIGHT(G$1,2),'HY &amp; Segments'!$3:$3,0))+INDEX('HY &amp; Segments'!$A:$AB,MATCH($A9,'HY &amp; Segments'!$A:$A,0),MATCH("2H"&amp;RIGHT(G$1,2),'HY &amp; Segments'!$3:$3,0))</f>
        <v/>
      </c>
      <c r="H9" s="21">
        <f>INDEX('HY &amp; Segments'!$A:$AB,MATCH($A9,'HY &amp; Segments'!$A:$A,0),MATCH("1H"&amp;RIGHT(H$1,2),'HY &amp; Segments'!$3:$3,0))+INDEX('HY &amp; Segments'!$A:$AB,MATCH($A9,'HY &amp; Segments'!$A:$A,0),MATCH("2H"&amp;RIGHT(H$1,2),'HY &amp; Segments'!$3:$3,0))</f>
        <v/>
      </c>
      <c r="I9" s="21">
        <f>INDEX('HY &amp; Segments'!$A:$AB,MATCH($A9,'HY &amp; Segments'!$A:$A,0),MATCH("1H"&amp;RIGHT(I$1,2),'HY &amp; Segments'!$3:$3,0))+INDEX('HY &amp; Segments'!$A:$AB,MATCH($A9,'HY &amp; Segments'!$A:$A,0),MATCH("2H"&amp;RIGHT(I$1,2),'HY &amp; Segments'!$3:$3,0))</f>
        <v/>
      </c>
      <c r="J9" s="21">
        <f>INDEX('HY &amp; Segments'!$A:$AB,MATCH($A9,'HY &amp; Segments'!$A:$A,0),MATCH("1H"&amp;RIGHT(J$1,2),'HY &amp; Segments'!$3:$3,0))+INDEX('HY &amp; Segments'!$A:$AB,MATCH($A9,'HY &amp; Segments'!$A:$A,0),MATCH("2H"&amp;RIGHT(J$1,2),'HY &amp; Segments'!$3:$3,0))</f>
        <v/>
      </c>
      <c r="K9" s="21">
        <f>INDEX('HY &amp; Segments'!$A:$AB,MATCH($A9,'HY &amp; Segments'!$A:$A,0),MATCH("1H"&amp;RIGHT(K$1,2),'HY &amp; Segments'!$3:$3,0))+INDEX('HY &amp; Segments'!$A:$AB,MATCH($A9,'HY &amp; Segments'!$A:$A,0),MATCH("2H"&amp;RIGHT(K$1,2),'HY &amp; Segments'!$3:$3,0))</f>
        <v/>
      </c>
      <c r="L9" s="21">
        <f>INDEX('HY &amp; Segments'!$A:$AB,MATCH($A9,'HY &amp; Segments'!$A:$A,0),MATCH("1H"&amp;RIGHT(L$1,2),'HY &amp; Segments'!$3:$3,0))+INDEX('HY &amp; Segments'!$A:$AB,MATCH($A9,'HY &amp; Segments'!$A:$A,0),MATCH("2H"&amp;RIGHT(L$1,2),'HY &amp; Segments'!$3:$3,0))</f>
        <v/>
      </c>
      <c r="M9" s="21">
        <f>INDEX('HY &amp; Segments'!$A:$AB,MATCH($A9,'HY &amp; Segments'!$A:$A,0),MATCH("1H"&amp;RIGHT(M$1,2),'HY &amp; Segments'!$3:$3,0))+INDEX('HY &amp; Segments'!$A:$AB,MATCH($A9,'HY &amp; Segments'!$A:$A,0),MATCH("2H"&amp;RIGHT(M$1,2),'HY &amp; Segments'!$3:$3,0))</f>
        <v/>
      </c>
      <c r="N9" s="21">
        <f>INDEX('HY &amp; Segments'!$A:$AB,MATCH($A9,'HY &amp; Segments'!$A:$A,0),MATCH("1H"&amp;RIGHT(N$1,2),'HY &amp; Segments'!$3:$3,0))+INDEX('HY &amp; Segments'!$A:$AB,MATCH($A9,'HY &amp; Segments'!$A:$A,0),MATCH("2H"&amp;RIGHT(N$1,2),'HY &amp; Segments'!$3:$3,0))</f>
        <v/>
      </c>
      <c r="O9" s="21">
        <f>INDEX('HY &amp; Segments'!$A:$AB,MATCH($A9,'HY &amp; Segments'!$A:$A,0),MATCH("1H"&amp;RIGHT(O$1,2),'HY &amp; Segments'!$3:$3,0))+INDEX('HY &amp; Segments'!$A:$AB,MATCH($A9,'HY &amp; Segments'!$A:$A,0),MATCH("2H"&amp;RIGHT(O$1,2),'HY &amp; Segments'!$3:$3,0))</f>
        <v/>
      </c>
      <c r="P9" s="21">
        <f>INDEX('HY &amp; Segments'!$A:$AB,MATCH($A9,'HY &amp; Segments'!$A:$A,0),MATCH("1H"&amp;RIGHT(P$1,2),'HY &amp; Segments'!$3:$3,0))+INDEX('HY &amp; Segments'!$A:$AB,MATCH($A9,'HY &amp; Segments'!$A:$A,0),MATCH("2H"&amp;RIGHT(P$1,2),'HY &amp; Segments'!$3:$3,0))</f>
        <v/>
      </c>
    </row>
    <row r="10">
      <c r="A10" t="inlineStr">
        <is>
          <t>Rev-Franchise Fee</t>
        </is>
      </c>
      <c r="B10" s="70" t="inlineStr">
        <is>
          <t>Franchise Fee Revenue</t>
        </is>
      </c>
      <c r="C10" t="inlineStr">
        <is>
          <t>AUDm</t>
        </is>
      </c>
      <c r="D10" s="4" t="n">
        <v>0.6</v>
      </c>
      <c r="E10" s="4" t="n">
        <v>0.645</v>
      </c>
      <c r="F10" s="4" t="n">
        <v>0.63</v>
      </c>
      <c r="G10" s="4">
        <f>INDEX('HY &amp; Segments'!$A:$AB,MATCH($A10,'HY &amp; Segments'!$A:$A,0),MATCH("1H"&amp;RIGHT(G$1,2),'HY &amp; Segments'!$3:$3,0))+INDEX('HY &amp; Segments'!$A:$AB,MATCH($A10,'HY &amp; Segments'!$A:$A,0),MATCH("2H"&amp;RIGHT(G$1,2),'HY &amp; Segments'!$3:$3,0))</f>
        <v/>
      </c>
      <c r="H10" s="4">
        <f>INDEX('HY &amp; Segments'!$A:$AB,MATCH($A10,'HY &amp; Segments'!$A:$A,0),MATCH("1H"&amp;RIGHT(H$1,2),'HY &amp; Segments'!$3:$3,0))+INDEX('HY &amp; Segments'!$A:$AB,MATCH($A10,'HY &amp; Segments'!$A:$A,0),MATCH("2H"&amp;RIGHT(H$1,2),'HY &amp; Segments'!$3:$3,0))</f>
        <v/>
      </c>
      <c r="I10" s="4">
        <f>INDEX('HY &amp; Segments'!$A:$AB,MATCH($A10,'HY &amp; Segments'!$A:$A,0),MATCH("1H"&amp;RIGHT(I$1,2),'HY &amp; Segments'!$3:$3,0))+INDEX('HY &amp; Segments'!$A:$AB,MATCH($A10,'HY &amp; Segments'!$A:$A,0),MATCH("2H"&amp;RIGHT(I$1,2),'HY &amp; Segments'!$3:$3,0))</f>
        <v/>
      </c>
      <c r="J10" s="4">
        <f>INDEX('HY &amp; Segments'!$A:$AB,MATCH($A10,'HY &amp; Segments'!$A:$A,0),MATCH("1H"&amp;RIGHT(J$1,2),'HY &amp; Segments'!$3:$3,0))+INDEX('HY &amp; Segments'!$A:$AB,MATCH($A10,'HY &amp; Segments'!$A:$A,0),MATCH("2H"&amp;RIGHT(J$1,2),'HY &amp; Segments'!$3:$3,0))</f>
        <v/>
      </c>
      <c r="K10" s="4">
        <f>INDEX('HY &amp; Segments'!$A:$AB,MATCH($A10,'HY &amp; Segments'!$A:$A,0),MATCH("1H"&amp;RIGHT(K$1,2),'HY &amp; Segments'!$3:$3,0))+INDEX('HY &amp; Segments'!$A:$AB,MATCH($A10,'HY &amp; Segments'!$A:$A,0),MATCH("2H"&amp;RIGHT(K$1,2),'HY &amp; Segments'!$3:$3,0))</f>
        <v/>
      </c>
      <c r="L10" s="4">
        <f>INDEX('HY &amp; Segments'!$A:$AB,MATCH($A10,'HY &amp; Segments'!$A:$A,0),MATCH("1H"&amp;RIGHT(L$1,2),'HY &amp; Segments'!$3:$3,0))+INDEX('HY &amp; Segments'!$A:$AB,MATCH($A10,'HY &amp; Segments'!$A:$A,0),MATCH("2H"&amp;RIGHT(L$1,2),'HY &amp; Segments'!$3:$3,0))</f>
        <v/>
      </c>
      <c r="M10" s="4">
        <f>INDEX('HY &amp; Segments'!$A:$AB,MATCH($A10,'HY &amp; Segments'!$A:$A,0),MATCH("1H"&amp;RIGHT(M$1,2),'HY &amp; Segments'!$3:$3,0))+INDEX('HY &amp; Segments'!$A:$AB,MATCH($A10,'HY &amp; Segments'!$A:$A,0),MATCH("2H"&amp;RIGHT(M$1,2),'HY &amp; Segments'!$3:$3,0))</f>
        <v/>
      </c>
      <c r="N10" s="4">
        <f>INDEX('HY &amp; Segments'!$A:$AB,MATCH($A10,'HY &amp; Segments'!$A:$A,0),MATCH("1H"&amp;RIGHT(N$1,2),'HY &amp; Segments'!$3:$3,0))+INDEX('HY &amp; Segments'!$A:$AB,MATCH($A10,'HY &amp; Segments'!$A:$A,0),MATCH("2H"&amp;RIGHT(N$1,2),'HY &amp; Segments'!$3:$3,0))</f>
        <v/>
      </c>
      <c r="O10" s="4">
        <f>INDEX('HY &amp; Segments'!$A:$AB,MATCH($A10,'HY &amp; Segments'!$A:$A,0),MATCH("1H"&amp;RIGHT(O$1,2),'HY &amp; Segments'!$3:$3,0))+INDEX('HY &amp; Segments'!$A:$AB,MATCH($A10,'HY &amp; Segments'!$A:$A,0),MATCH("2H"&amp;RIGHT(O$1,2),'HY &amp; Segments'!$3:$3,0))</f>
        <v/>
      </c>
      <c r="P10" s="4">
        <f>INDEX('HY &amp; Segments'!$A:$AB,MATCH($A10,'HY &amp; Segments'!$A:$A,0),MATCH("1H"&amp;RIGHT(P$1,2),'HY &amp; Segments'!$3:$3,0))+INDEX('HY &amp; Segments'!$A:$AB,MATCH($A10,'HY &amp; Segments'!$A:$A,0),MATCH("2H"&amp;RIGHT(P$1,2),'HY &amp; Segments'!$3:$3,0))</f>
        <v/>
      </c>
    </row>
    <row r="11">
      <c r="A11" t="inlineStr">
        <is>
          <t>Rev-Total Revenue</t>
        </is>
      </c>
      <c r="B11" s="72" t="inlineStr">
        <is>
          <t>Total Revenue</t>
        </is>
      </c>
      <c r="C11" s="72" t="inlineStr">
        <is>
          <t>AUDm</t>
        </is>
      </c>
      <c r="D11" s="73">
        <f>SUM(D7:D10)</f>
        <v/>
      </c>
      <c r="E11" s="73">
        <f>SUM(E7:E10)</f>
        <v/>
      </c>
      <c r="F11" s="73">
        <f>SUM(F7:F10)</f>
        <v/>
      </c>
      <c r="G11" s="73">
        <f>SUM(G7:G10)</f>
        <v/>
      </c>
      <c r="H11" s="73">
        <f>SUM(H7:H10)</f>
        <v/>
      </c>
      <c r="I11" s="73">
        <f>SUM(I7:I10)</f>
        <v/>
      </c>
      <c r="J11" s="73">
        <f>SUM(J7:J10)</f>
        <v/>
      </c>
      <c r="K11" s="73">
        <f>SUM(K7:K10)</f>
        <v/>
      </c>
      <c r="L11" s="73">
        <f>SUM(L7:L10)</f>
        <v/>
      </c>
      <c r="M11" s="73">
        <f>SUM(M7:M10)</f>
        <v/>
      </c>
      <c r="N11" s="73">
        <f>SUM(N7:N10)</f>
        <v/>
      </c>
      <c r="O11" s="73">
        <f>SUM(O7:O10)</f>
        <v/>
      </c>
      <c r="P11" s="73">
        <f>SUM(P7:P10)</f>
        <v/>
      </c>
    </row>
    <row r="12">
      <c r="B12" s="70" t="inlineStr">
        <is>
          <t>Revenue Growth</t>
        </is>
      </c>
      <c r="C12" t="inlineStr">
        <is>
          <t>% YoY</t>
        </is>
      </c>
      <c r="D12" s="6" t="n"/>
      <c r="E12" s="6">
        <f>IF(D11=0,"",E11/D11-1)</f>
        <v/>
      </c>
      <c r="F12" s="6">
        <f>IF(E11=0,"",F11/E11-1)</f>
        <v/>
      </c>
      <c r="G12" s="6">
        <f>IF(F11=0,"",G11/F11-1)</f>
        <v/>
      </c>
      <c r="H12" s="6">
        <f>IF(G11=0,"",H11/G11-1)</f>
        <v/>
      </c>
      <c r="I12" s="6">
        <f>IF(H11=0,"",I11/H11-1)</f>
        <v/>
      </c>
      <c r="J12" s="6">
        <f>IF(I11=0,"",J11/I11-1)</f>
        <v/>
      </c>
      <c r="K12" s="6">
        <f>IF(J11=0,"",K11/J11-1)</f>
        <v/>
      </c>
      <c r="L12" s="6">
        <f>IF(K11=0,"",L11/K11-1)</f>
        <v/>
      </c>
      <c r="M12" s="6">
        <f>IF(L11=0,"",M11/L11-1)</f>
        <v/>
      </c>
      <c r="N12" s="6">
        <f>IF(M11=0,"",N11/M11-1)</f>
        <v/>
      </c>
      <c r="O12" s="6">
        <f>IF(N11=0,"",O11/N11-1)</f>
        <v/>
      </c>
      <c r="P12" s="6">
        <f>IF(O11=0,"",P11/O11-1)</f>
        <v/>
      </c>
    </row>
    <row r="13">
      <c r="B13" s="70" t="n"/>
      <c r="D13" s="19" t="n"/>
      <c r="E13" s="19" t="n"/>
      <c r="F13" s="19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B14" s="69" t="inlineStr">
        <is>
          <t>Other Revenue</t>
        </is>
      </c>
      <c r="C14" s="69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</row>
    <row r="15">
      <c r="A15" t="inlineStr">
        <is>
          <t>Rev-Marketing Levy</t>
        </is>
      </c>
      <c r="B15" s="70" t="inlineStr">
        <is>
          <t>Franchise Marketing Levy Revenue</t>
        </is>
      </c>
      <c r="C15" t="inlineStr">
        <is>
          <t>AUDm</t>
        </is>
      </c>
      <c r="D15" s="19" t="n">
        <v>13.252</v>
      </c>
      <c r="E15" s="19" t="n">
        <v>16.382</v>
      </c>
      <c r="F15" s="19" t="n">
        <v>19.688</v>
      </c>
      <c r="G15" s="4">
        <f>INDEX('HY &amp; Segments'!$A:$AB,MATCH($A15,'HY &amp; Segments'!$A:$A,0),MATCH("1H"&amp;RIGHT(G$1,2),'HY &amp; Segments'!$3:$3,0))+INDEX('HY &amp; Segments'!$A:$AB,MATCH($A15,'HY &amp; Segments'!$A:$A,0),MATCH("2H"&amp;RIGHT(G$1,2),'HY &amp; Segments'!$3:$3,0))</f>
        <v/>
      </c>
      <c r="H15" s="4">
        <f>INDEX('HY &amp; Segments'!$A:$AB,MATCH($A15,'HY &amp; Segments'!$A:$A,0),MATCH("1H"&amp;RIGHT(H$1,2),'HY &amp; Segments'!$3:$3,0))+INDEX('HY &amp; Segments'!$A:$AB,MATCH($A15,'HY &amp; Segments'!$A:$A,0),MATCH("2H"&amp;RIGHT(H$1,2),'HY &amp; Segments'!$3:$3,0))</f>
        <v/>
      </c>
      <c r="I15" s="4">
        <f>INDEX('HY &amp; Segments'!$A:$AB,MATCH($A15,'HY &amp; Segments'!$A:$A,0),MATCH("1H"&amp;RIGHT(I$1,2),'HY &amp; Segments'!$3:$3,0))+INDEX('HY &amp; Segments'!$A:$AB,MATCH($A15,'HY &amp; Segments'!$A:$A,0),MATCH("2H"&amp;RIGHT(I$1,2),'HY &amp; Segments'!$3:$3,0))</f>
        <v/>
      </c>
      <c r="J15" s="4">
        <f>INDEX('HY &amp; Segments'!$A:$AB,MATCH($A15,'HY &amp; Segments'!$A:$A,0),MATCH("1H"&amp;RIGHT(J$1,2),'HY &amp; Segments'!$3:$3,0))+INDEX('HY &amp; Segments'!$A:$AB,MATCH($A15,'HY &amp; Segments'!$A:$A,0),MATCH("2H"&amp;RIGHT(J$1,2),'HY &amp; Segments'!$3:$3,0))</f>
        <v/>
      </c>
      <c r="K15" s="4">
        <f>INDEX('HY &amp; Segments'!$A:$AB,MATCH($A15,'HY &amp; Segments'!$A:$A,0),MATCH("1H"&amp;RIGHT(K$1,2),'HY &amp; Segments'!$3:$3,0))+INDEX('HY &amp; Segments'!$A:$AB,MATCH($A15,'HY &amp; Segments'!$A:$A,0),MATCH("2H"&amp;RIGHT(K$1,2),'HY &amp; Segments'!$3:$3,0))</f>
        <v/>
      </c>
      <c r="L15" s="4">
        <f>INDEX('HY &amp; Segments'!$A:$AB,MATCH($A15,'HY &amp; Segments'!$A:$A,0),MATCH("1H"&amp;RIGHT(L$1,2),'HY &amp; Segments'!$3:$3,0))+INDEX('HY &amp; Segments'!$A:$AB,MATCH($A15,'HY &amp; Segments'!$A:$A,0),MATCH("2H"&amp;RIGHT(L$1,2),'HY &amp; Segments'!$3:$3,0))</f>
        <v/>
      </c>
      <c r="M15" s="4">
        <f>INDEX('HY &amp; Segments'!$A:$AB,MATCH($A15,'HY &amp; Segments'!$A:$A,0),MATCH("1H"&amp;RIGHT(M$1,2),'HY &amp; Segments'!$3:$3,0))+INDEX('HY &amp; Segments'!$A:$AB,MATCH($A15,'HY &amp; Segments'!$A:$A,0),MATCH("2H"&amp;RIGHT(M$1,2),'HY &amp; Segments'!$3:$3,0))</f>
        <v/>
      </c>
      <c r="N15" s="4">
        <f>INDEX('HY &amp; Segments'!$A:$AB,MATCH($A15,'HY &amp; Segments'!$A:$A,0),MATCH("1H"&amp;RIGHT(N$1,2),'HY &amp; Segments'!$3:$3,0))+INDEX('HY &amp; Segments'!$A:$AB,MATCH($A15,'HY &amp; Segments'!$A:$A,0),MATCH("2H"&amp;RIGHT(N$1,2),'HY &amp; Segments'!$3:$3,0))</f>
        <v/>
      </c>
      <c r="O15" s="4">
        <f>INDEX('HY &amp; Segments'!$A:$AB,MATCH($A15,'HY &amp; Segments'!$A:$A,0),MATCH("1H"&amp;RIGHT(O$1,2),'HY &amp; Segments'!$3:$3,0))+INDEX('HY &amp; Segments'!$A:$AB,MATCH($A15,'HY &amp; Segments'!$A:$A,0),MATCH("2H"&amp;RIGHT(O$1,2),'HY &amp; Segments'!$3:$3,0))</f>
        <v/>
      </c>
      <c r="P15" s="4">
        <f>INDEX('HY &amp; Segments'!$A:$AB,MATCH($A15,'HY &amp; Segments'!$A:$A,0),MATCH("1H"&amp;RIGHT(P$1,2),'HY &amp; Segments'!$3:$3,0))+INDEX('HY &amp; Segments'!$A:$AB,MATCH($A15,'HY &amp; Segments'!$A:$A,0),MATCH("2H"&amp;RIGHT(P$1,2),'HY &amp; Segments'!$3:$3,0))</f>
        <v/>
      </c>
    </row>
    <row r="16">
      <c r="A16" t="inlineStr">
        <is>
          <t>Rev-Other Franchise</t>
        </is>
      </c>
      <c r="B16" s="71" t="inlineStr">
        <is>
          <t>Other Franchise Related Revenue</t>
        </is>
      </c>
      <c r="C16" s="20" t="inlineStr">
        <is>
          <t>AUDm</t>
        </is>
      </c>
      <c r="D16" s="21" t="n">
        <v>1.813</v>
      </c>
      <c r="E16" s="21" t="n">
        <v>6.164</v>
      </c>
      <c r="F16" s="21" t="n">
        <v>8.942</v>
      </c>
      <c r="G16" s="21">
        <f>INDEX('HY &amp; Segments'!$A:$AB,MATCH($A16,'HY &amp; Segments'!$A:$A,0),MATCH("1H"&amp;RIGHT(G$1,2),'HY &amp; Segments'!$3:$3,0))+INDEX('HY &amp; Segments'!$A:$AB,MATCH($A16,'HY &amp; Segments'!$A:$A,0),MATCH("2H"&amp;RIGHT(G$1,2),'HY &amp; Segments'!$3:$3,0))</f>
        <v/>
      </c>
      <c r="H16" s="21">
        <f>INDEX('HY &amp; Segments'!$A:$AB,MATCH($A16,'HY &amp; Segments'!$A:$A,0),MATCH("1H"&amp;RIGHT(H$1,2),'HY &amp; Segments'!$3:$3,0))+INDEX('HY &amp; Segments'!$A:$AB,MATCH($A16,'HY &amp; Segments'!$A:$A,0),MATCH("2H"&amp;RIGHT(H$1,2),'HY &amp; Segments'!$3:$3,0))</f>
        <v/>
      </c>
      <c r="I16" s="21">
        <f>INDEX('HY &amp; Segments'!$A:$AB,MATCH($A16,'HY &amp; Segments'!$A:$A,0),MATCH("1H"&amp;RIGHT(I$1,2),'HY &amp; Segments'!$3:$3,0))+INDEX('HY &amp; Segments'!$A:$AB,MATCH($A16,'HY &amp; Segments'!$A:$A,0),MATCH("2H"&amp;RIGHT(I$1,2),'HY &amp; Segments'!$3:$3,0))</f>
        <v/>
      </c>
      <c r="J16" s="21">
        <f>INDEX('HY &amp; Segments'!$A:$AB,MATCH($A16,'HY &amp; Segments'!$A:$A,0),MATCH("1H"&amp;RIGHT(J$1,2),'HY &amp; Segments'!$3:$3,0))+INDEX('HY &amp; Segments'!$A:$AB,MATCH($A16,'HY &amp; Segments'!$A:$A,0),MATCH("2H"&amp;RIGHT(J$1,2),'HY &amp; Segments'!$3:$3,0))</f>
        <v/>
      </c>
      <c r="K16" s="21">
        <f>INDEX('HY &amp; Segments'!$A:$AB,MATCH($A16,'HY &amp; Segments'!$A:$A,0),MATCH("1H"&amp;RIGHT(K$1,2),'HY &amp; Segments'!$3:$3,0))+INDEX('HY &amp; Segments'!$A:$AB,MATCH($A16,'HY &amp; Segments'!$A:$A,0),MATCH("2H"&amp;RIGHT(K$1,2),'HY &amp; Segments'!$3:$3,0))</f>
        <v/>
      </c>
      <c r="L16" s="21">
        <f>INDEX('HY &amp; Segments'!$A:$AB,MATCH($A16,'HY &amp; Segments'!$A:$A,0),MATCH("1H"&amp;RIGHT(L$1,2),'HY &amp; Segments'!$3:$3,0))+INDEX('HY &amp; Segments'!$A:$AB,MATCH($A16,'HY &amp; Segments'!$A:$A,0),MATCH("2H"&amp;RIGHT(L$1,2),'HY &amp; Segments'!$3:$3,0))</f>
        <v/>
      </c>
      <c r="M16" s="21">
        <f>INDEX('HY &amp; Segments'!$A:$AB,MATCH($A16,'HY &amp; Segments'!$A:$A,0),MATCH("1H"&amp;RIGHT(M$1,2),'HY &amp; Segments'!$3:$3,0))+INDEX('HY &amp; Segments'!$A:$AB,MATCH($A16,'HY &amp; Segments'!$A:$A,0),MATCH("2H"&amp;RIGHT(M$1,2),'HY &amp; Segments'!$3:$3,0))</f>
        <v/>
      </c>
      <c r="N16" s="21">
        <f>INDEX('HY &amp; Segments'!$A:$AB,MATCH($A16,'HY &amp; Segments'!$A:$A,0),MATCH("1H"&amp;RIGHT(N$1,2),'HY &amp; Segments'!$3:$3,0))+INDEX('HY &amp; Segments'!$A:$AB,MATCH($A16,'HY &amp; Segments'!$A:$A,0),MATCH("2H"&amp;RIGHT(N$1,2),'HY &amp; Segments'!$3:$3,0))</f>
        <v/>
      </c>
      <c r="O16" s="21">
        <f>INDEX('HY &amp; Segments'!$A:$AB,MATCH($A16,'HY &amp; Segments'!$A:$A,0),MATCH("1H"&amp;RIGHT(O$1,2),'HY &amp; Segments'!$3:$3,0))+INDEX('HY &amp; Segments'!$A:$AB,MATCH($A16,'HY &amp; Segments'!$A:$A,0),MATCH("2H"&amp;RIGHT(O$1,2),'HY &amp; Segments'!$3:$3,0))</f>
        <v/>
      </c>
      <c r="P16" s="21">
        <f>INDEX('HY &amp; Segments'!$A:$AB,MATCH($A16,'HY &amp; Segments'!$A:$A,0),MATCH("1H"&amp;RIGHT(P$1,2),'HY &amp; Segments'!$3:$3,0))+INDEX('HY &amp; Segments'!$A:$AB,MATCH($A16,'HY &amp; Segments'!$A:$A,0),MATCH("2H"&amp;RIGHT(P$1,2),'HY &amp; Segments'!$3:$3,0))</f>
        <v/>
      </c>
    </row>
    <row r="17">
      <c r="A17" t="inlineStr">
        <is>
          <t>Rev-Other Income</t>
        </is>
      </c>
      <c r="B17" s="70" t="inlineStr">
        <is>
          <t>Other Income</t>
        </is>
      </c>
      <c r="C17" t="inlineStr">
        <is>
          <t>AUDm</t>
        </is>
      </c>
      <c r="D17" s="4" t="n">
        <v>2.66</v>
      </c>
      <c r="E17" s="4" t="n">
        <v>0.228</v>
      </c>
      <c r="F17" s="4" t="n">
        <v>3.394</v>
      </c>
      <c r="G17" s="4">
        <f>INDEX('HY &amp; Segments'!$A:$AB,MATCH($A17,'HY &amp; Segments'!$A:$A,0),MATCH("1H"&amp;RIGHT(G$1,2),'HY &amp; Segments'!$3:$3,0))+INDEX('HY &amp; Segments'!$A:$AB,MATCH($A17,'HY &amp; Segments'!$A:$A,0),MATCH("2H"&amp;RIGHT(G$1,2),'HY &amp; Segments'!$3:$3,0))</f>
        <v/>
      </c>
      <c r="H17" s="4">
        <f>INDEX('HY &amp; Segments'!$A:$AB,MATCH($A17,'HY &amp; Segments'!$A:$A,0),MATCH("1H"&amp;RIGHT(H$1,2),'HY &amp; Segments'!$3:$3,0))+INDEX('HY &amp; Segments'!$A:$AB,MATCH($A17,'HY &amp; Segments'!$A:$A,0),MATCH("2H"&amp;RIGHT(H$1,2),'HY &amp; Segments'!$3:$3,0))</f>
        <v/>
      </c>
      <c r="I17" s="4">
        <f>INDEX('HY &amp; Segments'!$A:$AB,MATCH($A17,'HY &amp; Segments'!$A:$A,0),MATCH("1H"&amp;RIGHT(I$1,2),'HY &amp; Segments'!$3:$3,0))+INDEX('HY &amp; Segments'!$A:$AB,MATCH($A17,'HY &amp; Segments'!$A:$A,0),MATCH("2H"&amp;RIGHT(I$1,2),'HY &amp; Segments'!$3:$3,0))</f>
        <v/>
      </c>
      <c r="J17" s="4">
        <f>INDEX('HY &amp; Segments'!$A:$AB,MATCH($A17,'HY &amp; Segments'!$A:$A,0),MATCH("1H"&amp;RIGHT(J$1,2),'HY &amp; Segments'!$3:$3,0))+INDEX('HY &amp; Segments'!$A:$AB,MATCH($A17,'HY &amp; Segments'!$A:$A,0),MATCH("2H"&amp;RIGHT(J$1,2),'HY &amp; Segments'!$3:$3,0))</f>
        <v/>
      </c>
      <c r="K17" s="4">
        <f>INDEX('HY &amp; Segments'!$A:$AB,MATCH($A17,'HY &amp; Segments'!$A:$A,0),MATCH("1H"&amp;RIGHT(K$1,2),'HY &amp; Segments'!$3:$3,0))+INDEX('HY &amp; Segments'!$A:$AB,MATCH($A17,'HY &amp; Segments'!$A:$A,0),MATCH("2H"&amp;RIGHT(K$1,2),'HY &amp; Segments'!$3:$3,0))</f>
        <v/>
      </c>
      <c r="L17" s="4">
        <f>INDEX('HY &amp; Segments'!$A:$AB,MATCH($A17,'HY &amp; Segments'!$A:$A,0),MATCH("1H"&amp;RIGHT(L$1,2),'HY &amp; Segments'!$3:$3,0))+INDEX('HY &amp; Segments'!$A:$AB,MATCH($A17,'HY &amp; Segments'!$A:$A,0),MATCH("2H"&amp;RIGHT(L$1,2),'HY &amp; Segments'!$3:$3,0))</f>
        <v/>
      </c>
      <c r="M17" s="4">
        <f>INDEX('HY &amp; Segments'!$A:$AB,MATCH($A17,'HY &amp; Segments'!$A:$A,0),MATCH("1H"&amp;RIGHT(M$1,2),'HY &amp; Segments'!$3:$3,0))+INDEX('HY &amp; Segments'!$A:$AB,MATCH($A17,'HY &amp; Segments'!$A:$A,0),MATCH("2H"&amp;RIGHT(M$1,2),'HY &amp; Segments'!$3:$3,0))</f>
        <v/>
      </c>
      <c r="N17" s="4">
        <f>INDEX('HY &amp; Segments'!$A:$AB,MATCH($A17,'HY &amp; Segments'!$A:$A,0),MATCH("1H"&amp;RIGHT(N$1,2),'HY &amp; Segments'!$3:$3,0))+INDEX('HY &amp; Segments'!$A:$AB,MATCH($A17,'HY &amp; Segments'!$A:$A,0),MATCH("2H"&amp;RIGHT(N$1,2),'HY &amp; Segments'!$3:$3,0))</f>
        <v/>
      </c>
      <c r="O17" s="4">
        <f>INDEX('HY &amp; Segments'!$A:$AB,MATCH($A17,'HY &amp; Segments'!$A:$A,0),MATCH("1H"&amp;RIGHT(O$1,2),'HY &amp; Segments'!$3:$3,0))+INDEX('HY &amp; Segments'!$A:$AB,MATCH($A17,'HY &amp; Segments'!$A:$A,0),MATCH("2H"&amp;RIGHT(O$1,2),'HY &amp; Segments'!$3:$3,0))</f>
        <v/>
      </c>
      <c r="P17" s="4">
        <f>INDEX('HY &amp; Segments'!$A:$AB,MATCH($A17,'HY &amp; Segments'!$A:$A,0),MATCH("1H"&amp;RIGHT(P$1,2),'HY &amp; Segments'!$3:$3,0))+INDEX('HY &amp; Segments'!$A:$AB,MATCH($A17,'HY &amp; Segments'!$A:$A,0),MATCH("2H"&amp;RIGHT(P$1,2),'HY &amp; Segments'!$3:$3,0))</f>
        <v/>
      </c>
    </row>
    <row r="18">
      <c r="A18" t="inlineStr">
        <is>
          <t>Rev-Total Other Revenue</t>
        </is>
      </c>
      <c r="B18" s="72" t="inlineStr">
        <is>
          <t>Total Other Revenue</t>
        </is>
      </c>
      <c r="C18" s="72" t="inlineStr">
        <is>
          <t>AUDm</t>
        </is>
      </c>
      <c r="D18" s="73">
        <f>SUM(D15:D17)</f>
        <v/>
      </c>
      <c r="E18" s="73">
        <f>SUM(E15:E17)</f>
        <v/>
      </c>
      <c r="F18" s="73">
        <f>SUM(F15:F17)</f>
        <v/>
      </c>
      <c r="G18" s="73">
        <f>SUM(G15:G17)</f>
        <v/>
      </c>
      <c r="H18" s="73">
        <f>SUM(H15:H17)</f>
        <v/>
      </c>
      <c r="I18" s="73">
        <f>SUM(I15:I17)</f>
        <v/>
      </c>
      <c r="J18" s="73">
        <f>SUM(J15:J17)</f>
        <v/>
      </c>
      <c r="K18" s="73">
        <f>SUM(K15:K17)</f>
        <v/>
      </c>
      <c r="L18" s="73">
        <f>SUM(L15:L17)</f>
        <v/>
      </c>
      <c r="M18" s="73">
        <f>SUM(M15:M17)</f>
        <v/>
      </c>
      <c r="N18" s="73">
        <f>SUM(N15:N17)</f>
        <v/>
      </c>
      <c r="O18" s="73">
        <f>SUM(O15:O17)</f>
        <v/>
      </c>
      <c r="P18" s="73">
        <f>SUM(P15:P17)</f>
        <v/>
      </c>
    </row>
    <row r="19">
      <c r="B19" s="70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Rev-Total Rev &amp; Other</t>
        </is>
      </c>
      <c r="B20" s="72" t="inlineStr">
        <is>
          <t>Total Revenue &amp; Other Income</t>
        </is>
      </c>
      <c r="C20" s="72" t="inlineStr">
        <is>
          <t>AUDm</t>
        </is>
      </c>
      <c r="D20" s="73">
        <f>D11+D18</f>
        <v/>
      </c>
      <c r="E20" s="73">
        <f>E11+E18</f>
        <v/>
      </c>
      <c r="F20" s="73">
        <f>F11+F18</f>
        <v/>
      </c>
      <c r="G20" s="73">
        <f>G11+G18</f>
        <v/>
      </c>
      <c r="H20" s="73">
        <f>H11+H18</f>
        <v/>
      </c>
      <c r="I20" s="73">
        <f>I11+I18</f>
        <v/>
      </c>
      <c r="J20" s="73">
        <f>J11+J18</f>
        <v/>
      </c>
      <c r="K20" s="73">
        <f>K11+K18</f>
        <v/>
      </c>
      <c r="L20" s="73">
        <f>L11+L18</f>
        <v/>
      </c>
      <c r="M20" s="73">
        <f>M11+M18</f>
        <v/>
      </c>
      <c r="N20" s="73">
        <f>N11+N18</f>
        <v/>
      </c>
      <c r="O20" s="73">
        <f>O11+O18</f>
        <v/>
      </c>
      <c r="P20" s="73">
        <f>P11+P18</f>
        <v/>
      </c>
    </row>
    <row r="21">
      <c r="B21" s="70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>
      <c r="B22" s="75" t="inlineStr">
        <is>
          <t>Expenses</t>
        </is>
      </c>
      <c r="C22" s="75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</row>
    <row r="23">
      <c r="A23" t="inlineStr">
        <is>
          <t>OPEX-Food &amp; Packaging</t>
        </is>
      </c>
      <c r="B23" s="70" t="inlineStr">
        <is>
          <t>Cost of Food &amp; Packaging</t>
        </is>
      </c>
      <c r="C23" t="inlineStr">
        <is>
          <t>AUDm</t>
        </is>
      </c>
      <c r="D23" s="4" t="n">
        <v>-70.428</v>
      </c>
      <c r="E23" s="4" t="n">
        <v>-87.58</v>
      </c>
      <c r="F23" s="4" t="n">
        <v>-113.948</v>
      </c>
      <c r="G23" s="4">
        <f>INDEX('HY &amp; Segments'!$A:$AB,MATCH($A23,'HY &amp; Segments'!$A:$A,0),MATCH("1H"&amp;RIGHT(G$1,2),'HY &amp; Segments'!$3:$3,0))+INDEX('HY &amp; Segments'!$A:$AB,MATCH($A23,'HY &amp; Segments'!$A:$A,0),MATCH("2H"&amp;RIGHT(G$1,2),'HY &amp; Segments'!$3:$3,0))</f>
        <v/>
      </c>
      <c r="H23" s="4">
        <f>INDEX('HY &amp; Segments'!$A:$AB,MATCH($A23,'HY &amp; Segments'!$A:$A,0),MATCH("1H"&amp;RIGHT(H$1,2),'HY &amp; Segments'!$3:$3,0))+INDEX('HY &amp; Segments'!$A:$AB,MATCH($A23,'HY &amp; Segments'!$A:$A,0),MATCH("2H"&amp;RIGHT(H$1,2),'HY &amp; Segments'!$3:$3,0))</f>
        <v/>
      </c>
      <c r="I23" s="4">
        <f>INDEX('HY &amp; Segments'!$A:$AB,MATCH($A23,'HY &amp; Segments'!$A:$A,0),MATCH("1H"&amp;RIGHT(I$1,2),'HY &amp; Segments'!$3:$3,0))+INDEX('HY &amp; Segments'!$A:$AB,MATCH($A23,'HY &amp; Segments'!$A:$A,0),MATCH("2H"&amp;RIGHT(I$1,2),'HY &amp; Segments'!$3:$3,0))</f>
        <v/>
      </c>
      <c r="J23" s="4">
        <f>INDEX('HY &amp; Segments'!$A:$AB,MATCH($A23,'HY &amp; Segments'!$A:$A,0),MATCH("1H"&amp;RIGHT(J$1,2),'HY &amp; Segments'!$3:$3,0))+INDEX('HY &amp; Segments'!$A:$AB,MATCH($A23,'HY &amp; Segments'!$A:$A,0),MATCH("2H"&amp;RIGHT(J$1,2),'HY &amp; Segments'!$3:$3,0))</f>
        <v/>
      </c>
      <c r="K23" s="4">
        <f>INDEX('HY &amp; Segments'!$A:$AB,MATCH($A23,'HY &amp; Segments'!$A:$A,0),MATCH("1H"&amp;RIGHT(K$1,2),'HY &amp; Segments'!$3:$3,0))+INDEX('HY &amp; Segments'!$A:$AB,MATCH($A23,'HY &amp; Segments'!$A:$A,0),MATCH("2H"&amp;RIGHT(K$1,2),'HY &amp; Segments'!$3:$3,0))</f>
        <v/>
      </c>
      <c r="L23" s="4">
        <f>INDEX('HY &amp; Segments'!$A:$AB,MATCH($A23,'HY &amp; Segments'!$A:$A,0),MATCH("1H"&amp;RIGHT(L$1,2),'HY &amp; Segments'!$3:$3,0))+INDEX('HY &amp; Segments'!$A:$AB,MATCH($A23,'HY &amp; Segments'!$A:$A,0),MATCH("2H"&amp;RIGHT(L$1,2),'HY &amp; Segments'!$3:$3,0))</f>
        <v/>
      </c>
      <c r="M23" s="4">
        <f>INDEX('HY &amp; Segments'!$A:$AB,MATCH($A23,'HY &amp; Segments'!$A:$A,0),MATCH("1H"&amp;RIGHT(M$1,2),'HY &amp; Segments'!$3:$3,0))+INDEX('HY &amp; Segments'!$A:$AB,MATCH($A23,'HY &amp; Segments'!$A:$A,0),MATCH("2H"&amp;RIGHT(M$1,2),'HY &amp; Segments'!$3:$3,0))</f>
        <v/>
      </c>
      <c r="N23" s="4">
        <f>INDEX('HY &amp; Segments'!$A:$AB,MATCH($A23,'HY &amp; Segments'!$A:$A,0),MATCH("1H"&amp;RIGHT(N$1,2),'HY &amp; Segments'!$3:$3,0))+INDEX('HY &amp; Segments'!$A:$AB,MATCH($A23,'HY &amp; Segments'!$A:$A,0),MATCH("2H"&amp;RIGHT(N$1,2),'HY &amp; Segments'!$3:$3,0))</f>
        <v/>
      </c>
      <c r="O23" s="4">
        <f>INDEX('HY &amp; Segments'!$A:$AB,MATCH($A23,'HY &amp; Segments'!$A:$A,0),MATCH("1H"&amp;RIGHT(O$1,2),'HY &amp; Segments'!$3:$3,0))+INDEX('HY &amp; Segments'!$A:$AB,MATCH($A23,'HY &amp; Segments'!$A:$A,0),MATCH("2H"&amp;RIGHT(O$1,2),'HY &amp; Segments'!$3:$3,0))</f>
        <v/>
      </c>
      <c r="P23" s="4">
        <f>INDEX('HY &amp; Segments'!$A:$AB,MATCH($A23,'HY &amp; Segments'!$A:$A,0),MATCH("1H"&amp;RIGHT(P$1,2),'HY &amp; Segments'!$3:$3,0))+INDEX('HY &amp; Segments'!$A:$AB,MATCH($A23,'HY &amp; Segments'!$A:$A,0),MATCH("2H"&amp;RIGHT(P$1,2),'HY &amp; Segments'!$3:$3,0))</f>
        <v/>
      </c>
    </row>
    <row r="24">
      <c r="A24" t="inlineStr">
        <is>
          <t>OPEX-Employee Benefits</t>
        </is>
      </c>
      <c r="B24" s="70" t="inlineStr">
        <is>
          <t>Employee Benefit Expenses</t>
        </is>
      </c>
      <c r="C24" t="inlineStr">
        <is>
          <t>AUDm</t>
        </is>
      </c>
      <c r="D24" s="4" t="n">
        <v>-113.725</v>
      </c>
      <c r="E24" s="4" t="n">
        <v>-153.733</v>
      </c>
      <c r="F24" s="4" t="n">
        <v>-184.656</v>
      </c>
      <c r="G24" s="4">
        <f>INDEX('HY &amp; Segments'!$A:$AB,MATCH($A24,'HY &amp; Segments'!$A:$A,0),MATCH("1H"&amp;RIGHT(G$1,2),'HY &amp; Segments'!$3:$3,0))+INDEX('HY &amp; Segments'!$A:$AB,MATCH($A24,'HY &amp; Segments'!$A:$A,0),MATCH("2H"&amp;RIGHT(G$1,2),'HY &amp; Segments'!$3:$3,0))</f>
        <v/>
      </c>
      <c r="H24" s="4">
        <f>INDEX('HY &amp; Segments'!$A:$AB,MATCH($A24,'HY &amp; Segments'!$A:$A,0),MATCH("1H"&amp;RIGHT(H$1,2),'HY &amp; Segments'!$3:$3,0))+INDEX('HY &amp; Segments'!$A:$AB,MATCH($A24,'HY &amp; Segments'!$A:$A,0),MATCH("2H"&amp;RIGHT(H$1,2),'HY &amp; Segments'!$3:$3,0))</f>
        <v/>
      </c>
      <c r="I24" s="4">
        <f>INDEX('HY &amp; Segments'!$A:$AB,MATCH($A24,'HY &amp; Segments'!$A:$A,0),MATCH("1H"&amp;RIGHT(I$1,2),'HY &amp; Segments'!$3:$3,0))+INDEX('HY &amp; Segments'!$A:$AB,MATCH($A24,'HY &amp; Segments'!$A:$A,0),MATCH("2H"&amp;RIGHT(I$1,2),'HY &amp; Segments'!$3:$3,0))</f>
        <v/>
      </c>
      <c r="J24" s="4">
        <f>INDEX('HY &amp; Segments'!$A:$AB,MATCH($A24,'HY &amp; Segments'!$A:$A,0),MATCH("1H"&amp;RIGHT(J$1,2),'HY &amp; Segments'!$3:$3,0))+INDEX('HY &amp; Segments'!$A:$AB,MATCH($A24,'HY &amp; Segments'!$A:$A,0),MATCH("2H"&amp;RIGHT(J$1,2),'HY &amp; Segments'!$3:$3,0))</f>
        <v/>
      </c>
      <c r="K24" s="4">
        <f>INDEX('HY &amp; Segments'!$A:$AB,MATCH($A24,'HY &amp; Segments'!$A:$A,0),MATCH("1H"&amp;RIGHT(K$1,2),'HY &amp; Segments'!$3:$3,0))+INDEX('HY &amp; Segments'!$A:$AB,MATCH($A24,'HY &amp; Segments'!$A:$A,0),MATCH("2H"&amp;RIGHT(K$1,2),'HY &amp; Segments'!$3:$3,0))</f>
        <v/>
      </c>
      <c r="L24" s="4">
        <f>INDEX('HY &amp; Segments'!$A:$AB,MATCH($A24,'HY &amp; Segments'!$A:$A,0),MATCH("1H"&amp;RIGHT(L$1,2),'HY &amp; Segments'!$3:$3,0))+INDEX('HY &amp; Segments'!$A:$AB,MATCH($A24,'HY &amp; Segments'!$A:$A,0),MATCH("2H"&amp;RIGHT(L$1,2),'HY &amp; Segments'!$3:$3,0))</f>
        <v/>
      </c>
      <c r="M24" s="4">
        <f>INDEX('HY &amp; Segments'!$A:$AB,MATCH($A24,'HY &amp; Segments'!$A:$A,0),MATCH("1H"&amp;RIGHT(M$1,2),'HY &amp; Segments'!$3:$3,0))+INDEX('HY &amp; Segments'!$A:$AB,MATCH($A24,'HY &amp; Segments'!$A:$A,0),MATCH("2H"&amp;RIGHT(M$1,2),'HY &amp; Segments'!$3:$3,0))</f>
        <v/>
      </c>
      <c r="N24" s="4">
        <f>INDEX('HY &amp; Segments'!$A:$AB,MATCH($A24,'HY &amp; Segments'!$A:$A,0),MATCH("1H"&amp;RIGHT(N$1,2),'HY &amp; Segments'!$3:$3,0))+INDEX('HY &amp; Segments'!$A:$AB,MATCH($A24,'HY &amp; Segments'!$A:$A,0),MATCH("2H"&amp;RIGHT(N$1,2),'HY &amp; Segments'!$3:$3,0))</f>
        <v/>
      </c>
      <c r="O24" s="4">
        <f>INDEX('HY &amp; Segments'!$A:$AB,MATCH($A24,'HY &amp; Segments'!$A:$A,0),MATCH("1H"&amp;RIGHT(O$1,2),'HY &amp; Segments'!$3:$3,0))+INDEX('HY &amp; Segments'!$A:$AB,MATCH($A24,'HY &amp; Segments'!$A:$A,0),MATCH("2H"&amp;RIGHT(O$1,2),'HY &amp; Segments'!$3:$3,0))</f>
        <v/>
      </c>
      <c r="P24" s="4">
        <f>INDEX('HY &amp; Segments'!$A:$AB,MATCH($A24,'HY &amp; Segments'!$A:$A,0),MATCH("1H"&amp;RIGHT(P$1,2),'HY &amp; Segments'!$3:$3,0))+INDEX('HY &amp; Segments'!$A:$AB,MATCH($A24,'HY &amp; Segments'!$A:$A,0),MATCH("2H"&amp;RIGHT(P$1,2),'HY &amp; Segments'!$3:$3,0))</f>
        <v/>
      </c>
    </row>
    <row r="25">
      <c r="A25" t="inlineStr">
        <is>
          <t>OPEX-Administrative</t>
        </is>
      </c>
      <c r="B25" s="70" t="inlineStr">
        <is>
          <t>Administrative Expenses</t>
        </is>
      </c>
      <c r="C25" t="inlineStr">
        <is>
          <t>AUDm</t>
        </is>
      </c>
      <c r="D25" s="4" t="n">
        <v>-35.282</v>
      </c>
      <c r="E25" s="4" t="n">
        <v>-60.595</v>
      </c>
      <c r="F25" s="4" t="n">
        <v>-53.615</v>
      </c>
      <c r="G25" s="4">
        <f>INDEX('HY &amp; Segments'!$A:$AB,MATCH($A25,'HY &amp; Segments'!$A:$A,0),MATCH("1H"&amp;RIGHT(G$1,2),'HY &amp; Segments'!$3:$3,0))+INDEX('HY &amp; Segments'!$A:$AB,MATCH($A25,'HY &amp; Segments'!$A:$A,0),MATCH("2H"&amp;RIGHT(G$1,2),'HY &amp; Segments'!$3:$3,0))</f>
        <v/>
      </c>
      <c r="H25" s="4">
        <f>INDEX('HY &amp; Segments'!$A:$AB,MATCH($A25,'HY &amp; Segments'!$A:$A,0),MATCH("1H"&amp;RIGHT(H$1,2),'HY &amp; Segments'!$3:$3,0))+INDEX('HY &amp; Segments'!$A:$AB,MATCH($A25,'HY &amp; Segments'!$A:$A,0),MATCH("2H"&amp;RIGHT(H$1,2),'HY &amp; Segments'!$3:$3,0))</f>
        <v/>
      </c>
      <c r="I25" s="4">
        <f>INDEX('HY &amp; Segments'!$A:$AB,MATCH($A25,'HY &amp; Segments'!$A:$A,0),MATCH("1H"&amp;RIGHT(I$1,2),'HY &amp; Segments'!$3:$3,0))+INDEX('HY &amp; Segments'!$A:$AB,MATCH($A25,'HY &amp; Segments'!$A:$A,0),MATCH("2H"&amp;RIGHT(I$1,2),'HY &amp; Segments'!$3:$3,0))</f>
        <v/>
      </c>
      <c r="J25" s="4">
        <f>INDEX('HY &amp; Segments'!$A:$AB,MATCH($A25,'HY &amp; Segments'!$A:$A,0),MATCH("1H"&amp;RIGHT(J$1,2),'HY &amp; Segments'!$3:$3,0))+INDEX('HY &amp; Segments'!$A:$AB,MATCH($A25,'HY &amp; Segments'!$A:$A,0),MATCH("2H"&amp;RIGHT(J$1,2),'HY &amp; Segments'!$3:$3,0))</f>
        <v/>
      </c>
      <c r="K25" s="4">
        <f>INDEX('HY &amp; Segments'!$A:$AB,MATCH($A25,'HY &amp; Segments'!$A:$A,0),MATCH("1H"&amp;RIGHT(K$1,2),'HY &amp; Segments'!$3:$3,0))+INDEX('HY &amp; Segments'!$A:$AB,MATCH($A25,'HY &amp; Segments'!$A:$A,0),MATCH("2H"&amp;RIGHT(K$1,2),'HY &amp; Segments'!$3:$3,0))</f>
        <v/>
      </c>
      <c r="L25" s="4">
        <f>INDEX('HY &amp; Segments'!$A:$AB,MATCH($A25,'HY &amp; Segments'!$A:$A,0),MATCH("1H"&amp;RIGHT(L$1,2),'HY &amp; Segments'!$3:$3,0))+INDEX('HY &amp; Segments'!$A:$AB,MATCH($A25,'HY &amp; Segments'!$A:$A,0),MATCH("2H"&amp;RIGHT(L$1,2),'HY &amp; Segments'!$3:$3,0))</f>
        <v/>
      </c>
      <c r="M25" s="4">
        <f>INDEX('HY &amp; Segments'!$A:$AB,MATCH($A25,'HY &amp; Segments'!$A:$A,0),MATCH("1H"&amp;RIGHT(M$1,2),'HY &amp; Segments'!$3:$3,0))+INDEX('HY &amp; Segments'!$A:$AB,MATCH($A25,'HY &amp; Segments'!$A:$A,0),MATCH("2H"&amp;RIGHT(M$1,2),'HY &amp; Segments'!$3:$3,0))</f>
        <v/>
      </c>
      <c r="N25" s="4">
        <f>INDEX('HY &amp; Segments'!$A:$AB,MATCH($A25,'HY &amp; Segments'!$A:$A,0),MATCH("1H"&amp;RIGHT(N$1,2),'HY &amp; Segments'!$3:$3,0))+INDEX('HY &amp; Segments'!$A:$AB,MATCH($A25,'HY &amp; Segments'!$A:$A,0),MATCH("2H"&amp;RIGHT(N$1,2),'HY &amp; Segments'!$3:$3,0))</f>
        <v/>
      </c>
      <c r="O25" s="4">
        <f>INDEX('HY &amp; Segments'!$A:$AB,MATCH($A25,'HY &amp; Segments'!$A:$A,0),MATCH("1H"&amp;RIGHT(O$1,2),'HY &amp; Segments'!$3:$3,0))+INDEX('HY &amp; Segments'!$A:$AB,MATCH($A25,'HY &amp; Segments'!$A:$A,0),MATCH("2H"&amp;RIGHT(O$1,2),'HY &amp; Segments'!$3:$3,0))</f>
        <v/>
      </c>
      <c r="P25" s="4">
        <f>INDEX('HY &amp; Segments'!$A:$AB,MATCH($A25,'HY &amp; Segments'!$A:$A,0),MATCH("1H"&amp;RIGHT(P$1,2),'HY &amp; Segments'!$3:$3,0))+INDEX('HY &amp; Segments'!$A:$AB,MATCH($A25,'HY &amp; Segments'!$A:$A,0),MATCH("2H"&amp;RIGHT(P$1,2),'HY &amp; Segments'!$3:$3,0))</f>
        <v/>
      </c>
    </row>
    <row r="26">
      <c r="A26" t="inlineStr">
        <is>
          <t>OPEX-Marketing</t>
        </is>
      </c>
      <c r="B26" s="70" t="inlineStr">
        <is>
          <t>Marketing Expenses</t>
        </is>
      </c>
      <c r="C26" t="inlineStr">
        <is>
          <t>AUDm</t>
        </is>
      </c>
      <c r="D26" s="4" t="n">
        <v>-13.718</v>
      </c>
      <c r="E26" s="4" t="n">
        <v>-17.938</v>
      </c>
      <c r="F26" s="4" t="n">
        <v>-21.287</v>
      </c>
      <c r="G26" s="4">
        <f>INDEX('HY &amp; Segments'!$A:$AB,MATCH($A26,'HY &amp; Segments'!$A:$A,0),MATCH("1H"&amp;RIGHT(G$1,2),'HY &amp; Segments'!$3:$3,0))+INDEX('HY &amp; Segments'!$A:$AB,MATCH($A26,'HY &amp; Segments'!$A:$A,0),MATCH("2H"&amp;RIGHT(G$1,2),'HY &amp; Segments'!$3:$3,0))</f>
        <v/>
      </c>
      <c r="H26" s="4">
        <f>INDEX('HY &amp; Segments'!$A:$AB,MATCH($A26,'HY &amp; Segments'!$A:$A,0),MATCH("1H"&amp;RIGHT(H$1,2),'HY &amp; Segments'!$3:$3,0))+INDEX('HY &amp; Segments'!$A:$AB,MATCH($A26,'HY &amp; Segments'!$A:$A,0),MATCH("2H"&amp;RIGHT(H$1,2),'HY &amp; Segments'!$3:$3,0))</f>
        <v/>
      </c>
      <c r="I26" s="4">
        <f>INDEX('HY &amp; Segments'!$A:$AB,MATCH($A26,'HY &amp; Segments'!$A:$A,0),MATCH("1H"&amp;RIGHT(I$1,2),'HY &amp; Segments'!$3:$3,0))+INDEX('HY &amp; Segments'!$A:$AB,MATCH($A26,'HY &amp; Segments'!$A:$A,0),MATCH("2H"&amp;RIGHT(I$1,2),'HY &amp; Segments'!$3:$3,0))</f>
        <v/>
      </c>
      <c r="J26" s="4">
        <f>INDEX('HY &amp; Segments'!$A:$AB,MATCH($A26,'HY &amp; Segments'!$A:$A,0),MATCH("1H"&amp;RIGHT(J$1,2),'HY &amp; Segments'!$3:$3,0))+INDEX('HY &amp; Segments'!$A:$AB,MATCH($A26,'HY &amp; Segments'!$A:$A,0),MATCH("2H"&amp;RIGHT(J$1,2),'HY &amp; Segments'!$3:$3,0))</f>
        <v/>
      </c>
      <c r="K26" s="4">
        <f>INDEX('HY &amp; Segments'!$A:$AB,MATCH($A26,'HY &amp; Segments'!$A:$A,0),MATCH("1H"&amp;RIGHT(K$1,2),'HY &amp; Segments'!$3:$3,0))+INDEX('HY &amp; Segments'!$A:$AB,MATCH($A26,'HY &amp; Segments'!$A:$A,0),MATCH("2H"&amp;RIGHT(K$1,2),'HY &amp; Segments'!$3:$3,0))</f>
        <v/>
      </c>
      <c r="L26" s="4">
        <f>INDEX('HY &amp; Segments'!$A:$AB,MATCH($A26,'HY &amp; Segments'!$A:$A,0),MATCH("1H"&amp;RIGHT(L$1,2),'HY &amp; Segments'!$3:$3,0))+INDEX('HY &amp; Segments'!$A:$AB,MATCH($A26,'HY &amp; Segments'!$A:$A,0),MATCH("2H"&amp;RIGHT(L$1,2),'HY &amp; Segments'!$3:$3,0))</f>
        <v/>
      </c>
      <c r="M26" s="4">
        <f>INDEX('HY &amp; Segments'!$A:$AB,MATCH($A26,'HY &amp; Segments'!$A:$A,0),MATCH("1H"&amp;RIGHT(M$1,2),'HY &amp; Segments'!$3:$3,0))+INDEX('HY &amp; Segments'!$A:$AB,MATCH($A26,'HY &amp; Segments'!$A:$A,0),MATCH("2H"&amp;RIGHT(M$1,2),'HY &amp; Segments'!$3:$3,0))</f>
        <v/>
      </c>
      <c r="N26" s="4">
        <f>INDEX('HY &amp; Segments'!$A:$AB,MATCH($A26,'HY &amp; Segments'!$A:$A,0),MATCH("1H"&amp;RIGHT(N$1,2),'HY &amp; Segments'!$3:$3,0))+INDEX('HY &amp; Segments'!$A:$AB,MATCH($A26,'HY &amp; Segments'!$A:$A,0),MATCH("2H"&amp;RIGHT(N$1,2),'HY &amp; Segments'!$3:$3,0))</f>
        <v/>
      </c>
      <c r="O26" s="4">
        <f>INDEX('HY &amp; Segments'!$A:$AB,MATCH($A26,'HY &amp; Segments'!$A:$A,0),MATCH("1H"&amp;RIGHT(O$1,2),'HY &amp; Segments'!$3:$3,0))+INDEX('HY &amp; Segments'!$A:$AB,MATCH($A26,'HY &amp; Segments'!$A:$A,0),MATCH("2H"&amp;RIGHT(O$1,2),'HY &amp; Segments'!$3:$3,0))</f>
        <v/>
      </c>
      <c r="P26" s="4">
        <f>INDEX('HY &amp; Segments'!$A:$AB,MATCH($A26,'HY &amp; Segments'!$A:$A,0),MATCH("1H"&amp;RIGHT(P$1,2),'HY &amp; Segments'!$3:$3,0))+INDEX('HY &amp; Segments'!$A:$AB,MATCH($A26,'HY &amp; Segments'!$A:$A,0),MATCH("2H"&amp;RIGHT(P$1,2),'HY &amp; Segments'!$3:$3,0))</f>
        <v/>
      </c>
    </row>
    <row r="27">
      <c r="A27" t="inlineStr">
        <is>
          <t>OPEX-Other Expenses</t>
        </is>
      </c>
      <c r="B27" s="70" t="inlineStr">
        <is>
          <t>Other Expenses</t>
        </is>
      </c>
      <c r="C27" t="inlineStr">
        <is>
          <t>AUDm</t>
        </is>
      </c>
      <c r="D27" s="19" t="n">
        <v>-13.995</v>
      </c>
      <c r="E27" s="19" t="n">
        <v>-17.868</v>
      </c>
      <c r="F27" s="19" t="n">
        <v>-29.381</v>
      </c>
      <c r="G27" s="4">
        <f>INDEX('HY &amp; Segments'!$A:$AB,MATCH($A27,'HY &amp; Segments'!$A:$A,0),MATCH("1H"&amp;RIGHT(G$1,2),'HY &amp; Segments'!$3:$3,0))+INDEX('HY &amp; Segments'!$A:$AB,MATCH($A27,'HY &amp; Segments'!$A:$A,0),MATCH("2H"&amp;RIGHT(G$1,2),'HY &amp; Segments'!$3:$3,0))</f>
        <v/>
      </c>
      <c r="H27" s="4">
        <f>INDEX('HY &amp; Segments'!$A:$AB,MATCH($A27,'HY &amp; Segments'!$A:$A,0),MATCH("1H"&amp;RIGHT(H$1,2),'HY &amp; Segments'!$3:$3,0))+INDEX('HY &amp; Segments'!$A:$AB,MATCH($A27,'HY &amp; Segments'!$A:$A,0),MATCH("2H"&amp;RIGHT(H$1,2),'HY &amp; Segments'!$3:$3,0))</f>
        <v/>
      </c>
      <c r="I27" s="4">
        <f>INDEX('HY &amp; Segments'!$A:$AB,MATCH($A27,'HY &amp; Segments'!$A:$A,0),MATCH("1H"&amp;RIGHT(I$1,2),'HY &amp; Segments'!$3:$3,0))+INDEX('HY &amp; Segments'!$A:$AB,MATCH($A27,'HY &amp; Segments'!$A:$A,0),MATCH("2H"&amp;RIGHT(I$1,2),'HY &amp; Segments'!$3:$3,0))</f>
        <v/>
      </c>
      <c r="J27" s="4">
        <f>INDEX('HY &amp; Segments'!$A:$AB,MATCH($A27,'HY &amp; Segments'!$A:$A,0),MATCH("1H"&amp;RIGHT(J$1,2),'HY &amp; Segments'!$3:$3,0))+INDEX('HY &amp; Segments'!$A:$AB,MATCH($A27,'HY &amp; Segments'!$A:$A,0),MATCH("2H"&amp;RIGHT(J$1,2),'HY &amp; Segments'!$3:$3,0))</f>
        <v/>
      </c>
      <c r="K27" s="4">
        <f>INDEX('HY &amp; Segments'!$A:$AB,MATCH($A27,'HY &amp; Segments'!$A:$A,0),MATCH("1H"&amp;RIGHT(K$1,2),'HY &amp; Segments'!$3:$3,0))+INDEX('HY &amp; Segments'!$A:$AB,MATCH($A27,'HY &amp; Segments'!$A:$A,0),MATCH("2H"&amp;RIGHT(K$1,2),'HY &amp; Segments'!$3:$3,0))</f>
        <v/>
      </c>
      <c r="L27" s="4">
        <f>INDEX('HY &amp; Segments'!$A:$AB,MATCH($A27,'HY &amp; Segments'!$A:$A,0),MATCH("1H"&amp;RIGHT(L$1,2),'HY &amp; Segments'!$3:$3,0))+INDEX('HY &amp; Segments'!$A:$AB,MATCH($A27,'HY &amp; Segments'!$A:$A,0),MATCH("2H"&amp;RIGHT(L$1,2),'HY &amp; Segments'!$3:$3,0))</f>
        <v/>
      </c>
      <c r="M27" s="4">
        <f>INDEX('HY &amp; Segments'!$A:$AB,MATCH($A27,'HY &amp; Segments'!$A:$A,0),MATCH("1H"&amp;RIGHT(M$1,2),'HY &amp; Segments'!$3:$3,0))+INDEX('HY &amp; Segments'!$A:$AB,MATCH($A27,'HY &amp; Segments'!$A:$A,0),MATCH("2H"&amp;RIGHT(M$1,2),'HY &amp; Segments'!$3:$3,0))</f>
        <v/>
      </c>
      <c r="N27" s="4">
        <f>INDEX('HY &amp; Segments'!$A:$AB,MATCH($A27,'HY &amp; Segments'!$A:$A,0),MATCH("1H"&amp;RIGHT(N$1,2),'HY &amp; Segments'!$3:$3,0))+INDEX('HY &amp; Segments'!$A:$AB,MATCH($A27,'HY &amp; Segments'!$A:$A,0),MATCH("2H"&amp;RIGHT(N$1,2),'HY &amp; Segments'!$3:$3,0))</f>
        <v/>
      </c>
      <c r="O27" s="4">
        <f>INDEX('HY &amp; Segments'!$A:$AB,MATCH($A27,'HY &amp; Segments'!$A:$A,0),MATCH("1H"&amp;RIGHT(O$1,2),'HY &amp; Segments'!$3:$3,0))+INDEX('HY &amp; Segments'!$A:$AB,MATCH($A27,'HY &amp; Segments'!$A:$A,0),MATCH("2H"&amp;RIGHT(O$1,2),'HY &amp; Segments'!$3:$3,0))</f>
        <v/>
      </c>
      <c r="P27" s="4">
        <f>INDEX('HY &amp; Segments'!$A:$AB,MATCH($A27,'HY &amp; Segments'!$A:$A,0),MATCH("1H"&amp;RIGHT(P$1,2),'HY &amp; Segments'!$3:$3,0))+INDEX('HY &amp; Segments'!$A:$AB,MATCH($A27,'HY &amp; Segments'!$A:$A,0),MATCH("2H"&amp;RIGHT(P$1,2),'HY &amp; Segments'!$3:$3,0))</f>
        <v/>
      </c>
    </row>
    <row r="28">
      <c r="A28" t="inlineStr">
        <is>
          <t>OPEX-Total OpEx</t>
        </is>
      </c>
      <c r="B28" s="72" t="inlineStr">
        <is>
          <t>Total Expenses</t>
        </is>
      </c>
      <c r="C28" s="72" t="inlineStr">
        <is>
          <t>AUDm</t>
        </is>
      </c>
      <c r="D28" s="73">
        <f>SUM(D23:D27)</f>
        <v/>
      </c>
      <c r="E28" s="73">
        <f>SUM(E23:E27)</f>
        <v/>
      </c>
      <c r="F28" s="73">
        <f>SUM(F23:F27)</f>
        <v/>
      </c>
      <c r="G28" s="73">
        <f>SUM(G23:G27)</f>
        <v/>
      </c>
      <c r="H28" s="73">
        <f>SUM(H23:H27)</f>
        <v/>
      </c>
      <c r="I28" s="73">
        <f>SUM(I23:I27)</f>
        <v/>
      </c>
      <c r="J28" s="73">
        <f>SUM(J23:J27)</f>
        <v/>
      </c>
      <c r="K28" s="73">
        <f>SUM(K23:K27)</f>
        <v/>
      </c>
      <c r="L28" s="73">
        <f>SUM(L23:L27)</f>
        <v/>
      </c>
      <c r="M28" s="73">
        <f>SUM(M23:M27)</f>
        <v/>
      </c>
      <c r="N28" s="73">
        <f>SUM(N23:N27)</f>
        <v/>
      </c>
      <c r="O28" s="73">
        <f>SUM(O23:O27)</f>
        <v/>
      </c>
      <c r="P28" s="73">
        <f>SUM(P23:P27)</f>
        <v/>
      </c>
    </row>
    <row r="29">
      <c r="B29" s="70" t="inlineStr">
        <is>
          <t>Expense Growth</t>
        </is>
      </c>
      <c r="C29" t="inlineStr">
        <is>
          <t>% YoY</t>
        </is>
      </c>
      <c r="D29" s="31" t="n"/>
      <c r="E29" s="31">
        <f>IF(D28=0,"",E28/D28-1)</f>
        <v/>
      </c>
      <c r="F29" s="31">
        <f>IF(E28=0,"",F28/E28-1)</f>
        <v/>
      </c>
      <c r="G29" s="6">
        <f>IF(F28=0,"",G28/F28-1)</f>
        <v/>
      </c>
      <c r="H29" s="6">
        <f>IF(G28=0,"",H28/G28-1)</f>
        <v/>
      </c>
      <c r="I29" s="6">
        <f>IF(H28=0,"",I28/H28-1)</f>
        <v/>
      </c>
      <c r="J29" s="6">
        <f>IF(I28=0,"",J28/I28-1)</f>
        <v/>
      </c>
      <c r="K29" s="6">
        <f>IF(J28=0,"",K28/J28-1)</f>
        <v/>
      </c>
      <c r="L29" s="6">
        <f>IF(K28=0,"",L28/K28-1)</f>
        <v/>
      </c>
      <c r="M29" s="6">
        <f>IF(L28=0,"",M28/L28-1)</f>
        <v/>
      </c>
      <c r="N29" s="6">
        <f>IF(M28=0,"",N28/M28-1)</f>
        <v/>
      </c>
      <c r="O29" s="6">
        <f>IF(N28=0,"",O28/N28-1)</f>
        <v/>
      </c>
      <c r="P29" s="6">
        <f>IF(O28=0,"",P28/O28-1)</f>
        <v/>
      </c>
    </row>
    <row r="30">
      <c r="B30" s="70" t="n"/>
      <c r="D30" s="19" t="n"/>
      <c r="E30" s="19" t="n"/>
      <c r="F30" s="19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>
      <c r="B31" s="75" t="inlineStr">
        <is>
          <t>EBITDA</t>
        </is>
      </c>
      <c r="C31" s="75" t="n"/>
      <c r="D31" s="76" t="n"/>
      <c r="E31" s="76" t="n"/>
      <c r="F31" s="76" t="n"/>
      <c r="G31" s="76" t="n"/>
      <c r="H31" s="76" t="n"/>
      <c r="I31" s="76" t="n"/>
      <c r="J31" s="76" t="n"/>
      <c r="K31" s="76" t="n"/>
      <c r="L31" s="76" t="n"/>
      <c r="M31" s="76" t="n"/>
      <c r="N31" s="76" t="n"/>
      <c r="O31" s="76" t="n"/>
      <c r="P31" s="76" t="n"/>
    </row>
    <row r="32">
      <c r="A32" t="inlineStr">
        <is>
          <t>EBITDA-AU Segment</t>
        </is>
      </c>
      <c r="B32" s="70" t="inlineStr">
        <is>
          <t>AU Segment Underlying EBITDA</t>
        </is>
      </c>
      <c r="C32" t="inlineStr">
        <is>
          <t>AUDm</t>
        </is>
      </c>
      <c r="D32" s="4" t="n">
        <v>33.306</v>
      </c>
      <c r="E32" s="4" t="n">
        <v>47.536</v>
      </c>
      <c r="F32" s="4" t="n">
        <v>66.029</v>
      </c>
      <c r="G32" s="4">
        <f>INDEX('HY &amp; Segments'!$A:$AB,MATCH($A32,'HY &amp; Segments'!$A:$A,0),MATCH("1H"&amp;RIGHT(G$1,2),'HY &amp; Segments'!$3:$3,0))+INDEX('HY &amp; Segments'!$A:$AB,MATCH($A32,'HY &amp; Segments'!$A:$A,0),MATCH("2H"&amp;RIGHT(G$1,2),'HY &amp; Segments'!$3:$3,0))</f>
        <v/>
      </c>
      <c r="H32" s="4">
        <f>INDEX('HY &amp; Segments'!$A:$AB,MATCH($A32,'HY &amp; Segments'!$A:$A,0),MATCH("1H"&amp;RIGHT(H$1,2),'HY &amp; Segments'!$3:$3,0))+INDEX('HY &amp; Segments'!$A:$AB,MATCH($A32,'HY &amp; Segments'!$A:$A,0),MATCH("2H"&amp;RIGHT(H$1,2),'HY &amp; Segments'!$3:$3,0))</f>
        <v/>
      </c>
      <c r="I32" s="4">
        <f>INDEX('HY &amp; Segments'!$A:$AB,MATCH($A32,'HY &amp; Segments'!$A:$A,0),MATCH("1H"&amp;RIGHT(I$1,2),'HY &amp; Segments'!$3:$3,0))+INDEX('HY &amp; Segments'!$A:$AB,MATCH($A32,'HY &amp; Segments'!$A:$A,0),MATCH("2H"&amp;RIGHT(I$1,2),'HY &amp; Segments'!$3:$3,0))</f>
        <v/>
      </c>
      <c r="J32" s="4">
        <f>INDEX('HY &amp; Segments'!$A:$AB,MATCH($A32,'HY &amp; Segments'!$A:$A,0),MATCH("1H"&amp;RIGHT(J$1,2),'HY &amp; Segments'!$3:$3,0))+INDEX('HY &amp; Segments'!$A:$AB,MATCH($A32,'HY &amp; Segments'!$A:$A,0),MATCH("2H"&amp;RIGHT(J$1,2),'HY &amp; Segments'!$3:$3,0))</f>
        <v/>
      </c>
      <c r="K32" s="4">
        <f>INDEX('HY &amp; Segments'!$A:$AB,MATCH($A32,'HY &amp; Segments'!$A:$A,0),MATCH("1H"&amp;RIGHT(K$1,2),'HY &amp; Segments'!$3:$3,0))+INDEX('HY &amp; Segments'!$A:$AB,MATCH($A32,'HY &amp; Segments'!$A:$A,0),MATCH("2H"&amp;RIGHT(K$1,2),'HY &amp; Segments'!$3:$3,0))</f>
        <v/>
      </c>
      <c r="L32" s="4">
        <f>INDEX('HY &amp; Segments'!$A:$AB,MATCH($A32,'HY &amp; Segments'!$A:$A,0),MATCH("1H"&amp;RIGHT(L$1,2),'HY &amp; Segments'!$3:$3,0))+INDEX('HY &amp; Segments'!$A:$AB,MATCH($A32,'HY &amp; Segments'!$A:$A,0),MATCH("2H"&amp;RIGHT(L$1,2),'HY &amp; Segments'!$3:$3,0))</f>
        <v/>
      </c>
      <c r="M32" s="4">
        <f>INDEX('HY &amp; Segments'!$A:$AB,MATCH($A32,'HY &amp; Segments'!$A:$A,0),MATCH("1H"&amp;RIGHT(M$1,2),'HY &amp; Segments'!$3:$3,0))+INDEX('HY &amp; Segments'!$A:$AB,MATCH($A32,'HY &amp; Segments'!$A:$A,0),MATCH("2H"&amp;RIGHT(M$1,2),'HY &amp; Segments'!$3:$3,0))</f>
        <v/>
      </c>
      <c r="N32" s="4">
        <f>INDEX('HY &amp; Segments'!$A:$AB,MATCH($A32,'HY &amp; Segments'!$A:$A,0),MATCH("1H"&amp;RIGHT(N$1,2),'HY &amp; Segments'!$3:$3,0))+INDEX('HY &amp; Segments'!$A:$AB,MATCH($A32,'HY &amp; Segments'!$A:$A,0),MATCH("2H"&amp;RIGHT(N$1,2),'HY &amp; Segments'!$3:$3,0))</f>
        <v/>
      </c>
      <c r="O32" s="4">
        <f>INDEX('HY &amp; Segments'!$A:$AB,MATCH($A32,'HY &amp; Segments'!$A:$A,0),MATCH("1H"&amp;RIGHT(O$1,2),'HY &amp; Segments'!$3:$3,0))+INDEX('HY &amp; Segments'!$A:$AB,MATCH($A32,'HY &amp; Segments'!$A:$A,0),MATCH("2H"&amp;RIGHT(O$1,2),'HY &amp; Segments'!$3:$3,0))</f>
        <v/>
      </c>
      <c r="P32" s="4">
        <f>INDEX('HY &amp; Segments'!$A:$AB,MATCH($A32,'HY &amp; Segments'!$A:$A,0),MATCH("1H"&amp;RIGHT(P$1,2),'HY &amp; Segments'!$3:$3,0))+INDEX('HY &amp; Segments'!$A:$AB,MATCH($A32,'HY &amp; Segments'!$A:$A,0),MATCH("2H"&amp;RIGHT(P$1,2),'HY &amp; Segments'!$3:$3,0))</f>
        <v/>
      </c>
    </row>
    <row r="33">
      <c r="A33" t="inlineStr">
        <is>
          <t>EBITDA-US Segment</t>
        </is>
      </c>
      <c r="B33" s="70" t="inlineStr">
        <is>
          <t>US Segment Underlying EBITDA</t>
        </is>
      </c>
      <c r="C33" t="inlineStr">
        <is>
          <t>AUDm</t>
        </is>
      </c>
      <c r="D33" s="4" t="n">
        <v>-4.296</v>
      </c>
      <c r="E33" s="4" t="n">
        <v>-6.544</v>
      </c>
      <c r="F33" s="4" t="n">
        <v>-13.223</v>
      </c>
      <c r="G33" s="4">
        <f>INDEX('HY &amp; Segments'!$A:$AB,MATCH($A33,'HY &amp; Segments'!$A:$A,0),MATCH("1H"&amp;RIGHT(G$1,2),'HY &amp; Segments'!$3:$3,0))+INDEX('HY &amp; Segments'!$A:$AB,MATCH($A33,'HY &amp; Segments'!$A:$A,0),MATCH("2H"&amp;RIGHT(G$1,2),'HY &amp; Segments'!$3:$3,0))</f>
        <v/>
      </c>
      <c r="H33" s="4">
        <f>INDEX('HY &amp; Segments'!$A:$AB,MATCH($A33,'HY &amp; Segments'!$A:$A,0),MATCH("1H"&amp;RIGHT(H$1,2),'HY &amp; Segments'!$3:$3,0))+INDEX('HY &amp; Segments'!$A:$AB,MATCH($A33,'HY &amp; Segments'!$A:$A,0),MATCH("2H"&amp;RIGHT(H$1,2),'HY &amp; Segments'!$3:$3,0))</f>
        <v/>
      </c>
      <c r="I33" s="4">
        <f>INDEX('HY &amp; Segments'!$A:$AB,MATCH($A33,'HY &amp; Segments'!$A:$A,0),MATCH("1H"&amp;RIGHT(I$1,2),'HY &amp; Segments'!$3:$3,0))+INDEX('HY &amp; Segments'!$A:$AB,MATCH($A33,'HY &amp; Segments'!$A:$A,0),MATCH("2H"&amp;RIGHT(I$1,2),'HY &amp; Segments'!$3:$3,0))</f>
        <v/>
      </c>
      <c r="J33" s="4">
        <f>INDEX('HY &amp; Segments'!$A:$AB,MATCH($A33,'HY &amp; Segments'!$A:$A,0),MATCH("1H"&amp;RIGHT(J$1,2),'HY &amp; Segments'!$3:$3,0))+INDEX('HY &amp; Segments'!$A:$AB,MATCH($A33,'HY &amp; Segments'!$A:$A,0),MATCH("2H"&amp;RIGHT(J$1,2),'HY &amp; Segments'!$3:$3,0))</f>
        <v/>
      </c>
      <c r="K33" s="4">
        <f>INDEX('HY &amp; Segments'!$A:$AB,MATCH($A33,'HY &amp; Segments'!$A:$A,0),MATCH("1H"&amp;RIGHT(K$1,2),'HY &amp; Segments'!$3:$3,0))+INDEX('HY &amp; Segments'!$A:$AB,MATCH($A33,'HY &amp; Segments'!$A:$A,0),MATCH("2H"&amp;RIGHT(K$1,2),'HY &amp; Segments'!$3:$3,0))</f>
        <v/>
      </c>
      <c r="L33" s="4">
        <f>INDEX('HY &amp; Segments'!$A:$AB,MATCH($A33,'HY &amp; Segments'!$A:$A,0),MATCH("1H"&amp;RIGHT(L$1,2),'HY &amp; Segments'!$3:$3,0))+INDEX('HY &amp; Segments'!$A:$AB,MATCH($A33,'HY &amp; Segments'!$A:$A,0),MATCH("2H"&amp;RIGHT(L$1,2),'HY &amp; Segments'!$3:$3,0))</f>
        <v/>
      </c>
      <c r="M33" s="4">
        <f>INDEX('HY &amp; Segments'!$A:$AB,MATCH($A33,'HY &amp; Segments'!$A:$A,0),MATCH("1H"&amp;RIGHT(M$1,2),'HY &amp; Segments'!$3:$3,0))+INDEX('HY &amp; Segments'!$A:$AB,MATCH($A33,'HY &amp; Segments'!$A:$A,0),MATCH("2H"&amp;RIGHT(M$1,2),'HY &amp; Segments'!$3:$3,0))</f>
        <v/>
      </c>
      <c r="N33" s="4">
        <f>INDEX('HY &amp; Segments'!$A:$AB,MATCH($A33,'HY &amp; Segments'!$A:$A,0),MATCH("1H"&amp;RIGHT(N$1,2),'HY &amp; Segments'!$3:$3,0))+INDEX('HY &amp; Segments'!$A:$AB,MATCH($A33,'HY &amp; Segments'!$A:$A,0),MATCH("2H"&amp;RIGHT(N$1,2),'HY &amp; Segments'!$3:$3,0))</f>
        <v/>
      </c>
      <c r="O33" s="4">
        <f>INDEX('HY &amp; Segments'!$A:$AB,MATCH($A33,'HY &amp; Segments'!$A:$A,0),MATCH("1H"&amp;RIGHT(O$1,2),'HY &amp; Segments'!$3:$3,0))+INDEX('HY &amp; Segments'!$A:$AB,MATCH($A33,'HY &amp; Segments'!$A:$A,0),MATCH("2H"&amp;RIGHT(O$1,2),'HY &amp; Segments'!$3:$3,0))</f>
        <v/>
      </c>
      <c r="P33" s="4">
        <f>INDEX('HY &amp; Segments'!$A:$AB,MATCH($A33,'HY &amp; Segments'!$A:$A,0),MATCH("1H"&amp;RIGHT(P$1,2),'HY &amp; Segments'!$3:$3,0))+INDEX('HY &amp; Segments'!$A:$AB,MATCH($A33,'HY &amp; Segments'!$A:$A,0),MATCH("2H"&amp;RIGHT(P$1,2),'HY &amp; Segments'!$3:$3,0))</f>
        <v/>
      </c>
    </row>
    <row r="34">
      <c r="B34" s="70" t="n"/>
    </row>
    <row r="35">
      <c r="B35" s="70" t="n"/>
      <c r="D35" s="19" t="n"/>
      <c r="E35" s="19" t="n"/>
      <c r="F35" s="19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B36" s="70" t="n"/>
      <c r="D36" s="19" t="n"/>
      <c r="E36" s="19" t="n"/>
      <c r="F36" s="19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>
      <c r="B37" s="70" t="n"/>
      <c r="D37" s="19" t="n"/>
      <c r="E37" s="19" t="n"/>
      <c r="F37" s="19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t="inlineStr">
        <is>
          <t>EBITDA-Underlying EBITDA</t>
        </is>
      </c>
      <c r="B38" s="72" t="inlineStr">
        <is>
          <t>Group Segment Underlying EBITDA</t>
        </is>
      </c>
      <c r="C38" s="72" t="inlineStr">
        <is>
          <t>AUDm</t>
        </is>
      </c>
      <c r="D38" s="73">
        <f>D32+D33</f>
        <v/>
      </c>
      <c r="E38" s="73">
        <f>E32+E33</f>
        <v/>
      </c>
      <c r="F38" s="73">
        <f>F32+F33</f>
        <v/>
      </c>
      <c r="G38" s="73">
        <f>G32+G33</f>
        <v/>
      </c>
      <c r="H38" s="73">
        <f>H32+H33</f>
        <v/>
      </c>
      <c r="I38" s="73">
        <f>I32+I33</f>
        <v/>
      </c>
      <c r="J38" s="73">
        <f>J32+J33</f>
        <v/>
      </c>
      <c r="K38" s="73">
        <f>K32+K33</f>
        <v/>
      </c>
      <c r="L38" s="73">
        <f>L32+L33</f>
        <v/>
      </c>
      <c r="M38" s="73">
        <f>M32+M33</f>
        <v/>
      </c>
      <c r="N38" s="73">
        <f>N32+N33</f>
        <v/>
      </c>
      <c r="O38" s="73">
        <f>O32+O33</f>
        <v/>
      </c>
      <c r="P38" s="73">
        <f>P32+P33</f>
        <v/>
      </c>
    </row>
    <row r="39">
      <c r="B39" s="70" t="inlineStr">
        <is>
          <t>EBITDA Growth</t>
        </is>
      </c>
      <c r="C39" t="inlineStr">
        <is>
          <t>% YoY</t>
        </is>
      </c>
      <c r="D39" s="6" t="n"/>
      <c r="E39" s="6">
        <f>IF(D38=0,"",E38/D38-1)</f>
        <v/>
      </c>
      <c r="F39" s="6">
        <f>IF(E38=0,"",F38/E38-1)</f>
        <v/>
      </c>
      <c r="G39" s="6">
        <f>IF(F38=0,"",G38/F38-1)</f>
        <v/>
      </c>
      <c r="H39" s="6">
        <f>IF(G38=0,"",H38/G38-1)</f>
        <v/>
      </c>
      <c r="I39" s="6">
        <f>IF(H38=0,"",I38/H38-1)</f>
        <v/>
      </c>
      <c r="J39" s="6">
        <f>IF(I38=0,"",J38/I38-1)</f>
        <v/>
      </c>
      <c r="K39" s="6">
        <f>IF(J38=0,"",K38/J38-1)</f>
        <v/>
      </c>
      <c r="L39" s="6">
        <f>IF(K38=0,"",L38/K38-1)</f>
        <v/>
      </c>
      <c r="M39" s="6">
        <f>IF(L38=0,"",M38/L38-1)</f>
        <v/>
      </c>
      <c r="N39" s="6">
        <f>IF(M38=0,"",N38/M38-1)</f>
        <v/>
      </c>
      <c r="O39" s="6">
        <f>IF(N38=0,"",O38/N38-1)</f>
        <v/>
      </c>
      <c r="P39" s="6">
        <f>IF(O38=0,"",P38/O38-1)</f>
        <v/>
      </c>
    </row>
    <row r="40">
      <c r="B40" s="70" t="inlineStr">
        <is>
          <t>EBITDA Margin</t>
        </is>
      </c>
      <c r="C40" t="inlineStr">
        <is>
          <t>%</t>
        </is>
      </c>
      <c r="D40" s="6">
        <f>IF(D11=0,"",D38/D11)</f>
        <v/>
      </c>
      <c r="E40" s="6">
        <f>IF(E11=0,"",E38/E11)</f>
        <v/>
      </c>
      <c r="F40" s="6">
        <f>IF(F11=0,"",F38/F11)</f>
        <v/>
      </c>
      <c r="G40" s="6">
        <f>IF(G11=0,"",G38/G11)</f>
        <v/>
      </c>
      <c r="H40" s="6">
        <f>IF(H11=0,"",H38/H11)</f>
        <v/>
      </c>
      <c r="I40" s="6">
        <f>IF(I11=0,"",I38/I11)</f>
        <v/>
      </c>
      <c r="J40" s="6">
        <f>IF(J11=0,"",J38/J11)</f>
        <v/>
      </c>
      <c r="K40" s="6">
        <f>IF(K11=0,"",K38/K11)</f>
        <v/>
      </c>
      <c r="L40" s="6">
        <f>IF(L11=0,"",L38/L11)</f>
        <v/>
      </c>
      <c r="M40" s="6">
        <f>IF(M11=0,"",M38/M11)</f>
        <v/>
      </c>
      <c r="N40" s="6">
        <f>IF(N11=0,"",N38/N11)</f>
        <v/>
      </c>
      <c r="O40" s="6">
        <f>IF(O11=0,"",O38/O11)</f>
        <v/>
      </c>
      <c r="P40" s="6">
        <f>IF(P11=0,"",P38/P11)</f>
        <v/>
      </c>
    </row>
    <row r="41">
      <c r="B41" s="70" t="n"/>
    </row>
    <row r="42">
      <c r="B42" s="5" t="inlineStr">
        <is>
          <t>Statutory EBITDA Adjustments</t>
        </is>
      </c>
    </row>
    <row r="43">
      <c r="A43" t="inlineStr">
        <is>
          <t>Stat-SBP</t>
        </is>
      </c>
      <c r="B43" t="inlineStr">
        <is>
          <t>SBP &amp; Other Adjustments</t>
        </is>
      </c>
      <c r="C43" t="inlineStr">
        <is>
          <t>AUDm</t>
        </is>
      </c>
      <c r="D43" s="19" t="n">
        <v>-4.24</v>
      </c>
      <c r="E43" s="19" t="n">
        <v>-30.802</v>
      </c>
      <c r="F43" s="19" t="n">
        <v>-6.16</v>
      </c>
      <c r="G43" s="40">
        <f>F43</f>
        <v/>
      </c>
      <c r="H43" s="40">
        <f>G43</f>
        <v/>
      </c>
      <c r="I43" s="40">
        <f>H43</f>
        <v/>
      </c>
      <c r="J43" s="40">
        <f>I43</f>
        <v/>
      </c>
      <c r="K43" s="40">
        <f>J43</f>
        <v/>
      </c>
      <c r="L43" s="40">
        <f>K43</f>
        <v/>
      </c>
      <c r="M43" s="40">
        <f>L43</f>
        <v/>
      </c>
      <c r="N43" s="40">
        <f>M43</f>
        <v/>
      </c>
      <c r="O43" s="40">
        <f>N43</f>
        <v/>
      </c>
      <c r="P43" s="40">
        <f>O43</f>
        <v/>
      </c>
    </row>
    <row r="44">
      <c r="A44" t="inlineStr">
        <is>
          <t>Stat-Cash Rent</t>
        </is>
      </c>
      <c r="B44" t="inlineStr">
        <is>
          <t>Cash Rent Addback</t>
        </is>
      </c>
      <c r="C44" t="inlineStr">
        <is>
          <t>AUDm</t>
        </is>
      </c>
      <c r="D44" s="19" t="n">
        <v>4.851</v>
      </c>
      <c r="E44" s="19" t="n">
        <v>17.084</v>
      </c>
      <c r="F44" s="19" t="n">
        <v>18.473</v>
      </c>
      <c r="G44" s="4">
        <f>F44*1.10</f>
        <v/>
      </c>
      <c r="H44" s="4">
        <f>G44*1.10</f>
        <v/>
      </c>
      <c r="I44" s="4">
        <f>H44*1.10</f>
        <v/>
      </c>
      <c r="J44" s="4">
        <f>I44*1.10</f>
        <v/>
      </c>
      <c r="K44" s="4">
        <f>J44*1.10</f>
        <v/>
      </c>
      <c r="L44" s="4">
        <f>K44*1.10</f>
        <v/>
      </c>
      <c r="M44" s="4">
        <f>L44*1.10</f>
        <v/>
      </c>
      <c r="N44" s="4">
        <f>M44*1.10</f>
        <v/>
      </c>
      <c r="O44" s="4">
        <f>N44*1.10</f>
        <v/>
      </c>
      <c r="P44" s="4">
        <f>O44*1.10</f>
        <v/>
      </c>
    </row>
    <row r="45">
      <c r="A45" t="inlineStr">
        <is>
          <t>Stat-Statutory EBITDA</t>
        </is>
      </c>
      <c r="B45" s="20" t="inlineStr">
        <is>
          <t>Statutory EBITDA</t>
        </is>
      </c>
      <c r="C45" s="20" t="inlineStr">
        <is>
          <t>AUDm</t>
        </is>
      </c>
      <c r="D45" s="21">
        <f>D38+D43+D44</f>
        <v/>
      </c>
      <c r="E45" s="21">
        <f>E38+E43+E44</f>
        <v/>
      </c>
      <c r="F45" s="21">
        <f>F38+F43+F44</f>
        <v/>
      </c>
      <c r="G45" s="21">
        <f>G38+G43+G44</f>
        <v/>
      </c>
      <c r="H45" s="21">
        <f>H38+H43+H44</f>
        <v/>
      </c>
      <c r="I45" s="21">
        <f>I38+I43+I44</f>
        <v/>
      </c>
      <c r="J45" s="21">
        <f>J38+J43+J44</f>
        <v/>
      </c>
      <c r="K45" s="21">
        <f>K38+K43+K44</f>
        <v/>
      </c>
      <c r="L45" s="21">
        <f>L38+L43+L44</f>
        <v/>
      </c>
      <c r="M45" s="21">
        <f>M38+M43+M44</f>
        <v/>
      </c>
      <c r="N45" s="21">
        <f>N38+N43+N44</f>
        <v/>
      </c>
      <c r="O45" s="21">
        <f>O38+O43+O44</f>
        <v/>
      </c>
      <c r="P45" s="21">
        <f>P38+P43+P44</f>
        <v/>
      </c>
    </row>
    <row r="47">
      <c r="B47" s="5" t="inlineStr">
        <is>
          <t>D&amp;A</t>
        </is>
      </c>
    </row>
    <row r="48">
      <c r="A48" t="inlineStr">
        <is>
          <t>DA-Depreciation PPE</t>
        </is>
      </c>
      <c r="B48" t="inlineStr">
        <is>
          <t>PPE Depr &amp; Intangible Amort</t>
        </is>
      </c>
      <c r="C48" t="inlineStr">
        <is>
          <t>AUDm</t>
        </is>
      </c>
      <c r="D48" s="19" t="n">
        <v>-15.223</v>
      </c>
      <c r="E48" s="19" t="n">
        <v>-19.876</v>
      </c>
      <c r="F48" s="19" t="n">
        <v>-25.807</v>
      </c>
      <c r="G48" s="4">
        <f>IF(F11=0,F48,F48*G11/F11)</f>
        <v/>
      </c>
      <c r="H48" s="4">
        <f>IF(G11=0,G48,G48*H11/G11)</f>
        <v/>
      </c>
      <c r="I48" s="4">
        <f>IF(H11=0,H48,H48*I11/H11)</f>
        <v/>
      </c>
      <c r="J48" s="4">
        <f>IF(I11=0,I48,I48*J11/I11)</f>
        <v/>
      </c>
      <c r="K48" s="4">
        <f>IF(J11=0,J48,J48*K11/J11)</f>
        <v/>
      </c>
      <c r="L48" s="4">
        <f>IF(K11=0,K48,K48*L11/K11)</f>
        <v/>
      </c>
      <c r="M48" s="4">
        <f>IF(L11=0,L48,L48*M11/L11)</f>
        <v/>
      </c>
      <c r="N48" s="4">
        <f>IF(M11=0,M48,M48*N11/M11)</f>
        <v/>
      </c>
      <c r="O48" s="4">
        <f>IF(N11=0,N48,N48*O11/N11)</f>
        <v/>
      </c>
      <c r="P48" s="4">
        <f>IF(O11=0,O48,O48*P11/O11)</f>
        <v/>
      </c>
    </row>
    <row r="49">
      <c r="A49" t="inlineStr">
        <is>
          <t>DA-ROU Depreciation</t>
        </is>
      </c>
      <c r="B49" t="inlineStr">
        <is>
          <t>ROU Asset Depreciation</t>
        </is>
      </c>
      <c r="C49" t="inlineStr">
        <is>
          <t>AUDm</t>
        </is>
      </c>
      <c r="D49" s="19" t="n">
        <v>-10.332</v>
      </c>
      <c r="E49" s="19" t="n">
        <v>-11.247</v>
      </c>
      <c r="F49" s="19" t="n">
        <v>-13.874</v>
      </c>
      <c r="G49" s="4">
        <f>IF(F11=0,F49,F49*G11/F11)</f>
        <v/>
      </c>
      <c r="H49" s="4">
        <f>IF(G11=0,G49,G49*H11/G11)</f>
        <v/>
      </c>
      <c r="I49" s="4">
        <f>IF(H11=0,H49,H49*I11/H11)</f>
        <v/>
      </c>
      <c r="J49" s="4">
        <f>IF(I11=0,I49,I49*J11/I11)</f>
        <v/>
      </c>
      <c r="K49" s="4">
        <f>IF(J11=0,J49,J49*K11/J11)</f>
        <v/>
      </c>
      <c r="L49" s="4">
        <f>IF(K11=0,K49,K49*L11/K11)</f>
        <v/>
      </c>
      <c r="M49" s="4">
        <f>IF(L11=0,L49,L49*M11/L11)</f>
        <v/>
      </c>
      <c r="N49" s="4">
        <f>IF(M11=0,M49,M49*N11/M11)</f>
        <v/>
      </c>
      <c r="O49" s="4">
        <f>IF(N11=0,N49,N49*O11/N11)</f>
        <v/>
      </c>
      <c r="P49" s="4">
        <f>IF(O11=0,O49,O49*P11/O11)</f>
        <v/>
      </c>
    </row>
    <row r="50">
      <c r="A50" t="inlineStr">
        <is>
          <t>DA-Total DA</t>
        </is>
      </c>
      <c r="B50" s="20" t="inlineStr">
        <is>
          <t>Total D&amp;A</t>
        </is>
      </c>
      <c r="C50" s="20" t="inlineStr">
        <is>
          <t>AUDm</t>
        </is>
      </c>
      <c r="D50" s="21">
        <f>D48+D49</f>
        <v/>
      </c>
      <c r="E50" s="21">
        <f>E48+E49</f>
        <v/>
      </c>
      <c r="F50" s="21">
        <f>F48+F49</f>
        <v/>
      </c>
      <c r="G50" s="21">
        <f>G48+G49</f>
        <v/>
      </c>
      <c r="H50" s="21">
        <f>H48+H49</f>
        <v/>
      </c>
      <c r="I50" s="21">
        <f>I48+I49</f>
        <v/>
      </c>
      <c r="J50" s="21">
        <f>J48+J49</f>
        <v/>
      </c>
      <c r="K50" s="21">
        <f>K48+K49</f>
        <v/>
      </c>
      <c r="L50" s="21">
        <f>L48+L49</f>
        <v/>
      </c>
      <c r="M50" s="21">
        <f>M48+M49</f>
        <v/>
      </c>
      <c r="N50" s="21">
        <f>N48+N49</f>
        <v/>
      </c>
      <c r="O50" s="21">
        <f>O48+O49</f>
        <v/>
      </c>
      <c r="P50" s="21">
        <f>P48+P49</f>
        <v/>
      </c>
    </row>
    <row r="51">
      <c r="B51" t="inlineStr">
        <is>
          <t>D&amp;A / Revenue</t>
        </is>
      </c>
      <c r="C51" t="inlineStr">
        <is>
          <t>%</t>
        </is>
      </c>
      <c r="D51" s="6">
        <f>IF(D11=0,"",D50/D11)</f>
        <v/>
      </c>
      <c r="E51" s="6">
        <f>IF(E11=0,"",E50/E11)</f>
        <v/>
      </c>
      <c r="F51" s="6">
        <f>IF(F11=0,"",F50/F11)</f>
        <v/>
      </c>
      <c r="G51" s="6">
        <f>IF(G11=0,"",G50/G11)</f>
        <v/>
      </c>
      <c r="H51" s="6">
        <f>IF(H11=0,"",H50/H11)</f>
        <v/>
      </c>
      <c r="I51" s="6">
        <f>IF(I11=0,"",I50/I11)</f>
        <v/>
      </c>
      <c r="J51" s="6">
        <f>IF(J11=0,"",J50/J11)</f>
        <v/>
      </c>
      <c r="K51" s="6">
        <f>IF(K11=0,"",K50/K11)</f>
        <v/>
      </c>
      <c r="L51" s="6">
        <f>IF(L11=0,"",L50/L11)</f>
        <v/>
      </c>
      <c r="M51" s="6">
        <f>IF(M11=0,"",M50/M11)</f>
        <v/>
      </c>
      <c r="N51" s="6">
        <f>IF(N11=0,"",N50/N11)</f>
        <v/>
      </c>
      <c r="O51" s="6">
        <f>IF(O11=0,"",O50/O11)</f>
        <v/>
      </c>
      <c r="P51" s="6">
        <f>IF(P11=0,"",P50/P11)</f>
        <v/>
      </c>
    </row>
    <row r="52">
      <c r="B52" s="62" t="inlineStr">
        <is>
          <t>Avg Lease Life</t>
        </is>
      </c>
      <c r="C52" s="62" t="inlineStr">
        <is>
          <t>years</t>
        </is>
      </c>
      <c r="D52" s="62" t="n"/>
      <c r="E52" s="63">
        <f>D115/(-E49)</f>
        <v/>
      </c>
      <c r="F52" s="63" t="n">
        <v>10</v>
      </c>
      <c r="G52" s="63">
        <f>F52</f>
        <v/>
      </c>
      <c r="H52" s="63">
        <f>G52</f>
        <v/>
      </c>
      <c r="I52" s="63">
        <f>H52</f>
        <v/>
      </c>
      <c r="J52" s="63">
        <f>I52</f>
        <v/>
      </c>
      <c r="K52" s="63">
        <f>J52</f>
        <v/>
      </c>
      <c r="L52" s="63">
        <f>K52</f>
        <v/>
      </c>
      <c r="M52" s="63">
        <f>L52</f>
        <v/>
      </c>
      <c r="N52" s="63">
        <f>M52</f>
        <v/>
      </c>
      <c r="O52" s="63">
        <f>N52</f>
        <v/>
      </c>
      <c r="P52" s="63">
        <f>O52</f>
        <v/>
      </c>
    </row>
    <row r="53">
      <c r="B53" s="5" t="inlineStr">
        <is>
          <t>EBIT</t>
        </is>
      </c>
    </row>
    <row r="54">
      <c r="A54" t="inlineStr">
        <is>
          <t>EBIT-Underlying EBIT</t>
        </is>
      </c>
      <c r="B54" s="20" t="inlineStr">
        <is>
          <t>Underlying EBIT</t>
        </is>
      </c>
      <c r="C54" s="20" t="inlineStr">
        <is>
          <t>AUDm</t>
        </is>
      </c>
      <c r="D54" s="21">
        <f>D38+D50</f>
        <v/>
      </c>
      <c r="E54" s="21">
        <f>E38+E50</f>
        <v/>
      </c>
      <c r="F54" s="21">
        <f>F38+F50</f>
        <v/>
      </c>
      <c r="G54" s="21">
        <f>G38+G50</f>
        <v/>
      </c>
      <c r="H54" s="21">
        <f>H38+H50</f>
        <v/>
      </c>
      <c r="I54" s="21">
        <f>I38+I50</f>
        <v/>
      </c>
      <c r="J54" s="21">
        <f>J38+J50</f>
        <v/>
      </c>
      <c r="K54" s="21">
        <f>K38+K50</f>
        <v/>
      </c>
      <c r="L54" s="21">
        <f>L38+L50</f>
        <v/>
      </c>
      <c r="M54" s="21">
        <f>M38+M50</f>
        <v/>
      </c>
      <c r="N54" s="21">
        <f>N38+N50</f>
        <v/>
      </c>
      <c r="O54" s="21">
        <f>O38+O50</f>
        <v/>
      </c>
      <c r="P54" s="21">
        <f>P38+P50</f>
        <v/>
      </c>
    </row>
    <row r="55">
      <c r="B55" t="inlineStr">
        <is>
          <t>EBIT Growth</t>
        </is>
      </c>
      <c r="C55" t="inlineStr">
        <is>
          <t>% YoY</t>
        </is>
      </c>
      <c r="D55" s="6" t="n"/>
      <c r="E55" s="6">
        <f>IF(D54=0,"",E54/D54-1)</f>
        <v/>
      </c>
      <c r="F55" s="6">
        <f>IF(E54=0,"",F54/E54-1)</f>
        <v/>
      </c>
      <c r="G55" s="6">
        <f>IF(F54=0,"",G54/F54-1)</f>
        <v/>
      </c>
      <c r="H55" s="6">
        <f>IF(G54=0,"",H54/G54-1)</f>
        <v/>
      </c>
      <c r="I55" s="6">
        <f>IF(H54=0,"",I54/H54-1)</f>
        <v/>
      </c>
      <c r="J55" s="6">
        <f>IF(I54=0,"",J54/I54-1)</f>
        <v/>
      </c>
      <c r="K55" s="6">
        <f>IF(J54=0,"",K54/J54-1)</f>
        <v/>
      </c>
      <c r="L55" s="6">
        <f>IF(K54=0,"",L54/K54-1)</f>
        <v/>
      </c>
      <c r="M55" s="6">
        <f>IF(L54=0,"",M54/L54-1)</f>
        <v/>
      </c>
      <c r="N55" s="6">
        <f>IF(M54=0,"",N54/M54-1)</f>
        <v/>
      </c>
      <c r="O55" s="6">
        <f>IF(N54=0,"",O54/N54-1)</f>
        <v/>
      </c>
      <c r="P55" s="6">
        <f>IF(O54=0,"",P54/O54-1)</f>
        <v/>
      </c>
    </row>
    <row r="56">
      <c r="B56" t="inlineStr">
        <is>
          <t>EBIT Margin</t>
        </is>
      </c>
      <c r="C56" t="inlineStr">
        <is>
          <t>%</t>
        </is>
      </c>
      <c r="D56" s="6">
        <f>IF(D11=0,"",D54/D11)</f>
        <v/>
      </c>
      <c r="E56" s="6">
        <f>IF(E11=0,"",E54/E11)</f>
        <v/>
      </c>
      <c r="F56" s="6">
        <f>IF(F11=0,"",F54/F11)</f>
        <v/>
      </c>
      <c r="G56" s="6">
        <f>IF(G11=0,"",G54/G11)</f>
        <v/>
      </c>
      <c r="H56" s="6">
        <f>IF(H11=0,"",H54/H11)</f>
        <v/>
      </c>
      <c r="I56" s="6">
        <f>IF(I11=0,"",I54/I11)</f>
        <v/>
      </c>
      <c r="J56" s="6">
        <f>IF(J11=0,"",J54/J11)</f>
        <v/>
      </c>
      <c r="K56" s="6">
        <f>IF(K11=0,"",K54/K11)</f>
        <v/>
      </c>
      <c r="L56" s="6">
        <f>IF(L11=0,"",L54/L11)</f>
        <v/>
      </c>
      <c r="M56" s="6">
        <f>IF(M11=0,"",M54/M11)</f>
        <v/>
      </c>
      <c r="N56" s="6">
        <f>IF(N11=0,"",N54/N11)</f>
        <v/>
      </c>
      <c r="O56" s="6">
        <f>IF(O11=0,"",O54/O11)</f>
        <v/>
      </c>
      <c r="P56" s="6">
        <f>IF(P11=0,"",P54/P11)</f>
        <v/>
      </c>
    </row>
    <row r="58">
      <c r="B58" s="5" t="inlineStr">
        <is>
          <t>Interest</t>
        </is>
      </c>
    </row>
    <row r="59">
      <c r="A59" t="inlineStr">
        <is>
          <t>Int-Interest Income</t>
        </is>
      </c>
      <c r="B59" t="inlineStr">
        <is>
          <t>Finance Income</t>
        </is>
      </c>
      <c r="C59" t="inlineStr">
        <is>
          <t>AUDm</t>
        </is>
      </c>
      <c r="D59" s="19" t="n">
        <v>4.593</v>
      </c>
      <c r="E59" s="19" t="n">
        <v>6.012</v>
      </c>
      <c r="F59" s="19" t="n">
        <v>22.674</v>
      </c>
      <c r="G59" s="4">
        <f>(F110+G110)/2*G63</f>
        <v/>
      </c>
      <c r="H59" s="4">
        <f>(G110+H110)/2*H63</f>
        <v/>
      </c>
      <c r="I59" s="4">
        <f>(H110+I110)/2*I63</f>
        <v/>
      </c>
      <c r="J59" s="4">
        <f>(I110+J110)/2*J63</f>
        <v/>
      </c>
      <c r="K59" s="4">
        <f>(J110+K110)/2*K63</f>
        <v/>
      </c>
      <c r="L59" s="4">
        <f>(K110+L110)/2*L63</f>
        <v/>
      </c>
      <c r="M59" s="4">
        <f>(L110+M110)/2*M63</f>
        <v/>
      </c>
      <c r="N59" s="4">
        <f>(M110+N110)/2*N63</f>
        <v/>
      </c>
      <c r="O59" s="4">
        <f>(N110+O110)/2*O63</f>
        <v/>
      </c>
      <c r="P59" s="4">
        <f>(O110+P110)/2*P63</f>
        <v/>
      </c>
    </row>
    <row r="60">
      <c r="A60" t="inlineStr">
        <is>
          <t>Int-Lease Interest</t>
        </is>
      </c>
      <c r="B60" t="inlineStr">
        <is>
          <t>Interest on Lease Liabilities</t>
        </is>
      </c>
      <c r="C60" t="inlineStr">
        <is>
          <t>AUDm</t>
        </is>
      </c>
      <c r="D60" s="19" t="n">
        <v>-8.199</v>
      </c>
      <c r="E60" s="19" t="n">
        <v>-13.394</v>
      </c>
      <c r="F60" s="19" t="n">
        <v>-18.771</v>
      </c>
      <c r="G60" s="4">
        <f>-(F127+G127)/2*G64</f>
        <v/>
      </c>
      <c r="H60" s="4">
        <f>-(G127+H127)/2*H64</f>
        <v/>
      </c>
      <c r="I60" s="4">
        <f>-(H127+I127)/2*I64</f>
        <v/>
      </c>
      <c r="J60" s="4">
        <f>-(I127+J127)/2*J64</f>
        <v/>
      </c>
      <c r="K60" s="4">
        <f>-(J127+K127)/2*K64</f>
        <v/>
      </c>
      <c r="L60" s="4">
        <f>-(K127+L127)/2*L64</f>
        <v/>
      </c>
      <c r="M60" s="4">
        <f>-(L127+M127)/2*M64</f>
        <v/>
      </c>
      <c r="N60" s="4">
        <f>-(M127+N127)/2*N64</f>
        <v/>
      </c>
      <c r="O60" s="4">
        <f>-(N127+O127)/2*O64</f>
        <v/>
      </c>
      <c r="P60" s="4">
        <f>-(O127+P127)/2*P64</f>
        <v/>
      </c>
    </row>
    <row r="61">
      <c r="A61" t="inlineStr">
        <is>
          <t>Int-Bank Interest</t>
        </is>
      </c>
      <c r="B61" t="inlineStr">
        <is>
          <t>Other Finance Costs</t>
        </is>
      </c>
      <c r="C61" t="inlineStr">
        <is>
          <t>AUDm</t>
        </is>
      </c>
      <c r="D61" s="19" t="n">
        <v>-0.304</v>
      </c>
      <c r="E61" s="19" t="n">
        <v>-0.33</v>
      </c>
      <c r="F61" s="19" t="n">
        <v>-0.131</v>
      </c>
      <c r="G61" s="4">
        <f>F61</f>
        <v/>
      </c>
      <c r="H61" s="4">
        <f>G61</f>
        <v/>
      </c>
      <c r="I61" s="4">
        <f>H61</f>
        <v/>
      </c>
      <c r="J61" s="4">
        <f>I61</f>
        <v/>
      </c>
      <c r="K61" s="4">
        <f>J61</f>
        <v/>
      </c>
      <c r="L61" s="4">
        <f>K61</f>
        <v/>
      </c>
      <c r="M61" s="4">
        <f>L61</f>
        <v/>
      </c>
      <c r="N61" s="4">
        <f>M61</f>
        <v/>
      </c>
      <c r="O61" s="4">
        <f>N61</f>
        <v/>
      </c>
      <c r="P61" s="4">
        <f>O61</f>
        <v/>
      </c>
    </row>
    <row r="62">
      <c r="A62" t="inlineStr">
        <is>
          <t>Int-Net Finance Costs</t>
        </is>
      </c>
      <c r="B62" s="20" t="inlineStr">
        <is>
          <t>Net Finance Costs</t>
        </is>
      </c>
      <c r="C62" s="20" t="inlineStr">
        <is>
          <t>AUDm</t>
        </is>
      </c>
      <c r="D62" s="21">
        <f>SUM(D59:D61)</f>
        <v/>
      </c>
      <c r="E62" s="21">
        <f>SUM(E59:E61)</f>
        <v/>
      </c>
      <c r="F62" s="21">
        <f>SUM(F59:F61)</f>
        <v/>
      </c>
      <c r="G62" s="21">
        <f>SUM(G59:G61)</f>
        <v/>
      </c>
      <c r="H62" s="21">
        <f>SUM(H59:H61)</f>
        <v/>
      </c>
      <c r="I62" s="21">
        <f>SUM(I59:I61)</f>
        <v/>
      </c>
      <c r="J62" s="21">
        <f>SUM(J59:J61)</f>
        <v/>
      </c>
      <c r="K62" s="21">
        <f>SUM(K59:K61)</f>
        <v/>
      </c>
      <c r="L62" s="21">
        <f>SUM(L59:L61)</f>
        <v/>
      </c>
      <c r="M62" s="21">
        <f>SUM(M59:M61)</f>
        <v/>
      </c>
      <c r="N62" s="21">
        <f>SUM(N59:N61)</f>
        <v/>
      </c>
      <c r="O62" s="21">
        <f>SUM(O59:O61)</f>
        <v/>
      </c>
      <c r="P62" s="21">
        <f>SUM(P59:P61)</f>
        <v/>
      </c>
    </row>
    <row r="63">
      <c r="B63" t="inlineStr">
        <is>
          <t>Finance Income Rate</t>
        </is>
      </c>
      <c r="C63" t="inlineStr">
        <is>
          <t>%</t>
        </is>
      </c>
      <c r="D63" s="6" t="n"/>
      <c r="E63" s="6">
        <f>IF((D110+E110)/2=0,"",E59/((D110+E110)/2))</f>
        <v/>
      </c>
      <c r="F63" s="6">
        <f>IF((E110+F110)/2=0,"",F59/((E110+F110)/2))</f>
        <v/>
      </c>
      <c r="G63" s="6">
        <f>F63</f>
        <v/>
      </c>
      <c r="H63" s="6">
        <f>G63</f>
        <v/>
      </c>
      <c r="I63" s="6">
        <f>H63</f>
        <v/>
      </c>
      <c r="J63" s="6">
        <f>I63</f>
        <v/>
      </c>
      <c r="K63" s="6">
        <f>J63</f>
        <v/>
      </c>
      <c r="L63" s="6">
        <f>K63</f>
        <v/>
      </c>
      <c r="M63" s="6">
        <f>L63</f>
        <v/>
      </c>
      <c r="N63" s="6">
        <f>M63</f>
        <v/>
      </c>
      <c r="O63" s="6">
        <f>N63</f>
        <v/>
      </c>
      <c r="P63" s="6">
        <f>O63</f>
        <v/>
      </c>
    </row>
    <row r="64">
      <c r="B64" s="62" t="inlineStr">
        <is>
          <t>Lease Interest Rate</t>
        </is>
      </c>
      <c r="C64" s="62" t="inlineStr">
        <is>
          <t>%</t>
        </is>
      </c>
      <c r="D64" s="64" t="n"/>
      <c r="E64" s="64">
        <f>IF((D127+E127)/2=0,"",-E60/((D127+E127)/2))</f>
        <v/>
      </c>
      <c r="F64" s="64">
        <f>IF((E127+F127)/2=0,"",-F60/((E127+F127)/2))</f>
        <v/>
      </c>
      <c r="G64" s="64">
        <f>F64</f>
        <v/>
      </c>
      <c r="H64" s="64">
        <f>G64</f>
        <v/>
      </c>
      <c r="I64" s="64">
        <f>H64</f>
        <v/>
      </c>
      <c r="J64" s="64">
        <f>I64</f>
        <v/>
      </c>
      <c r="K64" s="64">
        <f>J64</f>
        <v/>
      </c>
      <c r="L64" s="64">
        <f>K64</f>
        <v/>
      </c>
      <c r="M64" s="64">
        <f>L64</f>
        <v/>
      </c>
      <c r="N64" s="64">
        <f>M64</f>
        <v/>
      </c>
      <c r="O64" s="64">
        <f>N64</f>
        <v/>
      </c>
      <c r="P64" s="64">
        <f>O64</f>
        <v/>
      </c>
    </row>
    <row r="65">
      <c r="D65" s="6" t="n"/>
      <c r="E65" s="6">
        <f>IF((D128+E128)=0,"",-E61/((D128+E128)/2))</f>
        <v/>
      </c>
      <c r="F65" s="6">
        <f>IF((E128+F128)=0,"",-F61/((E128+F128)/2))</f>
        <v/>
      </c>
      <c r="G65" s="6">
        <f>IF((F128+G128)=0,"",-G61/((F128+G128)/2))</f>
        <v/>
      </c>
      <c r="H65" s="6">
        <f>IF((G128+H128)=0,"",-H61/((G128+H128)/2))</f>
        <v/>
      </c>
      <c r="I65" s="6">
        <f>IF((H128+I128)=0,"",-I61/((H128+I128)/2))</f>
        <v/>
      </c>
      <c r="J65" s="6">
        <f>IF((I128+J128)=0,"",-J61/((I128+J128)/2))</f>
        <v/>
      </c>
      <c r="K65" s="6">
        <f>IF((J128+K128)=0,"",-K61/((J128+K128)/2))</f>
        <v/>
      </c>
      <c r="L65" s="6">
        <f>IF((K128+L128)=0,"",-L61/((K128+L128)/2))</f>
        <v/>
      </c>
      <c r="M65" s="6">
        <f>IF((L128+M128)=0,"",-M61/((L128+M128)/2))</f>
        <v/>
      </c>
      <c r="N65" s="6">
        <f>IF((M128+N128)=0,"",-N61/((M128+N128)/2))</f>
        <v/>
      </c>
      <c r="O65" s="6">
        <f>IF((N128+O128)=0,"",-O61/((N128+O128)/2))</f>
        <v/>
      </c>
      <c r="P65" s="6">
        <f>IF((O128+P128)=0,"",-P61/((O128+P128)/2))</f>
        <v/>
      </c>
    </row>
    <row r="66"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B67" s="5" t="inlineStr">
        <is>
          <t>PBT, Tax, NPAT</t>
        </is>
      </c>
    </row>
    <row r="68">
      <c r="A68" t="inlineStr">
        <is>
          <t>PBT-PBT</t>
        </is>
      </c>
      <c r="B68" s="20" t="inlineStr">
        <is>
          <t>PBT</t>
        </is>
      </c>
      <c r="C68" s="20" t="inlineStr">
        <is>
          <t>AUDm</t>
        </is>
      </c>
      <c r="D68" s="21">
        <f>D54+D62</f>
        <v/>
      </c>
      <c r="E68" s="21">
        <f>E54+E62</f>
        <v/>
      </c>
      <c r="F68" s="21">
        <f>F54+F62</f>
        <v/>
      </c>
      <c r="G68" s="21">
        <f>G54+G62</f>
        <v/>
      </c>
      <c r="H68" s="21">
        <f>H54+H62</f>
        <v/>
      </c>
      <c r="I68" s="21">
        <f>I54+I62</f>
        <v/>
      </c>
      <c r="J68" s="21">
        <f>J54+J62</f>
        <v/>
      </c>
      <c r="K68" s="21">
        <f>K54+K62</f>
        <v/>
      </c>
      <c r="L68" s="21">
        <f>L54+L62</f>
        <v/>
      </c>
      <c r="M68" s="21">
        <f>M54+M62</f>
        <v/>
      </c>
      <c r="N68" s="21">
        <f>N54+N62</f>
        <v/>
      </c>
      <c r="O68" s="21">
        <f>O54+O62</f>
        <v/>
      </c>
      <c r="P68" s="21">
        <f>P54+P62</f>
        <v/>
      </c>
    </row>
    <row r="69">
      <c r="A69" t="inlineStr">
        <is>
          <t>Tax-Tax Expense</t>
        </is>
      </c>
      <c r="B69" t="inlineStr">
        <is>
          <t>Tax Expense</t>
        </is>
      </c>
      <c r="C69" t="inlineStr">
        <is>
          <t>AUDm</t>
        </is>
      </c>
      <c r="D69" s="19" t="n">
        <v>-2.423</v>
      </c>
      <c r="E69" s="19" t="n">
        <v>-2.187</v>
      </c>
      <c r="F69" s="19" t="n">
        <v>-14.734</v>
      </c>
      <c r="G69" s="4">
        <f>-G68*G70</f>
        <v/>
      </c>
      <c r="H69" s="4">
        <f>-H68*H70</f>
        <v/>
      </c>
      <c r="I69" s="4">
        <f>-I68*I70</f>
        <v/>
      </c>
      <c r="J69" s="4">
        <f>-J68*J70</f>
        <v/>
      </c>
      <c r="K69" s="4">
        <f>-K68*K70</f>
        <v/>
      </c>
      <c r="L69" s="4">
        <f>-L68*L70</f>
        <v/>
      </c>
      <c r="M69" s="4">
        <f>-M68*M70</f>
        <v/>
      </c>
      <c r="N69" s="4">
        <f>-N68*N70</f>
        <v/>
      </c>
      <c r="O69" s="4">
        <f>-O68*O70</f>
        <v/>
      </c>
      <c r="P69" s="4">
        <f>-P68*P70</f>
        <v/>
      </c>
    </row>
    <row r="70">
      <c r="B70" t="inlineStr">
        <is>
          <t>Underlying Tax Rate</t>
        </is>
      </c>
      <c r="C70" t="inlineStr">
        <is>
          <t>%</t>
        </is>
      </c>
      <c r="D70" s="6">
        <f>IF(D68=0,"",-D69/D68)</f>
        <v/>
      </c>
      <c r="E70" s="6">
        <f>IF(E68=0,"",-E69/E68)</f>
        <v/>
      </c>
      <c r="F70" s="6">
        <f>IF(F68=0,"",-F69/F68)</f>
        <v/>
      </c>
      <c r="G70" s="80" t="n">
        <v>0.3</v>
      </c>
      <c r="H70" s="80" t="n">
        <v>0.3</v>
      </c>
      <c r="I70" s="80" t="n">
        <v>0.3</v>
      </c>
      <c r="J70" s="80" t="n">
        <v>0.3</v>
      </c>
      <c r="K70" s="80" t="n">
        <v>0.3</v>
      </c>
      <c r="L70" s="80" t="n">
        <v>0.3</v>
      </c>
      <c r="M70" s="80" t="n">
        <v>0.3</v>
      </c>
      <c r="N70" s="80" t="n">
        <v>0.3</v>
      </c>
      <c r="O70" s="80" t="n">
        <v>0.3</v>
      </c>
      <c r="P70" s="80" t="n">
        <v>0.3</v>
      </c>
    </row>
    <row r="71">
      <c r="A71" t="inlineStr">
        <is>
          <t>NPAT-NCI</t>
        </is>
      </c>
      <c r="B71" t="inlineStr">
        <is>
          <t>Non-controlling Interests</t>
        </is>
      </c>
      <c r="C71" t="inlineStr">
        <is>
          <t>AUDm</t>
        </is>
      </c>
      <c r="D71" s="19" t="n">
        <v>0</v>
      </c>
      <c r="E71" s="19" t="n">
        <v>0</v>
      </c>
      <c r="F71" s="19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0</v>
      </c>
      <c r="P71" s="4" t="n">
        <v>0</v>
      </c>
    </row>
    <row r="72">
      <c r="A72" t="inlineStr">
        <is>
          <t>NPAT-Underlying NPAT</t>
        </is>
      </c>
      <c r="B72" s="20" t="inlineStr">
        <is>
          <t>Underlying NPAT</t>
        </is>
      </c>
      <c r="C72" s="20" t="inlineStr">
        <is>
          <t>AUDm</t>
        </is>
      </c>
      <c r="D72" s="21">
        <f>D68+D69+D71</f>
        <v/>
      </c>
      <c r="E72" s="21">
        <f>E68+E69+E71</f>
        <v/>
      </c>
      <c r="F72" s="21">
        <f>F68+F69+F71</f>
        <v/>
      </c>
      <c r="G72" s="21">
        <f>G68+G69+G71</f>
        <v/>
      </c>
      <c r="H72" s="21">
        <f>H68+H69+H71</f>
        <v/>
      </c>
      <c r="I72" s="21">
        <f>I68+I69+I71</f>
        <v/>
      </c>
      <c r="J72" s="21">
        <f>J68+J69+J71</f>
        <v/>
      </c>
      <c r="K72" s="21">
        <f>K68+K69+K71</f>
        <v/>
      </c>
      <c r="L72" s="21">
        <f>L68+L69+L71</f>
        <v/>
      </c>
      <c r="M72" s="21">
        <f>M68+M69+M71</f>
        <v/>
      </c>
      <c r="N72" s="21">
        <f>N68+N69+N71</f>
        <v/>
      </c>
      <c r="O72" s="21">
        <f>O68+O69+O71</f>
        <v/>
      </c>
      <c r="P72" s="21">
        <f>P68+P69+P71</f>
        <v/>
      </c>
    </row>
    <row r="73">
      <c r="A73" t="inlineStr">
        <is>
          <t>NPAT-Sig Items AT</t>
        </is>
      </c>
      <c r="B73" t="inlineStr">
        <is>
          <t>Significant Items After Tax</t>
        </is>
      </c>
      <c r="C73" t="inlineStr">
        <is>
          <t>AUDm</t>
        </is>
      </c>
      <c r="D73" s="19" t="n">
        <v>0</v>
      </c>
      <c r="E73" s="19" t="n">
        <v>0</v>
      </c>
      <c r="F73" s="19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</row>
    <row r="74">
      <c r="A74" t="inlineStr">
        <is>
          <t>NPAT-Statutory NPAT</t>
        </is>
      </c>
      <c r="B74" s="20" t="inlineStr">
        <is>
          <t>Statutory NPAT</t>
        </is>
      </c>
      <c r="C74" s="20" t="inlineStr">
        <is>
          <t>AUDm</t>
        </is>
      </c>
      <c r="D74" s="21">
        <f>D72+D73</f>
        <v/>
      </c>
      <c r="E74" s="21">
        <f>E72+E73</f>
        <v/>
      </c>
      <c r="F74" s="21">
        <f>F72+F73</f>
        <v/>
      </c>
      <c r="G74" s="21">
        <f>G72+G73</f>
        <v/>
      </c>
      <c r="H74" s="21">
        <f>H72+H73</f>
        <v/>
      </c>
      <c r="I74" s="21">
        <f>I72+I73</f>
        <v/>
      </c>
      <c r="J74" s="21">
        <f>J72+J73</f>
        <v/>
      </c>
      <c r="K74" s="21">
        <f>K72+K73</f>
        <v/>
      </c>
      <c r="L74" s="21">
        <f>L72+L73</f>
        <v/>
      </c>
      <c r="M74" s="21">
        <f>M72+M73</f>
        <v/>
      </c>
      <c r="N74" s="21">
        <f>N72+N73</f>
        <v/>
      </c>
      <c r="O74" s="21">
        <f>O72+O73</f>
        <v/>
      </c>
      <c r="P74" s="21">
        <f>P72+P73</f>
        <v/>
      </c>
    </row>
    <row r="75">
      <c r="B75" t="inlineStr">
        <is>
          <t>NPAT Growth</t>
        </is>
      </c>
      <c r="C75" t="inlineStr">
        <is>
          <t>% YoY</t>
        </is>
      </c>
      <c r="D75" s="6" t="n"/>
      <c r="E75" s="6">
        <f>IF(D72=0,"",E72/D72-1)</f>
        <v/>
      </c>
      <c r="F75" s="6">
        <f>IF(E72=0,"",F72/E72-1)</f>
        <v/>
      </c>
      <c r="G75" s="6">
        <f>IF(F72=0,"",G72/F72-1)</f>
        <v/>
      </c>
      <c r="H75" s="6">
        <f>IF(G72=0,"",H72/G72-1)</f>
        <v/>
      </c>
      <c r="I75" s="6">
        <f>IF(H72=0,"",I72/H72-1)</f>
        <v/>
      </c>
      <c r="J75" s="6">
        <f>IF(I72=0,"",J72/I72-1)</f>
        <v/>
      </c>
      <c r="K75" s="6">
        <f>IF(J72=0,"",K72/J72-1)</f>
        <v/>
      </c>
      <c r="L75" s="6">
        <f>IF(K72=0,"",L72/K72-1)</f>
        <v/>
      </c>
      <c r="M75" s="6">
        <f>IF(L72=0,"",M72/L72-1)</f>
        <v/>
      </c>
      <c r="N75" s="6">
        <f>IF(M72=0,"",N72/M72-1)</f>
        <v/>
      </c>
      <c r="O75" s="6">
        <f>IF(N72=0,"",O72/N72-1)</f>
        <v/>
      </c>
      <c r="P75" s="6">
        <f>IF(O72=0,"",P72/O72-1)</f>
        <v/>
      </c>
    </row>
    <row r="76">
      <c r="B76" t="inlineStr">
        <is>
          <t>NPAT Margin</t>
        </is>
      </c>
      <c r="C76" t="inlineStr">
        <is>
          <t>%</t>
        </is>
      </c>
      <c r="D76" s="6">
        <f>IF(D11=0,"",D72/D11)</f>
        <v/>
      </c>
      <c r="E76" s="6">
        <f>IF(E11=0,"",E72/E11)</f>
        <v/>
      </c>
      <c r="F76" s="6">
        <f>IF(F11=0,"",F72/F11)</f>
        <v/>
      </c>
      <c r="G76" s="6">
        <f>IF(G11=0,"",G72/G11)</f>
        <v/>
      </c>
      <c r="H76" s="6">
        <f>IF(H11=0,"",H72/H11)</f>
        <v/>
      </c>
      <c r="I76" s="6">
        <f>IF(I11=0,"",I72/I11)</f>
        <v/>
      </c>
      <c r="J76" s="6">
        <f>IF(J11=0,"",J72/J11)</f>
        <v/>
      </c>
      <c r="K76" s="6">
        <f>IF(K11=0,"",K72/K11)</f>
        <v/>
      </c>
      <c r="L76" s="6">
        <f>IF(L11=0,"",L72/L11)</f>
        <v/>
      </c>
      <c r="M76" s="6">
        <f>IF(M11=0,"",M72/M11)</f>
        <v/>
      </c>
      <c r="N76" s="6">
        <f>IF(N11=0,"",N72/N11)</f>
        <v/>
      </c>
      <c r="O76" s="6">
        <f>IF(O11=0,"",O72/O11)</f>
        <v/>
      </c>
      <c r="P76" s="6">
        <f>IF(P11=0,"",P72/P11)</f>
        <v/>
      </c>
    </row>
    <row r="78">
      <c r="B78" s="5" t="inlineStr">
        <is>
          <t>EPS &amp; Dividends</t>
        </is>
      </c>
    </row>
    <row r="79">
      <c r="A79" t="inlineStr">
        <is>
          <t>EPS-YE Shares</t>
        </is>
      </c>
      <c r="B79" t="inlineStr">
        <is>
          <t>YE Basic Shares Outstanding</t>
        </is>
      </c>
      <c r="C79" t="inlineStr">
        <is>
          <t>#m</t>
        </is>
      </c>
      <c r="D79" s="22" t="n">
        <v>84.916</v>
      </c>
      <c r="E79" s="22" t="n">
        <v>101.353</v>
      </c>
      <c r="F79" s="22" t="n">
        <v>102.861</v>
      </c>
      <c r="G79" s="84">
        <f>F79</f>
        <v/>
      </c>
      <c r="H79" s="84">
        <f>G79</f>
        <v/>
      </c>
      <c r="I79" s="84">
        <f>H79</f>
        <v/>
      </c>
      <c r="J79" s="84">
        <f>I79</f>
        <v/>
      </c>
      <c r="K79" s="84">
        <f>J79</f>
        <v/>
      </c>
      <c r="L79" s="84">
        <f>K79</f>
        <v/>
      </c>
      <c r="M79" s="84">
        <f>L79</f>
        <v/>
      </c>
      <c r="N79" s="84">
        <f>M79</f>
        <v/>
      </c>
      <c r="O79" s="84">
        <f>N79</f>
        <v/>
      </c>
      <c r="P79" s="84">
        <f>O79</f>
        <v/>
      </c>
    </row>
    <row r="80">
      <c r="A80" t="inlineStr">
        <is>
          <t>EPS-WASO Basic</t>
        </is>
      </c>
      <c r="B80" t="inlineStr">
        <is>
          <t>WASO Basic</t>
        </is>
      </c>
      <c r="C80" t="inlineStr">
        <is>
          <t>#m</t>
        </is>
      </c>
      <c r="D80" s="22" t="n">
        <v>83.992</v>
      </c>
      <c r="E80" s="22" t="n">
        <v>85.568</v>
      </c>
      <c r="F80" s="22" t="n">
        <v>101.51</v>
      </c>
      <c r="G80" s="3">
        <f>(F79+G79)/2</f>
        <v/>
      </c>
      <c r="H80" s="3">
        <f>(G79+H79)/2</f>
        <v/>
      </c>
      <c r="I80" s="3">
        <f>(H79+I79)/2</f>
        <v/>
      </c>
      <c r="J80" s="3">
        <f>(I79+J79)/2</f>
        <v/>
      </c>
      <c r="K80" s="3">
        <f>(J79+K79)/2</f>
        <v/>
      </c>
      <c r="L80" s="3">
        <f>(K79+L79)/2</f>
        <v/>
      </c>
      <c r="M80" s="3">
        <f>(L79+M79)/2</f>
        <v/>
      </c>
      <c r="N80" s="3">
        <f>(M79+N79)/2</f>
        <v/>
      </c>
      <c r="O80" s="3">
        <f>(N79+O79)/2</f>
        <v/>
      </c>
      <c r="P80" s="3">
        <f>(O79+P79)/2</f>
        <v/>
      </c>
    </row>
    <row r="81">
      <c r="A81" t="inlineStr">
        <is>
          <t>EPS-Dilution</t>
        </is>
      </c>
      <c r="B81" s="8" t="inlineStr">
        <is>
          <t>Dilution</t>
        </is>
      </c>
      <c r="C81" t="inlineStr">
        <is>
          <t>#m</t>
        </is>
      </c>
      <c r="D81" s="3">
        <f>D82-D80</f>
        <v/>
      </c>
      <c r="E81" s="3">
        <f>E82-E80</f>
        <v/>
      </c>
      <c r="F81" s="3">
        <f>F82-F80</f>
        <v/>
      </c>
      <c r="G81" s="3">
        <f>F81</f>
        <v/>
      </c>
      <c r="H81" s="3">
        <f>G81</f>
        <v/>
      </c>
      <c r="I81" s="3">
        <f>H81</f>
        <v/>
      </c>
      <c r="J81" s="3">
        <f>I81</f>
        <v/>
      </c>
      <c r="K81" s="3">
        <f>J81</f>
        <v/>
      </c>
      <c r="L81" s="3">
        <f>K81</f>
        <v/>
      </c>
      <c r="M81" s="3">
        <f>L81</f>
        <v/>
      </c>
      <c r="N81" s="3">
        <f>M81</f>
        <v/>
      </c>
      <c r="O81" s="3">
        <f>N81</f>
        <v/>
      </c>
      <c r="P81" s="3">
        <f>O81</f>
        <v/>
      </c>
    </row>
    <row r="82">
      <c r="A82" t="inlineStr">
        <is>
          <t>EPS-WASO Diluted</t>
        </is>
      </c>
      <c r="B82" t="inlineStr">
        <is>
          <t>WASO Diluted</t>
        </is>
      </c>
      <c r="C82" t="inlineStr">
        <is>
          <t>#m</t>
        </is>
      </c>
      <c r="D82" s="22" t="n">
        <v>83.992</v>
      </c>
      <c r="E82" s="22" t="n">
        <v>85.568</v>
      </c>
      <c r="F82" s="22" t="n">
        <v>105.905</v>
      </c>
      <c r="G82" s="3">
        <f>G80*1.04</f>
        <v/>
      </c>
      <c r="H82" s="3">
        <f>H80*1.04</f>
        <v/>
      </c>
      <c r="I82" s="3">
        <f>I80*1.04</f>
        <v/>
      </c>
      <c r="J82" s="3">
        <f>J80*1.04</f>
        <v/>
      </c>
      <c r="K82" s="3">
        <f>K80*1.04</f>
        <v/>
      </c>
      <c r="L82" s="3">
        <f>L80*1.04</f>
        <v/>
      </c>
      <c r="M82" s="3">
        <f>M80*1.04</f>
        <v/>
      </c>
      <c r="N82" s="3">
        <f>N80*1.04</f>
        <v/>
      </c>
      <c r="O82" s="3">
        <f>O80*1.04</f>
        <v/>
      </c>
      <c r="P82" s="3">
        <f>P80*1.04</f>
        <v/>
      </c>
    </row>
    <row r="84">
      <c r="A84" t="inlineStr">
        <is>
          <t>EPS-Underlying EPS</t>
        </is>
      </c>
      <c r="B84" s="20" t="inlineStr">
        <is>
          <t>Underlying EPS</t>
        </is>
      </c>
      <c r="C84" s="20" t="inlineStr">
        <is>
          <t>AUDps</t>
        </is>
      </c>
      <c r="D84" s="23">
        <f>IF(D82=0,"",D72/D82)</f>
        <v/>
      </c>
      <c r="E84" s="23">
        <f>IF(E82=0,"",E72/E82)</f>
        <v/>
      </c>
      <c r="F84" s="23">
        <f>IF(F82=0,"",F72/F82)</f>
        <v/>
      </c>
      <c r="G84" s="23">
        <f>IF(G82=0,"",G72/G82)</f>
        <v/>
      </c>
      <c r="H84" s="23">
        <f>IF(H82=0,"",H72/H82)</f>
        <v/>
      </c>
      <c r="I84" s="23">
        <f>IF(I82=0,"",I72/I82)</f>
        <v/>
      </c>
      <c r="J84" s="23">
        <f>IF(J82=0,"",J72/J82)</f>
        <v/>
      </c>
      <c r="K84" s="23">
        <f>IF(K82=0,"",K72/K82)</f>
        <v/>
      </c>
      <c r="L84" s="23">
        <f>IF(L82=0,"",L72/L82)</f>
        <v/>
      </c>
      <c r="M84" s="23">
        <f>IF(M82=0,"",M72/M82)</f>
        <v/>
      </c>
      <c r="N84" s="23">
        <f>IF(N82=0,"",N72/N82)</f>
        <v/>
      </c>
      <c r="O84" s="23">
        <f>IF(O82=0,"",O72/O82)</f>
        <v/>
      </c>
      <c r="P84" s="23">
        <f>IF(P82=0,"",P72/P82)</f>
        <v/>
      </c>
    </row>
    <row r="85">
      <c r="A85" t="inlineStr">
        <is>
          <t>EPS-Statutory EPS</t>
        </is>
      </c>
      <c r="B85" s="8" t="inlineStr">
        <is>
          <t>Statutory EPS</t>
        </is>
      </c>
      <c r="C85" t="inlineStr">
        <is>
          <t>AUDps</t>
        </is>
      </c>
      <c r="D85" s="9">
        <f>IF(D82=0,"",D74/D82)</f>
        <v/>
      </c>
      <c r="E85" s="9">
        <f>IF(E82=0,"",E74/E82)</f>
        <v/>
      </c>
      <c r="F85" s="9">
        <f>IF(F82=0,"",F74/F82)</f>
        <v/>
      </c>
      <c r="G85" s="9">
        <f>IF(G82=0,"",G74/G82)</f>
        <v/>
      </c>
      <c r="H85" s="9">
        <f>IF(H82=0,"",H74/H82)</f>
        <v/>
      </c>
      <c r="I85" s="9">
        <f>IF(I82=0,"",I74/I82)</f>
        <v/>
      </c>
      <c r="J85" s="9">
        <f>IF(J82=0,"",J74/J82)</f>
        <v/>
      </c>
      <c r="K85" s="9">
        <f>IF(K82=0,"",K74/K82)</f>
        <v/>
      </c>
      <c r="L85" s="9">
        <f>IF(L82=0,"",L74/L82)</f>
        <v/>
      </c>
      <c r="M85" s="9">
        <f>IF(M82=0,"",M74/M82)</f>
        <v/>
      </c>
      <c r="N85" s="9">
        <f>IF(N82=0,"",N74/N82)</f>
        <v/>
      </c>
      <c r="O85" s="9">
        <f>IF(O82=0,"",O74/O82)</f>
        <v/>
      </c>
      <c r="P85" s="9">
        <f>IF(P82=0,"",P74/P82)</f>
        <v/>
      </c>
    </row>
    <row r="86">
      <c r="B86" t="inlineStr">
        <is>
          <t>EPS Growth</t>
        </is>
      </c>
      <c r="C86" t="inlineStr">
        <is>
          <t>% YoY</t>
        </is>
      </c>
      <c r="D86" s="6" t="n"/>
      <c r="E86" s="6">
        <f>IF(D84=0,"",E84/D84-1)</f>
        <v/>
      </c>
      <c r="F86" s="6">
        <f>IF(E84=0,"",F84/E84-1)</f>
        <v/>
      </c>
      <c r="G86" s="6">
        <f>IF(F84=0,"",G84/F84-1)</f>
        <v/>
      </c>
      <c r="H86" s="6">
        <f>IF(G84=0,"",H84/G84-1)</f>
        <v/>
      </c>
      <c r="I86" s="6">
        <f>IF(H84=0,"",I84/H84-1)</f>
        <v/>
      </c>
      <c r="J86" s="6">
        <f>IF(I84=0,"",J84/I84-1)</f>
        <v/>
      </c>
      <c r="K86" s="6">
        <f>IF(J84=0,"",K84/J84-1)</f>
        <v/>
      </c>
      <c r="L86" s="6">
        <f>IF(K84=0,"",L84/K84-1)</f>
        <v/>
      </c>
      <c r="M86" s="6">
        <f>IF(L84=0,"",M84/L84-1)</f>
        <v/>
      </c>
      <c r="N86" s="6">
        <f>IF(M84=0,"",N84/M84-1)</f>
        <v/>
      </c>
      <c r="O86" s="6">
        <f>IF(N84=0,"",O84/N84-1)</f>
        <v/>
      </c>
      <c r="P86" s="6">
        <f>IF(O84=0,"",P84/O84-1)</f>
        <v/>
      </c>
    </row>
    <row r="88">
      <c r="A88" t="inlineStr">
        <is>
          <t>Div-DPS</t>
        </is>
      </c>
      <c r="B88" t="inlineStr">
        <is>
          <t>DPS</t>
        </is>
      </c>
      <c r="C88" t="inlineStr">
        <is>
          <t>AUDps</t>
        </is>
      </c>
      <c r="D88" s="24" t="n">
        <v>0</v>
      </c>
      <c r="E88" s="24" t="n">
        <v>0</v>
      </c>
      <c r="F88" s="24" t="n">
        <v>0.126</v>
      </c>
      <c r="G88" s="9">
        <f>G90*G84</f>
        <v/>
      </c>
      <c r="H88" s="9">
        <f>H90*H84</f>
        <v/>
      </c>
      <c r="I88" s="9">
        <f>I90*I84</f>
        <v/>
      </c>
      <c r="J88" s="9">
        <f>J90*J84</f>
        <v/>
      </c>
      <c r="K88" s="9">
        <f>K90*K84</f>
        <v/>
      </c>
      <c r="L88" s="9">
        <f>L90*L84</f>
        <v/>
      </c>
      <c r="M88" s="9">
        <f>M90*M84</f>
        <v/>
      </c>
      <c r="N88" s="9">
        <f>N90*N84</f>
        <v/>
      </c>
      <c r="O88" s="9">
        <f>O90*O84</f>
        <v/>
      </c>
      <c r="P88" s="9">
        <f>P90*P84</f>
        <v/>
      </c>
    </row>
    <row r="89">
      <c r="A89" t="inlineStr">
        <is>
          <t>Div-Total Dividends</t>
        </is>
      </c>
      <c r="B89" s="8" t="inlineStr">
        <is>
          <t>Total Dividends</t>
        </is>
      </c>
      <c r="C89" t="inlineStr">
        <is>
          <t>AUDm</t>
        </is>
      </c>
      <c r="D89" s="4">
        <f>D88*D80</f>
        <v/>
      </c>
      <c r="E89" s="4">
        <f>E88*E80</f>
        <v/>
      </c>
      <c r="F89" s="4">
        <f>F88*F80</f>
        <v/>
      </c>
      <c r="G89" s="4">
        <f>G88*G80</f>
        <v/>
      </c>
      <c r="H89" s="4">
        <f>H88*H80</f>
        <v/>
      </c>
      <c r="I89" s="4">
        <f>I88*I80</f>
        <v/>
      </c>
      <c r="J89" s="4">
        <f>J88*J80</f>
        <v/>
      </c>
      <c r="K89" s="4">
        <f>K88*K80</f>
        <v/>
      </c>
      <c r="L89" s="4">
        <f>L88*L80</f>
        <v/>
      </c>
      <c r="M89" s="4">
        <f>M88*M80</f>
        <v/>
      </c>
      <c r="N89" s="4">
        <f>N88*N80</f>
        <v/>
      </c>
      <c r="O89" s="4">
        <f>O88*O80</f>
        <v/>
      </c>
      <c r="P89" s="4">
        <f>P88*P80</f>
        <v/>
      </c>
    </row>
    <row r="90">
      <c r="B90" s="25" t="inlineStr">
        <is>
          <t>Payout Ratio</t>
        </is>
      </c>
      <c r="C90" t="inlineStr">
        <is>
          <t>%</t>
        </is>
      </c>
      <c r="D90" s="6">
        <f>IF(D84=0,"",D88/D84)</f>
        <v/>
      </c>
      <c r="E90" s="6">
        <f>IF(E84=0,"",E88/E84)</f>
        <v/>
      </c>
      <c r="F90" s="6">
        <f>IF(F84=0,"",F88/F84)</f>
        <v/>
      </c>
      <c r="G90" s="80">
        <f>F90</f>
        <v/>
      </c>
      <c r="H90" s="80">
        <f>G90</f>
        <v/>
      </c>
      <c r="I90" s="80">
        <f>H90</f>
        <v/>
      </c>
      <c r="J90" s="80">
        <f>I90</f>
        <v/>
      </c>
      <c r="K90" s="80">
        <f>J90</f>
        <v/>
      </c>
      <c r="L90" s="80">
        <f>K90</f>
        <v/>
      </c>
      <c r="M90" s="80">
        <f>L90</f>
        <v/>
      </c>
      <c r="N90" s="80">
        <f>M90</f>
        <v/>
      </c>
      <c r="O90" s="80">
        <f>N90</f>
        <v/>
      </c>
      <c r="P90" s="80">
        <f>O90</f>
        <v/>
      </c>
    </row>
    <row r="91">
      <c r="B91" t="inlineStr">
        <is>
          <t>Dividend Yield</t>
        </is>
      </c>
      <c r="C91" t="inlineStr">
        <is>
          <t>%</t>
        </is>
      </c>
      <c r="D91" s="6">
        <f>IF(Value!$C$4=0,"",D88/Value!$C$4)</f>
        <v/>
      </c>
      <c r="E91" s="6">
        <f>IF(Value!$C$4=0,"",E88/Value!$C$4)</f>
        <v/>
      </c>
      <c r="F91" s="6">
        <f>IF(Value!$C$4=0,"",F88/Value!$C$4)</f>
        <v/>
      </c>
      <c r="G91" s="6">
        <f>IF(Value!$C$4=0,"",G88/Value!$C$4)</f>
        <v/>
      </c>
      <c r="H91" s="6">
        <f>IF(Value!$C$4=0,"",H88/Value!$C$4)</f>
        <v/>
      </c>
      <c r="I91" s="6">
        <f>IF(Value!$C$4=0,"",I88/Value!$C$4)</f>
        <v/>
      </c>
      <c r="J91" s="6">
        <f>IF(Value!$C$4=0,"",J88/Value!$C$4)</f>
        <v/>
      </c>
      <c r="K91" s="6">
        <f>IF(Value!$C$4=0,"",K88/Value!$C$4)</f>
        <v/>
      </c>
      <c r="L91" s="6">
        <f>IF(Value!$C$4=0,"",L88/Value!$C$4)</f>
        <v/>
      </c>
      <c r="M91" s="6">
        <f>IF(Value!$C$4=0,"",M88/Value!$C$4)</f>
        <v/>
      </c>
      <c r="N91" s="6">
        <f>IF(Value!$C$4=0,"",N88/Value!$C$4)</f>
        <v/>
      </c>
      <c r="O91" s="6">
        <f>IF(Value!$C$4=0,"",O88/Value!$C$4)</f>
        <v/>
      </c>
      <c r="P91" s="6">
        <f>IF(Value!$C$4=0,"",P88/Value!$C$4)</f>
        <v/>
      </c>
    </row>
    <row r="92">
      <c r="B92" t="inlineStr">
        <is>
          <t>Dividend Growth</t>
        </is>
      </c>
      <c r="C92" t="inlineStr">
        <is>
          <t>% YoY</t>
        </is>
      </c>
      <c r="D92" s="6" t="n"/>
      <c r="E92" s="6">
        <f>IF(D88=0,"",E88/D88-1)</f>
        <v/>
      </c>
      <c r="F92" s="6">
        <f>IF(E88=0,"",F88/E88-1)</f>
        <v/>
      </c>
      <c r="G92" s="6">
        <f>IF(F88=0,"",G88/F88-1)</f>
        <v/>
      </c>
      <c r="H92" s="6">
        <f>IF(G88=0,"",H88/G88-1)</f>
        <v/>
      </c>
      <c r="I92" s="6">
        <f>IF(H88=0,"",I88/H88-1)</f>
        <v/>
      </c>
      <c r="J92" s="6">
        <f>IF(I88=0,"",J88/I88-1)</f>
        <v/>
      </c>
      <c r="K92" s="6">
        <f>IF(J88=0,"",K88/J88-1)</f>
        <v/>
      </c>
      <c r="L92" s="6">
        <f>IF(K88=0,"",L88/K88-1)</f>
        <v/>
      </c>
      <c r="M92" s="6">
        <f>IF(L88=0,"",M88/L88-1)</f>
        <v/>
      </c>
      <c r="N92" s="6">
        <f>IF(M88=0,"",N88/M88-1)</f>
        <v/>
      </c>
      <c r="O92" s="6">
        <f>IF(N88=0,"",O88/N88-1)</f>
        <v/>
      </c>
      <c r="P92" s="6">
        <f>IF(O88=0,"",P88/O88-1)</f>
        <v/>
      </c>
    </row>
    <row r="94">
      <c r="A94" s="27" t="n"/>
      <c r="B94" s="28" t="inlineStr">
        <is>
          <t>Operating Metrics</t>
        </is>
      </c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</row>
    <row r="95">
      <c r="A95" t="inlineStr">
        <is>
          <t>KPI-AU Restaurants</t>
        </is>
      </c>
      <c r="B95" s="70" t="inlineStr">
        <is>
          <t>Total AU Restaurants</t>
        </is>
      </c>
      <c r="C95" t="inlineStr">
        <is>
          <t>#</t>
        </is>
      </c>
      <c r="D95" s="30" t="n">
        <v>171</v>
      </c>
      <c r="E95" s="30" t="n">
        <v>194</v>
      </c>
      <c r="F95" s="30" t="n">
        <v>224</v>
      </c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</row>
    <row r="96">
      <c r="A96" t="inlineStr">
        <is>
          <t>KPI-US Restaurants</t>
        </is>
      </c>
      <c r="B96" s="70" t="inlineStr">
        <is>
          <t>Total US Restaurants</t>
        </is>
      </c>
      <c r="C96" t="inlineStr">
        <is>
          <t>#</t>
        </is>
      </c>
      <c r="D96" s="30" t="n">
        <v>23</v>
      </c>
      <c r="E96" s="30" t="n">
        <v>26</v>
      </c>
      <c r="F96" s="30" t="n">
        <v>32</v>
      </c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</row>
    <row r="97">
      <c r="A97" t="inlineStr">
        <is>
          <t>KPI-Total Restaurants</t>
        </is>
      </c>
      <c r="B97" s="77" t="inlineStr">
        <is>
          <t>Total Global Restaurants</t>
        </is>
      </c>
      <c r="C97" t="inlineStr">
        <is>
          <t>#</t>
        </is>
      </c>
      <c r="D97" s="29">
        <f>D95+D96</f>
        <v/>
      </c>
      <c r="E97" s="29">
        <f>E95+E96</f>
        <v/>
      </c>
      <c r="F97" s="29">
        <f>F95+F96</f>
        <v/>
      </c>
      <c r="G97" s="29">
        <f>G95+G96</f>
        <v/>
      </c>
      <c r="H97" s="29">
        <f>H95+H96</f>
        <v/>
      </c>
      <c r="I97" s="29">
        <f>I95+I96</f>
        <v/>
      </c>
      <c r="J97" s="29">
        <f>J95+J96</f>
        <v/>
      </c>
      <c r="K97" s="29">
        <f>K95+K96</f>
        <v/>
      </c>
      <c r="L97" s="29">
        <f>L95+L96</f>
        <v/>
      </c>
      <c r="M97" s="29">
        <f>M95+M96</f>
        <v/>
      </c>
      <c r="N97" s="29">
        <f>N95+N96</f>
        <v/>
      </c>
      <c r="O97" s="29">
        <f>O95+O96</f>
        <v/>
      </c>
      <c r="P97" s="29">
        <f>P95+P96</f>
        <v/>
      </c>
    </row>
    <row r="98">
      <c r="A98" t="inlineStr">
        <is>
          <t>KPI-AU Corp Rest</t>
        </is>
      </c>
      <c r="B98" s="70" t="inlineStr">
        <is>
          <t>AU Corporate Restaurants</t>
        </is>
      </c>
      <c r="C98" t="inlineStr">
        <is>
          <t>#</t>
        </is>
      </c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</row>
    <row r="99">
      <c r="A99" t="inlineStr">
        <is>
          <t>KPI-AU Network Sales</t>
        </is>
      </c>
      <c r="B99" s="70" t="inlineStr">
        <is>
          <t>AU Network Sales</t>
        </is>
      </c>
      <c r="C99" t="inlineStr">
        <is>
          <t>AUDm</t>
        </is>
      </c>
      <c r="D99" s="4" t="n">
        <v>759</v>
      </c>
      <c r="E99" s="4" t="n">
        <v>948.9</v>
      </c>
      <c r="F99" s="4" t="n">
        <v>1168.5</v>
      </c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</row>
    <row r="100">
      <c r="A100" t="inlineStr">
        <is>
          <t>KPI-AU Comp Growth</t>
        </is>
      </c>
      <c r="B100" s="70" t="inlineStr">
        <is>
          <t>AU Comp Sales Growth</t>
        </is>
      </c>
      <c r="C100" t="inlineStr">
        <is>
          <t>%</t>
        </is>
      </c>
      <c r="D100" s="6" t="n">
        <v>0.15</v>
      </c>
      <c r="E100" s="6" t="n">
        <v>0.081</v>
      </c>
      <c r="F100" s="6" t="n">
        <v>0.096</v>
      </c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t="inlineStr">
        <is>
          <t>KPI-AU Corp Margin</t>
        </is>
      </c>
      <c r="B101" s="70" t="inlineStr">
        <is>
          <t>AU Corp Restaurant Margin</t>
        </is>
      </c>
      <c r="C101" t="inlineStr">
        <is>
          <t>%</t>
        </is>
      </c>
      <c r="D101" s="6" t="n">
        <v>0.144</v>
      </c>
      <c r="E101" s="6" t="n">
        <v>0.174</v>
      </c>
      <c r="F101" s="6" t="n">
        <v>0.179</v>
      </c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t="inlineStr">
        <is>
          <t>KPI-Royalty Rate</t>
        </is>
      </c>
      <c r="B102" s="70" t="inlineStr">
        <is>
          <t>Implied Franchise Royalty Rate</t>
        </is>
      </c>
      <c r="C102" t="inlineStr">
        <is>
          <t>%</t>
        </is>
      </c>
      <c r="D102" s="31" t="n">
        <v>0.076</v>
      </c>
      <c r="E102" s="6" t="n">
        <v>0.078</v>
      </c>
      <c r="F102" s="31" t="n">
        <v>0.083</v>
      </c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t="inlineStr">
        <is>
          <t>KPI-GA pct NS</t>
        </is>
      </c>
      <c r="B103" s="70" t="inlineStr">
        <is>
          <t>G&amp;A / Network Sales</t>
        </is>
      </c>
      <c r="C103" t="inlineStr">
        <is>
          <t>%</t>
        </is>
      </c>
      <c r="D103" s="31" t="n">
        <v>0.062</v>
      </c>
      <c r="E103" s="31" t="n">
        <v>0.067</v>
      </c>
      <c r="F103" s="31" t="n">
        <v>0.066</v>
      </c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t="inlineStr">
        <is>
          <t>KPI-DT AUV</t>
        </is>
      </c>
      <c r="B104" s="77" t="inlineStr">
        <is>
          <t>AU Drive Thru AUV</t>
        </is>
      </c>
      <c r="C104" t="inlineStr">
        <is>
          <t>AUDm</t>
        </is>
      </c>
      <c r="D104" s="4" t="n"/>
      <c r="E104" s="4" t="n">
        <v>6.3</v>
      </c>
      <c r="F104" s="19" t="n">
        <v>6.7</v>
      </c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</row>
    <row r="105">
      <c r="A105" t="inlineStr">
        <is>
          <t>KPI-Non-DT AUV</t>
        </is>
      </c>
      <c r="B105" s="77" t="inlineStr">
        <is>
          <t>AU Non-DT AUV</t>
        </is>
      </c>
      <c r="C105" t="inlineStr">
        <is>
          <t>AUDm</t>
        </is>
      </c>
      <c r="D105" s="4" t="n"/>
      <c r="E105" s="4" t="n">
        <v>4.5</v>
      </c>
      <c r="F105" s="4" t="n">
        <v>5</v>
      </c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</row>
    <row r="106">
      <c r="A106" t="inlineStr">
        <is>
          <t>KPI-US Network Sales</t>
        </is>
      </c>
      <c r="B106" s="70" t="inlineStr">
        <is>
          <t>US Network Sales</t>
        </is>
      </c>
      <c r="C106" t="inlineStr">
        <is>
          <t>AUDm</t>
        </is>
      </c>
      <c r="D106" s="4" t="n">
        <v>6</v>
      </c>
      <c r="E106" s="4" t="n">
        <v>10.8</v>
      </c>
      <c r="F106" s="4" t="n">
        <v>12.2</v>
      </c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</row>
    <row r="108">
      <c r="A108" s="2" t="n"/>
      <c r="B108" s="18" t="inlineStr">
        <is>
          <t>Balance Sheet</t>
        </is>
      </c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B109" s="5" t="inlineStr">
        <is>
          <t>Assets</t>
        </is>
      </c>
    </row>
    <row r="110">
      <c r="A110" t="inlineStr">
        <is>
          <t>BS-Cash</t>
        </is>
      </c>
      <c r="B110" t="inlineStr">
        <is>
          <t>Cash &amp; Term Deposits</t>
        </is>
      </c>
      <c r="C110" t="inlineStr">
        <is>
          <t>AUDm</t>
        </is>
      </c>
      <c r="D110" s="19" t="n">
        <v>36.504</v>
      </c>
      <c r="E110" s="19" t="n">
        <v>294.48</v>
      </c>
      <c r="F110" s="19" t="n">
        <v>281.743</v>
      </c>
      <c r="G110" s="4">
        <f>F110+G177</f>
        <v/>
      </c>
      <c r="H110" s="4">
        <f>G110+H177</f>
        <v/>
      </c>
      <c r="I110" s="4">
        <f>H110+I177</f>
        <v/>
      </c>
      <c r="J110" s="4">
        <f>I110+J177</f>
        <v/>
      </c>
      <c r="K110" s="4">
        <f>J110+K177</f>
        <v/>
      </c>
      <c r="L110" s="4">
        <f>K110+L177</f>
        <v/>
      </c>
      <c r="M110" s="4">
        <f>L110+M177</f>
        <v/>
      </c>
      <c r="N110" s="4">
        <f>M110+N177</f>
        <v/>
      </c>
      <c r="O110" s="4">
        <f>N110+O177</f>
        <v/>
      </c>
      <c r="P110" s="4">
        <f>O110+P177</f>
        <v/>
      </c>
    </row>
    <row r="111">
      <c r="A111" t="inlineStr">
        <is>
          <t>BS-Trade Receivables</t>
        </is>
      </c>
      <c r="B111" t="inlineStr">
        <is>
          <t>Trade Receivables</t>
        </is>
      </c>
      <c r="C111" t="inlineStr">
        <is>
          <t>AUDm</t>
        </is>
      </c>
      <c r="D111" s="19" t="n">
        <v>25.087</v>
      </c>
      <c r="E111" s="19" t="n">
        <v>26.499</v>
      </c>
      <c r="F111" s="19" t="n">
        <v>24.84</v>
      </c>
      <c r="G111" s="4">
        <f>G11*G118</f>
        <v/>
      </c>
      <c r="H111" s="4">
        <f>H11*H118</f>
        <v/>
      </c>
      <c r="I111" s="4">
        <f>I11*I118</f>
        <v/>
      </c>
      <c r="J111" s="4">
        <f>J11*J118</f>
        <v/>
      </c>
      <c r="K111" s="4">
        <f>K11*K118</f>
        <v/>
      </c>
      <c r="L111" s="4">
        <f>L11*L118</f>
        <v/>
      </c>
      <c r="M111" s="4">
        <f>M11*M118</f>
        <v/>
      </c>
      <c r="N111" s="4">
        <f>N11*N118</f>
        <v/>
      </c>
      <c r="O111" s="4">
        <f>O11*O118</f>
        <v/>
      </c>
      <c r="P111" s="4">
        <f>P11*P118</f>
        <v/>
      </c>
    </row>
    <row r="112">
      <c r="A112" t="inlineStr">
        <is>
          <t>BS-Inventories</t>
        </is>
      </c>
      <c r="B112" t="inlineStr">
        <is>
          <t>Inventories</t>
        </is>
      </c>
      <c r="C112" t="inlineStr">
        <is>
          <t>AUDm</t>
        </is>
      </c>
      <c r="D112" s="19" t="n">
        <v>2.153</v>
      </c>
      <c r="E112" s="19" t="n">
        <v>2.825</v>
      </c>
      <c r="F112" s="19" t="n">
        <v>3.761</v>
      </c>
      <c r="G112" s="4">
        <f>G11*G119</f>
        <v/>
      </c>
      <c r="H112" s="4">
        <f>H11*H119</f>
        <v/>
      </c>
      <c r="I112" s="4">
        <f>I11*I119</f>
        <v/>
      </c>
      <c r="J112" s="4">
        <f>J11*J119</f>
        <v/>
      </c>
      <c r="K112" s="4">
        <f>K11*K119</f>
        <v/>
      </c>
      <c r="L112" s="4">
        <f>L11*L119</f>
        <v/>
      </c>
      <c r="M112" s="4">
        <f>M11*M119</f>
        <v/>
      </c>
      <c r="N112" s="4">
        <f>N11*N119</f>
        <v/>
      </c>
      <c r="O112" s="4">
        <f>O11*O119</f>
        <v/>
      </c>
      <c r="P112" s="4">
        <f>P11*P119</f>
        <v/>
      </c>
    </row>
    <row r="113">
      <c r="A113" t="inlineStr">
        <is>
          <t>BS-PPE</t>
        </is>
      </c>
      <c r="B113" t="inlineStr">
        <is>
          <t>Property, Plant &amp; Equipment</t>
        </is>
      </c>
      <c r="C113" t="inlineStr">
        <is>
          <t>AUDm</t>
        </is>
      </c>
      <c r="D113" s="19" t="n">
        <v>69.486</v>
      </c>
      <c r="E113" s="19" t="n">
        <v>87.63</v>
      </c>
      <c r="F113" s="19" t="n">
        <v>130.056</v>
      </c>
      <c r="G113" s="4">
        <f>F113-G160+G48</f>
        <v/>
      </c>
      <c r="H113" s="4">
        <f>G113-H160+H48</f>
        <v/>
      </c>
      <c r="I113" s="4">
        <f>H113-I160+I48</f>
        <v/>
      </c>
      <c r="J113" s="4">
        <f>I113-J160+J48</f>
        <v/>
      </c>
      <c r="K113" s="4">
        <f>J113-K160+K48</f>
        <v/>
      </c>
      <c r="L113" s="4">
        <f>K113-L160+L48</f>
        <v/>
      </c>
      <c r="M113" s="4">
        <f>L113-M160+M48</f>
        <v/>
      </c>
      <c r="N113" s="4">
        <f>M113-N160+N48</f>
        <v/>
      </c>
      <c r="O113" s="4">
        <f>N113-O160+O48</f>
        <v/>
      </c>
      <c r="P113" s="4">
        <f>O113-P160+P48</f>
        <v/>
      </c>
    </row>
    <row r="114">
      <c r="A114" t="inlineStr">
        <is>
          <t>BS-Intangibles</t>
        </is>
      </c>
      <c r="B114" t="inlineStr">
        <is>
          <t>Intangibles</t>
        </is>
      </c>
      <c r="C114" t="inlineStr">
        <is>
          <t>AUDm</t>
        </is>
      </c>
      <c r="D114" s="19" t="n">
        <v>15.202</v>
      </c>
      <c r="E114" s="19" t="n">
        <v>10.586</v>
      </c>
      <c r="F114" s="19" t="n">
        <v>18.305</v>
      </c>
      <c r="G114" s="4">
        <f>F114-G162-G163</f>
        <v/>
      </c>
      <c r="H114" s="4">
        <f>G114-H162-H163</f>
        <v/>
      </c>
      <c r="I114" s="4">
        <f>H114-I162-I163</f>
        <v/>
      </c>
      <c r="J114" s="4">
        <f>I114-J162-J163</f>
        <v/>
      </c>
      <c r="K114" s="4">
        <f>J114-K162-K163</f>
        <v/>
      </c>
      <c r="L114" s="4">
        <f>K114-L162-L163</f>
        <v/>
      </c>
      <c r="M114" s="4">
        <f>L114-M162-M163</f>
        <v/>
      </c>
      <c r="N114" s="4">
        <f>M114-N162-N163</f>
        <v/>
      </c>
      <c r="O114" s="4">
        <f>N114-O162-O163</f>
        <v/>
      </c>
      <c r="P114" s="4">
        <f>O114-P162-P163</f>
        <v/>
      </c>
    </row>
    <row r="115">
      <c r="A115" t="inlineStr">
        <is>
          <t>BS-ROU Assets</t>
        </is>
      </c>
      <c r="B115" t="inlineStr">
        <is>
          <t>Right-of-Use Assets</t>
        </is>
      </c>
      <c r="C115" t="inlineStr">
        <is>
          <t>AUDm</t>
        </is>
      </c>
      <c r="D115" s="19" t="n">
        <v>98.93899999999999</v>
      </c>
      <c r="E115" s="19" t="n">
        <v>93.79600000000001</v>
      </c>
      <c r="F115" s="19" t="n">
        <v>125.43</v>
      </c>
      <c r="G115" s="4">
        <f>F115+G122+G49</f>
        <v/>
      </c>
      <c r="H115" s="4">
        <f>G115+H122+H49</f>
        <v/>
      </c>
      <c r="I115" s="4">
        <f>H115+I122+I49</f>
        <v/>
      </c>
      <c r="J115" s="4">
        <f>I115+J122+J49</f>
        <v/>
      </c>
      <c r="K115" s="4">
        <f>J115+K122+K49</f>
        <v/>
      </c>
      <c r="L115" s="4">
        <f>K115+L122+L49</f>
        <v/>
      </c>
      <c r="M115" s="4">
        <f>L115+M122+M49</f>
        <v/>
      </c>
      <c r="N115" s="4">
        <f>M115+N122+N49</f>
        <v/>
      </c>
      <c r="O115" s="4">
        <f>N115+O122+O49</f>
        <v/>
      </c>
      <c r="P115" s="4">
        <f>O115+P122+P49</f>
        <v/>
      </c>
    </row>
    <row r="116">
      <c r="A116" t="inlineStr">
        <is>
          <t>BS-Other Assets</t>
        </is>
      </c>
      <c r="B116" t="inlineStr">
        <is>
          <t>Finance Lease Rec &amp; Other</t>
        </is>
      </c>
      <c r="C116" t="inlineStr">
        <is>
          <t>AUDm</t>
        </is>
      </c>
      <c r="D116" s="19" t="n">
        <v>77.136</v>
      </c>
      <c r="E116" s="19" t="n">
        <v>145.981</v>
      </c>
      <c r="F116" s="19" t="n">
        <v>199.063</v>
      </c>
      <c r="G116" s="4">
        <f>F116</f>
        <v/>
      </c>
      <c r="H116" s="4">
        <f>G116</f>
        <v/>
      </c>
      <c r="I116" s="4">
        <f>H116</f>
        <v/>
      </c>
      <c r="J116" s="4">
        <f>I116</f>
        <v/>
      </c>
      <c r="K116" s="4">
        <f>J116</f>
        <v/>
      </c>
      <c r="L116" s="4">
        <f>K116</f>
        <v/>
      </c>
      <c r="M116" s="4">
        <f>L116</f>
        <v/>
      </c>
      <c r="N116" s="4">
        <f>M116</f>
        <v/>
      </c>
      <c r="O116" s="4">
        <f>N116</f>
        <v/>
      </c>
      <c r="P116" s="4">
        <f>O116</f>
        <v/>
      </c>
    </row>
    <row r="117">
      <c r="B117" s="20" t="inlineStr">
        <is>
          <t>Total Assets</t>
        </is>
      </c>
      <c r="C117" s="20" t="inlineStr">
        <is>
          <t>AUDm</t>
        </is>
      </c>
      <c r="D117" s="21">
        <f>SUM(D110:D116)</f>
        <v/>
      </c>
      <c r="E117" s="21">
        <f>SUM(E110:E116)</f>
        <v/>
      </c>
      <c r="F117" s="21">
        <f>SUM(F110:F116)</f>
        <v/>
      </c>
      <c r="G117" s="21">
        <f>SUM(G110:G116)</f>
        <v/>
      </c>
      <c r="H117" s="21">
        <f>SUM(H110:H116)</f>
        <v/>
      </c>
      <c r="I117" s="21">
        <f>SUM(I110:I116)</f>
        <v/>
      </c>
      <c r="J117" s="21">
        <f>SUM(J110:J116)</f>
        <v/>
      </c>
      <c r="K117" s="21">
        <f>SUM(K110:K116)</f>
        <v/>
      </c>
      <c r="L117" s="21">
        <f>SUM(L110:L116)</f>
        <v/>
      </c>
      <c r="M117" s="21">
        <f>SUM(M110:M116)</f>
        <v/>
      </c>
      <c r="N117" s="21">
        <f>SUM(N110:N116)</f>
        <v/>
      </c>
      <c r="O117" s="21">
        <f>SUM(O110:O116)</f>
        <v/>
      </c>
      <c r="P117" s="21">
        <f>SUM(P110:P116)</f>
        <v/>
      </c>
    </row>
    <row r="118">
      <c r="B118" s="25" t="inlineStr">
        <is>
          <t>Receivables / Revenue</t>
        </is>
      </c>
      <c r="C118" t="inlineStr">
        <is>
          <t>%</t>
        </is>
      </c>
      <c r="D118" s="6">
        <f>IF(D11=0,"",D111/D11)</f>
        <v/>
      </c>
      <c r="E118" s="6">
        <f>IF(E11=0,"",E111/E11)</f>
        <v/>
      </c>
      <c r="F118" s="6">
        <f>IF(F11=0,"",F111/F11)</f>
        <v/>
      </c>
      <c r="G118" s="80">
        <f>F118</f>
        <v/>
      </c>
      <c r="H118" s="80">
        <f>G118</f>
        <v/>
      </c>
      <c r="I118" s="80">
        <f>H118</f>
        <v/>
      </c>
      <c r="J118" s="80">
        <f>I118</f>
        <v/>
      </c>
      <c r="K118" s="80">
        <f>J118</f>
        <v/>
      </c>
      <c r="L118" s="80">
        <f>K118</f>
        <v/>
      </c>
      <c r="M118" s="80">
        <f>L118</f>
        <v/>
      </c>
      <c r="N118" s="80">
        <f>M118</f>
        <v/>
      </c>
      <c r="O118" s="80">
        <f>N118</f>
        <v/>
      </c>
      <c r="P118" s="80">
        <f>O118</f>
        <v/>
      </c>
    </row>
    <row r="119">
      <c r="B119" s="25" t="inlineStr">
        <is>
          <t>Inventory / Revenue</t>
        </is>
      </c>
      <c r="C119" t="inlineStr">
        <is>
          <t>%</t>
        </is>
      </c>
      <c r="D119" s="6">
        <f>IF(D11=0,"",D112/D11)</f>
        <v/>
      </c>
      <c r="E119" s="6">
        <f>IF(E11=0,"",E112/E11)</f>
        <v/>
      </c>
      <c r="F119" s="6">
        <f>IF(F11=0,"",F112/F11)</f>
        <v/>
      </c>
      <c r="G119" s="80">
        <f>F119</f>
        <v/>
      </c>
      <c r="H119" s="80">
        <f>G119</f>
        <v/>
      </c>
      <c r="I119" s="80">
        <f>H119</f>
        <v/>
      </c>
      <c r="J119" s="80">
        <f>I119</f>
        <v/>
      </c>
      <c r="K119" s="80">
        <f>J119</f>
        <v/>
      </c>
      <c r="L119" s="80">
        <f>K119</f>
        <v/>
      </c>
      <c r="M119" s="80">
        <f>L119</f>
        <v/>
      </c>
      <c r="N119" s="80">
        <f>M119</f>
        <v/>
      </c>
      <c r="O119" s="80">
        <f>N119</f>
        <v/>
      </c>
      <c r="P119" s="80">
        <f>O119</f>
        <v/>
      </c>
    </row>
    <row r="120">
      <c r="B120" s="20" t="inlineStr">
        <is>
          <t>Working Capital</t>
        </is>
      </c>
      <c r="C120" s="20" t="inlineStr">
        <is>
          <t>AUDm</t>
        </is>
      </c>
      <c r="D120" s="21">
        <f>D111+D112-D125</f>
        <v/>
      </c>
      <c r="E120" s="21">
        <f>E111+E112-E125</f>
        <v/>
      </c>
      <c r="F120" s="21">
        <f>F111+F112-F125</f>
        <v/>
      </c>
      <c r="G120" s="21">
        <f>G111+G112-G125</f>
        <v/>
      </c>
      <c r="H120" s="21">
        <f>H111+H112-H125</f>
        <v/>
      </c>
      <c r="I120" s="21">
        <f>I111+I112-I125</f>
        <v/>
      </c>
      <c r="J120" s="21">
        <f>J111+J112-J125</f>
        <v/>
      </c>
      <c r="K120" s="21">
        <f>K111+K112-K125</f>
        <v/>
      </c>
      <c r="L120" s="21">
        <f>L111+L112-L125</f>
        <v/>
      </c>
      <c r="M120" s="21">
        <f>M111+M112-M125</f>
        <v/>
      </c>
      <c r="N120" s="21">
        <f>N111+N112-N125</f>
        <v/>
      </c>
      <c r="O120" s="21">
        <f>O111+O112-O125</f>
        <v/>
      </c>
      <c r="P120" s="21">
        <f>P111+P112-P125</f>
        <v/>
      </c>
    </row>
    <row r="121">
      <c r="B121" s="25" t="inlineStr">
        <is>
          <t>Payables / Revenue</t>
        </is>
      </c>
      <c r="C121" t="inlineStr">
        <is>
          <t>%</t>
        </is>
      </c>
      <c r="D121" s="6">
        <f>IF(D11=0,"",D125/D11)</f>
        <v/>
      </c>
      <c r="E121" s="6">
        <f>IF(E11=0,"",E125/E11)</f>
        <v/>
      </c>
      <c r="F121" s="6">
        <f>IF(F11=0,"",F125/F11)</f>
        <v/>
      </c>
      <c r="G121" s="80">
        <f>F121</f>
        <v/>
      </c>
      <c r="H121" s="80">
        <f>G121</f>
        <v/>
      </c>
      <c r="I121" s="80">
        <f>H121</f>
        <v/>
      </c>
      <c r="J121" s="80">
        <f>I121</f>
        <v/>
      </c>
      <c r="K121" s="80">
        <f>J121</f>
        <v/>
      </c>
      <c r="L121" s="80">
        <f>K121</f>
        <v/>
      </c>
      <c r="M121" s="80">
        <f>L121</f>
        <v/>
      </c>
      <c r="N121" s="80">
        <f>M121</f>
        <v/>
      </c>
      <c r="O121" s="80">
        <f>N121</f>
        <v/>
      </c>
      <c r="P121" s="80">
        <f>O121</f>
        <v/>
      </c>
    </row>
    <row r="122">
      <c r="B122" s="25" t="inlineStr">
        <is>
          <t>New Lease Additions</t>
        </is>
      </c>
      <c r="C122" t="inlineStr">
        <is>
          <t>AUDm</t>
        </is>
      </c>
      <c r="E122">
        <f>E115-D115-E49</f>
        <v/>
      </c>
      <c r="F122" t="n">
        <v>50</v>
      </c>
      <c r="G122" s="84">
        <f>F122</f>
        <v/>
      </c>
      <c r="H122" s="84">
        <f>G122</f>
        <v/>
      </c>
      <c r="I122" s="84">
        <f>H122</f>
        <v/>
      </c>
      <c r="J122" s="84">
        <f>I122</f>
        <v/>
      </c>
      <c r="K122" s="84">
        <f>J122</f>
        <v/>
      </c>
      <c r="L122" s="84">
        <f>K122</f>
        <v/>
      </c>
      <c r="M122" s="84">
        <f>L122</f>
        <v/>
      </c>
      <c r="N122" s="84">
        <f>M122</f>
        <v/>
      </c>
      <c r="O122" s="84">
        <f>N122</f>
        <v/>
      </c>
      <c r="P122" s="84">
        <f>O122</f>
        <v/>
      </c>
    </row>
    <row r="123">
      <c r="B123" s="25" t="n"/>
      <c r="G123" s="61" t="n"/>
      <c r="H123" s="61" t="n"/>
      <c r="I123" s="61" t="n"/>
      <c r="J123" s="61" t="n"/>
      <c r="K123" s="61" t="n"/>
      <c r="L123" s="61" t="n"/>
      <c r="M123" s="61" t="n"/>
      <c r="N123" s="61" t="n"/>
      <c r="O123" s="61" t="n"/>
      <c r="P123" s="61" t="n"/>
    </row>
    <row r="124">
      <c r="B124" s="5" t="inlineStr">
        <is>
          <t>Liabilities</t>
        </is>
      </c>
    </row>
    <row r="125">
      <c r="A125" t="inlineStr">
        <is>
          <t>BS-Trade Payables</t>
        </is>
      </c>
      <c r="B125" t="inlineStr">
        <is>
          <t>Trade &amp; Other Payables</t>
        </is>
      </c>
      <c r="C125" t="inlineStr">
        <is>
          <t>AUDm</t>
        </is>
      </c>
      <c r="D125" s="19" t="n">
        <v>32.635</v>
      </c>
      <c r="E125" s="19" t="n">
        <v>39.387</v>
      </c>
      <c r="F125" s="19" t="n">
        <v>40.439</v>
      </c>
      <c r="G125" s="4">
        <f>G11*G121</f>
        <v/>
      </c>
      <c r="H125" s="4">
        <f>H11*H121</f>
        <v/>
      </c>
      <c r="I125" s="4">
        <f>I11*I121</f>
        <v/>
      </c>
      <c r="J125" s="4">
        <f>J11*J121</f>
        <v/>
      </c>
      <c r="K125" s="4">
        <f>K11*K121</f>
        <v/>
      </c>
      <c r="L125" s="4">
        <f>L11*L121</f>
        <v/>
      </c>
      <c r="M125" s="4">
        <f>M11*M121</f>
        <v/>
      </c>
      <c r="N125" s="4">
        <f>N11*N121</f>
        <v/>
      </c>
      <c r="O125" s="4">
        <f>O11*O121</f>
        <v/>
      </c>
      <c r="P125" s="4">
        <f>P11*P121</f>
        <v/>
      </c>
    </row>
    <row r="126">
      <c r="A126" t="inlineStr">
        <is>
          <t>BS-Other Liabilities</t>
        </is>
      </c>
      <c r="B126" t="inlineStr">
        <is>
          <t>Other Liabilities</t>
        </is>
      </c>
      <c r="C126" t="inlineStr">
        <is>
          <t>AUDm</t>
        </is>
      </c>
      <c r="D126" s="19" t="n">
        <v>19.19</v>
      </c>
      <c r="E126" s="19" t="n">
        <v>28.933</v>
      </c>
      <c r="F126" s="19" t="n">
        <v>31.324</v>
      </c>
      <c r="G126" s="4">
        <f>F126</f>
        <v/>
      </c>
      <c r="H126" s="4">
        <f>G126</f>
        <v/>
      </c>
      <c r="I126" s="4">
        <f>H126</f>
        <v/>
      </c>
      <c r="J126" s="4">
        <f>I126</f>
        <v/>
      </c>
      <c r="K126" s="4">
        <f>J126</f>
        <v/>
      </c>
      <c r="L126" s="4">
        <f>K126</f>
        <v/>
      </c>
      <c r="M126" s="4">
        <f>L126</f>
        <v/>
      </c>
      <c r="N126" s="4">
        <f>M126</f>
        <v/>
      </c>
      <c r="O126" s="4">
        <f>N126</f>
        <v/>
      </c>
      <c r="P126" s="4">
        <f>O126</f>
        <v/>
      </c>
    </row>
    <row r="127">
      <c r="A127" t="inlineStr">
        <is>
          <t>BS-Lease Liabilities</t>
        </is>
      </c>
      <c r="B127" t="inlineStr">
        <is>
          <t>Lease Liabilities</t>
        </is>
      </c>
      <c r="C127" t="inlineStr">
        <is>
          <t>AUDm</t>
        </is>
      </c>
      <c r="D127" s="19" t="n">
        <v>181.717</v>
      </c>
      <c r="E127" s="19" t="n">
        <v>239.498</v>
      </c>
      <c r="F127" s="19" t="n">
        <v>331.311</v>
      </c>
      <c r="G127" s="4">
        <f>F127+G122+G171</f>
        <v/>
      </c>
      <c r="H127" s="4">
        <f>G127+H122+H171</f>
        <v/>
      </c>
      <c r="I127" s="4">
        <f>H127+I122+I171</f>
        <v/>
      </c>
      <c r="J127" s="4">
        <f>I127+J122+J171</f>
        <v/>
      </c>
      <c r="K127" s="4">
        <f>J127+K122+K171</f>
        <v/>
      </c>
      <c r="L127" s="4">
        <f>K127+L122+L171</f>
        <v/>
      </c>
      <c r="M127" s="4">
        <f>L127+M122+M171</f>
        <v/>
      </c>
      <c r="N127" s="4">
        <f>M127+N122+N171</f>
        <v/>
      </c>
      <c r="O127" s="4">
        <f>N127+O122+O171</f>
        <v/>
      </c>
      <c r="P127" s="4">
        <f>O127+P122+P171</f>
        <v/>
      </c>
    </row>
    <row r="128">
      <c r="A128" t="inlineStr">
        <is>
          <t>BS-Total Banking Debt</t>
        </is>
      </c>
      <c r="B128" t="inlineStr">
        <is>
          <t>Total Banking Debt</t>
        </is>
      </c>
      <c r="C128" t="inlineStr">
        <is>
          <t>AUDm</t>
        </is>
      </c>
      <c r="D128" s="19" t="n">
        <v>3</v>
      </c>
      <c r="E128" s="19" t="n">
        <v>0</v>
      </c>
      <c r="F128" s="19" t="n">
        <v>0</v>
      </c>
      <c r="G128" s="4">
        <f>F128+G172</f>
        <v/>
      </c>
      <c r="H128" s="4">
        <f>G128+H172</f>
        <v/>
      </c>
      <c r="I128" s="4">
        <f>H128+I172</f>
        <v/>
      </c>
      <c r="J128" s="4">
        <f>I128+J172</f>
        <v/>
      </c>
      <c r="K128" s="4">
        <f>J128+K172</f>
        <v/>
      </c>
      <c r="L128" s="4">
        <f>K128+L172</f>
        <v/>
      </c>
      <c r="M128" s="4">
        <f>L128+M172</f>
        <v/>
      </c>
      <c r="N128" s="4">
        <f>M128+N172</f>
        <v/>
      </c>
      <c r="O128" s="4">
        <f>N128+O172</f>
        <v/>
      </c>
      <c r="P128" s="4">
        <f>O128+P172</f>
        <v/>
      </c>
    </row>
    <row r="129">
      <c r="B129" s="20" t="inlineStr">
        <is>
          <t>Total Liabilities</t>
        </is>
      </c>
      <c r="C129" s="20" t="inlineStr">
        <is>
          <t>AUDm</t>
        </is>
      </c>
      <c r="D129" s="21">
        <f>SUM(D125:D128)</f>
        <v/>
      </c>
      <c r="E129" s="21">
        <f>SUM(E125:E128)</f>
        <v/>
      </c>
      <c r="F129" s="21">
        <f>SUM(F125:F128)</f>
        <v/>
      </c>
      <c r="G129" s="21">
        <f>SUM(G125:G128)</f>
        <v/>
      </c>
      <c r="H129" s="21">
        <f>SUM(H125:H128)</f>
        <v/>
      </c>
      <c r="I129" s="21">
        <f>SUM(I125:I128)</f>
        <v/>
      </c>
      <c r="J129" s="21">
        <f>SUM(J125:J128)</f>
        <v/>
      </c>
      <c r="K129" s="21">
        <f>SUM(K125:K128)</f>
        <v/>
      </c>
      <c r="L129" s="21">
        <f>SUM(L125:L128)</f>
        <v/>
      </c>
      <c r="M129" s="21">
        <f>SUM(M125:M128)</f>
        <v/>
      </c>
      <c r="N129" s="21">
        <f>SUM(N125:N128)</f>
        <v/>
      </c>
      <c r="O129" s="21">
        <f>SUM(O125:O128)</f>
        <v/>
      </c>
      <c r="P129" s="21">
        <f>SUM(P125:P128)</f>
        <v/>
      </c>
    </row>
    <row r="131">
      <c r="B131" s="20" t="inlineStr">
        <is>
          <t>Net Banking Debt</t>
        </is>
      </c>
      <c r="C131" s="20" t="inlineStr">
        <is>
          <t>AUDm</t>
        </is>
      </c>
      <c r="D131" s="21">
        <f>D128-D110</f>
        <v/>
      </c>
      <c r="E131" s="21">
        <f>E128-E110</f>
        <v/>
      </c>
      <c r="F131" s="21">
        <f>F128-F110</f>
        <v/>
      </c>
      <c r="G131" s="21">
        <f>G128-G110</f>
        <v/>
      </c>
      <c r="H131" s="21">
        <f>H128-H110</f>
        <v/>
      </c>
      <c r="I131" s="21">
        <f>I128-I110</f>
        <v/>
      </c>
      <c r="J131" s="21">
        <f>J128-J110</f>
        <v/>
      </c>
      <c r="K131" s="21">
        <f>K128-K110</f>
        <v/>
      </c>
      <c r="L131" s="21">
        <f>L128-L110</f>
        <v/>
      </c>
      <c r="M131" s="21">
        <f>M128-M110</f>
        <v/>
      </c>
      <c r="N131" s="21">
        <f>N128-N110</f>
        <v/>
      </c>
      <c r="O131" s="21">
        <f>O128-O110</f>
        <v/>
      </c>
      <c r="P131" s="21">
        <f>P128-P110</f>
        <v/>
      </c>
    </row>
    <row r="132">
      <c r="B132" s="20" t="inlineStr">
        <is>
          <t>Adj Net Debt (incl leases)</t>
        </is>
      </c>
      <c r="C132" s="20" t="inlineStr">
        <is>
          <t>AUDm</t>
        </is>
      </c>
      <c r="D132" s="21">
        <f>D131+D127</f>
        <v/>
      </c>
      <c r="E132" s="21">
        <f>E131+E127</f>
        <v/>
      </c>
      <c r="F132" s="21">
        <f>F131+F127</f>
        <v/>
      </c>
      <c r="G132" s="21">
        <f>G131+G127</f>
        <v/>
      </c>
      <c r="H132" s="21">
        <f>H131+H127</f>
        <v/>
      </c>
      <c r="I132" s="21">
        <f>I131+I127</f>
        <v/>
      </c>
      <c r="J132" s="21">
        <f>J131+J127</f>
        <v/>
      </c>
      <c r="K132" s="21">
        <f>K131+K127</f>
        <v/>
      </c>
      <c r="L132" s="21">
        <f>L131+L127</f>
        <v/>
      </c>
      <c r="M132" s="21">
        <f>M131+M127</f>
        <v/>
      </c>
      <c r="N132" s="21">
        <f>N131+N127</f>
        <v/>
      </c>
      <c r="O132" s="21">
        <f>O131+O127</f>
        <v/>
      </c>
      <c r="P132" s="21">
        <f>P131+P127</f>
        <v/>
      </c>
    </row>
    <row r="133">
      <c r="B133" s="8" t="inlineStr">
        <is>
          <t>ND / EBITDA</t>
        </is>
      </c>
      <c r="C133" t="inlineStr">
        <is>
          <t>x</t>
        </is>
      </c>
      <c r="D133" s="13">
        <f>IF(D38=0,"",D131/D38)</f>
        <v/>
      </c>
      <c r="E133" s="13">
        <f>IF(E38=0,"",E131/E38)</f>
        <v/>
      </c>
      <c r="F133" s="13">
        <f>IF(F38=0,"",F131/F38)</f>
        <v/>
      </c>
      <c r="G133" s="13">
        <f>IF(G38=0,"",G131/G38)</f>
        <v/>
      </c>
      <c r="H133" s="13">
        <f>IF(H38=0,"",H131/H38)</f>
        <v/>
      </c>
      <c r="I133" s="13">
        <f>IF(I38=0,"",I131/I38)</f>
        <v/>
      </c>
      <c r="J133" s="13">
        <f>IF(J38=0,"",J131/J38)</f>
        <v/>
      </c>
      <c r="K133" s="13">
        <f>IF(K38=0,"",K131/K38)</f>
        <v/>
      </c>
      <c r="L133" s="13">
        <f>IF(L38=0,"",L131/L38)</f>
        <v/>
      </c>
      <c r="M133" s="13">
        <f>IF(M38=0,"",M131/M38)</f>
        <v/>
      </c>
      <c r="N133" s="13">
        <f>IF(N38=0,"",N131/N38)</f>
        <v/>
      </c>
      <c r="O133" s="13">
        <f>IF(O38=0,"",O131/O38)</f>
        <v/>
      </c>
      <c r="P133" s="13">
        <f>IF(P38=0,"",P131/P38)</f>
        <v/>
      </c>
    </row>
    <row r="134">
      <c r="B134" s="8" t="inlineStr">
        <is>
          <t>Gearing (ND/(ND+E))</t>
        </is>
      </c>
      <c r="C134" t="inlineStr">
        <is>
          <t>%</t>
        </is>
      </c>
      <c r="D134" s="6">
        <f>IF((D131+D141)=0,"",D131/(D131+D141))</f>
        <v/>
      </c>
      <c r="E134" s="6">
        <f>IF((E131+E141)=0,"",E131/(E131+E141))</f>
        <v/>
      </c>
      <c r="F134" s="6">
        <f>IF((F131+F141)=0,"",F131/(F131+F141))</f>
        <v/>
      </c>
      <c r="G134" s="6">
        <f>IF((G131+G141)=0,"",G131/(G131+G141))</f>
        <v/>
      </c>
      <c r="H134" s="6">
        <f>IF((H131+H141)=0,"",H131/(H131+H141))</f>
        <v/>
      </c>
      <c r="I134" s="6">
        <f>IF((I131+I141)=0,"",I131/(I131+I141))</f>
        <v/>
      </c>
      <c r="J134" s="6">
        <f>IF((J131+J141)=0,"",J131/(J131+J141))</f>
        <v/>
      </c>
      <c r="K134" s="6">
        <f>IF((K131+K141)=0,"",K131/(K131+K141))</f>
        <v/>
      </c>
      <c r="L134" s="6">
        <f>IF((L131+L141)=0,"",L131/(L131+L141))</f>
        <v/>
      </c>
      <c r="M134" s="6">
        <f>IF((M131+M141)=0,"",M131/(M131+M141))</f>
        <v/>
      </c>
      <c r="N134" s="6">
        <f>IF((N131+N141)=0,"",N131/(N131+N141))</f>
        <v/>
      </c>
      <c r="O134" s="6">
        <f>IF((O131+O141)=0,"",O131/(O131+O141))</f>
        <v/>
      </c>
      <c r="P134" s="6">
        <f>IF((P131+P141)=0,"",P131/(P131+P141))</f>
        <v/>
      </c>
    </row>
    <row r="136">
      <c r="B136" s="5" t="inlineStr">
        <is>
          <t>Equity</t>
        </is>
      </c>
    </row>
    <row r="137">
      <c r="A137" t="inlineStr">
        <is>
          <t>BS-Issued Capital</t>
        </is>
      </c>
      <c r="B137" t="inlineStr">
        <is>
          <t>Issued Capital</t>
        </is>
      </c>
      <c r="C137" t="inlineStr">
        <is>
          <t>AUDm</t>
        </is>
      </c>
      <c r="D137" s="19" t="n">
        <v>104.046</v>
      </c>
      <c r="E137" s="19" t="n">
        <v>372.708</v>
      </c>
      <c r="F137" s="19" t="n">
        <v>374.988</v>
      </c>
      <c r="G137" s="4">
        <f>F137+G170</f>
        <v/>
      </c>
      <c r="H137" s="4">
        <f>G137+H170</f>
        <v/>
      </c>
      <c r="I137" s="4">
        <f>H137+I170</f>
        <v/>
      </c>
      <c r="J137" s="4">
        <f>I137+J170</f>
        <v/>
      </c>
      <c r="K137" s="4">
        <f>J137+K170</f>
        <v/>
      </c>
      <c r="L137" s="4">
        <f>K137+L170</f>
        <v/>
      </c>
      <c r="M137" s="4">
        <f>L137+M170</f>
        <v/>
      </c>
      <c r="N137" s="4">
        <f>M137+N170</f>
        <v/>
      </c>
      <c r="O137" s="4">
        <f>N137+O170</f>
        <v/>
      </c>
      <c r="P137" s="4">
        <f>O137+P170</f>
        <v/>
      </c>
    </row>
    <row r="138">
      <c r="A138" t="inlineStr">
        <is>
          <t>BS-Retained Profits</t>
        </is>
      </c>
      <c r="B138" t="inlineStr">
        <is>
          <t>Retained Profits</t>
        </is>
      </c>
      <c r="C138" t="inlineStr">
        <is>
          <t>AUDm</t>
        </is>
      </c>
      <c r="D138" s="19" t="n">
        <v>-26.857</v>
      </c>
      <c r="E138" s="19" t="n">
        <v>-36.147</v>
      </c>
      <c r="F138" s="19" t="n">
        <v>-21.671</v>
      </c>
      <c r="G138" s="4">
        <f>F138+G74-G89</f>
        <v/>
      </c>
      <c r="H138" s="4">
        <f>G138+H74-H89</f>
        <v/>
      </c>
      <c r="I138" s="4">
        <f>H138+I74-I89</f>
        <v/>
      </c>
      <c r="J138" s="4">
        <f>I138+J74-J89</f>
        <v/>
      </c>
      <c r="K138" s="4">
        <f>J138+K74-K89</f>
        <v/>
      </c>
      <c r="L138" s="4">
        <f>K138+L74-L89</f>
        <v/>
      </c>
      <c r="M138" s="4">
        <f>L138+M74-M89</f>
        <v/>
      </c>
      <c r="N138" s="4">
        <f>M138+N74-N89</f>
        <v/>
      </c>
      <c r="O138" s="4">
        <f>N138+O74-O89</f>
        <v/>
      </c>
      <c r="P138" s="4">
        <f>O138+P74-P89</f>
        <v/>
      </c>
    </row>
    <row r="139">
      <c r="A139" t="inlineStr">
        <is>
          <t>BS-Reserves</t>
        </is>
      </c>
      <c r="B139" t="inlineStr">
        <is>
          <t>Reserves</t>
        </is>
      </c>
      <c r="C139" t="inlineStr">
        <is>
          <t>AUDm</t>
        </is>
      </c>
      <c r="D139" s="19" t="n">
        <v>10.776</v>
      </c>
      <c r="E139" s="19" t="n">
        <v>17.418</v>
      </c>
      <c r="F139" s="19" t="n">
        <v>26.807</v>
      </c>
      <c r="G139" s="4">
        <f>F139</f>
        <v/>
      </c>
      <c r="H139" s="4">
        <f>G139</f>
        <v/>
      </c>
      <c r="I139" s="4">
        <f>H139</f>
        <v/>
      </c>
      <c r="J139" s="4">
        <f>I139</f>
        <v/>
      </c>
      <c r="K139" s="4">
        <f>J139</f>
        <v/>
      </c>
      <c r="L139" s="4">
        <f>K139</f>
        <v/>
      </c>
      <c r="M139" s="4">
        <f>L139</f>
        <v/>
      </c>
      <c r="N139" s="4">
        <f>M139</f>
        <v/>
      </c>
      <c r="O139" s="4">
        <f>N139</f>
        <v/>
      </c>
      <c r="P139" s="4">
        <f>O139</f>
        <v/>
      </c>
    </row>
    <row r="140">
      <c r="A140" t="inlineStr">
        <is>
          <t>BS-Minorities</t>
        </is>
      </c>
      <c r="B140" t="inlineStr">
        <is>
          <t>Minorities</t>
        </is>
      </c>
      <c r="C140" t="inlineStr">
        <is>
          <t>AUDm</t>
        </is>
      </c>
      <c r="D140" s="19" t="n">
        <v>0</v>
      </c>
      <c r="E140" s="19" t="n">
        <v>0</v>
      </c>
      <c r="F140" s="19" t="n">
        <v>0</v>
      </c>
      <c r="G140" s="4">
        <f>F140-G71</f>
        <v/>
      </c>
      <c r="H140" s="4">
        <f>G140-H71</f>
        <v/>
      </c>
      <c r="I140" s="4">
        <f>H140-I71</f>
        <v/>
      </c>
      <c r="J140" s="4">
        <f>I140-J71</f>
        <v/>
      </c>
      <c r="K140" s="4">
        <f>J140-K71</f>
        <v/>
      </c>
      <c r="L140" s="4">
        <f>K140-L71</f>
        <v/>
      </c>
      <c r="M140" s="4">
        <f>L140-M71</f>
        <v/>
      </c>
      <c r="N140" s="4">
        <f>M140-N71</f>
        <v/>
      </c>
      <c r="O140" s="4">
        <f>N140-O71</f>
        <v/>
      </c>
      <c r="P140" s="4">
        <f>O140-P71</f>
        <v/>
      </c>
    </row>
    <row r="141">
      <c r="B141" s="20" t="inlineStr">
        <is>
          <t>Total Equity</t>
        </is>
      </c>
      <c r="C141" s="20" t="inlineStr">
        <is>
          <t>AUDm</t>
        </is>
      </c>
      <c r="D141" s="21">
        <f>SUM(D137:D140)</f>
        <v/>
      </c>
      <c r="E141" s="21">
        <f>SUM(E137:E140)</f>
        <v/>
      </c>
      <c r="F141" s="21">
        <f>SUM(F137:F140)</f>
        <v/>
      </c>
      <c r="G141" s="21">
        <f>SUM(G137:G140)</f>
        <v/>
      </c>
      <c r="H141" s="21">
        <f>SUM(H137:H140)</f>
        <v/>
      </c>
      <c r="I141" s="21">
        <f>SUM(I137:I140)</f>
        <v/>
      </c>
      <c r="J141" s="21">
        <f>SUM(J137:J140)</f>
        <v/>
      </c>
      <c r="K141" s="21">
        <f>SUM(K137:K140)</f>
        <v/>
      </c>
      <c r="L141" s="21">
        <f>SUM(L137:L140)</f>
        <v/>
      </c>
      <c r="M141" s="21">
        <f>SUM(M137:M140)</f>
        <v/>
      </c>
      <c r="N141" s="21">
        <f>SUM(N137:N140)</f>
        <v/>
      </c>
      <c r="O141" s="21">
        <f>SUM(O137:O140)</f>
        <v/>
      </c>
      <c r="P141" s="21">
        <f>SUM(P137:P140)</f>
        <v/>
      </c>
    </row>
    <row r="142">
      <c r="B142" s="8" t="inlineStr">
        <is>
          <t>ROE</t>
        </is>
      </c>
      <c r="C142" t="inlineStr">
        <is>
          <t>%</t>
        </is>
      </c>
      <c r="D142" s="6">
        <f>IF(D141=0,"",D72/D141)</f>
        <v/>
      </c>
      <c r="E142" s="6">
        <f>IF(E141=0,"",E72/E141)</f>
        <v/>
      </c>
      <c r="F142" s="6">
        <f>IF(F141=0,"",F72/F141)</f>
        <v/>
      </c>
      <c r="G142" s="6">
        <f>IF(G141=0,"",G72/G141)</f>
        <v/>
      </c>
      <c r="H142" s="6">
        <f>IF(H141=0,"",H72/H141)</f>
        <v/>
      </c>
      <c r="I142" s="6">
        <f>IF(I141=0,"",I72/I141)</f>
        <v/>
      </c>
      <c r="J142" s="6">
        <f>IF(J141=0,"",J72/J141)</f>
        <v/>
      </c>
      <c r="K142" s="6">
        <f>IF(K141=0,"",K72/K141)</f>
        <v/>
      </c>
      <c r="L142" s="6">
        <f>IF(L141=0,"",L72/L141)</f>
        <v/>
      </c>
      <c r="M142" s="6">
        <f>IF(M141=0,"",M72/M141)</f>
        <v/>
      </c>
      <c r="N142" s="6">
        <f>IF(N141=0,"",N72/N141)</f>
        <v/>
      </c>
      <c r="O142" s="6">
        <f>IF(O141=0,"",O72/O141)</f>
        <v/>
      </c>
      <c r="P142" s="6">
        <f>IF(P141=0,"",P72/P141)</f>
        <v/>
      </c>
    </row>
    <row r="143">
      <c r="B143" s="8" t="inlineStr">
        <is>
          <t>P/B</t>
        </is>
      </c>
      <c r="C143" t="inlineStr">
        <is>
          <t>x</t>
        </is>
      </c>
      <c r="D143" s="13">
        <f>IF(OR(D141=0,Value!$C$4=0),"",Value!$C$4*D79/D141)</f>
        <v/>
      </c>
      <c r="E143" s="13">
        <f>IF(OR(E141=0,Value!$C$4=0),"",Value!$C$4*E79/E141)</f>
        <v/>
      </c>
      <c r="F143" s="13">
        <f>IF(OR(F141=0,Value!$C$4=0),"",Value!$C$4*F79/F141)</f>
        <v/>
      </c>
      <c r="G143" s="13">
        <f>IF(OR(G141=0,Value!$C$4=0),"",Value!$C$4*G79/G141)</f>
        <v/>
      </c>
      <c r="H143" s="13">
        <f>IF(OR(H141=0,Value!$C$4=0),"",Value!$C$4*H79/H141)</f>
        <v/>
      </c>
      <c r="I143" s="13">
        <f>IF(OR(I141=0,Value!$C$4=0),"",Value!$C$4*I79/I141)</f>
        <v/>
      </c>
      <c r="J143" s="13">
        <f>IF(OR(J141=0,Value!$C$4=0),"",Value!$C$4*J79/J141)</f>
        <v/>
      </c>
      <c r="K143" s="13">
        <f>IF(OR(K141=0,Value!$C$4=0),"",Value!$C$4*K79/K141)</f>
        <v/>
      </c>
      <c r="L143" s="13">
        <f>IF(OR(L141=0,Value!$C$4=0),"",Value!$C$4*L79/L141)</f>
        <v/>
      </c>
      <c r="M143" s="13">
        <f>IF(OR(M141=0,Value!$C$4=0),"",Value!$C$4*M79/M141)</f>
        <v/>
      </c>
      <c r="N143" s="13">
        <f>IF(OR(N141=0,Value!$C$4=0),"",Value!$C$4*N79/N141)</f>
        <v/>
      </c>
      <c r="O143" s="13">
        <f>IF(OR(O141=0,Value!$C$4=0),"",Value!$C$4*O79/O141)</f>
        <v/>
      </c>
      <c r="P143" s="13">
        <f>IF(OR(P141=0,Value!$C$4=0),"",Value!$C$4*P79/P141)</f>
        <v/>
      </c>
    </row>
    <row r="144">
      <c r="B144" s="8" t="inlineStr">
        <is>
          <t>BS Check (should be 0, +/-0.2 due to rounding)</t>
        </is>
      </c>
      <c r="C144" t="inlineStr">
        <is>
          <t>AUDm</t>
        </is>
      </c>
      <c r="D144" s="4">
        <f>D117-D129-D141</f>
        <v/>
      </c>
      <c r="E144" s="4">
        <f>E117-E129-E141</f>
        <v/>
      </c>
      <c r="F144" s="4">
        <f>F117-F129-F141</f>
        <v/>
      </c>
      <c r="G144" s="4">
        <f>G117-G129-G141</f>
        <v/>
      </c>
      <c r="H144" s="4">
        <f>H117-H129-H141</f>
        <v/>
      </c>
      <c r="I144" s="4">
        <f>I117-I129-I141</f>
        <v/>
      </c>
      <c r="J144" s="4">
        <f>J117-J129-J141</f>
        <v/>
      </c>
      <c r="K144" s="4">
        <f>K117-K129-K141</f>
        <v/>
      </c>
      <c r="L144" s="4">
        <f>L117-L129-L141</f>
        <v/>
      </c>
      <c r="M144" s="4">
        <f>M117-M129-M141</f>
        <v/>
      </c>
      <c r="N144" s="4">
        <f>N117-N129-N141</f>
        <v/>
      </c>
      <c r="O144" s="4">
        <f>O117-O129-O141</f>
        <v/>
      </c>
      <c r="P144" s="4">
        <f>P117-P129-P141</f>
        <v/>
      </c>
    </row>
    <row r="145">
      <c r="B145" s="8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</row>
    <row r="146">
      <c r="A146" s="2" t="n"/>
      <c r="B146" s="18" t="inlineStr">
        <is>
          <t>Cash Flow</t>
        </is>
      </c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B147" s="5" t="inlineStr">
        <is>
          <t>CFO</t>
        </is>
      </c>
    </row>
    <row r="148">
      <c r="A148" t="inlineStr">
        <is>
          <t>CF-EBITDA</t>
        </is>
      </c>
      <c r="B148" s="8" t="inlineStr">
        <is>
          <t>Underlying EBITDA</t>
        </is>
      </c>
      <c r="C148" t="inlineStr">
        <is>
          <t>AUDm</t>
        </is>
      </c>
      <c r="D148" s="4">
        <f>D38</f>
        <v/>
      </c>
      <c r="E148" s="4">
        <f>E38</f>
        <v/>
      </c>
      <c r="F148" s="4">
        <f>F38</f>
        <v/>
      </c>
      <c r="G148" s="4">
        <f>G38</f>
        <v/>
      </c>
      <c r="H148" s="4">
        <f>H38</f>
        <v/>
      </c>
      <c r="I148" s="4">
        <f>I38</f>
        <v/>
      </c>
      <c r="J148" s="4">
        <f>J38</f>
        <v/>
      </c>
      <c r="K148" s="4">
        <f>K38</f>
        <v/>
      </c>
      <c r="L148" s="4">
        <f>L38</f>
        <v/>
      </c>
      <c r="M148" s="4">
        <f>M38</f>
        <v/>
      </c>
      <c r="N148" s="4">
        <f>N38</f>
        <v/>
      </c>
      <c r="O148" s="4">
        <f>O38</f>
        <v/>
      </c>
      <c r="P148" s="4">
        <f>P38</f>
        <v/>
      </c>
    </row>
    <row r="149">
      <c r="A149" t="inlineStr">
        <is>
          <t>CF-WC Change</t>
        </is>
      </c>
      <c r="B149" t="inlineStr">
        <is>
          <t>Working Capital Change</t>
        </is>
      </c>
      <c r="C149" t="inlineStr">
        <is>
          <t>AUDm</t>
        </is>
      </c>
      <c r="D149" s="4" t="n">
        <v>0</v>
      </c>
      <c r="E149" s="4" t="n">
        <v>4.668</v>
      </c>
      <c r="F149" s="4" t="n">
        <v>1.775</v>
      </c>
      <c r="G149" s="4">
        <f>-(G111-F111)-(G112-F112)+(G125-F125)</f>
        <v/>
      </c>
      <c r="H149" s="4">
        <f>-(H111-G111)-(H112-G112)+(H125-G125)</f>
        <v/>
      </c>
      <c r="I149" s="4">
        <f>-(I111-H111)-(I112-H112)+(I125-H125)</f>
        <v/>
      </c>
      <c r="J149" s="4">
        <f>-(J111-I111)-(J112-I112)+(J125-I125)</f>
        <v/>
      </c>
      <c r="K149" s="4">
        <f>-(K111-J111)-(K112-J112)+(K125-J125)</f>
        <v/>
      </c>
      <c r="L149" s="4">
        <f>-(L111-K111)-(L112-K112)+(L125-K125)</f>
        <v/>
      </c>
      <c r="M149" s="4">
        <f>-(M111-L111)-(M112-L112)+(M125-L125)</f>
        <v/>
      </c>
      <c r="N149" s="4">
        <f>-(N111-M111)-(N112-M112)+(N125-M125)</f>
        <v/>
      </c>
      <c r="O149" s="4">
        <f>-(O111-N111)-(O112-N112)+(O125-N125)</f>
        <v/>
      </c>
      <c r="P149" s="4">
        <f>-(P111-O111)-(P112-O112)+(P125-O125)</f>
        <v/>
      </c>
    </row>
    <row r="150">
      <c r="A150" t="inlineStr">
        <is>
          <t>CF-Significant Items</t>
        </is>
      </c>
      <c r="B150" t="inlineStr">
        <is>
          <t>Significant Items/Non-Cash Items</t>
        </is>
      </c>
      <c r="C150" t="inlineStr">
        <is>
          <t>AUDm</t>
        </is>
      </c>
      <c r="D150" s="4">
        <f>D151-D148-D149</f>
        <v/>
      </c>
      <c r="E150" s="4">
        <f>E151-E148-E149</f>
        <v/>
      </c>
      <c r="F150" s="4">
        <f>F151-F148-F149</f>
        <v/>
      </c>
      <c r="G150" s="4">
        <f>G43</f>
        <v/>
      </c>
      <c r="H150" s="4">
        <f>H43</f>
        <v/>
      </c>
      <c r="I150" s="4">
        <f>I43</f>
        <v/>
      </c>
      <c r="J150" s="4">
        <f>J43</f>
        <v/>
      </c>
      <c r="K150" s="4">
        <f>K43</f>
        <v/>
      </c>
      <c r="L150" s="4">
        <f>L43</f>
        <v/>
      </c>
      <c r="M150" s="4">
        <f>M43</f>
        <v/>
      </c>
      <c r="N150" s="4">
        <f>N43</f>
        <v/>
      </c>
      <c r="O150" s="4">
        <f>O43</f>
        <v/>
      </c>
      <c r="P150" s="4">
        <f>P43</f>
        <v/>
      </c>
    </row>
    <row r="151">
      <c r="B151" s="20" t="inlineStr">
        <is>
          <t>Gross Operating Cash Flow</t>
        </is>
      </c>
      <c r="C151" s="20" t="inlineStr">
        <is>
          <t>AUDm</t>
        </is>
      </c>
      <c r="D151" s="21">
        <f>D156-D152-D153-D154-D155</f>
        <v/>
      </c>
      <c r="E151" s="21">
        <f>E156-E152-E153-E154-E155</f>
        <v/>
      </c>
      <c r="F151" s="21">
        <f>F156-F152-F153-F154-F155</f>
        <v/>
      </c>
      <c r="G151" s="21">
        <f>SUM(G148:G150)</f>
        <v/>
      </c>
      <c r="H151" s="21">
        <f>SUM(H148:H150)</f>
        <v/>
      </c>
      <c r="I151" s="21">
        <f>SUM(I148:I150)</f>
        <v/>
      </c>
      <c r="J151" s="21">
        <f>SUM(J148:J150)</f>
        <v/>
      </c>
      <c r="K151" s="21">
        <f>SUM(K148:K150)</f>
        <v/>
      </c>
      <c r="L151" s="21">
        <f>SUM(L148:L150)</f>
        <v/>
      </c>
      <c r="M151" s="21">
        <f>SUM(M148:M150)</f>
        <v/>
      </c>
      <c r="N151" s="21">
        <f>SUM(N148:N150)</f>
        <v/>
      </c>
      <c r="O151" s="21">
        <f>SUM(O148:O150)</f>
        <v/>
      </c>
      <c r="P151" s="21">
        <f>SUM(P148:P150)</f>
        <v/>
      </c>
    </row>
    <row r="152">
      <c r="A152" t="inlineStr">
        <is>
          <t>CF-Int Received</t>
        </is>
      </c>
      <c r="B152" t="inlineStr">
        <is>
          <t>Interest Received</t>
        </is>
      </c>
      <c r="C152" t="inlineStr">
        <is>
          <t>AUDm</t>
        </is>
      </c>
      <c r="D152" s="19" t="n">
        <v>0.964</v>
      </c>
      <c r="E152" s="19" t="n">
        <v>6.1</v>
      </c>
      <c r="F152" s="19" t="n">
        <v>10.185</v>
      </c>
      <c r="G152" s="4">
        <f>G59</f>
        <v/>
      </c>
      <c r="H152" s="4">
        <f>H59</f>
        <v/>
      </c>
      <c r="I152" s="4">
        <f>I59</f>
        <v/>
      </c>
      <c r="J152" s="4">
        <f>J59</f>
        <v/>
      </c>
      <c r="K152" s="4">
        <f>K59</f>
        <v/>
      </c>
      <c r="L152" s="4">
        <f>L59</f>
        <v/>
      </c>
      <c r="M152" s="4">
        <f>M59</f>
        <v/>
      </c>
      <c r="N152" s="4">
        <f>N59</f>
        <v/>
      </c>
      <c r="O152" s="4">
        <f>O59</f>
        <v/>
      </c>
      <c r="P152" s="4">
        <f>P59</f>
        <v/>
      </c>
    </row>
    <row r="153">
      <c r="A153" t="inlineStr">
        <is>
          <t>CF-Interest Paid</t>
        </is>
      </c>
      <c r="B153" t="inlineStr">
        <is>
          <t>Interest Paid</t>
        </is>
      </c>
      <c r="C153" t="inlineStr">
        <is>
          <t>AUDm</t>
        </is>
      </c>
      <c r="D153" s="19" t="n">
        <v>0</v>
      </c>
      <c r="E153" s="19" t="n">
        <v>0</v>
      </c>
      <c r="F153" s="19" t="n">
        <v>0</v>
      </c>
      <c r="G153" s="4">
        <f>G61</f>
        <v/>
      </c>
      <c r="H153" s="4">
        <f>H61</f>
        <v/>
      </c>
      <c r="I153" s="4">
        <f>I61</f>
        <v/>
      </c>
      <c r="J153" s="4">
        <f>J61</f>
        <v/>
      </c>
      <c r="K153" s="4">
        <f>K61</f>
        <v/>
      </c>
      <c r="L153" s="4">
        <f>L61</f>
        <v/>
      </c>
      <c r="M153" s="4">
        <f>M61</f>
        <v/>
      </c>
      <c r="N153" s="4">
        <f>N61</f>
        <v/>
      </c>
      <c r="O153" s="4">
        <f>O61</f>
        <v/>
      </c>
      <c r="P153" s="4">
        <f>P61</f>
        <v/>
      </c>
    </row>
    <row r="154">
      <c r="A154" t="inlineStr">
        <is>
          <t>CF-Lease Int Paid</t>
        </is>
      </c>
      <c r="B154" t="inlineStr">
        <is>
          <t>Lease Interest Paid</t>
        </is>
      </c>
      <c r="C154" t="inlineStr">
        <is>
          <t>AUDm</t>
        </is>
      </c>
      <c r="D154" s="19" t="n">
        <v>-4.606</v>
      </c>
      <c r="E154" s="19" t="n">
        <v>-6.32</v>
      </c>
      <c r="F154" s="19" t="n">
        <v>-8.625999999999999</v>
      </c>
      <c r="G154" s="4">
        <f>G60</f>
        <v/>
      </c>
      <c r="H154" s="4">
        <f>H60</f>
        <v/>
      </c>
      <c r="I154" s="4">
        <f>I60</f>
        <v/>
      </c>
      <c r="J154" s="4">
        <f>J60</f>
        <v/>
      </c>
      <c r="K154" s="4">
        <f>K60</f>
        <v/>
      </c>
      <c r="L154" s="4">
        <f>L60</f>
        <v/>
      </c>
      <c r="M154" s="4">
        <f>M60</f>
        <v/>
      </c>
      <c r="N154" s="4">
        <f>N60</f>
        <v/>
      </c>
      <c r="O154" s="4">
        <f>O60</f>
        <v/>
      </c>
      <c r="P154" s="4">
        <f>P60</f>
        <v/>
      </c>
    </row>
    <row r="155">
      <c r="A155" t="inlineStr">
        <is>
          <t>CF-Tax Paid</t>
        </is>
      </c>
      <c r="B155" t="inlineStr">
        <is>
          <t>Tax Paid</t>
        </is>
      </c>
      <c r="C155" t="inlineStr">
        <is>
          <t>AUDm</t>
        </is>
      </c>
      <c r="D155" s="19" t="n">
        <v>-0.298</v>
      </c>
      <c r="E155" s="19" t="n">
        <v>-4.489</v>
      </c>
      <c r="F155" s="19" t="n">
        <v>-19.389</v>
      </c>
      <c r="G155" s="4">
        <f>G69</f>
        <v/>
      </c>
      <c r="H155" s="4">
        <f>H69</f>
        <v/>
      </c>
      <c r="I155" s="4">
        <f>I69</f>
        <v/>
      </c>
      <c r="J155" s="4">
        <f>J69</f>
        <v/>
      </c>
      <c r="K155" s="4">
        <f>K69</f>
        <v/>
      </c>
      <c r="L155" s="4">
        <f>L69</f>
        <v/>
      </c>
      <c r="M155" s="4">
        <f>M69</f>
        <v/>
      </c>
      <c r="N155" s="4">
        <f>N69</f>
        <v/>
      </c>
      <c r="O155" s="4">
        <f>O69</f>
        <v/>
      </c>
      <c r="P155" s="4">
        <f>P69</f>
        <v/>
      </c>
    </row>
    <row r="156">
      <c r="A156" t="inlineStr">
        <is>
          <t>CF-Net OCF</t>
        </is>
      </c>
      <c r="B156" s="20" t="inlineStr">
        <is>
          <t>Net Operating Cash Flow</t>
        </is>
      </c>
      <c r="C156" s="20" t="inlineStr">
        <is>
          <t>AUDm</t>
        </is>
      </c>
      <c r="D156" s="32" t="n">
        <v>34.947</v>
      </c>
      <c r="E156" s="32" t="n">
        <v>36.765</v>
      </c>
      <c r="F156" s="32" t="n">
        <v>57.327</v>
      </c>
      <c r="G156" s="21">
        <f>G151+G152+G153+G154+G155</f>
        <v/>
      </c>
      <c r="H156" s="21">
        <f>H151+H152+H153+H154+H155</f>
        <v/>
      </c>
      <c r="I156" s="21">
        <f>I151+I152+I153+I154+I155</f>
        <v/>
      </c>
      <c r="J156" s="21">
        <f>J151+J152+J153+J154+J155</f>
        <v/>
      </c>
      <c r="K156" s="21">
        <f>K151+K152+K153+K154+K155</f>
        <v/>
      </c>
      <c r="L156" s="21">
        <f>L151+L152+L153+L154+L155</f>
        <v/>
      </c>
      <c r="M156" s="21">
        <f>M151+M152+M153+M154+M155</f>
        <v/>
      </c>
      <c r="N156" s="21">
        <f>N151+N152+N153+N154+N155</f>
        <v/>
      </c>
      <c r="O156" s="21">
        <f>O151+O152+O153+O154+O155</f>
        <v/>
      </c>
      <c r="P156" s="21">
        <f>P151+P152+P153+P154+P155</f>
        <v/>
      </c>
    </row>
    <row r="157">
      <c r="B157" t="inlineStr">
        <is>
          <t>OCF Growth</t>
        </is>
      </c>
      <c r="C157" t="inlineStr">
        <is>
          <t>% YoY</t>
        </is>
      </c>
      <c r="D157" s="6" t="n"/>
      <c r="E157" s="6">
        <f>IF(D156=0,"",E156/D156-1)</f>
        <v/>
      </c>
      <c r="F157" s="6">
        <f>IF(E156=0,"",F156/E156-1)</f>
        <v/>
      </c>
      <c r="G157" s="6">
        <f>IF(F156=0,"",G156/F156-1)</f>
        <v/>
      </c>
      <c r="H157" s="6">
        <f>IF(G156=0,"",H156/G156-1)</f>
        <v/>
      </c>
      <c r="I157" s="6">
        <f>IF(H156=0,"",I156/H156-1)</f>
        <v/>
      </c>
      <c r="J157" s="6">
        <f>IF(I156=0,"",J156/I156-1)</f>
        <v/>
      </c>
      <c r="K157" s="6">
        <f>IF(J156=0,"",K156/J156-1)</f>
        <v/>
      </c>
      <c r="L157" s="6">
        <f>IF(K156=0,"",L156/K156-1)</f>
        <v/>
      </c>
      <c r="M157" s="6">
        <f>IF(L156=0,"",M156/L156-1)</f>
        <v/>
      </c>
      <c r="N157" s="6">
        <f>IF(M156=0,"",N156/M156-1)</f>
        <v/>
      </c>
      <c r="O157" s="6">
        <f>IF(N156=0,"",O156/N156-1)</f>
        <v/>
      </c>
      <c r="P157" s="6">
        <f>IF(O156=0,"",P156/O156-1)</f>
        <v/>
      </c>
    </row>
    <row r="159">
      <c r="B159" s="5" t="inlineStr">
        <is>
          <t>CFI</t>
        </is>
      </c>
    </row>
    <row r="160">
      <c r="A160" t="inlineStr">
        <is>
          <t>CF-Capex PPE</t>
        </is>
      </c>
      <c r="B160" t="inlineStr">
        <is>
          <t>Capex (PPE)</t>
        </is>
      </c>
      <c r="C160" t="inlineStr">
        <is>
          <t>AUDm</t>
        </is>
      </c>
      <c r="D160" s="19" t="n">
        <v>-39.713</v>
      </c>
      <c r="E160" s="19" t="n">
        <v>-33.496</v>
      </c>
      <c r="F160" s="19" t="n">
        <v>-61.326</v>
      </c>
      <c r="G160" s="4">
        <f>G161*G11</f>
        <v/>
      </c>
      <c r="H160" s="4">
        <f>H161*H11</f>
        <v/>
      </c>
      <c r="I160" s="4">
        <f>I161*I11</f>
        <v/>
      </c>
      <c r="J160" s="4">
        <f>J161*J11</f>
        <v/>
      </c>
      <c r="K160" s="4">
        <f>K161*K11</f>
        <v/>
      </c>
      <c r="L160" s="4">
        <f>L161*L11</f>
        <v/>
      </c>
      <c r="M160" s="4">
        <f>M161*M11</f>
        <v/>
      </c>
      <c r="N160" s="4">
        <f>N161*N11</f>
        <v/>
      </c>
      <c r="O160" s="4">
        <f>O161*O11</f>
        <v/>
      </c>
      <c r="P160" s="4">
        <f>P161*P11</f>
        <v/>
      </c>
    </row>
    <row r="161">
      <c r="B161" s="25" t="inlineStr">
        <is>
          <t>Capex / Sales</t>
        </is>
      </c>
      <c r="C161" t="inlineStr">
        <is>
          <t>%</t>
        </is>
      </c>
      <c r="D161" s="6">
        <f>IF(D11=0,"",(D160+D162)/D11)</f>
        <v/>
      </c>
      <c r="E161" s="6">
        <f>IF(E11=0,"",(E160+E162)/E11)</f>
        <v/>
      </c>
      <c r="F161" s="6">
        <f>IF(F11=0,"",(F160+F162)/F11)</f>
        <v/>
      </c>
      <c r="G161" s="80">
        <f>F161</f>
        <v/>
      </c>
      <c r="H161" s="80">
        <f>G161</f>
        <v/>
      </c>
      <c r="I161" s="80">
        <f>H161</f>
        <v/>
      </c>
      <c r="J161" s="80">
        <f>I161</f>
        <v/>
      </c>
      <c r="K161" s="80">
        <f>J161</f>
        <v/>
      </c>
      <c r="L161" s="80">
        <f>K161</f>
        <v/>
      </c>
      <c r="M161" s="80">
        <f>L161</f>
        <v/>
      </c>
      <c r="N161" s="80">
        <f>M161</f>
        <v/>
      </c>
      <c r="O161" s="80">
        <f>N161</f>
        <v/>
      </c>
      <c r="P161" s="80">
        <f>O161</f>
        <v/>
      </c>
    </row>
    <row r="162">
      <c r="A162" t="inlineStr">
        <is>
          <t>CF-Capex Intang</t>
        </is>
      </c>
      <c r="B162" t="inlineStr">
        <is>
          <t>Capex (Intangibles)</t>
        </is>
      </c>
      <c r="C162" t="inlineStr">
        <is>
          <t>AUDm</t>
        </is>
      </c>
      <c r="D162" s="41" t="n">
        <v>-2.944</v>
      </c>
      <c r="E162" s="41" t="n">
        <v>-0.063</v>
      </c>
      <c r="F162" s="41" t="n">
        <v>-0.037</v>
      </c>
      <c r="G162" s="42" t="n">
        <v>0</v>
      </c>
      <c r="H162" s="42" t="n">
        <v>0</v>
      </c>
      <c r="I162" s="42" t="n">
        <v>0</v>
      </c>
      <c r="J162" s="42" t="n">
        <v>0</v>
      </c>
      <c r="K162" s="42" t="n">
        <v>0</v>
      </c>
      <c r="L162" s="42" t="n">
        <v>0</v>
      </c>
      <c r="M162" s="42" t="n">
        <v>0</v>
      </c>
      <c r="N162" s="42" t="n">
        <v>0</v>
      </c>
      <c r="O162" s="42" t="n">
        <v>0</v>
      </c>
      <c r="P162" s="42" t="n">
        <v>0</v>
      </c>
    </row>
    <row r="163">
      <c r="A163" t="inlineStr">
        <is>
          <t>CF-Acquisitions</t>
        </is>
      </c>
      <c r="B163" t="inlineStr">
        <is>
          <t>Acquisitions</t>
        </is>
      </c>
      <c r="C163" t="inlineStr">
        <is>
          <t>AUDm</t>
        </is>
      </c>
      <c r="D163" s="19" t="n">
        <v>-6.44</v>
      </c>
      <c r="E163" s="41" t="n">
        <v>-3.128</v>
      </c>
      <c r="F163" s="41" t="n">
        <v>-15.473</v>
      </c>
      <c r="G163" s="83" t="n">
        <v>0</v>
      </c>
      <c r="H163" s="83" t="n">
        <v>0</v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 t="n">
        <v>0</v>
      </c>
      <c r="O163" s="83" t="n">
        <v>0</v>
      </c>
      <c r="P163" s="83" t="n">
        <v>0</v>
      </c>
    </row>
    <row r="164">
      <c r="A164" t="inlineStr">
        <is>
          <t>CF-Asset Sales</t>
        </is>
      </c>
      <c r="B164" t="inlineStr">
        <is>
          <t>Asset Sales</t>
        </is>
      </c>
      <c r="C164" t="inlineStr">
        <is>
          <t>AUDm</t>
        </is>
      </c>
      <c r="D164" s="19" t="n">
        <v>0.694</v>
      </c>
      <c r="E164" s="19" t="n">
        <v>2.964</v>
      </c>
      <c r="F164" s="19" t="n">
        <v>3.879</v>
      </c>
      <c r="G164" s="83" t="n">
        <v>0</v>
      </c>
      <c r="H164" s="83" t="n">
        <v>0</v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 t="n">
        <v>0</v>
      </c>
      <c r="O164" s="83" t="n">
        <v>0</v>
      </c>
      <c r="P164" s="83" t="n">
        <v>0</v>
      </c>
    </row>
    <row r="165">
      <c r="A165" t="inlineStr">
        <is>
          <t>CF-Other CFI</t>
        </is>
      </c>
      <c r="B165" t="inlineStr">
        <is>
          <t>Other</t>
        </is>
      </c>
      <c r="C165" t="inlineStr">
        <is>
          <t>AUDm</t>
        </is>
      </c>
      <c r="D165" s="4">
        <f>D166-SUM(D160,D162:D164)</f>
        <v/>
      </c>
      <c r="E165" s="4">
        <f>E166-SUM(E160,E162:E164)</f>
        <v/>
      </c>
      <c r="F165" s="4">
        <f>F166-SUM(F160,F162:F164)</f>
        <v/>
      </c>
      <c r="G165" s="83" t="n">
        <v>0</v>
      </c>
      <c r="H165" s="83" t="n">
        <v>0</v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 t="n">
        <v>0</v>
      </c>
      <c r="O165" s="83" t="n">
        <v>0</v>
      </c>
      <c r="P165" s="83" t="n">
        <v>0</v>
      </c>
    </row>
    <row r="166">
      <c r="B166" s="20" t="inlineStr">
        <is>
          <t>Total Investing Cash Flow</t>
        </is>
      </c>
      <c r="C166" s="20" t="inlineStr">
        <is>
          <t>AUDm</t>
        </is>
      </c>
      <c r="D166" s="32" t="n">
        <v>-48.403</v>
      </c>
      <c r="E166" s="32" t="n">
        <v>-311.818</v>
      </c>
      <c r="F166" s="32" t="n">
        <v>-34.551</v>
      </c>
      <c r="G166" s="21">
        <f>SUM(G160,G162:G165)</f>
        <v/>
      </c>
      <c r="H166" s="21">
        <f>SUM(H160,H162:H165)</f>
        <v/>
      </c>
      <c r="I166" s="21">
        <f>SUM(I160,I162:I165)</f>
        <v/>
      </c>
      <c r="J166" s="21">
        <f>SUM(J160,J162:J165)</f>
        <v/>
      </c>
      <c r="K166" s="21">
        <f>SUM(K160,K162:K165)</f>
        <v/>
      </c>
      <c r="L166" s="21">
        <f>SUM(L160,L162:L165)</f>
        <v/>
      </c>
      <c r="M166" s="21">
        <f>SUM(M160,M162:M165)</f>
        <v/>
      </c>
      <c r="N166" s="21">
        <f>SUM(N160,N162:N165)</f>
        <v/>
      </c>
      <c r="O166" s="21">
        <f>SUM(O160,O162:O165)</f>
        <v/>
      </c>
      <c r="P166" s="21">
        <f>SUM(P160,P162:P165)</f>
        <v/>
      </c>
    </row>
    <row r="168">
      <c r="B168" s="5" t="inlineStr">
        <is>
          <t>CFF</t>
        </is>
      </c>
    </row>
    <row r="169">
      <c r="A169" t="inlineStr">
        <is>
          <t>CF-Dividends</t>
        </is>
      </c>
      <c r="B169" t="inlineStr">
        <is>
          <t>Dividends Paid</t>
        </is>
      </c>
      <c r="C169" t="inlineStr">
        <is>
          <t>AUDm</t>
        </is>
      </c>
      <c r="D169" s="19" t="n">
        <v>0</v>
      </c>
      <c r="E169" s="19" t="n">
        <v>0</v>
      </c>
      <c r="F169" s="19" t="n">
        <v>0</v>
      </c>
      <c r="G169" s="4">
        <f>-G89</f>
        <v/>
      </c>
      <c r="H169" s="4">
        <f>-H89</f>
        <v/>
      </c>
      <c r="I169" s="4">
        <f>-I89</f>
        <v/>
      </c>
      <c r="J169" s="4">
        <f>-J89</f>
        <v/>
      </c>
      <c r="K169" s="4">
        <f>-K89</f>
        <v/>
      </c>
      <c r="L169" s="4">
        <f>-L89</f>
        <v/>
      </c>
      <c r="M169" s="4">
        <f>-M89</f>
        <v/>
      </c>
      <c r="N169" s="4">
        <f>-N89</f>
        <v/>
      </c>
      <c r="O169" s="4">
        <f>-O89</f>
        <v/>
      </c>
      <c r="P169" s="4">
        <f>-P89</f>
        <v/>
      </c>
    </row>
    <row r="170">
      <c r="A170" t="inlineStr">
        <is>
          <t>CF-Share Issues</t>
        </is>
      </c>
      <c r="B170" t="inlineStr">
        <is>
          <t>Share Issues / Buybacks</t>
        </is>
      </c>
      <c r="C170" t="inlineStr">
        <is>
          <t>AUDm</t>
        </is>
      </c>
      <c r="D170" s="4" t="n">
        <v>5.128</v>
      </c>
      <c r="E170" s="4" t="n">
        <v>267.223</v>
      </c>
      <c r="F170" s="4" t="n">
        <v>1.547</v>
      </c>
      <c r="G170" s="83" t="n">
        <v>0</v>
      </c>
      <c r="H170" s="83" t="n">
        <v>0</v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 t="n">
        <v>0</v>
      </c>
      <c r="O170" s="83" t="n">
        <v>0</v>
      </c>
      <c r="P170" s="83" t="n">
        <v>0</v>
      </c>
    </row>
    <row r="171">
      <c r="A171" t="inlineStr">
        <is>
          <t>CF-Lease Principal</t>
        </is>
      </c>
      <c r="B171" t="inlineStr">
        <is>
          <t>Lease Principal Payments</t>
        </is>
      </c>
      <c r="C171" t="inlineStr">
        <is>
          <t>AUDm</t>
        </is>
      </c>
      <c r="D171" s="19" t="n">
        <v>-6.72</v>
      </c>
      <c r="E171" s="19" t="n">
        <v>-9.912000000000001</v>
      </c>
      <c r="F171" s="19" t="n">
        <v>-10.83</v>
      </c>
      <c r="G171" s="4">
        <f>-F127/G52</f>
        <v/>
      </c>
      <c r="H171" s="4">
        <f>-G127/H52</f>
        <v/>
      </c>
      <c r="I171" s="4">
        <f>-H127/I52</f>
        <v/>
      </c>
      <c r="J171" s="4">
        <f>-I127/J52</f>
        <v/>
      </c>
      <c r="K171" s="4">
        <f>-J127/K52</f>
        <v/>
      </c>
      <c r="L171" s="4">
        <f>-K127/L52</f>
        <v/>
      </c>
      <c r="M171" s="4">
        <f>-L127/M52</f>
        <v/>
      </c>
      <c r="N171" s="4">
        <f>-M127/N52</f>
        <v/>
      </c>
      <c r="O171" s="4">
        <f>-N127/O52</f>
        <v/>
      </c>
      <c r="P171" s="4">
        <f>-O127/P52</f>
        <v/>
      </c>
    </row>
    <row r="172">
      <c r="A172" t="inlineStr">
        <is>
          <t>CF-Debt Change</t>
        </is>
      </c>
      <c r="B172" t="inlineStr">
        <is>
          <t>Change in Debt</t>
        </is>
      </c>
      <c r="C172" t="inlineStr">
        <is>
          <t>AUDm</t>
        </is>
      </c>
      <c r="D172" s="4" t="n">
        <v>-0.358</v>
      </c>
      <c r="E172" s="4" t="n">
        <v>-3</v>
      </c>
      <c r="F172" s="4" t="n">
        <v>0</v>
      </c>
      <c r="G172" s="42">
        <f>-G175*G166</f>
        <v/>
      </c>
      <c r="H172" s="42">
        <f>-H175*H166</f>
        <v/>
      </c>
      <c r="I172" s="42">
        <f>-I175*I166</f>
        <v/>
      </c>
      <c r="J172" s="42">
        <f>-J175*J166</f>
        <v/>
      </c>
      <c r="K172" s="42">
        <f>-K175*K166</f>
        <v/>
      </c>
      <c r="L172" s="42">
        <f>-L175*L166</f>
        <v/>
      </c>
      <c r="M172" s="42">
        <f>-M175*M166</f>
        <v/>
      </c>
      <c r="N172" s="42">
        <f>-N175*N166</f>
        <v/>
      </c>
      <c r="O172" s="42">
        <f>-O175*O166</f>
        <v/>
      </c>
      <c r="P172" s="42">
        <f>-P175*P166</f>
        <v/>
      </c>
    </row>
    <row r="173">
      <c r="A173" t="inlineStr">
        <is>
          <t>CF-Other CFF</t>
        </is>
      </c>
      <c r="B173" t="inlineStr">
        <is>
          <t>Other</t>
        </is>
      </c>
      <c r="C173" t="inlineStr">
        <is>
          <t>AUDm</t>
        </is>
      </c>
      <c r="D173" s="4">
        <f>D174-SUM(D169:D172)</f>
        <v/>
      </c>
      <c r="E173" s="4">
        <f>E174-SUM(E169:E172)</f>
        <v/>
      </c>
      <c r="F173" s="4">
        <f>F174-SUM(F169:F172)</f>
        <v/>
      </c>
      <c r="G173" s="83" t="n">
        <v>0</v>
      </c>
      <c r="H173" s="83" t="n">
        <v>0</v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 t="n">
        <v>0</v>
      </c>
      <c r="O173" s="83" t="n">
        <v>0</v>
      </c>
      <c r="P173" s="83" t="n">
        <v>0</v>
      </c>
    </row>
    <row r="174">
      <c r="B174" s="20" t="inlineStr">
        <is>
          <t>Total Financing Cash Flow</t>
        </is>
      </c>
      <c r="C174" s="20" t="inlineStr">
        <is>
          <t>AUDm</t>
        </is>
      </c>
      <c r="D174" s="32" t="n">
        <v>-4.467</v>
      </c>
      <c r="E174" s="32" t="n">
        <v>254.934</v>
      </c>
      <c r="F174" s="32" t="n">
        <v>0.679</v>
      </c>
      <c r="G174" s="21">
        <f>SUM(G169:G173)</f>
        <v/>
      </c>
      <c r="H174" s="21">
        <f>SUM(H169:H173)</f>
        <v/>
      </c>
      <c r="I174" s="21">
        <f>SUM(I169:I173)</f>
        <v/>
      </c>
      <c r="J174" s="21">
        <f>SUM(J169:J173)</f>
        <v/>
      </c>
      <c r="K174" s="21">
        <f>SUM(K169:K173)</f>
        <v/>
      </c>
      <c r="L174" s="21">
        <f>SUM(L169:L173)</f>
        <v/>
      </c>
      <c r="M174" s="21">
        <f>SUM(M169:M173)</f>
        <v/>
      </c>
      <c r="N174" s="21">
        <f>SUM(N169:N173)</f>
        <v/>
      </c>
      <c r="O174" s="21">
        <f>SUM(O169:O173)</f>
        <v/>
      </c>
      <c r="P174" s="21">
        <f>SUM(P169:P173)</f>
        <v/>
      </c>
    </row>
    <row r="175">
      <c r="B175" t="inlineStr">
        <is>
          <t>Debt funding % of CFI</t>
        </is>
      </c>
      <c r="C175" t="inlineStr">
        <is>
          <t>%</t>
        </is>
      </c>
      <c r="D175" s="67">
        <f>D172/D166</f>
        <v/>
      </c>
      <c r="E175" s="67">
        <f>E172/E166</f>
        <v/>
      </c>
      <c r="F175" s="67">
        <f>F172/F166</f>
        <v/>
      </c>
      <c r="G175" s="85" t="n">
        <v>0</v>
      </c>
      <c r="H175" s="85" t="n">
        <v>0</v>
      </c>
      <c r="I175" s="85" t="n">
        <v>0</v>
      </c>
      <c r="J175" s="85" t="n">
        <v>0</v>
      </c>
      <c r="K175" s="85" t="n">
        <v>0</v>
      </c>
      <c r="L175" s="85" t="n">
        <v>0</v>
      </c>
      <c r="M175" s="85" t="n">
        <v>0</v>
      </c>
      <c r="N175" s="85" t="n">
        <v>0</v>
      </c>
      <c r="O175" s="85" t="n">
        <v>0</v>
      </c>
      <c r="P175" s="85" t="n">
        <v>0</v>
      </c>
    </row>
    <row r="176">
      <c r="D176" s="67" t="n"/>
      <c r="E176" s="67" t="n"/>
      <c r="F176" s="67" t="n"/>
      <c r="G176" s="68" t="n"/>
      <c r="H176" s="68" t="n"/>
      <c r="I176" s="68" t="n"/>
      <c r="J176" s="68" t="n"/>
      <c r="K176" s="68" t="n"/>
      <c r="L176" s="68" t="n"/>
      <c r="M176" s="68" t="n"/>
      <c r="N176" s="68" t="n"/>
      <c r="O176" s="68" t="n"/>
      <c r="P176" s="68" t="n"/>
    </row>
    <row r="177">
      <c r="B177" s="20" t="inlineStr">
        <is>
          <t>Net Change in Cash</t>
        </is>
      </c>
      <c r="C177" s="20" t="inlineStr">
        <is>
          <t>AUDm</t>
        </is>
      </c>
      <c r="D177" s="21">
        <f>D156+D166+D174</f>
        <v/>
      </c>
      <c r="E177" s="21">
        <f>E156+E166+E174</f>
        <v/>
      </c>
      <c r="F177" s="21">
        <f>F156+F166+F174</f>
        <v/>
      </c>
      <c r="G177" s="21">
        <f>G156+G166+G174</f>
        <v/>
      </c>
      <c r="H177" s="21">
        <f>H156+H166+H174</f>
        <v/>
      </c>
      <c r="I177" s="21">
        <f>I156+I166+I174</f>
        <v/>
      </c>
      <c r="J177" s="21">
        <f>J156+J166+J174</f>
        <v/>
      </c>
      <c r="K177" s="21">
        <f>K156+K166+K174</f>
        <v/>
      </c>
      <c r="L177" s="21">
        <f>L156+L166+L174</f>
        <v/>
      </c>
      <c r="M177" s="21">
        <f>M156+M166+M174</f>
        <v/>
      </c>
      <c r="N177" s="21">
        <f>N156+N166+N174</f>
        <v/>
      </c>
      <c r="O177" s="21">
        <f>O156+O166+O174</f>
        <v/>
      </c>
      <c r="P177" s="21">
        <f>P156+P166+P174</f>
        <v/>
      </c>
    </row>
    <row r="179">
      <c r="A179" s="2" t="n"/>
      <c r="B179" s="18" t="inlineStr">
        <is>
          <t>Operating Free Cash Flow</t>
        </is>
      </c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B180" s="8" t="inlineStr">
        <is>
          <t>Net OCF</t>
        </is>
      </c>
      <c r="C180" t="inlineStr">
        <is>
          <t>AUDm</t>
        </is>
      </c>
      <c r="D180" s="4">
        <f>D156</f>
        <v/>
      </c>
      <c r="E180" s="4">
        <f>E156</f>
        <v/>
      </c>
      <c r="F180" s="4">
        <f>F156</f>
        <v/>
      </c>
      <c r="G180" s="4">
        <f>G156</f>
        <v/>
      </c>
      <c r="H180" s="4">
        <f>H156</f>
        <v/>
      </c>
      <c r="I180" s="4">
        <f>I156</f>
        <v/>
      </c>
      <c r="J180" s="4">
        <f>J156</f>
        <v/>
      </c>
      <c r="K180" s="4">
        <f>K156</f>
        <v/>
      </c>
      <c r="L180" s="4">
        <f>L156</f>
        <v/>
      </c>
      <c r="M180" s="4">
        <f>M156</f>
        <v/>
      </c>
      <c r="N180" s="4">
        <f>N156</f>
        <v/>
      </c>
      <c r="O180" s="4">
        <f>O156</f>
        <v/>
      </c>
      <c r="P180" s="4">
        <f>P156</f>
        <v/>
      </c>
    </row>
    <row r="181">
      <c r="B181" s="8" t="inlineStr">
        <is>
          <t>Net Capex</t>
        </is>
      </c>
      <c r="C181" t="inlineStr">
        <is>
          <t>AUDm</t>
        </is>
      </c>
      <c r="D181" s="4">
        <f>D160+D162</f>
        <v/>
      </c>
      <c r="E181" s="4">
        <f>E160+E162</f>
        <v/>
      </c>
      <c r="F181" s="4">
        <f>F160+F162</f>
        <v/>
      </c>
      <c r="G181" s="4">
        <f>G160+G162</f>
        <v/>
      </c>
      <c r="H181" s="4">
        <f>H160+H162</f>
        <v/>
      </c>
      <c r="I181" s="4">
        <f>I160+I162</f>
        <v/>
      </c>
      <c r="J181" s="4">
        <f>J160+J162</f>
        <v/>
      </c>
      <c r="K181" s="4">
        <f>K160+K162</f>
        <v/>
      </c>
      <c r="L181" s="4">
        <f>L160+L162</f>
        <v/>
      </c>
      <c r="M181" s="4">
        <f>M160+M162</f>
        <v/>
      </c>
      <c r="N181" s="4">
        <f>N160+N162</f>
        <v/>
      </c>
      <c r="O181" s="4">
        <f>O160+O162</f>
        <v/>
      </c>
      <c r="P181" s="4">
        <f>P160+P162</f>
        <v/>
      </c>
    </row>
    <row r="182">
      <c r="B182" s="8" t="inlineStr">
        <is>
          <t>Lease Principal</t>
        </is>
      </c>
      <c r="C182" t="inlineStr">
        <is>
          <t>AUDm</t>
        </is>
      </c>
      <c r="D182" s="4">
        <f>D171</f>
        <v/>
      </c>
      <c r="E182" s="4">
        <f>E171</f>
        <v/>
      </c>
      <c r="F182" s="4">
        <f>F171</f>
        <v/>
      </c>
      <c r="G182" s="4">
        <f>G171</f>
        <v/>
      </c>
      <c r="H182" s="4">
        <f>H171</f>
        <v/>
      </c>
      <c r="I182" s="4">
        <f>I171</f>
        <v/>
      </c>
      <c r="J182" s="4">
        <f>J171</f>
        <v/>
      </c>
      <c r="K182" s="4">
        <f>K171</f>
        <v/>
      </c>
      <c r="L182" s="4">
        <f>L171</f>
        <v/>
      </c>
      <c r="M182" s="4">
        <f>M171</f>
        <v/>
      </c>
      <c r="N182" s="4">
        <f>N171</f>
        <v/>
      </c>
      <c r="O182" s="4">
        <f>O171</f>
        <v/>
      </c>
      <c r="P182" s="4">
        <f>P171</f>
        <v/>
      </c>
    </row>
    <row r="183">
      <c r="B183" s="20" t="inlineStr">
        <is>
          <t>Operating Free Cash Flow</t>
        </is>
      </c>
      <c r="C183" s="20" t="inlineStr">
        <is>
          <t>AUDm</t>
        </is>
      </c>
      <c r="D183" s="21">
        <f>D180+D181+D182</f>
        <v/>
      </c>
      <c r="E183" s="21">
        <f>E180+E181+E182</f>
        <v/>
      </c>
      <c r="F183" s="21">
        <f>F180+F181+F182</f>
        <v/>
      </c>
      <c r="G183" s="21">
        <f>G180+G181+G182</f>
        <v/>
      </c>
      <c r="H183" s="21">
        <f>H180+H181+H182</f>
        <v/>
      </c>
      <c r="I183" s="21">
        <f>I180+I181+I182</f>
        <v/>
      </c>
      <c r="J183" s="21">
        <f>J180+J181+J182</f>
        <v/>
      </c>
      <c r="K183" s="21">
        <f>K180+K181+K182</f>
        <v/>
      </c>
      <c r="L183" s="21">
        <f>L180+L181+L182</f>
        <v/>
      </c>
      <c r="M183" s="21">
        <f>M180+M181+M182</f>
        <v/>
      </c>
      <c r="N183" s="21">
        <f>N180+N181+N182</f>
        <v/>
      </c>
      <c r="O183" s="21">
        <f>O180+O181+O182</f>
        <v/>
      </c>
      <c r="P183" s="21">
        <f>P180+P181+P182</f>
        <v/>
      </c>
    </row>
    <row r="184">
      <c r="B184" s="8" t="inlineStr">
        <is>
          <t>FCF per Share</t>
        </is>
      </c>
      <c r="C184" t="inlineStr">
        <is>
          <t>AUDps</t>
        </is>
      </c>
      <c r="D184" s="9">
        <f>IF(D82=0,"",D183/D82)</f>
        <v/>
      </c>
      <c r="E184" s="9">
        <f>IF(E82=0,"",E183/E82)</f>
        <v/>
      </c>
      <c r="F184" s="9">
        <f>IF(F82=0,"",F183/F82)</f>
        <v/>
      </c>
      <c r="G184" s="9">
        <f>IF(G82=0,"",G183/G82)</f>
        <v/>
      </c>
      <c r="H184" s="9">
        <f>IF(H82=0,"",H183/H82)</f>
        <v/>
      </c>
      <c r="I184" s="9">
        <f>IF(I82=0,"",I183/I82)</f>
        <v/>
      </c>
      <c r="J184" s="9">
        <f>IF(J82=0,"",J183/J82)</f>
        <v/>
      </c>
      <c r="K184" s="9">
        <f>IF(K82=0,"",K183/K82)</f>
        <v/>
      </c>
      <c r="L184" s="9">
        <f>IF(L82=0,"",L183/L82)</f>
        <v/>
      </c>
      <c r="M184" s="9">
        <f>IF(M82=0,"",M183/M82)</f>
        <v/>
      </c>
      <c r="N184" s="9">
        <f>IF(N82=0,"",N183/N82)</f>
        <v/>
      </c>
      <c r="O184" s="9">
        <f>IF(O82=0,"",O183/O82)</f>
        <v/>
      </c>
      <c r="P184" s="9">
        <f>IF(P82=0,"",P183/P82)</f>
        <v/>
      </c>
    </row>
    <row r="185">
      <c r="B185" s="8" t="inlineStr">
        <is>
          <t>FCF Yield</t>
        </is>
      </c>
      <c r="C185" t="inlineStr">
        <is>
          <t>%</t>
        </is>
      </c>
      <c r="D185" s="6">
        <f>IF(Value!$C$4=0,"",D184/Value!$C$4)</f>
        <v/>
      </c>
      <c r="E185" s="6">
        <f>IF(Value!$C$4=0,"",E184/Value!$C$4)</f>
        <v/>
      </c>
      <c r="F185" s="6">
        <f>IF(Value!$C$4=0,"",F184/Value!$C$4)</f>
        <v/>
      </c>
      <c r="G185" s="6">
        <f>IF(Value!$C$4=0,"",G184/Value!$C$4)</f>
        <v/>
      </c>
      <c r="H185" s="6">
        <f>IF(Value!$C$4=0,"",H184/Value!$C$4)</f>
        <v/>
      </c>
      <c r="I185" s="6">
        <f>IF(Value!$C$4=0,"",I184/Value!$C$4)</f>
        <v/>
      </c>
      <c r="J185" s="6">
        <f>IF(Value!$C$4=0,"",J184/Value!$C$4)</f>
        <v/>
      </c>
      <c r="K185" s="6">
        <f>IF(Value!$C$4=0,"",K184/Value!$C$4)</f>
        <v/>
      </c>
      <c r="L185" s="6">
        <f>IF(Value!$C$4=0,"",L184/Value!$C$4)</f>
        <v/>
      </c>
      <c r="M185" s="6">
        <f>IF(Value!$C$4=0,"",M184/Value!$C$4)</f>
        <v/>
      </c>
      <c r="N185" s="6">
        <f>IF(Value!$C$4=0,"",N184/Value!$C$4)</f>
        <v/>
      </c>
      <c r="O185" s="6">
        <f>IF(Value!$C$4=0,"",O184/Value!$C$4)</f>
        <v/>
      </c>
      <c r="P185" s="6">
        <f>IF(Value!$C$4=0,"",P184/Value!$C$4)</f>
        <v/>
      </c>
    </row>
    <row r="186">
      <c r="B186" s="8" t="inlineStr">
        <is>
          <t>FCF Margin</t>
        </is>
      </c>
      <c r="C186" t="inlineStr">
        <is>
          <t>%</t>
        </is>
      </c>
      <c r="D186" s="6">
        <f>IF(D11=0,"",D183/D11)</f>
        <v/>
      </c>
      <c r="E186" s="6">
        <f>IF(E11=0,"",E183/E11)</f>
        <v/>
      </c>
      <c r="F186" s="6">
        <f>IF(F11=0,"",F183/F11)</f>
        <v/>
      </c>
      <c r="G186" s="6">
        <f>IF(G11=0,"",G183/G11)</f>
        <v/>
      </c>
      <c r="H186" s="6">
        <f>IF(H11=0,"",H183/H11)</f>
        <v/>
      </c>
      <c r="I186" s="6">
        <f>IF(I11=0,"",I183/I11)</f>
        <v/>
      </c>
      <c r="J186" s="6">
        <f>IF(J11=0,"",J183/J11)</f>
        <v/>
      </c>
      <c r="K186" s="6">
        <f>IF(K11=0,"",K183/K11)</f>
        <v/>
      </c>
      <c r="L186" s="6">
        <f>IF(L11=0,"",L183/L11)</f>
        <v/>
      </c>
      <c r="M186" s="6">
        <f>IF(M11=0,"",M183/M11)</f>
        <v/>
      </c>
      <c r="N186" s="6">
        <f>IF(N11=0,"",N183/N11)</f>
        <v/>
      </c>
      <c r="O186" s="6">
        <f>IF(O11=0,"",O183/O11)</f>
        <v/>
      </c>
      <c r="P186" s="6">
        <f>IF(P11=0,"",P183/P11)</f>
        <v/>
      </c>
    </row>
    <row r="189">
      <c r="A189" s="2" t="n"/>
      <c r="B189" s="18" t="inlineStr">
        <is>
          <t>ROIC</t>
        </is>
      </c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B190" s="8" t="inlineStr">
        <is>
          <t>Invested Capital</t>
        </is>
      </c>
      <c r="C190" t="inlineStr">
        <is>
          <t>AUDm</t>
        </is>
      </c>
      <c r="D190" s="4">
        <f>D141+D131</f>
        <v/>
      </c>
      <c r="E190" s="4">
        <f>E141+E131</f>
        <v/>
      </c>
      <c r="F190" s="4">
        <f>F141+F131</f>
        <v/>
      </c>
      <c r="G190" s="4">
        <f>G141+G131</f>
        <v/>
      </c>
      <c r="H190" s="4">
        <f>H141+H131</f>
        <v/>
      </c>
      <c r="I190" s="4">
        <f>I141+I131</f>
        <v/>
      </c>
      <c r="J190" s="4">
        <f>J141+J131</f>
        <v/>
      </c>
      <c r="K190" s="4">
        <f>K141+K131</f>
        <v/>
      </c>
      <c r="L190" s="4">
        <f>L141+L131</f>
        <v/>
      </c>
      <c r="M190" s="4">
        <f>M141+M131</f>
        <v/>
      </c>
      <c r="N190" s="4">
        <f>N141+N131</f>
        <v/>
      </c>
      <c r="O190" s="4">
        <f>O141+O131</f>
        <v/>
      </c>
      <c r="P190" s="4">
        <f>P141+P131</f>
        <v/>
      </c>
    </row>
    <row r="191">
      <c r="B191" s="8" t="inlineStr">
        <is>
          <t>Underlying EBIT</t>
        </is>
      </c>
      <c r="C191" t="inlineStr">
        <is>
          <t>AUDm</t>
        </is>
      </c>
      <c r="D191" s="4">
        <f>D54</f>
        <v/>
      </c>
      <c r="E191" s="4">
        <f>E54</f>
        <v/>
      </c>
      <c r="F191" s="4">
        <f>F54</f>
        <v/>
      </c>
      <c r="G191" s="4">
        <f>G54</f>
        <v/>
      </c>
      <c r="H191" s="4">
        <f>H54</f>
        <v/>
      </c>
      <c r="I191" s="4">
        <f>I54</f>
        <v/>
      </c>
      <c r="J191" s="4">
        <f>J54</f>
        <v/>
      </c>
      <c r="K191" s="4">
        <f>K54</f>
        <v/>
      </c>
      <c r="L191" s="4">
        <f>L54</f>
        <v/>
      </c>
      <c r="M191" s="4">
        <f>M54</f>
        <v/>
      </c>
      <c r="N191" s="4">
        <f>N54</f>
        <v/>
      </c>
      <c r="O191" s="4">
        <f>O54</f>
        <v/>
      </c>
      <c r="P191" s="4">
        <f>P54</f>
        <v/>
      </c>
    </row>
    <row r="192">
      <c r="B192" s="8" t="inlineStr">
        <is>
          <t>ROFE</t>
        </is>
      </c>
      <c r="C192" t="inlineStr">
        <is>
          <t>%</t>
        </is>
      </c>
      <c r="D192" s="6">
        <f>IF(D190=0,"",D191/D190)</f>
        <v/>
      </c>
      <c r="E192" s="6">
        <f>IF(E190=0,"",E191/E190)</f>
        <v/>
      </c>
      <c r="F192" s="6">
        <f>IF(F190=0,"",F191/F190)</f>
        <v/>
      </c>
      <c r="G192" s="6">
        <f>IF(G190=0,"",G191/G190)</f>
        <v/>
      </c>
      <c r="H192" s="6">
        <f>IF(H190=0,"",H191/H190)</f>
        <v/>
      </c>
      <c r="I192" s="6">
        <f>IF(I190=0,"",I191/I190)</f>
        <v/>
      </c>
      <c r="J192" s="6">
        <f>IF(J190=0,"",J191/J190)</f>
        <v/>
      </c>
      <c r="K192" s="6">
        <f>IF(K190=0,"",K191/K190)</f>
        <v/>
      </c>
      <c r="L192" s="6">
        <f>IF(L190=0,"",L191/L190)</f>
        <v/>
      </c>
      <c r="M192" s="6">
        <f>IF(M190=0,"",M191/M190)</f>
        <v/>
      </c>
      <c r="N192" s="6">
        <f>IF(N190=0,"",N191/N190)</f>
        <v/>
      </c>
      <c r="O192" s="6">
        <f>IF(O190=0,"",O191/O190)</f>
        <v/>
      </c>
      <c r="P192" s="6">
        <f>IF(P190=0,"",P191/P190)</f>
        <v/>
      </c>
    </row>
    <row r="193">
      <c r="B193" s="8" t="inlineStr">
        <is>
          <t>NOPAT</t>
        </is>
      </c>
      <c r="C193" t="inlineStr">
        <is>
          <t>AUDm</t>
        </is>
      </c>
      <c r="D193" s="4">
        <f>D191*(1-D70)</f>
        <v/>
      </c>
      <c r="E193" s="4">
        <f>E191*(1-E70)</f>
        <v/>
      </c>
      <c r="F193" s="4">
        <f>F191*(1-F70)</f>
        <v/>
      </c>
      <c r="G193" s="4">
        <f>G191*(1-G70)</f>
        <v/>
      </c>
      <c r="H193" s="4">
        <f>H191*(1-H70)</f>
        <v/>
      </c>
      <c r="I193" s="4">
        <f>I191*(1-I70)</f>
        <v/>
      </c>
      <c r="J193" s="4">
        <f>J191*(1-J70)</f>
        <v/>
      </c>
      <c r="K193" s="4">
        <f>K191*(1-K70)</f>
        <v/>
      </c>
      <c r="L193" s="4">
        <f>L191*(1-L70)</f>
        <v/>
      </c>
      <c r="M193" s="4">
        <f>M191*(1-M70)</f>
        <v/>
      </c>
      <c r="N193" s="4">
        <f>N191*(1-N70)</f>
        <v/>
      </c>
      <c r="O193" s="4">
        <f>O191*(1-O70)</f>
        <v/>
      </c>
      <c r="P193" s="4">
        <f>P191*(1-P70)</f>
        <v/>
      </c>
    </row>
    <row r="194">
      <c r="B194" s="8" t="inlineStr">
        <is>
          <t>ROIC</t>
        </is>
      </c>
      <c r="C194" t="inlineStr">
        <is>
          <t>%</t>
        </is>
      </c>
      <c r="D194" s="6">
        <f>IF(D190=0,"",D193/D190)</f>
        <v/>
      </c>
      <c r="E194" s="6">
        <f>IF(E190=0,"",E193/E190)</f>
        <v/>
      </c>
      <c r="F194" s="6">
        <f>IF(F190=0,"",F193/F190)</f>
        <v/>
      </c>
      <c r="G194" s="6">
        <f>IF(G190=0,"",G193/G190)</f>
        <v/>
      </c>
      <c r="H194" s="6">
        <f>IF(H190=0,"",H193/H190)</f>
        <v/>
      </c>
      <c r="I194" s="6">
        <f>IF(I190=0,"",I193/I190)</f>
        <v/>
      </c>
      <c r="J194" s="6">
        <f>IF(J190=0,"",J193/J190)</f>
        <v/>
      </c>
      <c r="K194" s="6">
        <f>IF(K190=0,"",K193/K190)</f>
        <v/>
      </c>
      <c r="L194" s="6">
        <f>IF(L190=0,"",L193/L190)</f>
        <v/>
      </c>
      <c r="M194" s="6">
        <f>IF(M190=0,"",M193/M190)</f>
        <v/>
      </c>
      <c r="N194" s="6">
        <f>IF(N190=0,"",N193/N190)</f>
        <v/>
      </c>
      <c r="O194" s="6">
        <f>IF(O190=0,"",O193/O190)</f>
        <v/>
      </c>
      <c r="P194" s="6">
        <f>IF(P190=0,"",P193/P190)</f>
        <v/>
      </c>
    </row>
    <row r="197">
      <c r="B197" s="18" t="n"/>
    </row>
    <row r="198">
      <c r="B198" s="25" t="n"/>
      <c r="D198" s="6" t="n"/>
      <c r="E198" s="6" t="n"/>
      <c r="F198" s="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</row>
    <row r="199">
      <c r="B199" s="25" t="n"/>
      <c r="D199" s="3" t="n"/>
      <c r="E199" s="3" t="n"/>
      <c r="F199" s="3" t="n"/>
      <c r="G199" s="61" t="n"/>
      <c r="H199" s="61" t="n"/>
      <c r="I199" s="61" t="n"/>
      <c r="J199" s="61" t="n"/>
      <c r="K199" s="61" t="n"/>
      <c r="L199" s="61" t="n"/>
      <c r="M199" s="61" t="n"/>
      <c r="N199" s="61" t="n"/>
      <c r="O199" s="61" t="n"/>
      <c r="P199" s="61" t="n"/>
    </row>
    <row r="200">
      <c r="B200" s="25" t="n"/>
      <c r="D200" s="3" t="n"/>
      <c r="E200" s="3" t="n"/>
      <c r="F200" s="3" t="n"/>
      <c r="G200" s="61" t="n"/>
      <c r="H200" s="61" t="n"/>
      <c r="I200" s="61" t="n"/>
      <c r="J200" s="61" t="n"/>
      <c r="K200" s="61" t="n"/>
      <c r="L200" s="61" t="n"/>
      <c r="M200" s="61" t="n"/>
      <c r="N200" s="61" t="n"/>
      <c r="O200" s="61" t="n"/>
      <c r="P200" s="61" t="n"/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30"/>
  <sheetViews>
    <sheetView tabSelected="1" workbookViewId="0">
      <pane xSplit="3" ySplit="4" topLeftCell="D74" activePane="bottomRight" state="frozen"/>
      <selection pane="topRight" activeCell="A1" sqref="A1"/>
      <selection pane="bottomLeft" activeCell="A1" sqref="A1"/>
      <selection pane="bottomRight" activeCell="G88" sqref="G88"/>
    </sheetView>
  </sheetViews>
  <sheetFormatPr baseColWidth="8" defaultRowHeight="14.5"/>
  <cols>
    <col hidden="1" width="30" customWidth="1" min="1" max="1"/>
    <col width="32" customWidth="1" min="2" max="2"/>
    <col width="8" customWidth="1" min="3" max="3"/>
    <col width="11" customWidth="1" min="4" max="33"/>
  </cols>
  <sheetData>
    <row r="1">
      <c r="D1" t="n">
        <v>2024</v>
      </c>
      <c r="E1" t="n">
        <v>2024</v>
      </c>
      <c r="F1" t="n">
        <v>2025</v>
      </c>
      <c r="G1" t="n">
        <v>2025</v>
      </c>
      <c r="H1" t="n">
        <v>2026</v>
      </c>
      <c r="I1" t="n">
        <v>2026</v>
      </c>
      <c r="J1" t="n">
        <v>2027</v>
      </c>
      <c r="K1" t="n">
        <v>2027</v>
      </c>
      <c r="L1" t="n">
        <v>2028</v>
      </c>
      <c r="M1" t="n">
        <v>2028</v>
      </c>
      <c r="N1" t="n">
        <v>2029</v>
      </c>
      <c r="O1" t="n">
        <v>2029</v>
      </c>
      <c r="P1" t="n">
        <v>2030</v>
      </c>
      <c r="Q1" t="n">
        <v>2030</v>
      </c>
      <c r="R1" t="n">
        <v>2031</v>
      </c>
      <c r="S1" t="n">
        <v>2031</v>
      </c>
      <c r="T1" t="n">
        <v>2032</v>
      </c>
      <c r="U1" t="n">
        <v>2032</v>
      </c>
      <c r="V1" t="n">
        <v>2033</v>
      </c>
      <c r="W1" t="n">
        <v>2033</v>
      </c>
      <c r="X1" t="n">
        <v>2034</v>
      </c>
      <c r="Y1" t="n">
        <v>2034</v>
      </c>
      <c r="Z1" t="n">
        <v>2035</v>
      </c>
      <c r="AA1" t="n">
        <v>2035</v>
      </c>
      <c r="AB1" t="n">
        <v>2035</v>
      </c>
      <c r="AC1" t="n">
        <v>2035</v>
      </c>
    </row>
    <row r="2" ht="18.5" customHeight="1">
      <c r="B2" s="14" t="inlineStr">
        <is>
          <t>GYG Segments (Half-Year)</t>
        </is>
      </c>
      <c r="D2" s="15" t="inlineStr">
        <is>
          <t>Actual ----------&gt;</t>
        </is>
      </c>
      <c r="E2" s="15" t="n"/>
      <c r="F2" s="15" t="n"/>
      <c r="G2" s="15" t="n"/>
      <c r="H2" s="15" t="n"/>
      <c r="I2" s="15" t="inlineStr">
        <is>
          <t>Forecast -----&gt;</t>
        </is>
      </c>
      <c r="J2" s="15" t="n"/>
      <c r="K2" s="16" t="inlineStr">
        <is>
          <t>Forecast -----&gt;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  <c r="AA2" s="16" t="n"/>
      <c r="AB2" s="16" t="n"/>
      <c r="AC2" s="16" t="n"/>
    </row>
    <row r="3">
      <c r="B3" t="inlineStr">
        <is>
          <t>Guzman y Gomez (GYG.AX)</t>
        </is>
      </c>
      <c r="C3" t="inlineStr">
        <is>
          <t>Units</t>
        </is>
      </c>
      <c r="D3" s="7" t="inlineStr">
        <is>
          <t>1H24</t>
        </is>
      </c>
      <c r="E3" s="7" t="inlineStr">
        <is>
          <t>2H24</t>
        </is>
      </c>
      <c r="F3" s="7" t="inlineStr">
        <is>
          <t>1H25</t>
        </is>
      </c>
      <c r="G3" s="7" t="inlineStr">
        <is>
          <t>2H25</t>
        </is>
      </c>
      <c r="H3" s="7" t="inlineStr">
        <is>
          <t>1H26</t>
        </is>
      </c>
      <c r="I3" s="7" t="inlineStr">
        <is>
          <t>2H26E</t>
        </is>
      </c>
      <c r="J3" s="7" t="inlineStr">
        <is>
          <t>1H27E</t>
        </is>
      </c>
      <c r="K3" s="7" t="inlineStr">
        <is>
          <t>2H27E</t>
        </is>
      </c>
      <c r="L3" s="7" t="inlineStr">
        <is>
          <t>1H28E</t>
        </is>
      </c>
      <c r="M3" s="7" t="inlineStr">
        <is>
          <t>2H28E</t>
        </is>
      </c>
      <c r="N3" s="7" t="inlineStr">
        <is>
          <t>1H29E</t>
        </is>
      </c>
      <c r="O3" s="7" t="inlineStr">
        <is>
          <t>2H29E</t>
        </is>
      </c>
      <c r="P3" s="7" t="inlineStr">
        <is>
          <t>1H30E</t>
        </is>
      </c>
      <c r="Q3" s="7" t="inlineStr">
        <is>
          <t>2H30E</t>
        </is>
      </c>
      <c r="R3" s="7" t="inlineStr">
        <is>
          <t>1H31E</t>
        </is>
      </c>
      <c r="S3" s="7" t="inlineStr">
        <is>
          <t>2H31E</t>
        </is>
      </c>
      <c r="T3" s="7" t="inlineStr">
        <is>
          <t>1H32E</t>
        </is>
      </c>
      <c r="U3" s="7" t="inlineStr">
        <is>
          <t>2H32E</t>
        </is>
      </c>
      <c r="V3" s="7" t="inlineStr">
        <is>
          <t>1H33E</t>
        </is>
      </c>
      <c r="W3" s="7" t="inlineStr">
        <is>
          <t>2H33E</t>
        </is>
      </c>
      <c r="X3" s="7" t="inlineStr">
        <is>
          <t>1H34E</t>
        </is>
      </c>
      <c r="Y3" s="7" t="inlineStr">
        <is>
          <t>2H34E</t>
        </is>
      </c>
      <c r="Z3" s="7" t="inlineStr">
        <is>
          <t>1H35E</t>
        </is>
      </c>
      <c r="AA3" s="7" t="inlineStr">
        <is>
          <t>2H35E</t>
        </is>
      </c>
      <c r="AB3" s="7" t="inlineStr">
        <is>
          <t>1H35</t>
        </is>
      </c>
      <c r="AC3" s="7" t="inlineStr">
        <is>
          <t>2H35</t>
        </is>
      </c>
    </row>
    <row r="4">
      <c r="D4" s="17" t="n">
        <v>45291</v>
      </c>
      <c r="E4" s="17" t="n">
        <v>45473</v>
      </c>
      <c r="F4" s="17" t="n">
        <v>45657</v>
      </c>
      <c r="G4" s="17" t="n">
        <v>45838</v>
      </c>
      <c r="H4" s="17" t="n">
        <v>46022</v>
      </c>
      <c r="I4" s="17" t="n">
        <v>46203</v>
      </c>
      <c r="J4" s="17" t="n">
        <v>46387</v>
      </c>
      <c r="K4" s="17" t="n">
        <v>46568</v>
      </c>
      <c r="L4" s="17" t="n">
        <v>46752</v>
      </c>
      <c r="M4" s="17" t="n">
        <v>46934</v>
      </c>
      <c r="N4" s="17" t="n">
        <v>47118</v>
      </c>
      <c r="O4" s="17" t="n">
        <v>47299</v>
      </c>
      <c r="P4" s="17" t="n">
        <v>47483</v>
      </c>
      <c r="Q4" s="17" t="n">
        <v>47664</v>
      </c>
      <c r="R4" s="17" t="n">
        <v>47848</v>
      </c>
      <c r="S4" s="17" t="n">
        <v>48029</v>
      </c>
      <c r="T4" s="17" t="n">
        <v>48213</v>
      </c>
      <c r="U4" s="17" t="n">
        <v>48395</v>
      </c>
      <c r="V4" s="17" t="n">
        <v>48579</v>
      </c>
      <c r="W4" s="17" t="n">
        <v>48760</v>
      </c>
      <c r="X4" s="17" t="n">
        <v>48944</v>
      </c>
      <c r="Y4" s="17" t="n">
        <v>49125</v>
      </c>
      <c r="Z4" s="17" t="n">
        <v>49309</v>
      </c>
      <c r="AA4" s="17" t="n">
        <v>49490</v>
      </c>
      <c r="AB4" s="17" t="n">
        <v>49309</v>
      </c>
      <c r="AC4" s="17" t="n">
        <v>49490</v>
      </c>
    </row>
    <row r="5">
      <c r="A5" s="2" t="n"/>
      <c r="B5" s="69" t="inlineStr">
        <is>
          <t>P&amp;L</t>
        </is>
      </c>
      <c r="C5" s="69" t="n"/>
      <c r="D5" s="69" t="n"/>
      <c r="E5" s="69" t="n"/>
      <c r="F5" s="69" t="n"/>
      <c r="G5" s="69" t="n"/>
      <c r="H5" s="69" t="n"/>
      <c r="I5" s="69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  <c r="Z5" s="69" t="n"/>
      <c r="AA5" s="69" t="n"/>
      <c r="AB5" s="69" t="n"/>
      <c r="AC5" s="2" t="n"/>
    </row>
    <row r="6">
      <c r="B6" s="69" t="inlineStr">
        <is>
          <t>Revenue</t>
        </is>
      </c>
      <c r="C6" s="69" t="n"/>
      <c r="D6" s="69" t="n"/>
      <c r="E6" s="69" t="n"/>
      <c r="F6" s="69" t="n"/>
      <c r="G6" s="69" t="n"/>
      <c r="H6" s="69" t="n"/>
      <c r="I6" s="69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  <c r="Z6" s="69" t="n"/>
      <c r="AA6" s="69" t="n"/>
      <c r="AB6" s="69" t="n"/>
    </row>
    <row r="7">
      <c r="A7" t="inlineStr">
        <is>
          <t>Rev-AU Corp Sales</t>
        </is>
      </c>
      <c r="B7" s="70" t="inlineStr">
        <is>
          <t>AU Corporate Restaurant Sales</t>
        </is>
      </c>
      <c r="C7" t="inlineStr">
        <is>
          <t>AUDm</t>
        </is>
      </c>
      <c r="D7" s="19" t="n">
        <v>136.155</v>
      </c>
      <c r="E7" s="4" t="n">
        <v>142.722</v>
      </c>
      <c r="F7" s="19" t="n">
        <v>176.051</v>
      </c>
      <c r="G7" s="4" t="n">
        <v>183.671</v>
      </c>
      <c r="H7" s="19" t="n">
        <v>215.116</v>
      </c>
      <c r="I7" s="4">
        <f>I110</f>
        <v/>
      </c>
      <c r="J7" s="19">
        <f>J110</f>
        <v/>
      </c>
      <c r="K7" s="4">
        <f>K110</f>
        <v/>
      </c>
      <c r="L7" s="4">
        <f>L110</f>
        <v/>
      </c>
      <c r="M7" s="4">
        <f>M110</f>
        <v/>
      </c>
      <c r="N7" s="4">
        <f>N110</f>
        <v/>
      </c>
      <c r="O7" s="4">
        <f>O110</f>
        <v/>
      </c>
      <c r="P7" s="4">
        <f>P110</f>
        <v/>
      </c>
      <c r="Q7" s="4">
        <f>Q110</f>
        <v/>
      </c>
      <c r="R7" s="4">
        <f>R110</f>
        <v/>
      </c>
      <c r="S7" s="4">
        <f>S110</f>
        <v/>
      </c>
      <c r="T7" s="4">
        <f>T110</f>
        <v/>
      </c>
      <c r="U7" s="4">
        <f>U110</f>
        <v/>
      </c>
      <c r="V7" s="4">
        <f>V110</f>
        <v/>
      </c>
      <c r="W7" s="4">
        <f>W110</f>
        <v/>
      </c>
      <c r="X7" s="4">
        <f>X110</f>
        <v/>
      </c>
      <c r="Y7" s="4">
        <f>Y110</f>
        <v/>
      </c>
      <c r="Z7" s="4">
        <f>Z110</f>
        <v/>
      </c>
      <c r="AA7" s="4">
        <f>AA110</f>
        <v/>
      </c>
      <c r="AB7" s="4" t="n"/>
      <c r="AC7" s="4">
        <f>AC97</f>
        <v/>
      </c>
    </row>
    <row r="8">
      <c r="A8" t="inlineStr">
        <is>
          <t>Rev-US Corp Sales</t>
        </is>
      </c>
      <c r="B8" s="70" t="inlineStr">
        <is>
          <t>US Corporate Restaurant Sales</t>
        </is>
      </c>
      <c r="C8" t="inlineStr">
        <is>
          <t>AUDm</t>
        </is>
      </c>
      <c r="D8" s="19" t="n">
        <v>5.618</v>
      </c>
      <c r="E8" s="4" t="n">
        <v>5.215999999999999</v>
      </c>
      <c r="F8" s="19" t="n">
        <v>3.232</v>
      </c>
      <c r="G8" s="4" t="n">
        <v>5.637</v>
      </c>
      <c r="H8" s="19" t="n">
        <v>6.46</v>
      </c>
      <c r="I8" s="4">
        <f>I124</f>
        <v/>
      </c>
      <c r="J8" s="19">
        <f>J124</f>
        <v/>
      </c>
      <c r="K8" s="4">
        <f>K124</f>
        <v/>
      </c>
      <c r="L8" s="4">
        <f>L124</f>
        <v/>
      </c>
      <c r="M8" s="4">
        <f>M124</f>
        <v/>
      </c>
      <c r="N8" s="4">
        <f>N124</f>
        <v/>
      </c>
      <c r="O8" s="4">
        <f>O124</f>
        <v/>
      </c>
      <c r="P8" s="4">
        <f>P124</f>
        <v/>
      </c>
      <c r="Q8" s="4">
        <f>Q124</f>
        <v/>
      </c>
      <c r="R8" s="4">
        <f>R124</f>
        <v/>
      </c>
      <c r="S8" s="4">
        <f>S124</f>
        <v/>
      </c>
      <c r="T8" s="4">
        <f>T124</f>
        <v/>
      </c>
      <c r="U8" s="4">
        <f>U124</f>
        <v/>
      </c>
      <c r="V8" s="4">
        <f>V124</f>
        <v/>
      </c>
      <c r="W8" s="4">
        <f>W124</f>
        <v/>
      </c>
      <c r="X8" s="4">
        <f>X124</f>
        <v/>
      </c>
      <c r="Y8" s="4">
        <f>Y124</f>
        <v/>
      </c>
      <c r="Z8" s="4">
        <f>Z124</f>
        <v/>
      </c>
      <c r="AA8" s="4">
        <f>AA124</f>
        <v/>
      </c>
      <c r="AB8" s="4" t="n"/>
      <c r="AC8" s="4">
        <f>AC110</f>
        <v/>
      </c>
    </row>
    <row r="9">
      <c r="A9" t="inlineStr">
        <is>
          <t>Rev-Franchise Royalty</t>
        </is>
      </c>
      <c r="B9" s="71" t="inlineStr">
        <is>
          <t>Franchise Royalty Revenue</t>
        </is>
      </c>
      <c r="C9" s="20" t="inlineStr">
        <is>
          <t>AUDm</t>
        </is>
      </c>
      <c r="D9" s="21" t="n">
        <v>25.063</v>
      </c>
      <c r="E9" s="21" t="n">
        <v>26.795</v>
      </c>
      <c r="F9" s="21" t="n">
        <v>32.187</v>
      </c>
      <c r="G9" s="21" t="n">
        <v>34.574</v>
      </c>
      <c r="H9" s="21" t="n">
        <v>39.325</v>
      </c>
      <c r="I9" s="21">
        <f>(I106-I110)*I113</f>
        <v/>
      </c>
      <c r="J9" s="21">
        <f>(J106-J110)*J113</f>
        <v/>
      </c>
      <c r="K9" s="21">
        <f>(K106-K110)*K113</f>
        <v/>
      </c>
      <c r="L9" s="21">
        <f>(L106-L110)*L113</f>
        <v/>
      </c>
      <c r="M9" s="21">
        <f>(M106-M110)*M113</f>
        <v/>
      </c>
      <c r="N9" s="21">
        <f>(N106-N110)*N113</f>
        <v/>
      </c>
      <c r="O9" s="21">
        <f>(O106-O110)*O113</f>
        <v/>
      </c>
      <c r="P9" s="21">
        <f>(P106-P110)*P113</f>
        <v/>
      </c>
      <c r="Q9" s="21">
        <f>(Q106-Q110)*Q113</f>
        <v/>
      </c>
      <c r="R9" s="21">
        <f>(R106-R110)*R113</f>
        <v/>
      </c>
      <c r="S9" s="21">
        <f>(S106-S110)*S113</f>
        <v/>
      </c>
      <c r="T9" s="21">
        <f>(T106-T110)*T113</f>
        <v/>
      </c>
      <c r="U9" s="21">
        <f>(U106-U110)*U113</f>
        <v/>
      </c>
      <c r="V9" s="21">
        <f>(V106-V110)*V113</f>
        <v/>
      </c>
      <c r="W9" s="21">
        <f>(W106-W110)*W113</f>
        <v/>
      </c>
      <c r="X9" s="21">
        <f>(X106-X110)*X113</f>
        <v/>
      </c>
      <c r="Y9" s="21">
        <f>(Y106-Y110)*Y113</f>
        <v/>
      </c>
      <c r="Z9" s="21">
        <f>(Z106-Z110)*Z113</f>
        <v/>
      </c>
      <c r="AA9" s="21">
        <f>(AA106-AA110)*AA113</f>
        <v/>
      </c>
      <c r="AB9" s="21" t="n"/>
      <c r="AC9" s="21">
        <f>AC7+AC8</f>
        <v/>
      </c>
    </row>
    <row r="10">
      <c r="A10" t="inlineStr">
        <is>
          <t>Rev-Franchise Fee</t>
        </is>
      </c>
      <c r="B10" s="70" t="inlineStr">
        <is>
          <t>Franchise Fee Revenue</t>
        </is>
      </c>
      <c r="C10" t="inlineStr">
        <is>
          <t>AUDm</t>
        </is>
      </c>
      <c r="D10" s="4" t="n">
        <v>0.451</v>
      </c>
      <c r="E10" s="4" t="n">
        <v>0.194</v>
      </c>
      <c r="F10" s="4" t="n">
        <v>0.949</v>
      </c>
      <c r="G10" s="4" t="n">
        <v>-0.319</v>
      </c>
      <c r="H10" s="4" t="n">
        <v>0.3</v>
      </c>
      <c r="I10" s="4">
        <f>G10</f>
        <v/>
      </c>
      <c r="J10" s="4">
        <f>H10</f>
        <v/>
      </c>
      <c r="K10" s="4">
        <f>I10</f>
        <v/>
      </c>
      <c r="L10" s="4">
        <f>J10</f>
        <v/>
      </c>
      <c r="M10" s="4">
        <f>K10</f>
        <v/>
      </c>
      <c r="N10" s="4">
        <f>L10</f>
        <v/>
      </c>
      <c r="O10" s="4">
        <f>M10</f>
        <v/>
      </c>
      <c r="P10" s="4">
        <f>N10</f>
        <v/>
      </c>
      <c r="Q10" s="4">
        <f>O10</f>
        <v/>
      </c>
      <c r="R10" s="4">
        <f>P10</f>
        <v/>
      </c>
      <c r="S10" s="4">
        <f>Q10</f>
        <v/>
      </c>
      <c r="T10" s="4">
        <f>R10</f>
        <v/>
      </c>
      <c r="U10" s="4">
        <f>S10</f>
        <v/>
      </c>
      <c r="V10" s="4">
        <f>T10</f>
        <v/>
      </c>
      <c r="W10" s="4">
        <f>U10</f>
        <v/>
      </c>
      <c r="X10" s="4">
        <f>V10</f>
        <v/>
      </c>
      <c r="Y10" s="4">
        <f>W10</f>
        <v/>
      </c>
      <c r="Z10" s="4">
        <f>X10</f>
        <v/>
      </c>
      <c r="AA10" s="4">
        <f>Y10</f>
        <v/>
      </c>
      <c r="AB10" s="4" t="n"/>
      <c r="AC10" s="6">
        <f>IF(AA9=0,"",AC9/AA9-1)</f>
        <v/>
      </c>
    </row>
    <row r="11">
      <c r="A11" t="inlineStr">
        <is>
          <t>Rev-Total Revenue</t>
        </is>
      </c>
      <c r="B11" s="72" t="inlineStr">
        <is>
          <t>Total Revenue</t>
        </is>
      </c>
      <c r="C11" s="72" t="inlineStr">
        <is>
          <t>AUDm</t>
        </is>
      </c>
      <c r="D11" s="73">
        <f>SUM(D7:D10)</f>
        <v/>
      </c>
      <c r="E11" s="73">
        <f>SUM(E7:E10)</f>
        <v/>
      </c>
      <c r="F11" s="73">
        <f>SUM(F7:F10)</f>
        <v/>
      </c>
      <c r="G11" s="73">
        <f>SUM(G7:G10)</f>
        <v/>
      </c>
      <c r="H11" s="73">
        <f>SUM(H7:H10)</f>
        <v/>
      </c>
      <c r="I11" s="73">
        <f>SUM(I7:I10)</f>
        <v/>
      </c>
      <c r="J11" s="73">
        <f>SUM(J7:J10)</f>
        <v/>
      </c>
      <c r="K11" s="73">
        <f>SUM(K7:K10)</f>
        <v/>
      </c>
      <c r="L11" s="73">
        <f>SUM(L7:L10)</f>
        <v/>
      </c>
      <c r="M11" s="73">
        <f>SUM(M7:M10)</f>
        <v/>
      </c>
      <c r="N11" s="73">
        <f>SUM(N7:N10)</f>
        <v/>
      </c>
      <c r="O11" s="73">
        <f>SUM(O7:O10)</f>
        <v/>
      </c>
      <c r="P11" s="73">
        <f>SUM(P7:P10)</f>
        <v/>
      </c>
      <c r="Q11" s="73">
        <f>SUM(Q7:Q10)</f>
        <v/>
      </c>
      <c r="R11" s="73">
        <f>SUM(R7:R10)</f>
        <v/>
      </c>
      <c r="S11" s="73">
        <f>SUM(S7:S10)</f>
        <v/>
      </c>
      <c r="T11" s="73">
        <f>SUM(T7:T10)</f>
        <v/>
      </c>
      <c r="U11" s="73">
        <f>SUM(U7:U10)</f>
        <v/>
      </c>
      <c r="V11" s="73">
        <f>SUM(V7:V10)</f>
        <v/>
      </c>
      <c r="W11" s="73">
        <f>SUM(W7:W10)</f>
        <v/>
      </c>
      <c r="X11" s="73">
        <f>SUM(X7:X10)</f>
        <v/>
      </c>
      <c r="Y11" s="73">
        <f>SUM(Y7:Y10)</f>
        <v/>
      </c>
      <c r="Z11" s="73">
        <f>SUM(Z7:Z10)</f>
        <v/>
      </c>
      <c r="AA11" s="73">
        <f>SUM(AA7:AA10)</f>
        <v/>
      </c>
      <c r="AB11" s="73" t="n"/>
    </row>
    <row r="12">
      <c r="B12" s="70" t="inlineStr">
        <is>
          <t>Revenue Growth (YoY)</t>
        </is>
      </c>
      <c r="C12" t="inlineStr">
        <is>
          <t>% YoY</t>
        </is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</row>
    <row r="13">
      <c r="B13" s="70" t="n"/>
      <c r="D13" s="46" t="n"/>
      <c r="E13" s="4" t="n"/>
      <c r="F13" s="46" t="n"/>
      <c r="G13" s="4" t="n"/>
      <c r="H13" s="46" t="n"/>
      <c r="I13" s="4" t="n"/>
      <c r="J13" s="5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>
        <f>-AC7*(1-AC98)</f>
        <v/>
      </c>
    </row>
    <row r="14">
      <c r="B14" s="69" t="inlineStr">
        <is>
          <t>Other Revenue</t>
        </is>
      </c>
      <c r="C14" s="69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  <c r="AA14" s="74" t="n"/>
      <c r="AB14" s="74" t="n"/>
      <c r="AC14" s="4">
        <f>-AC8*(1-AC111)</f>
        <v/>
      </c>
    </row>
    <row r="15">
      <c r="A15" t="inlineStr">
        <is>
          <t>Rev-Marketing Levy</t>
        </is>
      </c>
      <c r="B15" s="70" t="inlineStr">
        <is>
          <t>Franchise Marketing Levy Revenue</t>
        </is>
      </c>
      <c r="C15" t="inlineStr">
        <is>
          <t>AUDm</t>
        </is>
      </c>
      <c r="D15" s="19" t="n">
        <v>7.658</v>
      </c>
      <c r="E15" s="4" t="n">
        <v>8.724</v>
      </c>
      <c r="F15" s="19" t="n">
        <v>10.976</v>
      </c>
      <c r="G15" s="4" t="n">
        <v>8.711999999999998</v>
      </c>
      <c r="H15" s="19" t="n">
        <v>11.893</v>
      </c>
      <c r="I15" s="4">
        <f>G15*1.05</f>
        <v/>
      </c>
      <c r="J15" s="19">
        <f>H15*1.05</f>
        <v/>
      </c>
      <c r="K15" s="4">
        <f>I15*1.05</f>
        <v/>
      </c>
      <c r="L15" s="4">
        <f>J15*1.05</f>
        <v/>
      </c>
      <c r="M15" s="4">
        <f>K15*1.05</f>
        <v/>
      </c>
      <c r="N15" s="4">
        <f>L15*1.05</f>
        <v/>
      </c>
      <c r="O15" s="4">
        <f>M15*1.05</f>
        <v/>
      </c>
      <c r="P15" s="4">
        <f>N15*1.05</f>
        <v/>
      </c>
      <c r="Q15" s="4">
        <f>O15*1.05</f>
        <v/>
      </c>
      <c r="R15" s="4">
        <f>P15*1.05</f>
        <v/>
      </c>
      <c r="S15" s="4">
        <f>Q15*1.05</f>
        <v/>
      </c>
      <c r="T15" s="4">
        <f>R15*1.05</f>
        <v/>
      </c>
      <c r="U15" s="4">
        <f>S15*1.05</f>
        <v/>
      </c>
      <c r="V15" s="4">
        <f>T15*1.05</f>
        <v/>
      </c>
      <c r="W15" s="4">
        <f>U15*1.05</f>
        <v/>
      </c>
      <c r="X15" s="4">
        <f>V15*1.05</f>
        <v/>
      </c>
      <c r="Y15" s="4">
        <f>W15*1.05</f>
        <v/>
      </c>
      <c r="Z15" s="4">
        <f>X15*1.05</f>
        <v/>
      </c>
      <c r="AA15" s="4">
        <f>Y15*1.05</f>
        <v/>
      </c>
      <c r="AB15" s="4" t="n"/>
      <c r="AC15" s="4">
        <f>0</f>
        <v/>
      </c>
    </row>
    <row r="16">
      <c r="A16" t="inlineStr">
        <is>
          <t>Rev-Other Franchise</t>
        </is>
      </c>
      <c r="B16" s="71" t="inlineStr">
        <is>
          <t>Other Franchise Related Revenue</t>
        </is>
      </c>
      <c r="C16" s="20" t="inlineStr">
        <is>
          <t>AUDm</t>
        </is>
      </c>
      <c r="D16" s="21" t="n">
        <v>2.573</v>
      </c>
      <c r="E16" s="21" t="n">
        <v>3.591</v>
      </c>
      <c r="F16" s="21" t="n">
        <v>3.423</v>
      </c>
      <c r="G16" s="21" t="n">
        <v>5.519</v>
      </c>
      <c r="H16" s="21" t="n">
        <v>3.343</v>
      </c>
      <c r="I16" s="21">
        <f>G16*1.05</f>
        <v/>
      </c>
      <c r="J16" s="21">
        <f>H16*1.05</f>
        <v/>
      </c>
      <c r="K16" s="21">
        <f>I16*1.05</f>
        <v/>
      </c>
      <c r="L16" s="21">
        <f>J16*1.05</f>
        <v/>
      </c>
      <c r="M16" s="21">
        <f>K16*1.05</f>
        <v/>
      </c>
      <c r="N16" s="21">
        <f>L16*1.05</f>
        <v/>
      </c>
      <c r="O16" s="21">
        <f>M16*1.05</f>
        <v/>
      </c>
      <c r="P16" s="21">
        <f>N16*1.05</f>
        <v/>
      </c>
      <c r="Q16" s="21">
        <f>O16*1.05</f>
        <v/>
      </c>
      <c r="R16" s="21">
        <f>P16*1.05</f>
        <v/>
      </c>
      <c r="S16" s="21">
        <f>Q16*1.05</f>
        <v/>
      </c>
      <c r="T16" s="21">
        <f>R16*1.05</f>
        <v/>
      </c>
      <c r="U16" s="21">
        <f>S16*1.05</f>
        <v/>
      </c>
      <c r="V16" s="21">
        <f>T16*1.05</f>
        <v/>
      </c>
      <c r="W16" s="21">
        <f>U16*1.05</f>
        <v/>
      </c>
      <c r="X16" s="21">
        <f>V16*1.05</f>
        <v/>
      </c>
      <c r="Y16" s="21">
        <f>W16*1.05</f>
        <v/>
      </c>
      <c r="Z16" s="21">
        <f>X16*1.05</f>
        <v/>
      </c>
      <c r="AA16" s="21">
        <f>Y16*1.05</f>
        <v/>
      </c>
      <c r="AB16" s="21" t="n"/>
      <c r="AC16" s="21">
        <f>SUM(AC13:AC15)</f>
        <v/>
      </c>
    </row>
    <row r="17">
      <c r="A17" t="inlineStr">
        <is>
          <t>Rev-Other Income</t>
        </is>
      </c>
      <c r="B17" s="70" t="inlineStr">
        <is>
          <t>Other Income</t>
        </is>
      </c>
      <c r="C17" t="inlineStr">
        <is>
          <t>AUDm</t>
        </is>
      </c>
      <c r="D17" s="4" t="n">
        <v>1.337</v>
      </c>
      <c r="E17" s="4" t="n">
        <v>-1.109</v>
      </c>
      <c r="F17" s="4" t="n">
        <v>0.312</v>
      </c>
      <c r="G17" s="4" t="n">
        <v>3.082</v>
      </c>
      <c r="H17" s="4" t="n">
        <v>2.127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 t="n"/>
    </row>
    <row r="18">
      <c r="A18" t="inlineStr">
        <is>
          <t>Rev-Total Other Revenue</t>
        </is>
      </c>
      <c r="B18" s="72" t="inlineStr">
        <is>
          <t>Total Other Revenue</t>
        </is>
      </c>
      <c r="C18" s="72" t="inlineStr">
        <is>
          <t>AUDm</t>
        </is>
      </c>
      <c r="D18" s="73">
        <f>SUM(D15:D17)</f>
        <v/>
      </c>
      <c r="E18" s="73">
        <f>SUM(E15:E17)</f>
        <v/>
      </c>
      <c r="F18" s="73">
        <f>SUM(F15:F17)</f>
        <v/>
      </c>
      <c r="G18" s="73">
        <f>SUM(G15:G17)</f>
        <v/>
      </c>
      <c r="H18" s="73">
        <f>SUM(H15:H17)</f>
        <v/>
      </c>
      <c r="I18" s="73">
        <f>SUM(I15:I17)</f>
        <v/>
      </c>
      <c r="J18" s="73">
        <f>SUM(J15:J17)</f>
        <v/>
      </c>
      <c r="K18" s="73">
        <f>SUM(K15:K17)</f>
        <v/>
      </c>
      <c r="L18" s="73">
        <f>SUM(L15:L17)</f>
        <v/>
      </c>
      <c r="M18" s="73">
        <f>SUM(M15:M17)</f>
        <v/>
      </c>
      <c r="N18" s="73">
        <f>SUM(N15:N17)</f>
        <v/>
      </c>
      <c r="O18" s="73">
        <f>SUM(O15:O17)</f>
        <v/>
      </c>
      <c r="P18" s="73">
        <f>SUM(P15:P17)</f>
        <v/>
      </c>
      <c r="Q18" s="73">
        <f>SUM(Q15:Q17)</f>
        <v/>
      </c>
      <c r="R18" s="73">
        <f>SUM(R15:R17)</f>
        <v/>
      </c>
      <c r="S18" s="73">
        <f>SUM(S15:S17)</f>
        <v/>
      </c>
      <c r="T18" s="73">
        <f>SUM(T15:T17)</f>
        <v/>
      </c>
      <c r="U18" s="73">
        <f>SUM(U15:U17)</f>
        <v/>
      </c>
      <c r="V18" s="73">
        <f>SUM(V15:V17)</f>
        <v/>
      </c>
      <c r="W18" s="73">
        <f>SUM(W15:W17)</f>
        <v/>
      </c>
      <c r="X18" s="73">
        <f>SUM(X15:X17)</f>
        <v/>
      </c>
      <c r="Y18" s="73">
        <f>SUM(Y15:Y17)</f>
        <v/>
      </c>
      <c r="Z18" s="73">
        <f>SUM(Z15:Z17)</f>
        <v/>
      </c>
      <c r="AA18" s="73">
        <f>SUM(AA15:AA17)</f>
        <v/>
      </c>
      <c r="AB18" s="73" t="n"/>
    </row>
    <row r="19">
      <c r="B19" s="70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>
        <f>AC7+AC13</f>
        <v/>
      </c>
    </row>
    <row r="20">
      <c r="A20" t="inlineStr">
        <is>
          <t>Rev-Total Rev &amp; Other</t>
        </is>
      </c>
      <c r="B20" s="72" t="inlineStr">
        <is>
          <t>Total Revenue &amp; Other Income</t>
        </is>
      </c>
      <c r="C20" s="72" t="inlineStr">
        <is>
          <t>AUDm</t>
        </is>
      </c>
      <c r="D20" s="73">
        <f>D11+D18</f>
        <v/>
      </c>
      <c r="E20" s="73">
        <f>E11+E18</f>
        <v/>
      </c>
      <c r="F20" s="73">
        <f>F11+F18</f>
        <v/>
      </c>
      <c r="G20" s="73">
        <f>G11+G18</f>
        <v/>
      </c>
      <c r="H20" s="73">
        <f>H11+H18</f>
        <v/>
      </c>
      <c r="I20" s="73">
        <f>I11+I18</f>
        <v/>
      </c>
      <c r="J20" s="73">
        <f>J11+J18</f>
        <v/>
      </c>
      <c r="K20" s="73">
        <f>K11+K18</f>
        <v/>
      </c>
      <c r="L20" s="73">
        <f>L11+L18</f>
        <v/>
      </c>
      <c r="M20" s="73">
        <f>M11+M18</f>
        <v/>
      </c>
      <c r="N20" s="73">
        <f>N11+N18</f>
        <v/>
      </c>
      <c r="O20" s="73">
        <f>O11+O18</f>
        <v/>
      </c>
      <c r="P20" s="73">
        <f>P11+P18</f>
        <v/>
      </c>
      <c r="Q20" s="73">
        <f>Q11+Q18</f>
        <v/>
      </c>
      <c r="R20" s="73">
        <f>R11+R18</f>
        <v/>
      </c>
      <c r="S20" s="73">
        <f>S11+S18</f>
        <v/>
      </c>
      <c r="T20" s="73">
        <f>T11+T18</f>
        <v/>
      </c>
      <c r="U20" s="73">
        <f>U11+U18</f>
        <v/>
      </c>
      <c r="V20" s="73">
        <f>V11+V18</f>
        <v/>
      </c>
      <c r="W20" s="73">
        <f>W11+W18</f>
        <v/>
      </c>
      <c r="X20" s="73">
        <f>X11+X18</f>
        <v/>
      </c>
      <c r="Y20" s="73">
        <f>Y11+Y18</f>
        <v/>
      </c>
      <c r="Z20" s="73">
        <f>Z11+Z18</f>
        <v/>
      </c>
      <c r="AA20" s="73">
        <f>AA11+AA18</f>
        <v/>
      </c>
      <c r="AB20" s="73" t="n"/>
      <c r="AC20" s="4">
        <f>AC8+AC14</f>
        <v/>
      </c>
    </row>
    <row r="21">
      <c r="B21" s="70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>
        <f>AC22-AC19-AC20</f>
        <v/>
      </c>
    </row>
    <row r="22">
      <c r="B22" s="75" t="inlineStr">
        <is>
          <t>Expenses</t>
        </is>
      </c>
      <c r="C22" s="75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21">
        <f>AC9+AC16</f>
        <v/>
      </c>
    </row>
    <row r="23">
      <c r="A23" t="inlineStr">
        <is>
          <t>OPEX-Food &amp; Packaging</t>
        </is>
      </c>
      <c r="B23" s="70" t="inlineStr">
        <is>
          <t>Cost of Food &amp; Packaging</t>
        </is>
      </c>
      <c r="C23" t="inlineStr">
        <is>
          <t>AUDm</t>
        </is>
      </c>
      <c r="D23" s="4" t="n">
        <v>-43.192</v>
      </c>
      <c r="E23" s="4" t="n">
        <v>-44.388</v>
      </c>
      <c r="F23" s="4" t="n">
        <v>-55.071</v>
      </c>
      <c r="G23" s="4" t="n">
        <v>-58.877</v>
      </c>
      <c r="H23" s="4" t="n">
        <v>-67.126</v>
      </c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6">
        <f>IF(AA22=0,"",AC22/AA22-1)</f>
        <v/>
      </c>
    </row>
    <row r="24">
      <c r="A24" t="inlineStr">
        <is>
          <t>OPEX-Employee Benefits</t>
        </is>
      </c>
      <c r="B24" s="70" t="inlineStr">
        <is>
          <t>Employee Benefit Expenses</t>
        </is>
      </c>
      <c r="C24" t="inlineStr">
        <is>
          <t>AUDm</t>
        </is>
      </c>
      <c r="D24" s="4" t="n">
        <v>-73.32599999999999</v>
      </c>
      <c r="E24" s="4" t="n">
        <v>-80.40700000000001</v>
      </c>
      <c r="F24" s="4" t="n">
        <v>-89.003</v>
      </c>
      <c r="G24" s="4" t="n">
        <v>-95.65300000000001</v>
      </c>
      <c r="H24" s="4" t="n">
        <v>-110.669</v>
      </c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6">
        <f>IF(AC9=0,"",AC22/AC9)</f>
        <v/>
      </c>
    </row>
    <row r="25">
      <c r="A25" t="inlineStr">
        <is>
          <t>OPEX-Administrative</t>
        </is>
      </c>
      <c r="B25" s="70" t="inlineStr">
        <is>
          <t>Administrative Expenses</t>
        </is>
      </c>
      <c r="C25" t="inlineStr">
        <is>
          <t>AUDm</t>
        </is>
      </c>
      <c r="D25" s="4" t="n">
        <v>-25.346</v>
      </c>
      <c r="E25" s="4" t="n">
        <v>-35.249</v>
      </c>
      <c r="F25" s="4" t="n">
        <v>-25.865</v>
      </c>
      <c r="G25" s="4" t="n">
        <v>-27.75</v>
      </c>
      <c r="H25" s="4" t="n">
        <v>-28.718</v>
      </c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6">
        <f>IF(AC7=0,"",AC19/AC7)</f>
        <v/>
      </c>
    </row>
    <row r="26">
      <c r="A26" t="inlineStr">
        <is>
          <t>OPEX-Marketing</t>
        </is>
      </c>
      <c r="B26" s="70" t="inlineStr">
        <is>
          <t>Marketing Expenses</t>
        </is>
      </c>
      <c r="C26" t="inlineStr">
        <is>
          <t>AUDm</t>
        </is>
      </c>
      <c r="D26" s="4" t="n">
        <v>-8.537000000000001</v>
      </c>
      <c r="E26" s="4" t="n">
        <v>-9.400999999999998</v>
      </c>
      <c r="F26" s="4" t="n">
        <v>-11.302</v>
      </c>
      <c r="G26" s="4" t="n">
        <v>-9.984999999999999</v>
      </c>
      <c r="H26" s="4" t="n">
        <v>-13.706</v>
      </c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6">
        <f>IF(AC8=0,"",AC20/AC8)</f>
        <v/>
      </c>
    </row>
    <row r="27">
      <c r="A27" t="inlineStr">
        <is>
          <t>OPEX-Other Expenses</t>
        </is>
      </c>
      <c r="B27" s="70" t="inlineStr">
        <is>
          <t>Other Expenses</t>
        </is>
      </c>
      <c r="C27" t="inlineStr">
        <is>
          <t>AUDm</t>
        </is>
      </c>
      <c r="D27" s="4" t="n">
        <v>-9.550000000000001</v>
      </c>
      <c r="E27" s="4" t="n">
        <v>-8.317999999999998</v>
      </c>
      <c r="F27" s="4" t="n">
        <v>-14.311</v>
      </c>
      <c r="G27" s="4" t="n">
        <v>-15.07</v>
      </c>
      <c r="H27" s="4" t="n">
        <v>-17.407</v>
      </c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</row>
    <row r="28">
      <c r="A28" t="inlineStr">
        <is>
          <t>OPEX-Total OpEx</t>
        </is>
      </c>
      <c r="B28" s="72" t="inlineStr">
        <is>
          <t>Total Expenses</t>
        </is>
      </c>
      <c r="C28" s="72" t="inlineStr">
        <is>
          <t>AUDm</t>
        </is>
      </c>
      <c r="D28" s="73">
        <f>SUM(D23:D27)</f>
        <v/>
      </c>
      <c r="E28" s="73">
        <f>SUM(E23:E27)</f>
        <v/>
      </c>
      <c r="F28" s="73">
        <f>SUM(F23:F27)</f>
        <v/>
      </c>
      <c r="G28" s="73">
        <f>SUM(G23:G27)</f>
        <v/>
      </c>
      <c r="H28" s="73">
        <f>SUM(H23:H27)</f>
        <v/>
      </c>
      <c r="I28" s="73">
        <f>SUM(I23:I27)</f>
        <v/>
      </c>
      <c r="J28" s="73">
        <f>SUM(J23:J27)</f>
        <v/>
      </c>
      <c r="K28" s="73">
        <f>SUM(K23:K27)</f>
        <v/>
      </c>
      <c r="L28" s="73">
        <f>SUM(L23:L27)</f>
        <v/>
      </c>
      <c r="M28" s="73">
        <f>SUM(M23:M27)</f>
        <v/>
      </c>
      <c r="N28" s="73">
        <f>SUM(N23:N27)</f>
        <v/>
      </c>
      <c r="O28" s="73">
        <f>SUM(O23:O27)</f>
        <v/>
      </c>
      <c r="P28" s="73">
        <f>SUM(P23:P27)</f>
        <v/>
      </c>
      <c r="Q28" s="73">
        <f>SUM(Q23:Q27)</f>
        <v/>
      </c>
      <c r="R28" s="73">
        <f>SUM(R23:R27)</f>
        <v/>
      </c>
      <c r="S28" s="73">
        <f>SUM(S23:S27)</f>
        <v/>
      </c>
      <c r="T28" s="73">
        <f>SUM(T23:T27)</f>
        <v/>
      </c>
      <c r="U28" s="73">
        <f>SUM(U23:U27)</f>
        <v/>
      </c>
      <c r="V28" s="73">
        <f>SUM(V23:V27)</f>
        <v/>
      </c>
      <c r="W28" s="73">
        <f>SUM(W23:W27)</f>
        <v/>
      </c>
      <c r="X28" s="73">
        <f>SUM(X23:X27)</f>
        <v/>
      </c>
      <c r="Y28" s="73">
        <f>SUM(Y23:Y27)</f>
        <v/>
      </c>
      <c r="Z28" s="73">
        <f>SUM(Z23:Z27)</f>
        <v/>
      </c>
      <c r="AA28" s="73">
        <f>SUM(AA23:AA27)</f>
        <v/>
      </c>
      <c r="AB28" s="73" t="n"/>
    </row>
    <row r="29">
      <c r="B29" s="70" t="inlineStr">
        <is>
          <t>Expense Growth (YoY)</t>
        </is>
      </c>
      <c r="C29" t="inlineStr">
        <is>
          <t>% YoY</t>
        </is>
      </c>
      <c r="D29" s="31" t="n"/>
      <c r="E29" s="6" t="n"/>
      <c r="F29" s="31" t="n"/>
      <c r="G29" s="6" t="n"/>
      <c r="H29" s="31" t="n"/>
      <c r="I29" s="6" t="n"/>
      <c r="J29" s="31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4">
        <f>IF(AA33=0,0,AC33*AA29/AA33)</f>
        <v/>
      </c>
    </row>
    <row r="30">
      <c r="B30" s="70" t="n"/>
      <c r="D30" s="19" t="n"/>
      <c r="E30" s="4" t="n"/>
      <c r="F30" s="19" t="n"/>
      <c r="G30" s="4" t="n"/>
      <c r="H30" s="19" t="n"/>
      <c r="I30" s="4" t="n"/>
      <c r="J30" s="19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>
        <f>IF(AA33=0,0,AC33*AA30/AA33)</f>
        <v/>
      </c>
    </row>
    <row r="31">
      <c r="B31" s="69" t="inlineStr">
        <is>
          <t>EBITDA</t>
        </is>
      </c>
      <c r="C31" s="69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  <c r="U31" s="74" t="n"/>
      <c r="V31" s="74" t="n"/>
      <c r="W31" s="74" t="n"/>
      <c r="X31" s="74" t="n"/>
      <c r="Y31" s="74" t="n"/>
      <c r="Z31" s="74" t="n"/>
      <c r="AA31" s="74" t="n"/>
      <c r="AB31" s="74" t="n"/>
      <c r="AC31" s="4">
        <f>IF(AA33=0,0,AC33*AA31/AA33)</f>
        <v/>
      </c>
    </row>
    <row r="32">
      <c r="A32" t="inlineStr">
        <is>
          <t>EBITDA-AU Segment</t>
        </is>
      </c>
      <c r="B32" s="70" t="inlineStr">
        <is>
          <t>AU Segment Underlying EBITDA</t>
        </is>
      </c>
      <c r="C32" t="inlineStr">
        <is>
          <t>AUDm</t>
        </is>
      </c>
      <c r="D32" s="19" t="n">
        <v>24.249</v>
      </c>
      <c r="E32" s="4" t="n">
        <v>23.287</v>
      </c>
      <c r="F32" s="19" t="n">
        <v>31.781</v>
      </c>
      <c r="G32" s="4" t="n">
        <v>34.248</v>
      </c>
      <c r="H32" s="19" t="n">
        <v>41.314</v>
      </c>
      <c r="I32" s="4">
        <f>I117</f>
        <v/>
      </c>
      <c r="J32" s="19">
        <f>J117</f>
        <v/>
      </c>
      <c r="K32" s="4">
        <f>K117</f>
        <v/>
      </c>
      <c r="L32" s="4">
        <f>L117</f>
        <v/>
      </c>
      <c r="M32" s="4">
        <f>M117</f>
        <v/>
      </c>
      <c r="N32" s="4">
        <f>N117</f>
        <v/>
      </c>
      <c r="O32" s="4">
        <f>O117</f>
        <v/>
      </c>
      <c r="P32" s="4">
        <f>P117</f>
        <v/>
      </c>
      <c r="Q32" s="4">
        <f>Q117</f>
        <v/>
      </c>
      <c r="R32" s="4">
        <f>R117</f>
        <v/>
      </c>
      <c r="S32" s="4">
        <f>S117</f>
        <v/>
      </c>
      <c r="T32" s="4">
        <f>T117</f>
        <v/>
      </c>
      <c r="U32" s="4">
        <f>U117</f>
        <v/>
      </c>
      <c r="V32" s="4">
        <f>V117</f>
        <v/>
      </c>
      <c r="W32" s="4">
        <f>W117</f>
        <v/>
      </c>
      <c r="X32" s="4">
        <f>X117</f>
        <v/>
      </c>
      <c r="Y32" s="4">
        <f>Y117</f>
        <v/>
      </c>
      <c r="Z32" s="4">
        <f>Z117</f>
        <v/>
      </c>
      <c r="AA32" s="4">
        <f>AA117</f>
        <v/>
      </c>
      <c r="AB32" s="4" t="n"/>
      <c r="AC32" s="4">
        <f>IF(AA33=0,0,AC33*AA32/AA33)</f>
        <v/>
      </c>
    </row>
    <row r="33">
      <c r="A33" t="inlineStr">
        <is>
          <t>EBITDA-US Segment</t>
        </is>
      </c>
      <c r="B33" s="71" t="inlineStr">
        <is>
          <t>US Segment Underlying EBITDA</t>
        </is>
      </c>
      <c r="C33" s="20" t="inlineStr">
        <is>
          <t>AUDm</t>
        </is>
      </c>
      <c r="D33" s="21" t="n">
        <v>-3.095</v>
      </c>
      <c r="E33" s="21" t="n">
        <v>-3.448999999999999</v>
      </c>
      <c r="F33" s="21" t="n">
        <v>-5.014</v>
      </c>
      <c r="G33" s="21" t="n">
        <v>-8.209</v>
      </c>
      <c r="H33" s="21" t="n">
        <v>-8.308</v>
      </c>
      <c r="I33" s="21">
        <f>I130</f>
        <v/>
      </c>
      <c r="J33" s="21">
        <f>J130</f>
        <v/>
      </c>
      <c r="K33" s="21">
        <f>K130</f>
        <v/>
      </c>
      <c r="L33" s="21">
        <f>L130</f>
        <v/>
      </c>
      <c r="M33" s="21">
        <f>M130</f>
        <v/>
      </c>
      <c r="N33" s="21">
        <f>N130</f>
        <v/>
      </c>
      <c r="O33" s="21">
        <f>O130</f>
        <v/>
      </c>
      <c r="P33" s="21">
        <f>P130</f>
        <v/>
      </c>
      <c r="Q33" s="21">
        <f>Q130</f>
        <v/>
      </c>
      <c r="R33" s="21">
        <f>R130</f>
        <v/>
      </c>
      <c r="S33" s="21">
        <f>S130</f>
        <v/>
      </c>
      <c r="T33" s="21">
        <f>T130</f>
        <v/>
      </c>
      <c r="U33" s="21">
        <f>U130</f>
        <v/>
      </c>
      <c r="V33" s="21">
        <f>V130</f>
        <v/>
      </c>
      <c r="W33" s="21">
        <f>W130</f>
        <v/>
      </c>
      <c r="X33" s="21">
        <f>X130</f>
        <v/>
      </c>
      <c r="Y33" s="21">
        <f>Y130</f>
        <v/>
      </c>
      <c r="Z33" s="21">
        <f>Z130</f>
        <v/>
      </c>
      <c r="AA33" s="21">
        <f>AA130</f>
        <v/>
      </c>
      <c r="AB33" s="21" t="n"/>
      <c r="AC33" s="21">
        <f>AC42-AC22</f>
        <v/>
      </c>
    </row>
    <row r="34">
      <c r="B34" s="70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>
        <f>IF(AA33=0,"",AC33/AA33-1)</f>
        <v/>
      </c>
    </row>
    <row r="35">
      <c r="B35" s="70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>
        <f>IF(AC22=0,"",-AC33/AC22)</f>
        <v/>
      </c>
    </row>
    <row r="36">
      <c r="B36" s="70" t="n"/>
    </row>
    <row r="37">
      <c r="B37" s="70" t="n"/>
    </row>
    <row r="38">
      <c r="B38" s="70" t="n"/>
      <c r="D38" s="19" t="n"/>
      <c r="E38" s="4" t="n"/>
      <c r="F38" s="19" t="n"/>
      <c r="G38" s="4" t="n"/>
      <c r="H38" s="19" t="n"/>
      <c r="I38" s="4" t="n"/>
      <c r="J38" s="19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>
        <f>AC103</f>
        <v/>
      </c>
    </row>
    <row r="39">
      <c r="B39" s="70" t="n"/>
      <c r="D39" s="19" t="n"/>
      <c r="E39" s="4" t="n"/>
      <c r="F39" s="19" t="n"/>
      <c r="G39" s="4" t="n"/>
      <c r="H39" s="19" t="n"/>
      <c r="I39" s="4" t="n"/>
      <c r="J39" s="19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>
        <f>AC116</f>
        <v/>
      </c>
    </row>
    <row r="40">
      <c r="B40" s="70" t="n"/>
      <c r="D40" s="19" t="n"/>
      <c r="E40" s="4" t="n"/>
      <c r="F40" s="19" t="n"/>
      <c r="G40" s="4" t="n"/>
      <c r="H40" s="19" t="n"/>
      <c r="I40" s="4" t="n"/>
      <c r="J40" s="19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>
        <f>-AC9*AC41</f>
        <v/>
      </c>
    </row>
    <row r="41">
      <c r="B41" s="70" t="n"/>
      <c r="D41" s="6" t="n"/>
      <c r="E41" s="6" t="n"/>
      <c r="F41" s="6" t="n"/>
      <c r="G41" s="6" t="n"/>
      <c r="H41" s="6" t="n"/>
      <c r="I41" s="6" t="n"/>
      <c r="J41" s="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>
        <f>AA41</f>
        <v/>
      </c>
    </row>
    <row r="42">
      <c r="A42" t="inlineStr">
        <is>
          <t>EBITDA-Underlying EBITDA</t>
        </is>
      </c>
      <c r="B42" s="72" t="inlineStr">
        <is>
          <t>Group Segment Underlying EBITDA</t>
        </is>
      </c>
      <c r="C42" s="72" t="inlineStr">
        <is>
          <t>AUDm</t>
        </is>
      </c>
      <c r="D42" s="73">
        <f>D32+D33</f>
        <v/>
      </c>
      <c r="E42" s="73">
        <f>E32+E33</f>
        <v/>
      </c>
      <c r="F42" s="73">
        <f>F32+F33</f>
        <v/>
      </c>
      <c r="G42" s="73">
        <f>G32+G33</f>
        <v/>
      </c>
      <c r="H42" s="73">
        <f>H32+H33</f>
        <v/>
      </c>
      <c r="I42" s="73">
        <f>I32+I33</f>
        <v/>
      </c>
      <c r="J42" s="73">
        <f>J32+J33</f>
        <v/>
      </c>
      <c r="K42" s="73">
        <f>K32+K33</f>
        <v/>
      </c>
      <c r="L42" s="73">
        <f>L32+L33</f>
        <v/>
      </c>
      <c r="M42" s="73">
        <f>M32+M33</f>
        <v/>
      </c>
      <c r="N42" s="73">
        <f>N32+N33</f>
        <v/>
      </c>
      <c r="O42" s="73">
        <f>O32+O33</f>
        <v/>
      </c>
      <c r="P42" s="73">
        <f>P32+P33</f>
        <v/>
      </c>
      <c r="Q42" s="73">
        <f>Q32+Q33</f>
        <v/>
      </c>
      <c r="R42" s="73">
        <f>R32+R33</f>
        <v/>
      </c>
      <c r="S42" s="73">
        <f>S32+S33</f>
        <v/>
      </c>
      <c r="T42" s="73">
        <f>T32+T33</f>
        <v/>
      </c>
      <c r="U42" s="73">
        <f>U32+U33</f>
        <v/>
      </c>
      <c r="V42" s="73">
        <f>V32+V33</f>
        <v/>
      </c>
      <c r="W42" s="73">
        <f>W32+W33</f>
        <v/>
      </c>
      <c r="X42" s="73">
        <f>X32+X33</f>
        <v/>
      </c>
      <c r="Y42" s="73">
        <f>Y32+Y33</f>
        <v/>
      </c>
      <c r="Z42" s="73">
        <f>Z32+Z33</f>
        <v/>
      </c>
      <c r="AA42" s="73">
        <f>AA32+AA33</f>
        <v/>
      </c>
      <c r="AB42" s="73" t="n"/>
      <c r="AC42" s="21">
        <f>SUM(AC38:AC40)</f>
        <v/>
      </c>
    </row>
    <row r="43">
      <c r="B43" s="70" t="inlineStr">
        <is>
          <t>EBITDA Growth (YoY)</t>
        </is>
      </c>
      <c r="C43" t="inlineStr">
        <is>
          <t>% YoY</t>
        </is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>
        <f>IF(AA42=0,"",AC42/AA42-1)</f>
        <v/>
      </c>
    </row>
    <row r="44">
      <c r="B44" s="70" t="inlineStr">
        <is>
          <t>EBITDA Margin</t>
        </is>
      </c>
      <c r="C44" t="inlineStr">
        <is>
          <t>%</t>
        </is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>
        <f>IF(AC9=0,"",AC42/AC9)</f>
        <v/>
      </c>
    </row>
    <row r="45">
      <c r="B45" s="70" t="inlineStr">
        <is>
          <t>AU EBITDA Margin (% of AU NS)</t>
        </is>
      </c>
      <c r="C45" t="inlineStr">
        <is>
          <t>%</t>
        </is>
      </c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>
        <f>IF(AC7=0,"",AC38/AC7)</f>
        <v/>
      </c>
    </row>
    <row r="46">
      <c r="B46" s="70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>
        <f>IF(AC8=0,"",AC39/AC8)</f>
        <v/>
      </c>
    </row>
    <row r="48">
      <c r="A48" t="inlineStr">
        <is>
          <t>Stat-Significant Items</t>
        </is>
      </c>
      <c r="B48" t="inlineStr">
        <is>
          <t>SBP, Other Adj &amp; Cash Rent</t>
        </is>
      </c>
      <c r="C48" t="inlineStr">
        <is>
          <t>AUDm</t>
        </is>
      </c>
      <c r="D48" s="19" t="n">
        <v>-2.25</v>
      </c>
      <c r="E48" s="4" t="n">
        <v>-11.468</v>
      </c>
      <c r="F48" s="19" t="n">
        <v>4.811</v>
      </c>
      <c r="G48" s="4" t="n">
        <v>7.502</v>
      </c>
      <c r="H48" s="19" t="n">
        <v>7.932</v>
      </c>
      <c r="I48" s="4">
        <f>INDEX(Annual!$A:$R,MATCH($A48,Annual!$A:$A,0),MATCH(I$1,Annual!$A$1:$R$1,0))-H48</f>
        <v/>
      </c>
      <c r="J48" s="19" t="n">
        <v>-1</v>
      </c>
      <c r="K48" s="4">
        <f>0</f>
        <v/>
      </c>
      <c r="L48" s="4">
        <f>0</f>
        <v/>
      </c>
      <c r="M48" s="4">
        <f>0</f>
        <v/>
      </c>
      <c r="N48" s="4">
        <f>0</f>
        <v/>
      </c>
      <c r="O48" s="4">
        <f>0</f>
        <v/>
      </c>
      <c r="P48" s="4">
        <f>0</f>
        <v/>
      </c>
      <c r="Q48" s="4">
        <f>0</f>
        <v/>
      </c>
      <c r="R48" s="4">
        <f>0</f>
        <v/>
      </c>
      <c r="S48" s="4">
        <f>0</f>
        <v/>
      </c>
      <c r="T48" s="4">
        <f>0</f>
        <v/>
      </c>
      <c r="U48" s="4">
        <f>0</f>
        <v/>
      </c>
      <c r="V48" s="4">
        <f>0</f>
        <v/>
      </c>
      <c r="W48" s="4">
        <f>0</f>
        <v/>
      </c>
      <c r="X48" s="4">
        <f>0</f>
        <v/>
      </c>
      <c r="Y48" s="4">
        <f>0</f>
        <v/>
      </c>
      <c r="Z48" s="4">
        <f>0</f>
        <v/>
      </c>
      <c r="AA48" s="4">
        <f>0</f>
        <v/>
      </c>
      <c r="AB48" s="4">
        <f>0</f>
        <v/>
      </c>
      <c r="AC48" s="4">
        <f>0</f>
        <v/>
      </c>
    </row>
    <row r="49">
      <c r="A49" t="inlineStr">
        <is>
          <t>Stat-Statutory EBITDA</t>
        </is>
      </c>
      <c r="B49" s="20" t="inlineStr">
        <is>
          <t>Statutory EBITDA</t>
        </is>
      </c>
      <c r="C49" s="20" t="inlineStr">
        <is>
          <t>AUDm</t>
        </is>
      </c>
      <c r="D49" s="21">
        <f>D42+D48</f>
        <v/>
      </c>
      <c r="E49" s="21">
        <f>E42+E48</f>
        <v/>
      </c>
      <c r="F49" s="21">
        <f>F42+F48</f>
        <v/>
      </c>
      <c r="G49" s="21">
        <f>G42+G48</f>
        <v/>
      </c>
      <c r="H49" s="21">
        <f>H42+H48</f>
        <v/>
      </c>
      <c r="I49" s="21">
        <f>I42+I48</f>
        <v/>
      </c>
      <c r="J49" s="21">
        <f>J42+J48</f>
        <v/>
      </c>
      <c r="K49" s="21">
        <f>K42+K48</f>
        <v/>
      </c>
      <c r="L49" s="21">
        <f>L42+L48</f>
        <v/>
      </c>
      <c r="M49" s="21">
        <f>M42+M48</f>
        <v/>
      </c>
      <c r="N49" s="21">
        <f>N42+N48</f>
        <v/>
      </c>
      <c r="O49" s="21">
        <f>O42+O48</f>
        <v/>
      </c>
      <c r="P49" s="21">
        <f>P42+P48</f>
        <v/>
      </c>
      <c r="Q49" s="21">
        <f>Q42+Q48</f>
        <v/>
      </c>
      <c r="R49" s="21">
        <f>R42+R48</f>
        <v/>
      </c>
      <c r="S49" s="21">
        <f>S42+S48</f>
        <v/>
      </c>
      <c r="T49" s="21">
        <f>T42+T48</f>
        <v/>
      </c>
      <c r="U49" s="21">
        <f>U42+U48</f>
        <v/>
      </c>
      <c r="V49" s="21">
        <f>V42+V48</f>
        <v/>
      </c>
      <c r="W49" s="21">
        <f>W42+W48</f>
        <v/>
      </c>
      <c r="X49" s="21">
        <f>X42+X48</f>
        <v/>
      </c>
      <c r="Y49" s="21">
        <f>Y42+Y48</f>
        <v/>
      </c>
      <c r="Z49" s="21">
        <f>Z42+Z48</f>
        <v/>
      </c>
      <c r="AA49" s="21">
        <f>AA42+AA48</f>
        <v/>
      </c>
      <c r="AB49" s="21">
        <f>AB42+AB48</f>
        <v/>
      </c>
      <c r="AC49" s="21">
        <f>AC42+AC48</f>
        <v/>
      </c>
    </row>
    <row r="51">
      <c r="B51" s="5" t="inlineStr">
        <is>
          <t>D&amp;A</t>
        </is>
      </c>
    </row>
    <row r="52">
      <c r="A52" t="inlineStr">
        <is>
          <t>DA-Depreciation PPE</t>
        </is>
      </c>
      <c r="B52" t="inlineStr">
        <is>
          <t>PPE Depr &amp; Intangible Amort</t>
        </is>
      </c>
      <c r="C52" t="inlineStr">
        <is>
          <t>AUDm</t>
        </is>
      </c>
      <c r="D52" s="46" t="n">
        <v>-9.576000000000001</v>
      </c>
      <c r="E52" s="4" t="n">
        <v>-10.3</v>
      </c>
      <c r="F52" s="46" t="n">
        <v>-11.337</v>
      </c>
      <c r="G52" s="4" t="n">
        <v>-14.47</v>
      </c>
      <c r="H52" s="46" t="n">
        <v>-13.11</v>
      </c>
      <c r="I52" s="4">
        <f>INDEX(Annual!$A:$R,MATCH($A52,Annual!$A:$A,0),MATCH(I$1,Annual!$A$1:$R$1,0))-H52</f>
        <v/>
      </c>
      <c r="J52" s="54">
        <f>Inputs!G10</f>
        <v/>
      </c>
      <c r="K52" s="4">
        <f>IF(I54=0,0,K54*I52/I54)</f>
        <v/>
      </c>
      <c r="L52" s="4">
        <f>IF(J54=0,0,L54*J52/J54)</f>
        <v/>
      </c>
      <c r="M52" s="4">
        <f>IF(K54=0,0,M54*K52/K54)</f>
        <v/>
      </c>
      <c r="N52" s="4">
        <f>IF(L54=0,0,N54*L52/L54)</f>
        <v/>
      </c>
      <c r="O52" s="4">
        <f>IF(M54=0,0,O54*M52/M54)</f>
        <v/>
      </c>
      <c r="P52" s="4">
        <f>IF(N54=0,0,P54*N52/N54)</f>
        <v/>
      </c>
      <c r="Q52" s="4">
        <f>IF(O54=0,0,Q54*O52/O54)</f>
        <v/>
      </c>
      <c r="R52" s="4">
        <f>IF(P54=0,0,R54*P52/P54)</f>
        <v/>
      </c>
      <c r="S52" s="4">
        <f>IF(Q54=0,0,S54*Q52/Q54)</f>
        <v/>
      </c>
      <c r="T52" s="4">
        <f>IF(R54=0,0,T54*R52/R54)</f>
        <v/>
      </c>
      <c r="U52" s="4">
        <f>IF(S54=0,0,U54*S52/S54)</f>
        <v/>
      </c>
      <c r="V52" s="4">
        <f>IF(T54=0,0,V54*T52/T54)</f>
        <v/>
      </c>
      <c r="W52" s="4">
        <f>IF(U54=0,0,W54*U52/U54)</f>
        <v/>
      </c>
      <c r="X52" s="4">
        <f>IF(V54=0,0,X54*V52/V54)</f>
        <v/>
      </c>
      <c r="Y52" s="4">
        <f>IF(W54=0,0,Y54*W52/W54)</f>
        <v/>
      </c>
      <c r="Z52" s="4">
        <f>IF(X54=0,0,Z54*X52/X54)</f>
        <v/>
      </c>
      <c r="AA52" s="4">
        <f>IF(Y54=0,0,AA54*Y52/Y54)</f>
        <v/>
      </c>
      <c r="AB52" s="4">
        <f>IF(Z54=0,0,AB54*Z52/Z54)</f>
        <v/>
      </c>
      <c r="AC52" s="4">
        <f>IF(AA54=0,0,AC54*AA52/AA54)</f>
        <v/>
      </c>
    </row>
    <row r="53">
      <c r="A53" t="inlineStr">
        <is>
          <t>DA-ROU Amortisation</t>
        </is>
      </c>
      <c r="B53" t="inlineStr">
        <is>
          <t>ROU Asset Depreciation</t>
        </is>
      </c>
      <c r="C53" t="inlineStr">
        <is>
          <t>AUDm</t>
        </is>
      </c>
      <c r="D53" s="19" t="n">
        <v>-6.324</v>
      </c>
      <c r="E53" s="4" t="n">
        <v>-4.923</v>
      </c>
      <c r="F53" s="19" t="n">
        <v>-7.743</v>
      </c>
      <c r="G53" s="4" t="n">
        <v>-6.131</v>
      </c>
      <c r="H53" s="19" t="n">
        <v>-8.071</v>
      </c>
      <c r="I53" s="4">
        <f>INDEX(Annual!$A:$R,MATCH($A53,Annual!$A:$A,0),MATCH(I$1,Annual!$A$1:$R$1,0))-H53</f>
        <v/>
      </c>
      <c r="J53" s="19" t="n">
        <v>-17.8</v>
      </c>
      <c r="K53" s="4">
        <f>K54-K52</f>
        <v/>
      </c>
      <c r="L53" s="4">
        <f>L54-L52</f>
        <v/>
      </c>
      <c r="M53" s="4">
        <f>M54-M52</f>
        <v/>
      </c>
      <c r="N53" s="4">
        <f>N54-N52</f>
        <v/>
      </c>
      <c r="O53" s="4">
        <f>O54-O52</f>
        <v/>
      </c>
      <c r="P53" s="4">
        <f>P54-P52</f>
        <v/>
      </c>
      <c r="Q53" s="4">
        <f>Q54-Q52</f>
        <v/>
      </c>
      <c r="R53" s="4">
        <f>R54-R52</f>
        <v/>
      </c>
      <c r="S53" s="4">
        <f>S54-S52</f>
        <v/>
      </c>
      <c r="T53" s="4">
        <f>T54-T52</f>
        <v/>
      </c>
      <c r="U53" s="4">
        <f>U54-U52</f>
        <v/>
      </c>
      <c r="V53" s="4">
        <f>V54-V52</f>
        <v/>
      </c>
      <c r="W53" s="4">
        <f>W54-W52</f>
        <v/>
      </c>
      <c r="X53" s="4">
        <f>X54-X52</f>
        <v/>
      </c>
      <c r="Y53" s="4">
        <f>Y54-Y52</f>
        <v/>
      </c>
      <c r="Z53" s="4">
        <f>Z54-Z52</f>
        <v/>
      </c>
      <c r="AA53" s="4">
        <f>AA54-AA52</f>
        <v/>
      </c>
      <c r="AB53" s="4">
        <f>AB54-AB52</f>
        <v/>
      </c>
      <c r="AC53" s="4">
        <f>AC54-AC52</f>
        <v/>
      </c>
    </row>
    <row r="54">
      <c r="A54" t="inlineStr">
        <is>
          <t>DA-Total DA</t>
        </is>
      </c>
      <c r="B54" s="20" t="inlineStr">
        <is>
          <t>Total D&amp;A</t>
        </is>
      </c>
      <c r="C54" s="20" t="inlineStr">
        <is>
          <t>AUDm</t>
        </is>
      </c>
      <c r="D54" s="21">
        <f>D52+D53</f>
        <v/>
      </c>
      <c r="E54" s="21">
        <f>E52+E53</f>
        <v/>
      </c>
      <c r="F54" s="21">
        <f>F52+F53</f>
        <v/>
      </c>
      <c r="G54" s="21">
        <f>G52+G53</f>
        <v/>
      </c>
      <c r="H54" s="21">
        <f>H52+H53</f>
        <v/>
      </c>
      <c r="I54" s="21">
        <f>I52+I53</f>
        <v/>
      </c>
      <c r="J54" s="21">
        <f>J52+J53</f>
        <v/>
      </c>
      <c r="K54" s="21">
        <f>K52+K53</f>
        <v/>
      </c>
      <c r="L54" s="21">
        <f>L52+L53</f>
        <v/>
      </c>
      <c r="M54" s="21">
        <f>M52+M53</f>
        <v/>
      </c>
      <c r="N54" s="21">
        <f>N52+N53</f>
        <v/>
      </c>
      <c r="O54" s="21">
        <f>O52+O53</f>
        <v/>
      </c>
      <c r="P54" s="21">
        <f>P52+P53</f>
        <v/>
      </c>
      <c r="Q54" s="21">
        <f>Q52+Q53</f>
        <v/>
      </c>
      <c r="R54" s="21">
        <f>R52+R53</f>
        <v/>
      </c>
      <c r="S54" s="21">
        <f>S52+S53</f>
        <v/>
      </c>
      <c r="T54" s="21">
        <f>T52+T53</f>
        <v/>
      </c>
      <c r="U54" s="21">
        <f>U52+U53</f>
        <v/>
      </c>
      <c r="V54" s="21">
        <f>V52+V53</f>
        <v/>
      </c>
      <c r="W54" s="21">
        <f>W52+W53</f>
        <v/>
      </c>
      <c r="X54" s="21">
        <f>X52+X53</f>
        <v/>
      </c>
      <c r="Y54" s="21">
        <f>Y52+Y53</f>
        <v/>
      </c>
      <c r="Z54" s="21">
        <f>Z52+Z53</f>
        <v/>
      </c>
      <c r="AA54" s="21">
        <f>AA52+AA53</f>
        <v/>
      </c>
      <c r="AB54" s="21">
        <f>-AB9*AB55</f>
        <v/>
      </c>
      <c r="AC54" s="21">
        <f>-AC9*AC55</f>
        <v/>
      </c>
    </row>
    <row r="55">
      <c r="B55" s="25" t="inlineStr">
        <is>
          <t>D&amp;A / Revenue</t>
        </is>
      </c>
      <c r="C55" t="inlineStr">
        <is>
          <t>%</t>
        </is>
      </c>
      <c r="D55" s="6">
        <f>IF(D9=0,"",-D54/D9)</f>
        <v/>
      </c>
      <c r="E55" s="6">
        <f>IF(E9=0,"",-E54/E9)</f>
        <v/>
      </c>
      <c r="F55" s="6">
        <f>IF(F9=0,"",-F54/F9)</f>
        <v/>
      </c>
      <c r="G55" s="6">
        <f>IF(G9=0,"",-G54/G9)</f>
        <v/>
      </c>
      <c r="H55" s="6">
        <f>IF(H9=0,"",-H54/H9)</f>
        <v/>
      </c>
      <c r="I55" s="6">
        <f>IF(I9=0,"",-I54/I9)</f>
        <v/>
      </c>
      <c r="J55" s="6">
        <f>IF(J9=0,"",-J54/J9)</f>
        <v/>
      </c>
      <c r="K55" s="26">
        <f>I55</f>
        <v/>
      </c>
      <c r="L55" s="26">
        <f>J55</f>
        <v/>
      </c>
      <c r="M55" s="26">
        <f>K55</f>
        <v/>
      </c>
      <c r="N55" s="26">
        <f>L55</f>
        <v/>
      </c>
      <c r="O55" s="26">
        <f>M55</f>
        <v/>
      </c>
      <c r="P55" s="26">
        <f>N55</f>
        <v/>
      </c>
      <c r="Q55" s="26">
        <f>O55</f>
        <v/>
      </c>
      <c r="R55" s="26">
        <f>P55</f>
        <v/>
      </c>
      <c r="S55" s="26">
        <f>Q55</f>
        <v/>
      </c>
      <c r="T55" s="26">
        <f>R55</f>
        <v/>
      </c>
      <c r="U55" s="26">
        <f>S55</f>
        <v/>
      </c>
      <c r="V55" s="26">
        <f>T55</f>
        <v/>
      </c>
      <c r="W55" s="26">
        <f>U55</f>
        <v/>
      </c>
      <c r="X55" s="26">
        <f>V55</f>
        <v/>
      </c>
      <c r="Y55" s="26">
        <f>W55</f>
        <v/>
      </c>
      <c r="Z55" s="26">
        <f>X55</f>
        <v/>
      </c>
      <c r="AA55" s="26">
        <f>Y55</f>
        <v/>
      </c>
      <c r="AB55" s="26">
        <f>Z55</f>
        <v/>
      </c>
      <c r="AC55" s="26">
        <f>AA55</f>
        <v/>
      </c>
    </row>
    <row r="57">
      <c r="B57" s="5" t="inlineStr">
        <is>
          <t>EBIT</t>
        </is>
      </c>
    </row>
    <row r="58">
      <c r="A58" t="inlineStr">
        <is>
          <t>EBIT-Underlying EBIT</t>
        </is>
      </c>
      <c r="B58" s="20" t="inlineStr">
        <is>
          <t>Underlying EBIT</t>
        </is>
      </c>
      <c r="C58" s="20" t="inlineStr">
        <is>
          <t>AUDm</t>
        </is>
      </c>
      <c r="D58" s="21">
        <f>D42+D54</f>
        <v/>
      </c>
      <c r="E58" s="21">
        <f>E42+E54</f>
        <v/>
      </c>
      <c r="F58" s="21">
        <f>F42+F54</f>
        <v/>
      </c>
      <c r="G58" s="21">
        <f>G42+G54</f>
        <v/>
      </c>
      <c r="H58" s="21">
        <f>H42+H54</f>
        <v/>
      </c>
      <c r="I58" s="21">
        <f>I42+I54</f>
        <v/>
      </c>
      <c r="J58" s="21">
        <f>J42+J54</f>
        <v/>
      </c>
      <c r="K58" s="21">
        <f>K42+K54</f>
        <v/>
      </c>
      <c r="L58" s="21">
        <f>L42+L54</f>
        <v/>
      </c>
      <c r="M58" s="21">
        <f>M42+M54</f>
        <v/>
      </c>
      <c r="N58" s="21">
        <f>N42+N54</f>
        <v/>
      </c>
      <c r="O58" s="21">
        <f>O42+O54</f>
        <v/>
      </c>
      <c r="P58" s="21">
        <f>P42+P54</f>
        <v/>
      </c>
      <c r="Q58" s="21">
        <f>Q42+Q54</f>
        <v/>
      </c>
      <c r="R58" s="21">
        <f>R42+R54</f>
        <v/>
      </c>
      <c r="S58" s="21">
        <f>S42+S54</f>
        <v/>
      </c>
      <c r="T58" s="21">
        <f>T42+T54</f>
        <v/>
      </c>
      <c r="U58" s="21">
        <f>U42+U54</f>
        <v/>
      </c>
      <c r="V58" s="21">
        <f>V42+V54</f>
        <v/>
      </c>
      <c r="W58" s="21">
        <f>W42+W54</f>
        <v/>
      </c>
      <c r="X58" s="21">
        <f>X42+X54</f>
        <v/>
      </c>
      <c r="Y58" s="21">
        <f>Y42+Y54</f>
        <v/>
      </c>
      <c r="Z58" s="21">
        <f>Z42+Z54</f>
        <v/>
      </c>
      <c r="AA58" s="21">
        <f>AA42+AA54</f>
        <v/>
      </c>
      <c r="AB58" s="21">
        <f>AB42+AB54</f>
        <v/>
      </c>
      <c r="AC58" s="21">
        <f>AC42+AC54</f>
        <v/>
      </c>
    </row>
    <row r="59">
      <c r="B59" t="inlineStr">
        <is>
          <t>EBIT Growth (YoY)</t>
        </is>
      </c>
      <c r="C59" t="inlineStr">
        <is>
          <t>% YoY</t>
        </is>
      </c>
      <c r="D59" s="6" t="n"/>
      <c r="E59" s="6" t="n"/>
      <c r="F59" s="6">
        <f>IF(D58=0,"",F58/D58-1)</f>
        <v/>
      </c>
      <c r="G59" s="6">
        <f>IF(E58=0,"",G58/E58-1)</f>
        <v/>
      </c>
      <c r="H59" s="6">
        <f>IF(F58=0,"",H58/F58-1)</f>
        <v/>
      </c>
      <c r="I59" s="6">
        <f>IF(G58=0,"",I58/G58-1)</f>
        <v/>
      </c>
      <c r="J59" s="6">
        <f>IF(H58=0,"",J58/H58-1)</f>
        <v/>
      </c>
      <c r="K59" s="6">
        <f>IF(I58=0,"",K58/I58-1)</f>
        <v/>
      </c>
      <c r="L59" s="6">
        <f>IF(J58=0,"",L58/J58-1)</f>
        <v/>
      </c>
      <c r="M59" s="6">
        <f>IF(K58=0,"",M58/K58-1)</f>
        <v/>
      </c>
      <c r="N59" s="6">
        <f>IF(L58=0,"",N58/L58-1)</f>
        <v/>
      </c>
      <c r="O59" s="6">
        <f>IF(M58=0,"",O58/M58-1)</f>
        <v/>
      </c>
      <c r="P59" s="6">
        <f>IF(N58=0,"",P58/N58-1)</f>
        <v/>
      </c>
      <c r="Q59" s="6">
        <f>IF(O58=0,"",Q58/O58-1)</f>
        <v/>
      </c>
      <c r="R59" s="6">
        <f>IF(P58=0,"",R58/P58-1)</f>
        <v/>
      </c>
      <c r="S59" s="6">
        <f>IF(Q58=0,"",S58/Q58-1)</f>
        <v/>
      </c>
      <c r="T59" s="6">
        <f>IF(R58=0,"",T58/R58-1)</f>
        <v/>
      </c>
      <c r="U59" s="6">
        <f>IF(S58=0,"",U58/S58-1)</f>
        <v/>
      </c>
      <c r="V59" s="6">
        <f>IF(T58=0,"",V58/T58-1)</f>
        <v/>
      </c>
      <c r="W59" s="6">
        <f>IF(U58=0,"",W58/U58-1)</f>
        <v/>
      </c>
      <c r="X59" s="6">
        <f>IF(V58=0,"",X58/V58-1)</f>
        <v/>
      </c>
      <c r="Y59" s="6">
        <f>IF(W58=0,"",Y58/W58-1)</f>
        <v/>
      </c>
      <c r="Z59" s="6">
        <f>IF(X58=0,"",Z58/X58-1)</f>
        <v/>
      </c>
      <c r="AA59" s="6">
        <f>IF(Y58=0,"",AA58/Y58-1)</f>
        <v/>
      </c>
      <c r="AB59" s="6">
        <f>IF(Z58=0,"",AB58/Z58-1)</f>
        <v/>
      </c>
      <c r="AC59" s="6">
        <f>IF(AA58=0,"",AC58/AA58-1)</f>
        <v/>
      </c>
    </row>
    <row r="60">
      <c r="B60" t="inlineStr">
        <is>
          <t>EBIT Margin</t>
        </is>
      </c>
      <c r="C60" t="inlineStr">
        <is>
          <t>%</t>
        </is>
      </c>
      <c r="D60" s="6">
        <f>IF(D9=0,"",D58/D9)</f>
        <v/>
      </c>
      <c r="E60" s="6">
        <f>IF(E9=0,"",E58/E9)</f>
        <v/>
      </c>
      <c r="F60" s="6">
        <f>IF(F9=0,"",F58/F9)</f>
        <v/>
      </c>
      <c r="G60" s="6">
        <f>IF(G9=0,"",G58/G9)</f>
        <v/>
      </c>
      <c r="H60" s="6">
        <f>IF(H9=0,"",H58/H9)</f>
        <v/>
      </c>
      <c r="I60" s="6">
        <f>IF(I9=0,"",I58/I9)</f>
        <v/>
      </c>
      <c r="J60" s="6">
        <f>IF(J9=0,"",J58/J9)</f>
        <v/>
      </c>
      <c r="K60" s="6">
        <f>IF(K9=0,"",K58/K9)</f>
        <v/>
      </c>
      <c r="L60" s="6">
        <f>IF(L9=0,"",L58/L9)</f>
        <v/>
      </c>
      <c r="M60" s="6">
        <f>IF(M9=0,"",M58/M9)</f>
        <v/>
      </c>
      <c r="N60" s="6">
        <f>IF(N9=0,"",N58/N9)</f>
        <v/>
      </c>
      <c r="O60" s="6">
        <f>IF(O9=0,"",O58/O9)</f>
        <v/>
      </c>
      <c r="P60" s="6">
        <f>IF(P9=0,"",P58/P9)</f>
        <v/>
      </c>
      <c r="Q60" s="6">
        <f>IF(Q9=0,"",Q58/Q9)</f>
        <v/>
      </c>
      <c r="R60" s="6">
        <f>IF(R9=0,"",R58/R9)</f>
        <v/>
      </c>
      <c r="S60" s="6">
        <f>IF(S9=0,"",S58/S9)</f>
        <v/>
      </c>
      <c r="T60" s="6">
        <f>IF(T9=0,"",T58/T9)</f>
        <v/>
      </c>
      <c r="U60" s="6">
        <f>IF(U9=0,"",U58/U9)</f>
        <v/>
      </c>
      <c r="V60" s="6">
        <f>IF(V9=0,"",V58/V9)</f>
        <v/>
      </c>
      <c r="W60" s="6">
        <f>IF(W9=0,"",W58/W9)</f>
        <v/>
      </c>
      <c r="X60" s="6">
        <f>IF(X9=0,"",X58/X9)</f>
        <v/>
      </c>
      <c r="Y60" s="6">
        <f>IF(Y9=0,"",Y58/Y9)</f>
        <v/>
      </c>
      <c r="Z60" s="6">
        <f>IF(Z9=0,"",Z58/Z9)</f>
        <v/>
      </c>
      <c r="AA60" s="6">
        <f>IF(AA9=0,"",AA58/AA9)</f>
        <v/>
      </c>
      <c r="AB60" s="6">
        <f>IF(AB9=0,"",AB58/AB9)</f>
        <v/>
      </c>
      <c r="AC60" s="6">
        <f>IF(AC9=0,"",AC58/AC9)</f>
        <v/>
      </c>
    </row>
    <row r="62">
      <c r="B62" s="5" t="inlineStr">
        <is>
          <t>Interest</t>
        </is>
      </c>
    </row>
    <row r="63">
      <c r="A63" t="inlineStr">
        <is>
          <t>Int-Interest Income</t>
        </is>
      </c>
      <c r="B63" t="inlineStr">
        <is>
          <t>Finance Income</t>
        </is>
      </c>
      <c r="C63" t="inlineStr">
        <is>
          <t>AUDm</t>
        </is>
      </c>
      <c r="D63" s="19" t="n">
        <v>2.327</v>
      </c>
      <c r="E63" s="4" t="n">
        <v>3.685</v>
      </c>
      <c r="F63" s="19" t="n">
        <v>11.445</v>
      </c>
      <c r="G63" s="4" t="n">
        <v>11.229</v>
      </c>
      <c r="H63" s="19" t="n">
        <v>11.432</v>
      </c>
      <c r="I63" s="4">
        <f>INDEX(Annual!$A:$R,MATCH($A63,Annual!$A:$A,0),MATCH(I$1,Annual!$A$1:$R$1,0))-H63</f>
        <v/>
      </c>
      <c r="J63" s="19" t="n">
        <v>1.2</v>
      </c>
      <c r="K63" s="4">
        <f>INDEX(Annual!$110:$110,MATCH(K$1-1,Annual!$1:$1,0))*K67-J63</f>
        <v/>
      </c>
      <c r="L63" s="4">
        <f>INDEX(Annual!$110:$110,MATCH(L$1-1,Annual!$1:$1,0))*L67/2</f>
        <v/>
      </c>
      <c r="M63" s="4">
        <f>INDEX(Annual!$110:$110,MATCH(M$1-1,Annual!$1:$1,0))*M67-L63</f>
        <v/>
      </c>
      <c r="N63" s="4">
        <f>INDEX(Annual!$110:$110,MATCH(N$1-1,Annual!$1:$1,0))*N67/2</f>
        <v/>
      </c>
      <c r="O63" s="4">
        <f>INDEX(Annual!$110:$110,MATCH(O$1-1,Annual!$1:$1,0))*O67-N63</f>
        <v/>
      </c>
      <c r="P63" s="4">
        <f>INDEX(Annual!$110:$110,MATCH(P$1-1,Annual!$1:$1,0))*P67/2</f>
        <v/>
      </c>
      <c r="Q63" s="4">
        <f>INDEX(Annual!$110:$110,MATCH(Q$1-1,Annual!$1:$1,0))*Q67-P63</f>
        <v/>
      </c>
      <c r="R63" s="4">
        <f>INDEX(Annual!$110:$110,MATCH(R$1-1,Annual!$1:$1,0))*R67/2</f>
        <v/>
      </c>
      <c r="S63" s="4">
        <f>INDEX(Annual!$110:$110,MATCH(S$1-1,Annual!$1:$1,0))*S67-R63</f>
        <v/>
      </c>
      <c r="T63" s="4">
        <f>INDEX(Annual!$110:$110,MATCH(T$1-1,Annual!$1:$1,0))*T67/2</f>
        <v/>
      </c>
      <c r="U63" s="4">
        <f>INDEX(Annual!$110:$110,MATCH(U$1-1,Annual!$1:$1,0))*U67-T63</f>
        <v/>
      </c>
      <c r="V63" s="4">
        <f>INDEX(Annual!$110:$110,MATCH(V$1-1,Annual!$1:$1,0))*V67/2</f>
        <v/>
      </c>
      <c r="W63" s="4">
        <f>INDEX(Annual!$110:$110,MATCH(W$1-1,Annual!$1:$1,0))*W67-V63</f>
        <v/>
      </c>
      <c r="X63" s="4">
        <f>INDEX(Annual!$110:$110,MATCH(X$1-1,Annual!$1:$1,0))*X67/2</f>
        <v/>
      </c>
      <c r="Y63" s="4">
        <f>INDEX(Annual!$110:$110,MATCH(Y$1-1,Annual!$1:$1,0))*Y67-X63</f>
        <v/>
      </c>
      <c r="Z63" s="4">
        <f>INDEX(Annual!$110:$110,MATCH(Z$1-1,Annual!$1:$1,0))*Z67/2</f>
        <v/>
      </c>
      <c r="AA63" s="4">
        <f>INDEX(Annual!$110:$110,MATCH(AA$1-1,Annual!$1:$1,0))*AA67-Z63</f>
        <v/>
      </c>
      <c r="AB63" s="4">
        <f>INDEX(Annual!$110:$110,MATCH(AB$1-1,Annual!$1:$1,0))*AB67/2</f>
        <v/>
      </c>
      <c r="AC63" s="4">
        <f>INDEX(Annual!$110:$110,MATCH(AC$1-1,Annual!$1:$1,0))*AC67-AB63</f>
        <v/>
      </c>
    </row>
    <row r="64">
      <c r="A64" t="inlineStr">
        <is>
          <t>Int-Lease Interest</t>
        </is>
      </c>
      <c r="B64" t="inlineStr">
        <is>
          <t>Interest on Lease Liabilities</t>
        </is>
      </c>
      <c r="C64" t="inlineStr">
        <is>
          <t>AUDm</t>
        </is>
      </c>
      <c r="D64" s="46" t="n">
        <v>-6.261</v>
      </c>
      <c r="E64" s="4" t="n">
        <v>-7.133</v>
      </c>
      <c r="F64" s="46" t="n">
        <v>-8.686</v>
      </c>
      <c r="G64" s="4" t="n">
        <v>-10.085</v>
      </c>
      <c r="H64" s="46" t="n">
        <v>-11.946</v>
      </c>
      <c r="I64" s="4">
        <f>INDEX(Annual!$A:$R,MATCH($A64,Annual!$A:$A,0),MATCH(I$1,Annual!$A$1:$R$1,0))-H64</f>
        <v/>
      </c>
      <c r="J64" s="54">
        <f>Inputs!G13</f>
        <v/>
      </c>
      <c r="K64" s="4">
        <f>-INDEX(Annual!$127:$127,MATCH(K$1-1,Annual!$1:$1,0))*K68-J64</f>
        <v/>
      </c>
      <c r="L64" s="4">
        <f>-INDEX(Annual!$127:$127,MATCH(L$1-1,Annual!$1:$1,0))*L68/2</f>
        <v/>
      </c>
      <c r="M64" s="4">
        <f>-INDEX(Annual!$127:$127,MATCH(M$1-1,Annual!$1:$1,0))*M68-L64</f>
        <v/>
      </c>
      <c r="N64" s="4">
        <f>-INDEX(Annual!$127:$127,MATCH(N$1-1,Annual!$1:$1,0))*N68/2</f>
        <v/>
      </c>
      <c r="O64" s="4">
        <f>-INDEX(Annual!$127:$127,MATCH(O$1-1,Annual!$1:$1,0))*O68-N64</f>
        <v/>
      </c>
      <c r="P64" s="4">
        <f>-INDEX(Annual!$127:$127,MATCH(P$1-1,Annual!$1:$1,0))*P68/2</f>
        <v/>
      </c>
      <c r="Q64" s="4">
        <f>-INDEX(Annual!$127:$127,MATCH(Q$1-1,Annual!$1:$1,0))*Q68-P64</f>
        <v/>
      </c>
      <c r="R64" s="4">
        <f>-INDEX(Annual!$127:$127,MATCH(R$1-1,Annual!$1:$1,0))*R68/2</f>
        <v/>
      </c>
      <c r="S64" s="4">
        <f>-INDEX(Annual!$127:$127,MATCH(S$1-1,Annual!$1:$1,0))*S68-R64</f>
        <v/>
      </c>
      <c r="T64" s="4">
        <f>-INDEX(Annual!$127:$127,MATCH(T$1-1,Annual!$1:$1,0))*T68/2</f>
        <v/>
      </c>
      <c r="U64" s="4">
        <f>-INDEX(Annual!$127:$127,MATCH(U$1-1,Annual!$1:$1,0))*U68-T64</f>
        <v/>
      </c>
      <c r="V64" s="4">
        <f>-INDEX(Annual!$127:$127,MATCH(V$1-1,Annual!$1:$1,0))*V68/2</f>
        <v/>
      </c>
      <c r="W64" s="4">
        <f>-INDEX(Annual!$127:$127,MATCH(W$1-1,Annual!$1:$1,0))*W68-V64</f>
        <v/>
      </c>
      <c r="X64" s="4">
        <f>-INDEX(Annual!$127:$127,MATCH(X$1-1,Annual!$1:$1,0))*X68/2</f>
        <v/>
      </c>
      <c r="Y64" s="4">
        <f>-INDEX(Annual!$127:$127,MATCH(Y$1-1,Annual!$1:$1,0))*Y68-X64</f>
        <v/>
      </c>
      <c r="Z64" s="4">
        <f>-INDEX(Annual!$127:$127,MATCH(Z$1-1,Annual!$1:$1,0))*Z68/2</f>
        <v/>
      </c>
      <c r="AA64" s="4">
        <f>-INDEX(Annual!$127:$127,MATCH(AA$1-1,Annual!$1:$1,0))*AA68-Z64</f>
        <v/>
      </c>
      <c r="AB64" s="4">
        <f>-INDEX(Annual!$127:$127,MATCH(AB$1-1,Annual!$1:$1,0))*AB68/2</f>
        <v/>
      </c>
      <c r="AC64" s="4">
        <f>-INDEX(Annual!$127:$127,MATCH(AC$1-1,Annual!$1:$1,0))*AC68-AB64</f>
        <v/>
      </c>
    </row>
    <row r="65">
      <c r="A65" t="inlineStr">
        <is>
          <t>Int-Bank Interest</t>
        </is>
      </c>
      <c r="B65" t="inlineStr">
        <is>
          <t>Other Finance Costs</t>
        </is>
      </c>
      <c r="C65" t="inlineStr">
        <is>
          <t>AUDm</t>
        </is>
      </c>
      <c r="D65" s="46" t="n">
        <v>-0.149</v>
      </c>
      <c r="E65" s="4" t="n">
        <v>-0.181</v>
      </c>
      <c r="F65" s="46" t="n">
        <v>-0.066</v>
      </c>
      <c r="G65" s="4" t="n">
        <v>-0.065</v>
      </c>
      <c r="H65" s="46" t="n">
        <v>-0.068</v>
      </c>
      <c r="I65" s="4">
        <f>INDEX(Annual!$A:$R,MATCH($A65,Annual!$A:$A,0),MATCH(I$1,Annual!$A$1:$R$1,0))-H65</f>
        <v/>
      </c>
      <c r="J65" s="54">
        <f>Inputs!G14</f>
        <v/>
      </c>
      <c r="K65" s="4">
        <f>-((INDEX(Annual!$128:$128,MATCH(K$1-1,Annual!$1:$1,0))+INDEX(Annual!$128:$128,MATCH(K$1,Annual!$1:$1,0)))/2)*K69-J65</f>
        <v/>
      </c>
      <c r="L65" s="4">
        <f>-((INDEX(Annual!$128:$128,MATCH(L$1-1,Annual!$1:$1,0))+INDEX(Annual!$128:$128,MATCH(L$1,Annual!$1:$1,0)))/2)*L69/2</f>
        <v/>
      </c>
      <c r="M65" s="4">
        <f>-((INDEX(Annual!$128:$128,MATCH(M$1-1,Annual!$1:$1,0))+INDEX(Annual!$128:$128,MATCH(M$1,Annual!$1:$1,0)))/2)*M69-L65</f>
        <v/>
      </c>
      <c r="N65" s="4">
        <f>-((INDEX(Annual!$128:$128,MATCH(N$1-1,Annual!$1:$1,0))+INDEX(Annual!$128:$128,MATCH(N$1,Annual!$1:$1,0)))/2)*N69/2</f>
        <v/>
      </c>
      <c r="O65" s="4">
        <f>-((INDEX(Annual!$128:$128,MATCH(O$1-1,Annual!$1:$1,0))+INDEX(Annual!$128:$128,MATCH(O$1,Annual!$1:$1,0)))/2)*O69-N65</f>
        <v/>
      </c>
      <c r="P65" s="4">
        <f>-((INDEX(Annual!$128:$128,MATCH(P$1-1,Annual!$1:$1,0))+INDEX(Annual!$128:$128,MATCH(P$1,Annual!$1:$1,0)))/2)*P69/2</f>
        <v/>
      </c>
      <c r="Q65" s="4">
        <f>-((INDEX(Annual!$128:$128,MATCH(Q$1-1,Annual!$1:$1,0))+INDEX(Annual!$128:$128,MATCH(Q$1,Annual!$1:$1,0)))/2)*Q69-P65</f>
        <v/>
      </c>
      <c r="R65" s="4">
        <f>-((INDEX(Annual!$128:$128,MATCH(R$1-1,Annual!$1:$1,0))+INDEX(Annual!$128:$128,MATCH(R$1,Annual!$1:$1,0)))/2)*R69/2</f>
        <v/>
      </c>
      <c r="S65" s="4">
        <f>-((INDEX(Annual!$128:$128,MATCH(S$1-1,Annual!$1:$1,0))+INDEX(Annual!$128:$128,MATCH(S$1,Annual!$1:$1,0)))/2)*S69-R65</f>
        <v/>
      </c>
      <c r="T65" s="4">
        <f>-((INDEX(Annual!$128:$128,MATCH(T$1-1,Annual!$1:$1,0))+INDEX(Annual!$128:$128,MATCH(T$1,Annual!$1:$1,0)))/2)*T69/2</f>
        <v/>
      </c>
      <c r="U65" s="4">
        <f>-((INDEX(Annual!$128:$128,MATCH(U$1-1,Annual!$1:$1,0))+INDEX(Annual!$128:$128,MATCH(U$1,Annual!$1:$1,0)))/2)*U69-T65</f>
        <v/>
      </c>
      <c r="V65" s="4">
        <f>-((INDEX(Annual!$128:$128,MATCH(V$1-1,Annual!$1:$1,0))+INDEX(Annual!$128:$128,MATCH(V$1,Annual!$1:$1,0)))/2)*V69/2</f>
        <v/>
      </c>
      <c r="W65" s="4">
        <f>-((INDEX(Annual!$128:$128,MATCH(W$1-1,Annual!$1:$1,0))+INDEX(Annual!$128:$128,MATCH(W$1,Annual!$1:$1,0)))/2)*W69-V65</f>
        <v/>
      </c>
      <c r="X65" s="4">
        <f>-((INDEX(Annual!$128:$128,MATCH(X$1-1,Annual!$1:$1,0))+INDEX(Annual!$128:$128,MATCH(X$1,Annual!$1:$1,0)))/2)*X69/2</f>
        <v/>
      </c>
      <c r="Y65" s="4">
        <f>-((INDEX(Annual!$128:$128,MATCH(Y$1-1,Annual!$1:$1,0))+INDEX(Annual!$128:$128,MATCH(Y$1,Annual!$1:$1,0)))/2)*Y69-X65</f>
        <v/>
      </c>
      <c r="Z65" s="4">
        <f>-((INDEX(Annual!$128:$128,MATCH(Z$1-1,Annual!$1:$1,0))+INDEX(Annual!$128:$128,MATCH(Z$1,Annual!$1:$1,0)))/2)*Z69/2</f>
        <v/>
      </c>
      <c r="AA65" s="4">
        <f>-((INDEX(Annual!$128:$128,MATCH(AA$1-1,Annual!$1:$1,0))+INDEX(Annual!$128:$128,MATCH(AA$1,Annual!$1:$1,0)))/2)*AA69-Z65</f>
        <v/>
      </c>
      <c r="AB65" s="4">
        <f>-((INDEX(Annual!$128:$128,MATCH(AB$1-1,Annual!$1:$1,0))+INDEX(Annual!$128:$128,MATCH(AB$1,Annual!$1:$1,0)))/2)*AB69/2</f>
        <v/>
      </c>
      <c r="AC65" s="4">
        <f>-((INDEX(Annual!$128:$128,MATCH(AC$1-1,Annual!$1:$1,0))+INDEX(Annual!$128:$128,MATCH(AC$1,Annual!$1:$1,0)))/2)*AC69-AB65</f>
        <v/>
      </c>
    </row>
    <row r="66">
      <c r="A66" t="inlineStr">
        <is>
          <t>Int-Net Finance Costs</t>
        </is>
      </c>
      <c r="B66" s="20" t="inlineStr">
        <is>
          <t>Net Finance Costs</t>
        </is>
      </c>
      <c r="C66" s="20" t="inlineStr">
        <is>
          <t>AUDm</t>
        </is>
      </c>
      <c r="D66" s="21">
        <f>SUM(D63:D65)</f>
        <v/>
      </c>
      <c r="E66" s="21">
        <f>SUM(E63:E65)</f>
        <v/>
      </c>
      <c r="F66" s="21">
        <f>SUM(F63:F65)</f>
        <v/>
      </c>
      <c r="G66" s="21">
        <f>SUM(G63:G65)</f>
        <v/>
      </c>
      <c r="H66" s="21">
        <f>SUM(H63:H65)</f>
        <v/>
      </c>
      <c r="I66" s="21">
        <f>SUM(I63:I65)</f>
        <v/>
      </c>
      <c r="J66" s="21">
        <f>SUM(J63:J65)</f>
        <v/>
      </c>
      <c r="K66" s="21">
        <f>SUM(K63:K65)</f>
        <v/>
      </c>
      <c r="L66" s="21">
        <f>SUM(L63:L65)</f>
        <v/>
      </c>
      <c r="M66" s="21">
        <f>SUM(M63:M65)</f>
        <v/>
      </c>
      <c r="N66" s="21">
        <f>SUM(N63:N65)</f>
        <v/>
      </c>
      <c r="O66" s="21">
        <f>SUM(O63:O65)</f>
        <v/>
      </c>
      <c r="P66" s="21">
        <f>SUM(P63:P65)</f>
        <v/>
      </c>
      <c r="Q66" s="21">
        <f>SUM(Q63:Q65)</f>
        <v/>
      </c>
      <c r="R66" s="21">
        <f>SUM(R63:R65)</f>
        <v/>
      </c>
      <c r="S66" s="21">
        <f>SUM(S63:S65)</f>
        <v/>
      </c>
      <c r="T66" s="21">
        <f>SUM(T63:T65)</f>
        <v/>
      </c>
      <c r="U66" s="21">
        <f>SUM(U63:U65)</f>
        <v/>
      </c>
      <c r="V66" s="21">
        <f>SUM(V63:V65)</f>
        <v/>
      </c>
      <c r="W66" s="21">
        <f>SUM(W63:W65)</f>
        <v/>
      </c>
      <c r="X66" s="21">
        <f>SUM(X63:X65)</f>
        <v/>
      </c>
      <c r="Y66" s="21">
        <f>SUM(Y63:Y65)</f>
        <v/>
      </c>
      <c r="Z66" s="21">
        <f>SUM(Z63:Z65)</f>
        <v/>
      </c>
      <c r="AA66" s="21">
        <f>SUM(AA63:AA65)</f>
        <v/>
      </c>
      <c r="AB66" s="21">
        <f>SUM(AB63:AB65)</f>
        <v/>
      </c>
      <c r="AC66" s="21">
        <f>SUM(AC63:AC65)</f>
        <v/>
      </c>
    </row>
    <row r="67">
      <c r="B67" s="25" t="inlineStr">
        <is>
          <t>Interest Income Rate</t>
        </is>
      </c>
      <c r="C67" t="inlineStr">
        <is>
          <t>%</t>
        </is>
      </c>
      <c r="D67" s="6">
        <f>IFERROR(IF(INDEX(Annual!$110:$110,MATCH(D$1-1,Annual!$1:$1,0))=0,"",INDEX(Annual!$59:$59,MATCH(D$1,Annual!$1:$1,0))/INDEX(Annual!$110:$110,MATCH(D$1-1,Annual!$1:$1,0))),"")</f>
        <v/>
      </c>
      <c r="E67" s="6">
        <f>IFERROR(IF(INDEX(Annual!$110:$110,MATCH(E$1-1,Annual!$1:$1,0))=0,"",INDEX(Annual!$59:$59,MATCH(E$1,Annual!$1:$1,0))/INDEX(Annual!$110:$110,MATCH(E$1-1,Annual!$1:$1,0))),"")</f>
        <v/>
      </c>
      <c r="F67" s="6">
        <f>IFERROR(IF(INDEX(Annual!$110:$110,MATCH(F$1-1,Annual!$1:$1,0))=0,"",INDEX(Annual!$59:$59,MATCH(F$1,Annual!$1:$1,0))/INDEX(Annual!$110:$110,MATCH(F$1-1,Annual!$1:$1,0))),"")</f>
        <v/>
      </c>
      <c r="G67" s="6">
        <f>IFERROR(IF(INDEX(Annual!$110:$110,MATCH(G$1-1,Annual!$1:$1,0))=0,"",INDEX(Annual!$59:$59,MATCH(G$1,Annual!$1:$1,0))/INDEX(Annual!$110:$110,MATCH(G$1-1,Annual!$1:$1,0))),"")</f>
        <v/>
      </c>
      <c r="H67" s="6">
        <f>IFERROR(IF(INDEX(Annual!$110:$110,MATCH(H$1-1,Annual!$1:$1,0))=0,"",INDEX(Annual!$59:$59,MATCH(H$1,Annual!$1:$1,0))/INDEX(Annual!$110:$110,MATCH(H$1-1,Annual!$1:$1,0))),"")</f>
        <v/>
      </c>
      <c r="I67" s="6">
        <f>IFERROR(IF(INDEX(Annual!$110:$110,MATCH(I$1-1,Annual!$1:$1,0))=0,"",INDEX(Annual!$59:$59,MATCH(I$1,Annual!$1:$1,0))/INDEX(Annual!$110:$110,MATCH(I$1-1,Annual!$1:$1,0))),"")</f>
        <v/>
      </c>
      <c r="J67" s="6">
        <f>IFERROR(IF(INDEX(Annual!$110:$110,MATCH(J$1-1,Annual!$1:$1,0))=0,"",INDEX(Annual!$59:$59,MATCH(J$1,Annual!$1:$1,0))/INDEX(Annual!$110:$110,MATCH(J$1-1,Annual!$1:$1,0))),"")</f>
        <v/>
      </c>
      <c r="K67" s="26">
        <f>I67</f>
        <v/>
      </c>
      <c r="L67" s="26">
        <f>J67</f>
        <v/>
      </c>
      <c r="M67" s="26">
        <f>K67</f>
        <v/>
      </c>
      <c r="N67" s="26">
        <f>L67</f>
        <v/>
      </c>
      <c r="O67" s="26">
        <f>M67</f>
        <v/>
      </c>
      <c r="P67" s="26">
        <f>N67</f>
        <v/>
      </c>
      <c r="Q67" s="26">
        <f>O67</f>
        <v/>
      </c>
      <c r="R67" s="26">
        <f>P67</f>
        <v/>
      </c>
      <c r="S67" s="26">
        <f>Q67</f>
        <v/>
      </c>
      <c r="T67" s="26">
        <f>R67</f>
        <v/>
      </c>
      <c r="U67" s="26">
        <f>S67</f>
        <v/>
      </c>
      <c r="V67" s="26">
        <f>T67</f>
        <v/>
      </c>
      <c r="W67" s="26">
        <f>U67</f>
        <v/>
      </c>
      <c r="X67" s="26">
        <f>V67</f>
        <v/>
      </c>
      <c r="Y67" s="26">
        <f>W67</f>
        <v/>
      </c>
      <c r="Z67" s="26">
        <f>X67</f>
        <v/>
      </c>
      <c r="AA67" s="26">
        <f>Y67</f>
        <v/>
      </c>
      <c r="AB67" s="26">
        <f>Z67</f>
        <v/>
      </c>
      <c r="AC67" s="26">
        <f>AA67</f>
        <v/>
      </c>
    </row>
    <row r="68">
      <c r="B68" s="25" t="inlineStr">
        <is>
          <t>Lease Interest Rate</t>
        </is>
      </c>
      <c r="C68" t="inlineStr">
        <is>
          <t>%</t>
        </is>
      </c>
      <c r="D68" s="6" t="n"/>
      <c r="E68" s="6" t="n"/>
      <c r="F68" s="6" t="n"/>
      <c r="G68" s="6" t="n"/>
      <c r="H68" s="6" t="n"/>
      <c r="I68" s="6" t="n">
        <v>0.061</v>
      </c>
      <c r="J68" s="6" t="n">
        <v>0.061</v>
      </c>
      <c r="K68" s="26">
        <f>I68</f>
        <v/>
      </c>
      <c r="L68" s="26">
        <f>J68</f>
        <v/>
      </c>
      <c r="M68" s="26">
        <f>K68</f>
        <v/>
      </c>
      <c r="N68" s="26">
        <f>L68</f>
        <v/>
      </c>
      <c r="O68" s="26">
        <f>M68</f>
        <v/>
      </c>
      <c r="P68" s="26">
        <f>N68</f>
        <v/>
      </c>
      <c r="Q68" s="26">
        <f>O68</f>
        <v/>
      </c>
      <c r="R68" s="26">
        <f>P68</f>
        <v/>
      </c>
      <c r="S68" s="26">
        <f>Q68</f>
        <v/>
      </c>
      <c r="T68" s="26">
        <f>R68</f>
        <v/>
      </c>
      <c r="U68" s="26">
        <f>S68</f>
        <v/>
      </c>
      <c r="V68" s="26">
        <f>T68</f>
        <v/>
      </c>
      <c r="W68" s="26">
        <f>U68</f>
        <v/>
      </c>
      <c r="X68" s="26">
        <f>V68</f>
        <v/>
      </c>
      <c r="Y68" s="26">
        <f>W68</f>
        <v/>
      </c>
      <c r="Z68" s="26">
        <f>X68</f>
        <v/>
      </c>
      <c r="AA68" s="26">
        <f>Y68</f>
        <v/>
      </c>
      <c r="AB68" s="26">
        <f>Z68</f>
        <v/>
      </c>
      <c r="AC68" s="26">
        <f>AA68</f>
        <v/>
      </c>
    </row>
    <row r="69">
      <c r="B69" s="25" t="inlineStr">
        <is>
          <t>Bank Interest Rate</t>
        </is>
      </c>
      <c r="C69" t="inlineStr">
        <is>
          <t>%</t>
        </is>
      </c>
      <c r="D69" s="6">
        <f>IFERROR(IF((INDEX(Annual!$128:$128,MATCH(D$1-1,Annual!$1:$1,0))+INDEX(Annual!$128:$128,MATCH(D$1,Annual!$1:$1,0)))=0,"",-INDEX(Annual!$61:$61,MATCH(D$1,Annual!$1:$1,0))/((INDEX(Annual!$128:$128,MATCH(D$1-1,Annual!$1:$1,0))+INDEX(Annual!$128:$128,MATCH(D$1,Annual!$1:$1,0)))/2)),"")</f>
        <v/>
      </c>
      <c r="E69" s="6">
        <f>IFERROR(IF((INDEX(Annual!$128:$128,MATCH(E$1-1,Annual!$1:$1,0))+INDEX(Annual!$128:$128,MATCH(E$1,Annual!$1:$1,0)))=0,"",-INDEX(Annual!$61:$61,MATCH(E$1,Annual!$1:$1,0))/((INDEX(Annual!$128:$128,MATCH(E$1-1,Annual!$1:$1,0))+INDEX(Annual!$128:$128,MATCH(E$1,Annual!$1:$1,0)))/2)),"")</f>
        <v/>
      </c>
      <c r="F69" s="6">
        <f>IFERROR(IF((INDEX(Annual!$128:$128,MATCH(F$1-1,Annual!$1:$1,0))+INDEX(Annual!$128:$128,MATCH(F$1,Annual!$1:$1,0)))=0,"",-INDEX(Annual!$61:$61,MATCH(F$1,Annual!$1:$1,0))/((INDEX(Annual!$128:$128,MATCH(F$1-1,Annual!$1:$1,0))+INDEX(Annual!$128:$128,MATCH(F$1,Annual!$1:$1,0)))/2)),"")</f>
        <v/>
      </c>
      <c r="G69" s="6">
        <f>IFERROR(IF((INDEX(Annual!$128:$128,MATCH(G$1-1,Annual!$1:$1,0))+INDEX(Annual!$128:$128,MATCH(G$1,Annual!$1:$1,0)))=0,"",-INDEX(Annual!$61:$61,MATCH(G$1,Annual!$1:$1,0))/((INDEX(Annual!$128:$128,MATCH(G$1-1,Annual!$1:$1,0))+INDEX(Annual!$128:$128,MATCH(G$1,Annual!$1:$1,0)))/2)),"")</f>
        <v/>
      </c>
      <c r="H69" s="6">
        <f>IFERROR(IF((INDEX(Annual!$128:$128,MATCH(H$1-1,Annual!$1:$1,0))+INDEX(Annual!$128:$128,MATCH(H$1,Annual!$1:$1,0)))=0,"",-INDEX(Annual!$61:$61,MATCH(H$1,Annual!$1:$1,0))/((INDEX(Annual!$128:$128,MATCH(H$1-1,Annual!$1:$1,0))+INDEX(Annual!$128:$128,MATCH(H$1,Annual!$1:$1,0)))/2)),"")</f>
        <v/>
      </c>
      <c r="I69" s="6">
        <f>IFERROR(IF((INDEX(Annual!$128:$128,MATCH(I$1-1,Annual!$1:$1,0))+INDEX(Annual!$128:$128,MATCH(I$1,Annual!$1:$1,0)))=0,"",-INDEX(Annual!$61:$61,MATCH(I$1,Annual!$1:$1,0))/((INDEX(Annual!$128:$128,MATCH(I$1-1,Annual!$1:$1,0))+INDEX(Annual!$128:$128,MATCH(I$1,Annual!$1:$1,0)))/2)),"")</f>
        <v/>
      </c>
      <c r="J69" s="6">
        <f>IFERROR(IF((INDEX(Annual!$128:$128,MATCH(J$1-1,Annual!$1:$1,0))+INDEX(Annual!$128:$128,MATCH(J$1,Annual!$1:$1,0)))=0,"",-INDEX(Annual!$61:$61,MATCH(J$1,Annual!$1:$1,0))/((INDEX(Annual!$128:$128,MATCH(J$1-1,Annual!$1:$1,0))+INDEX(Annual!$128:$128,MATCH(J$1,Annual!$1:$1,0)))/2)),"")</f>
        <v/>
      </c>
      <c r="K69" s="26">
        <f>I69</f>
        <v/>
      </c>
      <c r="L69" s="26">
        <f>J69</f>
        <v/>
      </c>
      <c r="M69" s="26">
        <f>K69</f>
        <v/>
      </c>
      <c r="N69" s="26">
        <f>L69</f>
        <v/>
      </c>
      <c r="O69" s="26">
        <f>M69</f>
        <v/>
      </c>
      <c r="P69" s="26">
        <f>N69</f>
        <v/>
      </c>
      <c r="Q69" s="26">
        <f>O69</f>
        <v/>
      </c>
      <c r="R69" s="26">
        <f>P69</f>
        <v/>
      </c>
      <c r="S69" s="26">
        <f>Q69</f>
        <v/>
      </c>
      <c r="T69" s="26">
        <f>R69</f>
        <v/>
      </c>
      <c r="U69" s="26">
        <f>S69</f>
        <v/>
      </c>
      <c r="V69" s="26">
        <f>T69</f>
        <v/>
      </c>
      <c r="W69" s="26">
        <f>U69</f>
        <v/>
      </c>
      <c r="X69" s="26">
        <f>V69</f>
        <v/>
      </c>
      <c r="Y69" s="26">
        <f>W69</f>
        <v/>
      </c>
      <c r="Z69" s="26">
        <f>X69</f>
        <v/>
      </c>
      <c r="AA69" s="26">
        <f>Y69</f>
        <v/>
      </c>
      <c r="AB69" s="26">
        <f>Z69</f>
        <v/>
      </c>
      <c r="AC69" s="26">
        <f>AA69</f>
        <v/>
      </c>
    </row>
    <row r="71">
      <c r="A71" t="inlineStr">
        <is>
          <t>PBT-PBT</t>
        </is>
      </c>
      <c r="B71" s="20" t="inlineStr">
        <is>
          <t>PBT</t>
        </is>
      </c>
      <c r="C71" s="20" t="inlineStr">
        <is>
          <t>AUDm</t>
        </is>
      </c>
      <c r="D71" s="21">
        <f>D58+D66</f>
        <v/>
      </c>
      <c r="E71" s="21">
        <f>E58+E66</f>
        <v/>
      </c>
      <c r="F71" s="21">
        <f>F58+F66</f>
        <v/>
      </c>
      <c r="G71" s="21">
        <f>G58+G66</f>
        <v/>
      </c>
      <c r="H71" s="21">
        <f>H58+H66</f>
        <v/>
      </c>
      <c r="I71" s="21">
        <f>I58+I66</f>
        <v/>
      </c>
      <c r="J71" s="21">
        <f>J58+J66</f>
        <v/>
      </c>
      <c r="K71" s="21">
        <f>K58+K66</f>
        <v/>
      </c>
      <c r="L71" s="21">
        <f>L58+L66</f>
        <v/>
      </c>
      <c r="M71" s="21">
        <f>M58+M66</f>
        <v/>
      </c>
      <c r="N71" s="21">
        <f>N58+N66</f>
        <v/>
      </c>
      <c r="O71" s="21">
        <f>O58+O66</f>
        <v/>
      </c>
      <c r="P71" s="21">
        <f>P58+P66</f>
        <v/>
      </c>
      <c r="Q71" s="21">
        <f>Q58+Q66</f>
        <v/>
      </c>
      <c r="R71" s="21">
        <f>R58+R66</f>
        <v/>
      </c>
      <c r="S71" s="21">
        <f>S58+S66</f>
        <v/>
      </c>
      <c r="T71" s="21">
        <f>T58+T66</f>
        <v/>
      </c>
      <c r="U71" s="21">
        <f>U58+U66</f>
        <v/>
      </c>
      <c r="V71" s="21">
        <f>V58+V66</f>
        <v/>
      </c>
      <c r="W71" s="21">
        <f>W58+W66</f>
        <v/>
      </c>
      <c r="X71" s="21">
        <f>X58+X66</f>
        <v/>
      </c>
      <c r="Y71" s="21">
        <f>Y58+Y66</f>
        <v/>
      </c>
      <c r="Z71" s="21">
        <f>Z58+Z66</f>
        <v/>
      </c>
      <c r="AA71" s="21">
        <f>AA58+AA66</f>
        <v/>
      </c>
      <c r="AB71" s="21">
        <f>AB58+AB66</f>
        <v/>
      </c>
      <c r="AC71" s="21">
        <f>AC58+AC66</f>
        <v/>
      </c>
    </row>
    <row r="72">
      <c r="A72" t="inlineStr">
        <is>
          <t>Tax-Tax Expense</t>
        </is>
      </c>
      <c r="B72" t="inlineStr">
        <is>
          <t>Tax Expense</t>
        </is>
      </c>
      <c r="C72" t="inlineStr">
        <is>
          <t>AUDm</t>
        </is>
      </c>
      <c r="D72" s="19" t="n">
        <v>-2.881</v>
      </c>
      <c r="E72" s="4" t="n">
        <v>0.694</v>
      </c>
      <c r="F72" s="19" t="n">
        <v>-7.89</v>
      </c>
      <c r="G72" s="4" t="n">
        <v>-6.844</v>
      </c>
      <c r="H72" s="19" t="n">
        <v>-8.595000000000001</v>
      </c>
      <c r="I72" s="4">
        <f>INDEX(Annual!$A:$R,MATCH($A72,Annual!$A:$A,0),MATCH(I$1,Annual!$A$1:$R$1,0))-H72</f>
        <v/>
      </c>
      <c r="J72" s="19" t="n">
        <v>-3.6</v>
      </c>
      <c r="K72" s="4">
        <f>-K71*K73</f>
        <v/>
      </c>
      <c r="L72" s="4">
        <f>-L71*L73</f>
        <v/>
      </c>
      <c r="M72" s="4">
        <f>-M71*M73</f>
        <v/>
      </c>
      <c r="N72" s="4">
        <f>-N71*N73</f>
        <v/>
      </c>
      <c r="O72" s="4">
        <f>-O71*O73</f>
        <v/>
      </c>
      <c r="P72" s="4">
        <f>-P71*P73</f>
        <v/>
      </c>
      <c r="Q72" s="4">
        <f>-Q71*Q73</f>
        <v/>
      </c>
      <c r="R72" s="4">
        <f>-R71*R73</f>
        <v/>
      </c>
      <c r="S72" s="4">
        <f>-S71*S73</f>
        <v/>
      </c>
      <c r="T72" s="4">
        <f>-T71*T73</f>
        <v/>
      </c>
      <c r="U72" s="4">
        <f>-U71*U73</f>
        <v/>
      </c>
      <c r="V72" s="4">
        <f>-V71*V73</f>
        <v/>
      </c>
      <c r="W72" s="4">
        <f>-W71*W73</f>
        <v/>
      </c>
      <c r="X72" s="4">
        <f>-X71*X73</f>
        <v/>
      </c>
      <c r="Y72" s="4">
        <f>-Y71*Y73</f>
        <v/>
      </c>
      <c r="Z72" s="4">
        <f>-Z71*Z73</f>
        <v/>
      </c>
      <c r="AA72" s="4">
        <f>-AA71*AA73</f>
        <v/>
      </c>
      <c r="AB72" s="4">
        <f>-AB71*AB73</f>
        <v/>
      </c>
      <c r="AC72" s="4">
        <f>-AC71*AC73</f>
        <v/>
      </c>
    </row>
    <row r="73">
      <c r="B73" s="25" t="inlineStr">
        <is>
          <t>Tax Rate</t>
        </is>
      </c>
      <c r="C73" t="inlineStr">
        <is>
          <t>%</t>
        </is>
      </c>
      <c r="D73" s="6">
        <f>IF(D71=0,"",-D72/D71)</f>
        <v/>
      </c>
      <c r="E73" s="6">
        <f>IF(E71=0,"",-E72/E71)</f>
        <v/>
      </c>
      <c r="F73" s="6">
        <f>IF(F71=0,"",-F72/F71)</f>
        <v/>
      </c>
      <c r="G73" s="6">
        <f>IF(G71=0,"",-G72/G71)</f>
        <v/>
      </c>
      <c r="H73" s="6">
        <f>IF(H71=0,"",-H72/H71)</f>
        <v/>
      </c>
      <c r="I73" s="6">
        <f>IF(I71=0,"",-I72/I71)</f>
        <v/>
      </c>
      <c r="J73" s="6">
        <f>IF(J71=0,"",-J72/J71)</f>
        <v/>
      </c>
      <c r="K73" s="26">
        <f>I73</f>
        <v/>
      </c>
      <c r="L73" s="26">
        <f>J73</f>
        <v/>
      </c>
      <c r="M73" s="26">
        <f>K73</f>
        <v/>
      </c>
      <c r="N73" s="26">
        <f>L73</f>
        <v/>
      </c>
      <c r="O73" s="26">
        <f>M73</f>
        <v/>
      </c>
      <c r="P73" s="26">
        <f>N73</f>
        <v/>
      </c>
      <c r="Q73" s="26">
        <f>O73</f>
        <v/>
      </c>
      <c r="R73" s="26">
        <f>P73</f>
        <v/>
      </c>
      <c r="S73" s="26">
        <f>Q73</f>
        <v/>
      </c>
      <c r="T73" s="26">
        <f>R73</f>
        <v/>
      </c>
      <c r="U73" s="26">
        <f>S73</f>
        <v/>
      </c>
      <c r="V73" s="26">
        <f>T73</f>
        <v/>
      </c>
      <c r="W73" s="26">
        <f>U73</f>
        <v/>
      </c>
      <c r="X73" s="26">
        <f>V73</f>
        <v/>
      </c>
      <c r="Y73" s="26">
        <f>W73</f>
        <v/>
      </c>
      <c r="Z73" s="26">
        <f>X73</f>
        <v/>
      </c>
      <c r="AA73" s="26">
        <f>Y73</f>
        <v/>
      </c>
      <c r="AB73" s="26">
        <f>Z73</f>
        <v/>
      </c>
      <c r="AC73" s="26">
        <f>AA73</f>
        <v/>
      </c>
    </row>
    <row r="74">
      <c r="A74" t="inlineStr">
        <is>
          <t>NPAT-NCI</t>
        </is>
      </c>
      <c r="B74" s="62" t="inlineStr">
        <is>
          <t>Non-controlling Interests</t>
        </is>
      </c>
      <c r="C74" t="inlineStr">
        <is>
          <t>AUDm</t>
        </is>
      </c>
      <c r="D74" s="19" t="n">
        <v>0</v>
      </c>
      <c r="E74" s="4" t="n">
        <v>0</v>
      </c>
      <c r="F74" s="19" t="n">
        <v>0</v>
      </c>
      <c r="G74" s="4" t="n">
        <v>0</v>
      </c>
      <c r="H74" s="19" t="n">
        <v>0</v>
      </c>
      <c r="I74" s="4">
        <f>INDEX(Annual!$A:$R,MATCH($A74,Annual!$A:$A,0),MATCH(I$1,Annual!$A$1:$R$1,0))-H74</f>
        <v/>
      </c>
      <c r="J74" s="19" t="n">
        <v>-0.4</v>
      </c>
      <c r="K74" s="40">
        <f>J74</f>
        <v/>
      </c>
      <c r="L74" s="40">
        <f>L38/J38*J74</f>
        <v/>
      </c>
      <c r="M74" s="40">
        <f>M38/K38*K74</f>
        <v/>
      </c>
      <c r="N74" s="40">
        <f>N38/L38*L74</f>
        <v/>
      </c>
      <c r="O74" s="40">
        <f>O38/M38*M74</f>
        <v/>
      </c>
      <c r="P74" s="40">
        <f>P38/N38*N74</f>
        <v/>
      </c>
      <c r="Q74" s="40">
        <f>Q38/O38*O74</f>
        <v/>
      </c>
      <c r="R74" s="40">
        <f>R38/P38*P74</f>
        <v/>
      </c>
      <c r="S74" s="40">
        <f>S38/Q38*Q74</f>
        <v/>
      </c>
      <c r="T74" s="40">
        <f>T38/R38*R74</f>
        <v/>
      </c>
      <c r="U74" s="40">
        <f>U38/S38*S74</f>
        <v/>
      </c>
      <c r="V74" s="40">
        <f>V38/T38*T74</f>
        <v/>
      </c>
      <c r="W74" s="40">
        <f>W38/U38*U74</f>
        <v/>
      </c>
      <c r="X74" s="40">
        <f>X38/V38*V74</f>
        <v/>
      </c>
      <c r="Y74" s="40">
        <f>Y38/W38*W74</f>
        <v/>
      </c>
      <c r="Z74" s="40">
        <f>Z38/X38*X74</f>
        <v/>
      </c>
      <c r="AA74" s="40">
        <f>AA38/Y38*Y74</f>
        <v/>
      </c>
      <c r="AB74" s="40">
        <f>AB38/Z38*Z74</f>
        <v/>
      </c>
      <c r="AC74" s="40">
        <f>AC38/AA38*AA74</f>
        <v/>
      </c>
    </row>
    <row r="75">
      <c r="A75" t="inlineStr">
        <is>
          <t>NPAT-Underlying NPAT</t>
        </is>
      </c>
      <c r="B75" s="20" t="inlineStr">
        <is>
          <t>Underlying NPAT</t>
        </is>
      </c>
      <c r="C75" s="20" t="inlineStr">
        <is>
          <t>AUDm</t>
        </is>
      </c>
      <c r="D75" s="21">
        <f>D71+D72+D74</f>
        <v/>
      </c>
      <c r="E75" s="21">
        <f>E71+E72+E74</f>
        <v/>
      </c>
      <c r="F75" s="21">
        <f>F71+F72+F74</f>
        <v/>
      </c>
      <c r="G75" s="21">
        <f>G71+G72+G74</f>
        <v/>
      </c>
      <c r="H75" s="21">
        <f>H71+H72+H74</f>
        <v/>
      </c>
      <c r="I75" s="21">
        <f>I71+I72+I74</f>
        <v/>
      </c>
      <c r="J75" s="21">
        <f>J71+J72+J74</f>
        <v/>
      </c>
      <c r="K75" s="21">
        <f>K71+K72+K74</f>
        <v/>
      </c>
      <c r="L75" s="21">
        <f>L71+L72+L74</f>
        <v/>
      </c>
      <c r="M75" s="21">
        <f>M71+M72+M74</f>
        <v/>
      </c>
      <c r="N75" s="21">
        <f>N71+N72+N74</f>
        <v/>
      </c>
      <c r="O75" s="21">
        <f>O71+O72+O74</f>
        <v/>
      </c>
      <c r="P75" s="21">
        <f>P71+P72+P74</f>
        <v/>
      </c>
      <c r="Q75" s="21">
        <f>Q71+Q72+Q74</f>
        <v/>
      </c>
      <c r="R75" s="21">
        <f>R71+R72+R74</f>
        <v/>
      </c>
      <c r="S75" s="21">
        <f>S71+S72+S74</f>
        <v/>
      </c>
      <c r="T75" s="21">
        <f>T71+T72+T74</f>
        <v/>
      </c>
      <c r="U75" s="21">
        <f>U71+U72+U74</f>
        <v/>
      </c>
      <c r="V75" s="21">
        <f>V71+V72+V74</f>
        <v/>
      </c>
      <c r="W75" s="21">
        <f>W71+W72+W74</f>
        <v/>
      </c>
      <c r="X75" s="21">
        <f>X71+X72+X74</f>
        <v/>
      </c>
      <c r="Y75" s="21">
        <f>Y71+Y72+Y74</f>
        <v/>
      </c>
      <c r="Z75" s="21">
        <f>Z71+Z72+Z74</f>
        <v/>
      </c>
      <c r="AA75" s="21">
        <f>AA71+AA72+AA74</f>
        <v/>
      </c>
      <c r="AB75" s="21">
        <f>AB71+AB72+AB74</f>
        <v/>
      </c>
      <c r="AC75" s="21">
        <f>AC71+AC72+AC74</f>
        <v/>
      </c>
    </row>
    <row r="76">
      <c r="A76" t="inlineStr">
        <is>
          <t>NPAT-Sig Items AT</t>
        </is>
      </c>
      <c r="B76" t="inlineStr">
        <is>
          <t>Significant Items After Tax</t>
        </is>
      </c>
      <c r="C76" t="inlineStr">
        <is>
          <t>AUDm</t>
        </is>
      </c>
      <c r="D76" s="19" t="n">
        <v>0</v>
      </c>
      <c r="E76" s="4" t="n">
        <v>0</v>
      </c>
      <c r="F76" s="19" t="n">
        <v>0</v>
      </c>
      <c r="G76" s="4" t="n">
        <v>0</v>
      </c>
      <c r="H76" s="19" t="n">
        <v>0</v>
      </c>
      <c r="I76" s="4">
        <f>INDEX(Annual!$A:$R,MATCH($A76,Annual!$A:$A,0),MATCH(I$1,Annual!$A$1:$R$1,0))-H76</f>
        <v/>
      </c>
      <c r="J76" s="19" t="n">
        <v>-0.7</v>
      </c>
      <c r="K76" s="4">
        <f>0</f>
        <v/>
      </c>
      <c r="L76" s="4">
        <f>0</f>
        <v/>
      </c>
      <c r="M76" s="4">
        <f>0</f>
        <v/>
      </c>
      <c r="N76" s="4">
        <f>0</f>
        <v/>
      </c>
      <c r="O76" s="4">
        <f>0</f>
        <v/>
      </c>
      <c r="P76" s="4">
        <f>0</f>
        <v/>
      </c>
      <c r="Q76" s="4">
        <f>0</f>
        <v/>
      </c>
      <c r="R76" s="4">
        <f>0</f>
        <v/>
      </c>
      <c r="S76" s="4">
        <f>0</f>
        <v/>
      </c>
      <c r="T76" s="4">
        <f>0</f>
        <v/>
      </c>
      <c r="U76" s="4">
        <f>0</f>
        <v/>
      </c>
      <c r="V76" s="4">
        <f>0</f>
        <v/>
      </c>
      <c r="W76" s="4">
        <f>0</f>
        <v/>
      </c>
      <c r="X76" s="4">
        <f>0</f>
        <v/>
      </c>
      <c r="Y76" s="4">
        <f>0</f>
        <v/>
      </c>
      <c r="Z76" s="4">
        <f>0</f>
        <v/>
      </c>
      <c r="AA76" s="4">
        <f>0</f>
        <v/>
      </c>
      <c r="AB76" s="4">
        <f>0</f>
        <v/>
      </c>
      <c r="AC76" s="4">
        <f>0</f>
        <v/>
      </c>
    </row>
    <row r="77">
      <c r="A77" t="inlineStr">
        <is>
          <t>NPAT-Statutory NPAT</t>
        </is>
      </c>
      <c r="B77" s="20" t="inlineStr">
        <is>
          <t>Statutory NPAT</t>
        </is>
      </c>
      <c r="C77" s="20" t="inlineStr">
        <is>
          <t>AUDm</t>
        </is>
      </c>
      <c r="D77" s="21">
        <f>D75+D76</f>
        <v/>
      </c>
      <c r="E77" s="21">
        <f>E75+E76</f>
        <v/>
      </c>
      <c r="F77" s="21">
        <f>F75+F76</f>
        <v/>
      </c>
      <c r="G77" s="21">
        <f>G75+G76</f>
        <v/>
      </c>
      <c r="H77" s="21">
        <f>H75+H76</f>
        <v/>
      </c>
      <c r="I77" s="21">
        <f>I75+I76</f>
        <v/>
      </c>
      <c r="J77" s="21">
        <f>J75+J76</f>
        <v/>
      </c>
      <c r="K77" s="21">
        <f>K75+K76</f>
        <v/>
      </c>
      <c r="L77" s="21">
        <f>L75+L76</f>
        <v/>
      </c>
      <c r="M77" s="21">
        <f>M75+M76</f>
        <v/>
      </c>
      <c r="N77" s="21">
        <f>N75+N76</f>
        <v/>
      </c>
      <c r="O77" s="21">
        <f>O75+O76</f>
        <v/>
      </c>
      <c r="P77" s="21">
        <f>P75+P76</f>
        <v/>
      </c>
      <c r="Q77" s="21">
        <f>Q75+Q76</f>
        <v/>
      </c>
      <c r="R77" s="21">
        <f>R75+R76</f>
        <v/>
      </c>
      <c r="S77" s="21">
        <f>S75+S76</f>
        <v/>
      </c>
      <c r="T77" s="21">
        <f>T75+T76</f>
        <v/>
      </c>
      <c r="U77" s="21">
        <f>U75+U76</f>
        <v/>
      </c>
      <c r="V77" s="21">
        <f>V75+V76</f>
        <v/>
      </c>
      <c r="W77" s="21">
        <f>W75+W76</f>
        <v/>
      </c>
      <c r="X77" s="21">
        <f>X75+X76</f>
        <v/>
      </c>
      <c r="Y77" s="21">
        <f>Y75+Y76</f>
        <v/>
      </c>
      <c r="Z77" s="21">
        <f>Z75+Z76</f>
        <v/>
      </c>
      <c r="AA77" s="21">
        <f>AA75+AA76</f>
        <v/>
      </c>
      <c r="AB77" s="21">
        <f>AB75+AB76</f>
        <v/>
      </c>
      <c r="AC77" s="21">
        <f>AC75+AC76</f>
        <v/>
      </c>
    </row>
    <row r="78">
      <c r="B78" t="inlineStr">
        <is>
          <t>NPAT Growth (YoY)</t>
        </is>
      </c>
      <c r="C78" t="inlineStr">
        <is>
          <t>% YoY</t>
        </is>
      </c>
      <c r="D78" s="6" t="n"/>
      <c r="E78" s="6" t="n"/>
      <c r="F78" s="6">
        <f>IF(D75=0,"",F75/D75-1)</f>
        <v/>
      </c>
      <c r="G78" s="6">
        <f>IF(E75=0,"",G75/E75-1)</f>
        <v/>
      </c>
      <c r="H78" s="6">
        <f>IF(F75=0,"",H75/F75-1)</f>
        <v/>
      </c>
      <c r="I78" s="6">
        <f>IF(G75=0,"",I75/G75-1)</f>
        <v/>
      </c>
      <c r="J78" s="6">
        <f>IF(H75=0,"",J75/H75-1)</f>
        <v/>
      </c>
      <c r="K78" s="6">
        <f>IF(I75=0,"",K75/I75-1)</f>
        <v/>
      </c>
      <c r="L78" s="6">
        <f>IF(J75=0,"",L75/J75-1)</f>
        <v/>
      </c>
      <c r="M78" s="6">
        <f>IF(K75=0,"",M75/K75-1)</f>
        <v/>
      </c>
      <c r="N78" s="6">
        <f>IF(L75=0,"",N75/L75-1)</f>
        <v/>
      </c>
      <c r="O78" s="6">
        <f>IF(M75=0,"",O75/M75-1)</f>
        <v/>
      </c>
      <c r="P78" s="6">
        <f>IF(N75=0,"",P75/N75-1)</f>
        <v/>
      </c>
      <c r="Q78" s="6">
        <f>IF(O75=0,"",Q75/O75-1)</f>
        <v/>
      </c>
      <c r="R78" s="6">
        <f>IF(P75=0,"",R75/P75-1)</f>
        <v/>
      </c>
      <c r="S78" s="6">
        <f>IF(Q75=0,"",S75/Q75-1)</f>
        <v/>
      </c>
      <c r="T78" s="6">
        <f>IF(R75=0,"",T75/R75-1)</f>
        <v/>
      </c>
      <c r="U78" s="6">
        <f>IF(S75=0,"",U75/S75-1)</f>
        <v/>
      </c>
      <c r="V78" s="6">
        <f>IF(T75=0,"",V75/T75-1)</f>
        <v/>
      </c>
      <c r="W78" s="6">
        <f>IF(U75=0,"",W75/U75-1)</f>
        <v/>
      </c>
      <c r="X78" s="6">
        <f>IF(V75=0,"",X75/V75-1)</f>
        <v/>
      </c>
      <c r="Y78" s="6">
        <f>IF(W75=0,"",Y75/W75-1)</f>
        <v/>
      </c>
      <c r="Z78" s="6">
        <f>IF(X75=0,"",Z75/X75-1)</f>
        <v/>
      </c>
      <c r="AA78" s="6">
        <f>IF(Y75=0,"",AA75/Y75-1)</f>
        <v/>
      </c>
      <c r="AB78" s="6">
        <f>IF(Z75=0,"",AB75/Z75-1)</f>
        <v/>
      </c>
      <c r="AC78" s="6">
        <f>IF(AA75=0,"",AC75/AA75-1)</f>
        <v/>
      </c>
    </row>
    <row r="80">
      <c r="A80" s="27" t="n"/>
      <c r="B80" s="28" t="inlineStr">
        <is>
          <t>Operating Metrics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</row>
    <row r="81">
      <c r="A81" t="inlineStr">
        <is>
          <t>KPI-Steel Volume</t>
        </is>
      </c>
      <c r="B81" t="inlineStr">
        <is>
          <t>Steel Volume</t>
        </is>
      </c>
      <c r="C81" t="inlineStr">
        <is>
          <t>000t</t>
        </is>
      </c>
      <c r="D81" s="19" t="n">
        <v>94.5</v>
      </c>
      <c r="E81" s="4">
        <f>INDEX(Annual!$A:$R,MATCH($A81,Annual!$A:$A,0),MATCH(E$1,Annual!$A$1:$R$1,0))-D81</f>
        <v/>
      </c>
      <c r="F81" s="19" t="n">
        <v>84.5</v>
      </c>
      <c r="G81" s="4">
        <f>INDEX(Annual!$A:$R,MATCH($A81,Annual!$A:$A,0),MATCH(G$1,Annual!$A$1:$R$1,0))-F81</f>
        <v/>
      </c>
      <c r="H81" s="19" t="n">
        <v>77.09999999999999</v>
      </c>
      <c r="I81" s="4">
        <f>INDEX(Annual!$A:$R,MATCH($A81,Annual!$A:$A,0),MATCH(I$1,Annual!$A$1:$R$1,0))-H81</f>
        <v/>
      </c>
      <c r="J81" s="19" t="n">
        <v>89.40000000000001</v>
      </c>
      <c r="K81" s="4">
        <f>K93</f>
        <v/>
      </c>
      <c r="L81" s="4">
        <f>L93</f>
        <v/>
      </c>
      <c r="M81" s="4">
        <f>M93</f>
        <v/>
      </c>
      <c r="N81" s="4">
        <f>N93</f>
        <v/>
      </c>
      <c r="O81" s="4">
        <f>O93</f>
        <v/>
      </c>
      <c r="P81" s="4">
        <f>P93</f>
        <v/>
      </c>
      <c r="Q81" s="4">
        <f>Q93</f>
        <v/>
      </c>
      <c r="R81" s="4">
        <f>R93</f>
        <v/>
      </c>
      <c r="S81" s="4">
        <f>S93</f>
        <v/>
      </c>
      <c r="T81" s="4">
        <f>T93</f>
        <v/>
      </c>
      <c r="U81" s="4">
        <f>U93</f>
        <v/>
      </c>
      <c r="V81" s="4">
        <f>V93</f>
        <v/>
      </c>
      <c r="W81" s="4">
        <f>W93</f>
        <v/>
      </c>
      <c r="X81" s="4">
        <f>X93</f>
        <v/>
      </c>
      <c r="Y81" s="4">
        <f>Y93</f>
        <v/>
      </c>
      <c r="Z81" s="4">
        <f>Z93</f>
        <v/>
      </c>
      <c r="AA81" s="4">
        <f>AA93</f>
        <v/>
      </c>
      <c r="AB81" s="4">
        <f>AB93</f>
        <v/>
      </c>
      <c r="AC81" s="4">
        <f>AC93</f>
        <v/>
      </c>
    </row>
    <row r="82">
      <c r="A82" t="inlineStr">
        <is>
          <t>KPI-Metals Volume</t>
        </is>
      </c>
      <c r="B82" t="inlineStr">
        <is>
          <t>Metals Volume</t>
        </is>
      </c>
      <c r="C82" t="inlineStr">
        <is>
          <t>000t</t>
        </is>
      </c>
      <c r="D82" s="19" t="n">
        <v>32.9</v>
      </c>
      <c r="E82" s="4">
        <f>INDEX(Annual!$A:$R,MATCH($A82,Annual!$A:$A,0),MATCH(E$1,Annual!$A$1:$R$1,0))-D82</f>
        <v/>
      </c>
      <c r="F82" s="19" t="n">
        <v>34.6</v>
      </c>
      <c r="G82" s="4">
        <f>INDEX(Annual!$A:$R,MATCH($A82,Annual!$A:$A,0),MATCH(G$1,Annual!$A$1:$R$1,0))-F82</f>
        <v/>
      </c>
      <c r="H82" s="19" t="n">
        <v>32.2</v>
      </c>
      <c r="I82" s="4">
        <f>INDEX(Annual!$A:$R,MATCH($A82,Annual!$A:$A,0),MATCH(I$1,Annual!$A$1:$R$1,0))-H82</f>
        <v/>
      </c>
      <c r="J82" s="19" t="n">
        <v>31.6</v>
      </c>
      <c r="K82" s="4">
        <f>K106</f>
        <v/>
      </c>
      <c r="L82" s="4">
        <f>L106</f>
        <v/>
      </c>
      <c r="M82" s="4">
        <f>M106</f>
        <v/>
      </c>
      <c r="N82" s="4">
        <f>N106</f>
        <v/>
      </c>
      <c r="O82" s="4">
        <f>O106</f>
        <v/>
      </c>
      <c r="P82" s="4">
        <f>P106</f>
        <v/>
      </c>
      <c r="Q82" s="4">
        <f>Q106</f>
        <v/>
      </c>
      <c r="R82" s="4">
        <f>R106</f>
        <v/>
      </c>
      <c r="S82" s="4">
        <f>S106</f>
        <v/>
      </c>
      <c r="T82" s="4">
        <f>T106</f>
        <v/>
      </c>
      <c r="U82" s="4">
        <f>U106</f>
        <v/>
      </c>
      <c r="V82" s="4">
        <f>V106</f>
        <v/>
      </c>
      <c r="W82" s="4">
        <f>W106</f>
        <v/>
      </c>
      <c r="X82" s="4">
        <f>X106</f>
        <v/>
      </c>
      <c r="Y82" s="4">
        <f>Y106</f>
        <v/>
      </c>
      <c r="Z82" s="4">
        <f>Z106</f>
        <v/>
      </c>
      <c r="AA82" s="4">
        <f>AA106</f>
        <v/>
      </c>
      <c r="AB82" s="4">
        <f>AB106</f>
        <v/>
      </c>
      <c r="AC82" s="4">
        <f>AC106</f>
        <v/>
      </c>
    </row>
    <row r="83">
      <c r="A83" t="inlineStr">
        <is>
          <t>KPI-Total Volume</t>
        </is>
      </c>
      <c r="B83" s="20" t="inlineStr">
        <is>
          <t>Total Volume</t>
        </is>
      </c>
      <c r="C83" s="20" t="inlineStr">
        <is>
          <t>000t</t>
        </is>
      </c>
      <c r="D83" s="21">
        <f>D81+D82</f>
        <v/>
      </c>
      <c r="E83" s="21">
        <f>E81+E82</f>
        <v/>
      </c>
      <c r="F83" s="21">
        <f>F81+F82</f>
        <v/>
      </c>
      <c r="G83" s="21">
        <f>G81+G82</f>
        <v/>
      </c>
      <c r="H83" s="21">
        <f>H81+H82</f>
        <v/>
      </c>
      <c r="I83" s="21">
        <f>I81+I82</f>
        <v/>
      </c>
      <c r="J83" s="21">
        <f>J81+J82</f>
        <v/>
      </c>
      <c r="K83" s="21">
        <f>K81+K82</f>
        <v/>
      </c>
      <c r="L83" s="21">
        <f>L81+L82</f>
        <v/>
      </c>
      <c r="M83" s="21">
        <f>M81+M82</f>
        <v/>
      </c>
      <c r="N83" s="21">
        <f>N81+N82</f>
        <v/>
      </c>
      <c r="O83" s="21">
        <f>O81+O82</f>
        <v/>
      </c>
      <c r="P83" s="21">
        <f>P81+P82</f>
        <v/>
      </c>
      <c r="Q83" s="21">
        <f>Q81+Q82</f>
        <v/>
      </c>
      <c r="R83" s="21">
        <f>R81+R82</f>
        <v/>
      </c>
      <c r="S83" s="21">
        <f>S81+S82</f>
        <v/>
      </c>
      <c r="T83" s="21">
        <f>T81+T82</f>
        <v/>
      </c>
      <c r="U83" s="21">
        <f>U81+U82</f>
        <v/>
      </c>
      <c r="V83" s="21">
        <f>V81+V82</f>
        <v/>
      </c>
      <c r="W83" s="21">
        <f>W81+W82</f>
        <v/>
      </c>
      <c r="X83" s="21">
        <f>X81+X82</f>
        <v/>
      </c>
      <c r="Y83" s="21">
        <f>Y81+Y82</f>
        <v/>
      </c>
      <c r="Z83" s="21">
        <f>Z81+Z82</f>
        <v/>
      </c>
      <c r="AA83" s="21">
        <f>AA81+AA82</f>
        <v/>
      </c>
      <c r="AB83" s="21">
        <f>AB81+AB82</f>
        <v/>
      </c>
      <c r="AC83" s="21">
        <f>AC81+AC82</f>
        <v/>
      </c>
    </row>
    <row r="84">
      <c r="A84" t="inlineStr">
        <is>
          <t>KPI-Steel Rev/t</t>
        </is>
      </c>
      <c r="B84" s="8" t="inlineStr">
        <is>
          <t>Steel Revenue / Tonne</t>
        </is>
      </c>
      <c r="C84" t="inlineStr">
        <is>
          <t>AUD</t>
        </is>
      </c>
      <c r="D84" s="29">
        <f>IF(D81=0,"",D7/D81*1000)</f>
        <v/>
      </c>
      <c r="E84" s="29">
        <f>IF(E81=0,"",E7/E81*1000)</f>
        <v/>
      </c>
      <c r="F84" s="29">
        <f>IF(F81=0,"",F7/F81*1000)</f>
        <v/>
      </c>
      <c r="G84" s="29">
        <f>IF(G81=0,"",G7/G81*1000)</f>
        <v/>
      </c>
      <c r="H84" s="29">
        <f>IF(H81=0,"",H7/H81*1000)</f>
        <v/>
      </c>
      <c r="I84" s="29">
        <f>IF(I81=0,"",I7/I81*1000)</f>
        <v/>
      </c>
      <c r="J84" s="29">
        <f>IF(J81=0,"",J7/J81*1000)</f>
        <v/>
      </c>
      <c r="K84" s="29">
        <f>IF(K81=0,"",K7/K81*1000)</f>
        <v/>
      </c>
      <c r="L84" s="29">
        <f>IF(L81=0,"",L7/L81*1000)</f>
        <v/>
      </c>
      <c r="M84" s="29">
        <f>IF(M81=0,"",M7/M81*1000)</f>
        <v/>
      </c>
      <c r="N84" s="29">
        <f>IF(N81=0,"",N7/N81*1000)</f>
        <v/>
      </c>
      <c r="O84" s="29">
        <f>IF(O81=0,"",O7/O81*1000)</f>
        <v/>
      </c>
      <c r="P84" s="29">
        <f>IF(P81=0,"",P7/P81*1000)</f>
        <v/>
      </c>
      <c r="Q84" s="29">
        <f>IF(Q81=0,"",Q7/Q81*1000)</f>
        <v/>
      </c>
      <c r="R84" s="29">
        <f>IF(R81=0,"",R7/R81*1000)</f>
        <v/>
      </c>
      <c r="S84" s="29">
        <f>IF(S81=0,"",S7/S81*1000)</f>
        <v/>
      </c>
      <c r="T84" s="29">
        <f>IF(T81=0,"",T7/T81*1000)</f>
        <v/>
      </c>
      <c r="U84" s="29">
        <f>IF(U81=0,"",U7/U81*1000)</f>
        <v/>
      </c>
      <c r="V84" s="29">
        <f>IF(V81=0,"",V7/V81*1000)</f>
        <v/>
      </c>
      <c r="W84" s="29">
        <f>IF(W81=0,"",W7/W81*1000)</f>
        <v/>
      </c>
      <c r="X84" s="29">
        <f>IF(X81=0,"",X7/X81*1000)</f>
        <v/>
      </c>
      <c r="Y84" s="29">
        <f>IF(Y81=0,"",Y7/Y81*1000)</f>
        <v/>
      </c>
      <c r="Z84" s="29">
        <f>IF(Z81=0,"",Z7/Z81*1000)</f>
        <v/>
      </c>
      <c r="AA84" s="29">
        <f>IF(AA81=0,"",AA7/AA81*1000)</f>
        <v/>
      </c>
      <c r="AB84" s="29">
        <f>IF(AB81=0,"",AB7/AB81*1000)</f>
        <v/>
      </c>
      <c r="AC84" s="29">
        <f>IF(AC81=0,"",AC7/AC81*1000)</f>
        <v/>
      </c>
    </row>
    <row r="85">
      <c r="A85" t="inlineStr">
        <is>
          <t>KPI-Metals Rev/t</t>
        </is>
      </c>
      <c r="B85" s="8" t="inlineStr">
        <is>
          <t>Metals Revenue / Tonne</t>
        </is>
      </c>
      <c r="C85" t="inlineStr">
        <is>
          <t>AUD</t>
        </is>
      </c>
      <c r="D85" s="29">
        <f>IF(D82=0,"",D8/D82*1000)</f>
        <v/>
      </c>
      <c r="E85" s="29">
        <f>IF(E82=0,"",E8/E82*1000)</f>
        <v/>
      </c>
      <c r="F85" s="29">
        <f>IF(F82=0,"",F8/F82*1000)</f>
        <v/>
      </c>
      <c r="G85" s="29">
        <f>IF(G82=0,"",G8/G82*1000)</f>
        <v/>
      </c>
      <c r="H85" s="29">
        <f>IF(H82=0,"",H8/H82*1000)</f>
        <v/>
      </c>
      <c r="I85" s="29">
        <f>IF(I82=0,"",I8/I82*1000)</f>
        <v/>
      </c>
      <c r="J85" s="29">
        <f>IF(J82=0,"",J8/J82*1000)</f>
        <v/>
      </c>
      <c r="K85" s="29">
        <f>IF(K82=0,"",K8/K82*1000)</f>
        <v/>
      </c>
      <c r="L85" s="29">
        <f>IF(L82=0,"",L8/L82*1000)</f>
        <v/>
      </c>
      <c r="M85" s="29">
        <f>IF(M82=0,"",M8/M82*1000)</f>
        <v/>
      </c>
      <c r="N85" s="29">
        <f>IF(N82=0,"",N8/N82*1000)</f>
        <v/>
      </c>
      <c r="O85" s="29">
        <f>IF(O82=0,"",O8/O82*1000)</f>
        <v/>
      </c>
      <c r="P85" s="29">
        <f>IF(P82=0,"",P8/P82*1000)</f>
        <v/>
      </c>
      <c r="Q85" s="29">
        <f>IF(Q82=0,"",Q8/Q82*1000)</f>
        <v/>
      </c>
      <c r="R85" s="29">
        <f>IF(R82=0,"",R8/R82*1000)</f>
        <v/>
      </c>
      <c r="S85" s="29">
        <f>IF(S82=0,"",S8/S82*1000)</f>
        <v/>
      </c>
      <c r="T85" s="29">
        <f>IF(T82=0,"",T8/T82*1000)</f>
        <v/>
      </c>
      <c r="U85" s="29">
        <f>IF(U82=0,"",U8/U82*1000)</f>
        <v/>
      </c>
      <c r="V85" s="29">
        <f>IF(V82=0,"",V8/V82*1000)</f>
        <v/>
      </c>
      <c r="W85" s="29">
        <f>IF(W82=0,"",W8/W82*1000)</f>
        <v/>
      </c>
      <c r="X85" s="29">
        <f>IF(X82=0,"",X8/X82*1000)</f>
        <v/>
      </c>
      <c r="Y85" s="29">
        <f>IF(Y82=0,"",Y8/Y82*1000)</f>
        <v/>
      </c>
      <c r="Z85" s="29">
        <f>IF(Z82=0,"",Z8/Z82*1000)</f>
        <v/>
      </c>
      <c r="AA85" s="29">
        <f>IF(AA82=0,"",AA8/AA82*1000)</f>
        <v/>
      </c>
      <c r="AB85" s="29">
        <f>IF(AB82=0,"",AB8/AB82*1000)</f>
        <v/>
      </c>
      <c r="AC85" s="29">
        <f>IF(AC82=0,"",AC8/AC82*1000)</f>
        <v/>
      </c>
    </row>
    <row r="86">
      <c r="A86" t="inlineStr">
        <is>
          <t>KPI-Steel GP/t</t>
        </is>
      </c>
      <c r="B86" s="8" t="inlineStr">
        <is>
          <t>Steel GP / Tonne</t>
        </is>
      </c>
      <c r="C86" t="inlineStr">
        <is>
          <t>AUD</t>
        </is>
      </c>
      <c r="D86" s="29">
        <f>IF(D81=0,"",D19/D81*1000)</f>
        <v/>
      </c>
      <c r="E86" s="29">
        <f>IF(E81=0,"",E19/E81*1000)</f>
        <v/>
      </c>
      <c r="F86" s="29">
        <f>IF(F81=0,"",F19/F81*1000)</f>
        <v/>
      </c>
      <c r="G86" s="29">
        <f>IF(G81=0,"",G19/G81*1000)</f>
        <v/>
      </c>
      <c r="H86" s="29">
        <f>IF(H81=0,"",H19/H81*1000)</f>
        <v/>
      </c>
      <c r="I86" s="29">
        <f>IF(I81=0,"",I19/I81*1000)</f>
        <v/>
      </c>
      <c r="J86" s="29">
        <f>IF(J81=0,"",J19/J81*1000)</f>
        <v/>
      </c>
      <c r="K86" s="29">
        <f>IF(K81=0,"",K19/K81*1000)</f>
        <v/>
      </c>
      <c r="L86" s="29">
        <f>IF(L81=0,"",L19/L81*1000)</f>
        <v/>
      </c>
      <c r="M86" s="29">
        <f>IF(M81=0,"",M19/M81*1000)</f>
        <v/>
      </c>
      <c r="N86" s="29">
        <f>IF(N81=0,"",N19/N81*1000)</f>
        <v/>
      </c>
      <c r="O86" s="29">
        <f>IF(O81=0,"",O19/O81*1000)</f>
        <v/>
      </c>
      <c r="P86" s="29">
        <f>IF(P81=0,"",P19/P81*1000)</f>
        <v/>
      </c>
      <c r="Q86" s="29">
        <f>IF(Q81=0,"",Q19/Q81*1000)</f>
        <v/>
      </c>
      <c r="R86" s="29">
        <f>IF(R81=0,"",R19/R81*1000)</f>
        <v/>
      </c>
      <c r="S86" s="29">
        <f>IF(S81=0,"",S19/S81*1000)</f>
        <v/>
      </c>
      <c r="T86" s="29">
        <f>IF(T81=0,"",T19/T81*1000)</f>
        <v/>
      </c>
      <c r="U86" s="29">
        <f>IF(U81=0,"",U19/U81*1000)</f>
        <v/>
      </c>
      <c r="V86" s="29">
        <f>IF(V81=0,"",V19/V81*1000)</f>
        <v/>
      </c>
      <c r="W86" s="29">
        <f>IF(W81=0,"",W19/W81*1000)</f>
        <v/>
      </c>
      <c r="X86" s="29">
        <f>IF(X81=0,"",X19/X81*1000)</f>
        <v/>
      </c>
      <c r="Y86" s="29">
        <f>IF(Y81=0,"",Y19/Y81*1000)</f>
        <v/>
      </c>
      <c r="Z86" s="29">
        <f>IF(Z81=0,"",Z19/Z81*1000)</f>
        <v/>
      </c>
      <c r="AA86" s="29">
        <f>IF(AA81=0,"",AA19/AA81*1000)</f>
        <v/>
      </c>
      <c r="AB86" s="29">
        <f>IF(AB81=0,"",AB19/AB81*1000)</f>
        <v/>
      </c>
      <c r="AC86" s="29">
        <f>IF(AC81=0,"",AC19/AC81*1000)</f>
        <v/>
      </c>
    </row>
    <row r="87">
      <c r="A87" t="inlineStr">
        <is>
          <t>KPI-Metals GP/t</t>
        </is>
      </c>
      <c r="B87" s="8" t="inlineStr">
        <is>
          <t>Metals GP / Tonne</t>
        </is>
      </c>
      <c r="C87" t="inlineStr">
        <is>
          <t>AUD</t>
        </is>
      </c>
      <c r="D87" s="29">
        <f>IF(D82=0,"",D20/D82*1000)</f>
        <v/>
      </c>
      <c r="E87" s="29">
        <f>IF(E82=0,"",E20/E82*1000)</f>
        <v/>
      </c>
      <c r="F87" s="29">
        <f>IF(F82=0,"",F20/F82*1000)</f>
        <v/>
      </c>
      <c r="G87" s="29">
        <f>IF(G82=0,"",G20/G82*1000)</f>
        <v/>
      </c>
      <c r="H87" s="29">
        <f>IF(H82=0,"",H20/H82*1000)</f>
        <v/>
      </c>
      <c r="I87" s="29">
        <f>IF(I82=0,"",I20/I82*1000)</f>
        <v/>
      </c>
      <c r="J87" s="29">
        <f>IF(J82=0,"",J20/J82*1000)</f>
        <v/>
      </c>
      <c r="K87" s="29">
        <f>IF(K82=0,"",K20/K82*1000)</f>
        <v/>
      </c>
      <c r="L87" s="29">
        <f>IF(L82=0,"",L20/L82*1000)</f>
        <v/>
      </c>
      <c r="M87" s="29">
        <f>IF(M82=0,"",M20/M82*1000)</f>
        <v/>
      </c>
      <c r="N87" s="29">
        <f>IF(N82=0,"",N20/N82*1000)</f>
        <v/>
      </c>
      <c r="O87" s="29">
        <f>IF(O82=0,"",O20/O82*1000)</f>
        <v/>
      </c>
      <c r="P87" s="29">
        <f>IF(P82=0,"",P20/P82*1000)</f>
        <v/>
      </c>
      <c r="Q87" s="29">
        <f>IF(Q82=0,"",Q20/Q82*1000)</f>
        <v/>
      </c>
      <c r="R87" s="29">
        <f>IF(R82=0,"",R20/R82*1000)</f>
        <v/>
      </c>
      <c r="S87" s="29">
        <f>IF(S82=0,"",S20/S82*1000)</f>
        <v/>
      </c>
      <c r="T87" s="29">
        <f>IF(T82=0,"",T20/T82*1000)</f>
        <v/>
      </c>
      <c r="U87" s="29">
        <f>IF(U82=0,"",U20/U82*1000)</f>
        <v/>
      </c>
      <c r="V87" s="29">
        <f>IF(V82=0,"",V20/V82*1000)</f>
        <v/>
      </c>
      <c r="W87" s="29">
        <f>IF(W82=0,"",W20/W82*1000)</f>
        <v/>
      </c>
      <c r="X87" s="29">
        <f>IF(X82=0,"",X20/X82*1000)</f>
        <v/>
      </c>
      <c r="Y87" s="29">
        <f>IF(Y82=0,"",Y20/Y82*1000)</f>
        <v/>
      </c>
      <c r="Z87" s="29">
        <f>IF(Z82=0,"",Z20/Z82*1000)</f>
        <v/>
      </c>
      <c r="AA87" s="29">
        <f>IF(AA82=0,"",AA20/AA82*1000)</f>
        <v/>
      </c>
      <c r="AB87" s="29">
        <f>IF(AB82=0,"",AB20/AB82*1000)</f>
        <v/>
      </c>
      <c r="AC87" s="29">
        <f>IF(AC82=0,"",AC20/AC82*1000)</f>
        <v/>
      </c>
    </row>
    <row r="88">
      <c r="A88" t="inlineStr">
        <is>
          <t>KPI-Customers</t>
        </is>
      </c>
      <c r="B88" t="inlineStr">
        <is>
          <t>Active Customers</t>
        </is>
      </c>
      <c r="C88" t="inlineStr">
        <is>
          <t>#</t>
        </is>
      </c>
      <c r="D88" s="30" t="n">
        <v>11941</v>
      </c>
      <c r="E88" s="29">
        <f>INDEX(Annual!$A:$R,MATCH($A88,Annual!$A:$A,0),MATCH(E$1,Annual!$A$1:$R$1,0))</f>
        <v/>
      </c>
      <c r="F88" s="30" t="n">
        <v>12646</v>
      </c>
      <c r="G88" s="29">
        <f>INDEX(Annual!$A:$R,MATCH($A88,Annual!$A:$A,0),MATCH(G$1,Annual!$A$1:$R$1,0))</f>
        <v/>
      </c>
      <c r="H88" s="30" t="n">
        <v>22612</v>
      </c>
      <c r="I88" s="29">
        <f>INDEX(Annual!$A:$R,MATCH($A88,Annual!$A:$A,0),MATCH(I$1,Annual!$A$1:$R$1,0))</f>
        <v/>
      </c>
      <c r="J88" s="30" t="n">
        <v>25456</v>
      </c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</row>
    <row r="89">
      <c r="A89" t="inlineStr">
        <is>
          <t>KPI-Headcount</t>
        </is>
      </c>
      <c r="B89" t="inlineStr">
        <is>
          <t>Headcount</t>
        </is>
      </c>
      <c r="C89" t="inlineStr">
        <is>
          <t>#</t>
        </is>
      </c>
      <c r="D89" s="30" t="n">
        <v>1440</v>
      </c>
      <c r="E89" s="29">
        <f>INDEX(Annual!$A:$R,MATCH($A89,Annual!$A:$A,0),MATCH(E$1,Annual!$A$1:$R$1,0))</f>
        <v/>
      </c>
      <c r="F89" s="30" t="n">
        <v>1283</v>
      </c>
      <c r="G89" s="29">
        <f>INDEX(Annual!$A:$R,MATCH($A89,Annual!$A:$A,0),MATCH(G$1,Annual!$A$1:$R$1,0))</f>
        <v/>
      </c>
      <c r="H89" s="30" t="n">
        <v>1307</v>
      </c>
      <c r="I89" s="29">
        <f>INDEX(Annual!$A:$R,MATCH($A89,Annual!$A:$A,0),MATCH(I$1,Annual!$A$1:$R$1,0))</f>
        <v/>
      </c>
      <c r="J89" s="30" t="n">
        <v>1648</v>
      </c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</row>
    <row r="90">
      <c r="A90" t="inlineStr">
        <is>
          <t>KPI-DIFOT</t>
        </is>
      </c>
      <c r="B90" t="inlineStr">
        <is>
          <t>DIFOT</t>
        </is>
      </c>
      <c r="C90" t="inlineStr">
        <is>
          <t>%</t>
        </is>
      </c>
      <c r="D90" s="6" t="n"/>
      <c r="E90" s="6" t="n"/>
      <c r="F90" s="6" t="n"/>
      <c r="G90" s="6" t="n"/>
      <c r="H90" s="6" t="n"/>
      <c r="I90" s="6" t="n"/>
      <c r="J90" s="31" t="n">
        <v>0.98</v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</row>
    <row r="92">
      <c r="A92" s="27" t="n"/>
      <c r="B92" s="78" t="inlineStr">
        <is>
          <t>Segment Forecast — Australia</t>
        </is>
      </c>
      <c r="C92" s="78" t="n"/>
      <c r="D92" s="78" t="n"/>
      <c r="E92" s="78" t="n"/>
      <c r="F92" s="78" t="n"/>
      <c r="G92" s="78" t="n"/>
      <c r="H92" s="78" t="n"/>
      <c r="I92" s="78" t="n"/>
      <c r="J92" s="78" t="n"/>
      <c r="K92" s="78" t="n"/>
      <c r="L92" s="78" t="n"/>
      <c r="M92" s="78" t="n"/>
      <c r="N92" s="78" t="n"/>
      <c r="O92" s="78" t="n"/>
      <c r="P92" s="78" t="n"/>
      <c r="Q92" s="78" t="n"/>
      <c r="R92" s="78" t="n"/>
      <c r="S92" s="78" t="n"/>
      <c r="T92" s="78" t="n"/>
      <c r="U92" s="78" t="n"/>
      <c r="V92" s="78" t="n"/>
      <c r="W92" s="78" t="n"/>
      <c r="X92" s="78" t="n"/>
      <c r="Y92" s="78" t="n"/>
      <c r="Z92" s="78" t="n"/>
      <c r="AA92" s="78" t="n"/>
      <c r="AB92" s="78" t="n"/>
      <c r="AC92" s="27" t="n"/>
    </row>
    <row r="93">
      <c r="B93" s="77" t="inlineStr">
        <is>
          <t>DT Restaurant Count</t>
        </is>
      </c>
      <c r="C93" t="inlineStr">
        <is>
          <t>#</t>
        </is>
      </c>
      <c r="D93" s="29" t="n"/>
      <c r="E93" s="29" t="n">
        <v>95</v>
      </c>
      <c r="F93" s="29" t="n">
        <v>104</v>
      </c>
      <c r="G93" s="29" t="n">
        <v>117</v>
      </c>
      <c r="H93" s="29" t="n">
        <v>126</v>
      </c>
      <c r="I93" s="29">
        <f>H93+I94</f>
        <v/>
      </c>
      <c r="J93" s="29">
        <f>I93+J94</f>
        <v/>
      </c>
      <c r="K93" s="29">
        <f>J93+K94</f>
        <v/>
      </c>
      <c r="L93" s="29">
        <f>K93+L94</f>
        <v/>
      </c>
      <c r="M93" s="29">
        <f>L93+M94</f>
        <v/>
      </c>
      <c r="N93" s="29">
        <f>M93+N94</f>
        <v/>
      </c>
      <c r="O93" s="29">
        <f>N93+O94</f>
        <v/>
      </c>
      <c r="P93" s="29">
        <f>O93+P94</f>
        <v/>
      </c>
      <c r="Q93" s="29">
        <f>P93+Q94</f>
        <v/>
      </c>
      <c r="R93" s="29">
        <f>Q93+R94</f>
        <v/>
      </c>
      <c r="S93" s="29">
        <f>R93+S94</f>
        <v/>
      </c>
      <c r="T93" s="29">
        <f>S93+T94</f>
        <v/>
      </c>
      <c r="U93" s="29">
        <f>T93+U94</f>
        <v/>
      </c>
      <c r="V93" s="29">
        <f>U93+V94</f>
        <v/>
      </c>
      <c r="W93" s="29">
        <f>V93+W94</f>
        <v/>
      </c>
      <c r="X93" s="29">
        <f>W93+X94</f>
        <v/>
      </c>
      <c r="Y93" s="29">
        <f>X93+Y94</f>
        <v/>
      </c>
      <c r="Z93" s="29">
        <f>Y93+Z94</f>
        <v/>
      </c>
      <c r="AA93" s="29">
        <f>Z93+AA94</f>
        <v/>
      </c>
      <c r="AB93" s="29" t="n"/>
      <c r="AC93" s="4">
        <f>AA93*(1+AC94)</f>
        <v/>
      </c>
    </row>
    <row r="94">
      <c r="B94" s="70" t="inlineStr">
        <is>
          <t>New DT Openings</t>
        </is>
      </c>
      <c r="C94" t="inlineStr">
        <is>
          <t>#</t>
        </is>
      </c>
      <c r="D94" s="29" t="n"/>
      <c r="E94" s="29" t="n"/>
      <c r="F94" s="29" t="n"/>
      <c r="G94" s="29" t="n">
        <v>11</v>
      </c>
      <c r="H94" s="29" t="n">
        <v>5</v>
      </c>
      <c r="I94" s="79">
        <f>G94</f>
        <v/>
      </c>
      <c r="J94" s="79">
        <f>H94</f>
        <v/>
      </c>
      <c r="K94" s="79">
        <f>I94</f>
        <v/>
      </c>
      <c r="L94" s="79">
        <f>J94</f>
        <v/>
      </c>
      <c r="M94" s="79">
        <f>K94</f>
        <v/>
      </c>
      <c r="N94" s="79">
        <f>L94</f>
        <v/>
      </c>
      <c r="O94" s="79">
        <f>M94</f>
        <v/>
      </c>
      <c r="P94" s="79">
        <f>N94</f>
        <v/>
      </c>
      <c r="Q94" s="79">
        <f>O94</f>
        <v/>
      </c>
      <c r="R94" s="79">
        <f>P94</f>
        <v/>
      </c>
      <c r="S94" s="79">
        <f>Q94</f>
        <v/>
      </c>
      <c r="T94" s="79">
        <f>R94</f>
        <v/>
      </c>
      <c r="U94" s="79">
        <f>S94</f>
        <v/>
      </c>
      <c r="V94" s="79">
        <f>T94</f>
        <v/>
      </c>
      <c r="W94" s="79">
        <f>U94</f>
        <v/>
      </c>
      <c r="X94" s="79">
        <f>V94</f>
        <v/>
      </c>
      <c r="Y94" s="79">
        <f>W94</f>
        <v/>
      </c>
      <c r="Z94" s="79">
        <f>X94</f>
        <v/>
      </c>
      <c r="AA94" s="79">
        <f>Y94</f>
        <v/>
      </c>
      <c r="AB94" s="79" t="n"/>
      <c r="AC94" s="26" t="n">
        <v>0.03</v>
      </c>
    </row>
    <row r="95">
      <c r="B95" s="77" t="inlineStr">
        <is>
          <t>DT AUV ($m)</t>
        </is>
      </c>
      <c r="C95" t="inlineStr">
        <is>
          <t>AUDm</t>
        </is>
      </c>
      <c r="D95" s="4" t="n"/>
      <c r="E95" s="4" t="n">
        <v>3.1</v>
      </c>
      <c r="F95" s="4" t="n">
        <v>3.4</v>
      </c>
      <c r="G95" s="4" t="n">
        <v>6.5</v>
      </c>
      <c r="H95" s="4" t="n">
        <v>6.9</v>
      </c>
      <c r="I95" s="4">
        <f>G95*(1+I96)</f>
        <v/>
      </c>
      <c r="J95" s="4">
        <f>H95*(1+J96)</f>
        <v/>
      </c>
      <c r="K95" s="4">
        <f>I95*(1+K96)</f>
        <v/>
      </c>
      <c r="L95" s="4">
        <f>J95*(1+L96)</f>
        <v/>
      </c>
      <c r="M95" s="4">
        <f>K95*(1+M96)</f>
        <v/>
      </c>
      <c r="N95" s="4">
        <f>L95*(1+N96)</f>
        <v/>
      </c>
      <c r="O95" s="4">
        <f>M95*(1+O96)</f>
        <v/>
      </c>
      <c r="P95" s="4">
        <f>N95*(1+P96)</f>
        <v/>
      </c>
      <c r="Q95" s="4">
        <f>O95*(1+Q96)</f>
        <v/>
      </c>
      <c r="R95" s="4">
        <f>P95*(1+R96)</f>
        <v/>
      </c>
      <c r="S95" s="4">
        <f>Q95*(1+S96)</f>
        <v/>
      </c>
      <c r="T95" s="4">
        <f>R95*(1+T96)</f>
        <v/>
      </c>
      <c r="U95" s="4">
        <f>S95*(1+U96)</f>
        <v/>
      </c>
      <c r="V95" s="4">
        <f>T95*(1+V96)</f>
        <v/>
      </c>
      <c r="W95" s="4">
        <f>U95*(1+W96)</f>
        <v/>
      </c>
      <c r="X95" s="4">
        <f>V95*(1+X96)</f>
        <v/>
      </c>
      <c r="Y95" s="4">
        <f>W95*(1+Y96)</f>
        <v/>
      </c>
      <c r="Z95" s="4">
        <f>X95*(1+Z96)</f>
        <v/>
      </c>
      <c r="AA95" s="4">
        <f>Y95*(1+AA96)</f>
        <v/>
      </c>
      <c r="AB95" s="4" t="n"/>
      <c r="AC95" s="29">
        <f>AA95*(1+AC96)</f>
        <v/>
      </c>
    </row>
    <row r="96">
      <c r="B96" s="70" t="inlineStr">
        <is>
          <t>DT AUV Growth</t>
        </is>
      </c>
      <c r="C96" t="inlineStr">
        <is>
          <t>%</t>
        </is>
      </c>
      <c r="D96" s="6" t="n"/>
      <c r="E96" s="6" t="n"/>
      <c r="F96" s="6" t="n"/>
      <c r="G96" s="6" t="n"/>
      <c r="H96" s="6" t="n">
        <v>0</v>
      </c>
      <c r="I96" s="80">
        <f>G96</f>
        <v/>
      </c>
      <c r="J96" s="80">
        <f>H96</f>
        <v/>
      </c>
      <c r="K96" s="80">
        <f>I96</f>
        <v/>
      </c>
      <c r="L96" s="80">
        <f>J96</f>
        <v/>
      </c>
      <c r="M96" s="80">
        <f>K96</f>
        <v/>
      </c>
      <c r="N96" s="80">
        <f>L96</f>
        <v/>
      </c>
      <c r="O96" s="80">
        <f>M96</f>
        <v/>
      </c>
      <c r="P96" s="80">
        <f>N96</f>
        <v/>
      </c>
      <c r="Q96" s="80">
        <f>O96</f>
        <v/>
      </c>
      <c r="R96" s="80">
        <f>P96</f>
        <v/>
      </c>
      <c r="S96" s="80">
        <f>Q96</f>
        <v/>
      </c>
      <c r="T96" s="80">
        <f>R96</f>
        <v/>
      </c>
      <c r="U96" s="80">
        <f>S96</f>
        <v/>
      </c>
      <c r="V96" s="80">
        <f>T96</f>
        <v/>
      </c>
      <c r="W96" s="80">
        <f>U96</f>
        <v/>
      </c>
      <c r="X96" s="80">
        <f>V96</f>
        <v/>
      </c>
      <c r="Y96" s="80">
        <f>W96</f>
        <v/>
      </c>
      <c r="Z96" s="80">
        <f>X96</f>
        <v/>
      </c>
      <c r="AA96" s="80">
        <f>Y96</f>
        <v/>
      </c>
      <c r="AB96" s="80" t="n"/>
      <c r="AC96" s="26" t="n">
        <v>0.025</v>
      </c>
    </row>
    <row r="97">
      <c r="B97" s="77" t="inlineStr">
        <is>
          <t>DT Network Sales</t>
        </is>
      </c>
      <c r="C97" t="inlineStr">
        <is>
          <t>AUDm</t>
        </is>
      </c>
      <c r="D97" s="4" t="n"/>
      <c r="E97" s="4" t="n"/>
      <c r="F97" s="4" t="n"/>
      <c r="G97" s="4" t="n"/>
      <c r="H97" s="4" t="n"/>
      <c r="I97" s="4">
        <f>I93*I95/2</f>
        <v/>
      </c>
      <c r="J97" s="4">
        <f>J93*J95/2</f>
        <v/>
      </c>
      <c r="K97" s="4">
        <f>K93*K95/2</f>
        <v/>
      </c>
      <c r="L97" s="4">
        <f>L93*L95/2</f>
        <v/>
      </c>
      <c r="M97" s="4">
        <f>M93*M95/2</f>
        <v/>
      </c>
      <c r="N97" s="4">
        <f>N93*N95/2</f>
        <v/>
      </c>
      <c r="O97" s="4">
        <f>O93*O95/2</f>
        <v/>
      </c>
      <c r="P97" s="4">
        <f>P93*P95/2</f>
        <v/>
      </c>
      <c r="Q97" s="4">
        <f>Q93*Q95/2</f>
        <v/>
      </c>
      <c r="R97" s="4">
        <f>R93*R95/2</f>
        <v/>
      </c>
      <c r="S97" s="4">
        <f>S93*S95/2</f>
        <v/>
      </c>
      <c r="T97" s="4">
        <f>T93*T95/2</f>
        <v/>
      </c>
      <c r="U97" s="4">
        <f>U93*U95/2</f>
        <v/>
      </c>
      <c r="V97" s="4">
        <f>V93*V95/2</f>
        <v/>
      </c>
      <c r="W97" s="4">
        <f>W93*W95/2</f>
        <v/>
      </c>
      <c r="X97" s="4">
        <f>X93*X95/2</f>
        <v/>
      </c>
      <c r="Y97" s="4">
        <f>Y93*Y95/2</f>
        <v/>
      </c>
      <c r="Z97" s="4">
        <f>Z93*Z95/2</f>
        <v/>
      </c>
      <c r="AA97" s="4">
        <f>AA93*AA95/2</f>
        <v/>
      </c>
      <c r="AB97" s="4" t="n"/>
      <c r="AC97" s="4">
        <f>AC93*AC95/1000</f>
        <v/>
      </c>
    </row>
    <row r="98">
      <c r="B98" s="77" t="inlineStr">
        <is>
          <t>Non-DT Restaurant Count</t>
        </is>
      </c>
      <c r="C98" t="inlineStr">
        <is>
          <t>#</t>
        </is>
      </c>
      <c r="D98" s="29" t="n"/>
      <c r="E98" s="29" t="n">
        <v>99</v>
      </c>
      <c r="F98" s="29" t="n">
        <v>106</v>
      </c>
      <c r="G98" s="29" t="n">
        <v>107</v>
      </c>
      <c r="H98" s="29" t="n">
        <v>111</v>
      </c>
      <c r="I98" s="29">
        <f>H98+I99</f>
        <v/>
      </c>
      <c r="J98" s="29">
        <f>I98+J99</f>
        <v/>
      </c>
      <c r="K98" s="81">
        <f>J98+K99</f>
        <v/>
      </c>
      <c r="L98" s="81">
        <f>K98+L99</f>
        <v/>
      </c>
      <c r="M98" s="81">
        <f>L98+M99</f>
        <v/>
      </c>
      <c r="N98" s="81">
        <f>M98+N99</f>
        <v/>
      </c>
      <c r="O98" s="81">
        <f>N98+O99</f>
        <v/>
      </c>
      <c r="P98" s="81">
        <f>O98+P99</f>
        <v/>
      </c>
      <c r="Q98" s="81">
        <f>P98+Q99</f>
        <v/>
      </c>
      <c r="R98" s="81">
        <f>Q98+R99</f>
        <v/>
      </c>
      <c r="S98" s="81">
        <f>R98+S99</f>
        <v/>
      </c>
      <c r="T98" s="81">
        <f>S98+T99</f>
        <v/>
      </c>
      <c r="U98" s="81">
        <f>T98+U99</f>
        <v/>
      </c>
      <c r="V98" s="81">
        <f>U98+V99</f>
        <v/>
      </c>
      <c r="W98" s="81">
        <f>V98+W99</f>
        <v/>
      </c>
      <c r="X98" s="81">
        <f>W98+X99</f>
        <v/>
      </c>
      <c r="Y98" s="81">
        <f>X98+Y99</f>
        <v/>
      </c>
      <c r="Z98" s="81">
        <f>Y98+Z99</f>
        <v/>
      </c>
      <c r="AA98" s="81">
        <f>Z98+AA99</f>
        <v/>
      </c>
      <c r="AB98" s="81" t="n"/>
      <c r="AC98" s="26">
        <f>AA98</f>
        <v/>
      </c>
    </row>
    <row r="99">
      <c r="B99" s="70" t="inlineStr">
        <is>
          <t>New Non-DT Openings</t>
        </is>
      </c>
      <c r="C99" t="inlineStr">
        <is>
          <t>#</t>
        </is>
      </c>
      <c r="D99" s="29" t="n"/>
      <c r="E99" s="29" t="n"/>
      <c r="F99" s="29" t="n"/>
      <c r="G99" s="29" t="n">
        <v>7</v>
      </c>
      <c r="H99" s="29" t="n">
        <v>4</v>
      </c>
      <c r="I99" s="79">
        <f>G99</f>
        <v/>
      </c>
      <c r="J99" s="79">
        <f>H99</f>
        <v/>
      </c>
      <c r="K99" s="79">
        <f>I99</f>
        <v/>
      </c>
      <c r="L99" s="79">
        <f>J99</f>
        <v/>
      </c>
      <c r="M99" s="79">
        <f>K99</f>
        <v/>
      </c>
      <c r="N99" s="79">
        <f>L99</f>
        <v/>
      </c>
      <c r="O99" s="79">
        <f>M99</f>
        <v/>
      </c>
      <c r="P99" s="79">
        <f>N99</f>
        <v/>
      </c>
      <c r="Q99" s="79">
        <f>O99</f>
        <v/>
      </c>
      <c r="R99" s="79">
        <f>P99</f>
        <v/>
      </c>
      <c r="S99" s="79">
        <f>Q99</f>
        <v/>
      </c>
      <c r="T99" s="79">
        <f>R99</f>
        <v/>
      </c>
      <c r="U99" s="79">
        <f>S99</f>
        <v/>
      </c>
      <c r="V99" s="79">
        <f>T99</f>
        <v/>
      </c>
      <c r="W99" s="79">
        <f>U99</f>
        <v/>
      </c>
      <c r="X99" s="79">
        <f>V99</f>
        <v/>
      </c>
      <c r="Y99" s="79">
        <f>W99</f>
        <v/>
      </c>
      <c r="Z99" s="79">
        <f>X99</f>
        <v/>
      </c>
      <c r="AA99" s="79">
        <f>Y99</f>
        <v/>
      </c>
      <c r="AB99" s="79" t="n"/>
      <c r="AC99" s="4">
        <f>AC97*AC98</f>
        <v/>
      </c>
    </row>
    <row r="100">
      <c r="B100" s="77" t="inlineStr">
        <is>
          <t>Non-DT AUV ($m)</t>
        </is>
      </c>
      <c r="C100" t="inlineStr">
        <is>
          <t>AUDm</t>
        </is>
      </c>
      <c r="D100" s="4" t="n"/>
      <c r="E100" s="4" t="n">
        <v>2.1</v>
      </c>
      <c r="F100" s="4" t="n">
        <v>2.25</v>
      </c>
      <c r="G100" s="4" t="n">
        <v>4.8</v>
      </c>
      <c r="H100" s="4" t="n">
        <v>5.2</v>
      </c>
      <c r="I100" s="4">
        <f>G100*(1+I101)</f>
        <v/>
      </c>
      <c r="J100" s="4">
        <f>H100*(1+J101)</f>
        <v/>
      </c>
      <c r="K100" s="4">
        <f>I100*(1+K101)</f>
        <v/>
      </c>
      <c r="L100" s="4">
        <f>J100*(1+L101)</f>
        <v/>
      </c>
      <c r="M100" s="4">
        <f>K100*(1+M101)</f>
        <v/>
      </c>
      <c r="N100" s="4">
        <f>L100*(1+N101)</f>
        <v/>
      </c>
      <c r="O100" s="4">
        <f>M100*(1+O101)</f>
        <v/>
      </c>
      <c r="P100" s="4">
        <f>N100*(1+P101)</f>
        <v/>
      </c>
      <c r="Q100" s="4">
        <f>O100*(1+Q101)</f>
        <v/>
      </c>
      <c r="R100" s="4">
        <f>P100*(1+R101)</f>
        <v/>
      </c>
      <c r="S100" s="4">
        <f>Q100*(1+S101)</f>
        <v/>
      </c>
      <c r="T100" s="4">
        <f>R100*(1+T101)</f>
        <v/>
      </c>
      <c r="U100" s="4">
        <f>S100*(1+U101)</f>
        <v/>
      </c>
      <c r="V100" s="4">
        <f>T100*(1+V101)</f>
        <v/>
      </c>
      <c r="W100" s="4">
        <f>U100*(1+W101)</f>
        <v/>
      </c>
      <c r="X100" s="4">
        <f>V100*(1+X101)</f>
        <v/>
      </c>
      <c r="Y100" s="4">
        <f>W100*(1+Y101)</f>
        <v/>
      </c>
      <c r="Z100" s="4">
        <f>X100*(1+Z101)</f>
        <v/>
      </c>
      <c r="AA100" s="4">
        <f>Y100*(1+AA101)</f>
        <v/>
      </c>
      <c r="AB100" s="4" t="n"/>
      <c r="AC100" s="4">
        <f>AA100*(1+AC101)</f>
        <v/>
      </c>
    </row>
    <row r="101">
      <c r="B101" s="70" t="inlineStr">
        <is>
          <t>Non-DT AUV Growth</t>
        </is>
      </c>
      <c r="C101" t="inlineStr">
        <is>
          <t>%</t>
        </is>
      </c>
      <c r="D101" s="6" t="n"/>
      <c r="E101" s="6" t="n"/>
      <c r="F101" s="6" t="n"/>
      <c r="G101" s="6" t="n"/>
      <c r="H101" s="6" t="n">
        <v>0</v>
      </c>
      <c r="I101" s="80">
        <f>G101</f>
        <v/>
      </c>
      <c r="J101" s="80">
        <f>H101</f>
        <v/>
      </c>
      <c r="K101" s="80">
        <f>I101</f>
        <v/>
      </c>
      <c r="L101" s="80">
        <f>J101</f>
        <v/>
      </c>
      <c r="M101" s="80">
        <f>K101</f>
        <v/>
      </c>
      <c r="N101" s="80">
        <f>L101</f>
        <v/>
      </c>
      <c r="O101" s="80">
        <f>M101</f>
        <v/>
      </c>
      <c r="P101" s="80">
        <f>N101</f>
        <v/>
      </c>
      <c r="Q101" s="80">
        <f>O101</f>
        <v/>
      </c>
      <c r="R101" s="80">
        <f>P101</f>
        <v/>
      </c>
      <c r="S101" s="80">
        <f>Q101</f>
        <v/>
      </c>
      <c r="T101" s="80">
        <f>R101</f>
        <v/>
      </c>
      <c r="U101" s="80">
        <f>S101</f>
        <v/>
      </c>
      <c r="V101" s="80">
        <f>T101</f>
        <v/>
      </c>
      <c r="W101" s="80">
        <f>U101</f>
        <v/>
      </c>
      <c r="X101" s="80">
        <f>V101</f>
        <v/>
      </c>
      <c r="Y101" s="80">
        <f>W101</f>
        <v/>
      </c>
      <c r="Z101" s="80">
        <f>X101</f>
        <v/>
      </c>
      <c r="AA101" s="80">
        <f>Y101</f>
        <v/>
      </c>
      <c r="AB101" s="80" t="n"/>
      <c r="AC101" s="26" t="n">
        <v>0.025</v>
      </c>
    </row>
    <row r="102">
      <c r="B102" s="77" t="inlineStr">
        <is>
          <t>Non-DT Network Sales</t>
        </is>
      </c>
      <c r="C102" t="inlineStr">
        <is>
          <t>AUDm</t>
        </is>
      </c>
      <c r="D102" s="4" t="n"/>
      <c r="E102" s="4" t="n"/>
      <c r="F102" s="4" t="n"/>
      <c r="G102" s="4" t="n"/>
      <c r="H102" s="4" t="n"/>
      <c r="I102" s="4">
        <f>I98*I100/2</f>
        <v/>
      </c>
      <c r="J102" s="4">
        <f>J98*J100/2</f>
        <v/>
      </c>
      <c r="K102" s="4">
        <f>K98*K100/2</f>
        <v/>
      </c>
      <c r="L102" s="4">
        <f>L98*L100/2</f>
        <v/>
      </c>
      <c r="M102" s="4">
        <f>M98*M100/2</f>
        <v/>
      </c>
      <c r="N102" s="4">
        <f>N98*N100/2</f>
        <v/>
      </c>
      <c r="O102" s="4">
        <f>O98*O100/2</f>
        <v/>
      </c>
      <c r="P102" s="4">
        <f>P98*P100/2</f>
        <v/>
      </c>
      <c r="Q102" s="4">
        <f>Q98*Q100/2</f>
        <v/>
      </c>
      <c r="R102" s="4">
        <f>R98*R100/2</f>
        <v/>
      </c>
      <c r="S102" s="4">
        <f>S98*S100/2</f>
        <v/>
      </c>
      <c r="T102" s="4">
        <f>T98*T100/2</f>
        <v/>
      </c>
      <c r="U102" s="4">
        <f>U98*U100/2</f>
        <v/>
      </c>
      <c r="V102" s="4">
        <f>V98*V100/2</f>
        <v/>
      </c>
      <c r="W102" s="4">
        <f>W98*W100/2</f>
        <v/>
      </c>
      <c r="X102" s="4">
        <f>X98*X100/2</f>
        <v/>
      </c>
      <c r="Y102" s="4">
        <f>Y98*Y100/2</f>
        <v/>
      </c>
      <c r="Z102" s="4">
        <f>Z98*Z100/2</f>
        <v/>
      </c>
      <c r="AA102" s="4">
        <f>AA98*AA100/2</f>
        <v/>
      </c>
      <c r="AB102" s="4" t="n"/>
      <c r="AC102" s="29">
        <f>IF(AC93=0,"",-AC100/AC93*1000)</f>
        <v/>
      </c>
    </row>
    <row r="103">
      <c r="B103" s="82" t="inlineStr">
        <is>
          <t>AU Network Sales</t>
        </is>
      </c>
      <c r="C103" s="20" t="inlineStr">
        <is>
          <t>AUDm</t>
        </is>
      </c>
      <c r="D103" s="21" t="n">
        <v>438.6</v>
      </c>
      <c r="E103" s="21" t="n">
        <v>456</v>
      </c>
      <c r="F103" s="21" t="n">
        <v>538.2</v>
      </c>
      <c r="G103" s="21" t="n">
        <v>556.4</v>
      </c>
      <c r="H103" s="21" t="n">
        <v>632.1</v>
      </c>
      <c r="I103" s="21">
        <f>I97+I102</f>
        <v/>
      </c>
      <c r="J103" s="21">
        <f>J97+J102</f>
        <v/>
      </c>
      <c r="K103" s="21">
        <f>K97+K102</f>
        <v/>
      </c>
      <c r="L103" s="21">
        <f>L97+L102</f>
        <v/>
      </c>
      <c r="M103" s="21">
        <f>M97+M102</f>
        <v/>
      </c>
      <c r="N103" s="21">
        <f>N97+N102</f>
        <v/>
      </c>
      <c r="O103" s="21">
        <f>O97+O102</f>
        <v/>
      </c>
      <c r="P103" s="21">
        <f>P97+P102</f>
        <v/>
      </c>
      <c r="Q103" s="21">
        <f>Q97+Q102</f>
        <v/>
      </c>
      <c r="R103" s="21">
        <f>R97+R102</f>
        <v/>
      </c>
      <c r="S103" s="21">
        <f>S97+S102</f>
        <v/>
      </c>
      <c r="T103" s="21">
        <f>T97+T102</f>
        <v/>
      </c>
      <c r="U103" s="21">
        <f>U97+U102</f>
        <v/>
      </c>
      <c r="V103" s="21">
        <f>V97+V102</f>
        <v/>
      </c>
      <c r="W103" s="21">
        <f>W97+W102</f>
        <v/>
      </c>
      <c r="X103" s="21">
        <f>X97+X102</f>
        <v/>
      </c>
      <c r="Y103" s="21">
        <f>Y97+Y102</f>
        <v/>
      </c>
      <c r="Z103" s="21">
        <f>Z97+Z102</f>
        <v/>
      </c>
      <c r="AA103" s="21">
        <f>AA97+AA102</f>
        <v/>
      </c>
      <c r="AB103" s="21" t="n"/>
      <c r="AC103" s="21">
        <f>AC99+AC100</f>
        <v/>
      </c>
    </row>
    <row r="104">
      <c r="B104" s="70" t="inlineStr">
        <is>
          <t>Asia Network Sales</t>
        </is>
      </c>
      <c r="C104" t="inlineStr">
        <is>
          <t>AUDm</t>
        </is>
      </c>
      <c r="D104" s="4" t="n">
        <v>26.5</v>
      </c>
      <c r="E104" s="4" t="n">
        <v>27.8</v>
      </c>
      <c r="F104" s="4" t="n">
        <v>34.8</v>
      </c>
      <c r="G104" s="4" t="n">
        <v>39.1</v>
      </c>
      <c r="H104" s="4" t="n">
        <v>41.5</v>
      </c>
      <c r="I104" s="4">
        <f>G104*(1+I105)</f>
        <v/>
      </c>
      <c r="J104" s="4">
        <f>H104*(1+J105)</f>
        <v/>
      </c>
      <c r="K104" s="4">
        <f>I104*(1+K105)</f>
        <v/>
      </c>
      <c r="L104" s="4">
        <f>J104*(1+L105)</f>
        <v/>
      </c>
      <c r="M104" s="4">
        <f>K104*(1+M105)</f>
        <v/>
      </c>
      <c r="N104" s="4">
        <f>L104*(1+N105)</f>
        <v/>
      </c>
      <c r="O104" s="4">
        <f>M104*(1+O105)</f>
        <v/>
      </c>
      <c r="P104" s="4">
        <f>N104*(1+P105)</f>
        <v/>
      </c>
      <c r="Q104" s="4">
        <f>O104*(1+Q105)</f>
        <v/>
      </c>
      <c r="R104" s="4">
        <f>P104*(1+R105)</f>
        <v/>
      </c>
      <c r="S104" s="4">
        <f>Q104*(1+S105)</f>
        <v/>
      </c>
      <c r="T104" s="4">
        <f>R104*(1+T105)</f>
        <v/>
      </c>
      <c r="U104" s="4">
        <f>S104*(1+U105)</f>
        <v/>
      </c>
      <c r="V104" s="4">
        <f>T104*(1+V105)</f>
        <v/>
      </c>
      <c r="W104" s="4">
        <f>U104*(1+W105)</f>
        <v/>
      </c>
      <c r="X104" s="4">
        <f>V104*(1+X105)</f>
        <v/>
      </c>
      <c r="Y104" s="4">
        <f>W104*(1+Y105)</f>
        <v/>
      </c>
      <c r="Z104" s="4">
        <f>X104*(1+Z105)</f>
        <v/>
      </c>
      <c r="AA104" s="4">
        <f>Y104*(1+AA105)</f>
        <v/>
      </c>
      <c r="AB104" s="4" t="n"/>
    </row>
    <row r="105">
      <c r="B105" s="70" t="inlineStr">
        <is>
          <t>Asia NS Growth</t>
        </is>
      </c>
      <c r="C105" t="inlineStr">
        <is>
          <t>%</t>
        </is>
      </c>
      <c r="D105" s="6" t="n"/>
      <c r="E105" s="6" t="n"/>
      <c r="F105" s="6" t="n"/>
      <c r="G105" s="6" t="n">
        <v>0.1</v>
      </c>
      <c r="H105" s="6" t="n">
        <v>0.1</v>
      </c>
      <c r="I105" s="80">
        <f>G105</f>
        <v/>
      </c>
      <c r="J105" s="80">
        <f>H105</f>
        <v/>
      </c>
      <c r="K105" s="80">
        <f>I105</f>
        <v/>
      </c>
      <c r="L105" s="80">
        <f>J105</f>
        <v/>
      </c>
      <c r="M105" s="80">
        <f>K105</f>
        <v/>
      </c>
      <c r="N105" s="80">
        <f>L105</f>
        <v/>
      </c>
      <c r="O105" s="80">
        <f>M105</f>
        <v/>
      </c>
      <c r="P105" s="80">
        <f>N105</f>
        <v/>
      </c>
      <c r="Q105" s="80">
        <f>O105</f>
        <v/>
      </c>
      <c r="R105" s="80">
        <f>P105</f>
        <v/>
      </c>
      <c r="S105" s="80">
        <f>Q105</f>
        <v/>
      </c>
      <c r="T105" s="80">
        <f>R105</f>
        <v/>
      </c>
      <c r="U105" s="80">
        <f>S105</f>
        <v/>
      </c>
      <c r="V105" s="80">
        <f>T105</f>
        <v/>
      </c>
      <c r="W105" s="80">
        <f>U105</f>
        <v/>
      </c>
      <c r="X105" s="80">
        <f>V105</f>
        <v/>
      </c>
      <c r="Y105" s="80">
        <f>W105</f>
        <v/>
      </c>
      <c r="Z105" s="80">
        <f>X105</f>
        <v/>
      </c>
      <c r="AA105" s="80">
        <f>Y105</f>
        <v/>
      </c>
      <c r="AB105" s="80" t="n"/>
    </row>
    <row r="106">
      <c r="B106" s="77" t="inlineStr">
        <is>
          <t>Total AU Segment Network Sales</t>
        </is>
      </c>
      <c r="C106" t="inlineStr">
        <is>
          <t>AUDm</t>
        </is>
      </c>
      <c r="D106" s="4" t="n">
        <v>465.1</v>
      </c>
      <c r="E106" s="4" t="n">
        <v>483.8</v>
      </c>
      <c r="F106" s="4" t="n">
        <v>573</v>
      </c>
      <c r="G106" s="4" t="n">
        <v>595.5</v>
      </c>
      <c r="H106" s="4" t="n">
        <v>673.6</v>
      </c>
      <c r="I106" s="4">
        <f>I103+I104</f>
        <v/>
      </c>
      <c r="J106" s="4">
        <f>J103+J104</f>
        <v/>
      </c>
      <c r="K106" s="4">
        <f>K103+K104</f>
        <v/>
      </c>
      <c r="L106" s="4">
        <f>L103+L104</f>
        <v/>
      </c>
      <c r="M106" s="4">
        <f>M103+M104</f>
        <v/>
      </c>
      <c r="N106" s="4">
        <f>N103+N104</f>
        <v/>
      </c>
      <c r="O106" s="4">
        <f>O103+O104</f>
        <v/>
      </c>
      <c r="P106" s="4">
        <f>P103+P104</f>
        <v/>
      </c>
      <c r="Q106" s="4">
        <f>Q103+Q104</f>
        <v/>
      </c>
      <c r="R106" s="4">
        <f>R103+R104</f>
        <v/>
      </c>
      <c r="S106" s="4">
        <f>S103+S104</f>
        <v/>
      </c>
      <c r="T106" s="4">
        <f>T103+T104</f>
        <v/>
      </c>
      <c r="U106" s="4">
        <f>U103+U104</f>
        <v/>
      </c>
      <c r="V106" s="4">
        <f>V103+V104</f>
        <v/>
      </c>
      <c r="W106" s="4">
        <f>W103+W104</f>
        <v/>
      </c>
      <c r="X106" s="4">
        <f>X103+X104</f>
        <v/>
      </c>
      <c r="Y106" s="4">
        <f>Y103+Y104</f>
        <v/>
      </c>
      <c r="Z106" s="4">
        <f>Z103+Z104</f>
        <v/>
      </c>
      <c r="AA106" s="4">
        <f>AA103+AA104</f>
        <v/>
      </c>
      <c r="AB106" s="4" t="n"/>
    </row>
    <row r="107">
      <c r="B107" s="77" t="inlineStr">
        <is>
          <t>Corp Restaurant Count</t>
        </is>
      </c>
      <c r="C107" t="inlineStr">
        <is>
          <t>#</t>
        </is>
      </c>
      <c r="D107" s="29" t="n">
        <v>62</v>
      </c>
      <c r="E107" s="29" t="n">
        <v>64</v>
      </c>
      <c r="F107" s="29" t="n">
        <v>74</v>
      </c>
      <c r="G107" s="29" t="n">
        <v>81</v>
      </c>
      <c r="H107" s="29" t="n">
        <v>87</v>
      </c>
      <c r="I107" s="29">
        <f>H107+I108</f>
        <v/>
      </c>
      <c r="J107" s="29">
        <f>I107+J108</f>
        <v/>
      </c>
      <c r="K107" s="29">
        <f>J107+K108</f>
        <v/>
      </c>
      <c r="L107" s="29">
        <f>K107+L108</f>
        <v/>
      </c>
      <c r="M107" s="29">
        <f>L107+M108</f>
        <v/>
      </c>
      <c r="N107" s="29">
        <f>M107+N108</f>
        <v/>
      </c>
      <c r="O107" s="29">
        <f>N107+O108</f>
        <v/>
      </c>
      <c r="P107" s="29">
        <f>O107+P108</f>
        <v/>
      </c>
      <c r="Q107" s="29">
        <f>P107+Q108</f>
        <v/>
      </c>
      <c r="R107" s="29">
        <f>Q107+R108</f>
        <v/>
      </c>
      <c r="S107" s="29">
        <f>R107+S108</f>
        <v/>
      </c>
      <c r="T107" s="29">
        <f>S107+T108</f>
        <v/>
      </c>
      <c r="U107" s="29">
        <f>T107+U108</f>
        <v/>
      </c>
      <c r="V107" s="29">
        <f>U107+V108</f>
        <v/>
      </c>
      <c r="W107" s="29">
        <f>V107+W108</f>
        <v/>
      </c>
      <c r="X107" s="29">
        <f>W107+X108</f>
        <v/>
      </c>
      <c r="Y107" s="29">
        <f>X107+Y108</f>
        <v/>
      </c>
      <c r="Z107" s="29">
        <f>Y107+Z108</f>
        <v/>
      </c>
      <c r="AA107" s="29">
        <f>Z107+AA108</f>
        <v/>
      </c>
      <c r="AB107" s="29" t="n"/>
    </row>
    <row r="108">
      <c r="B108" s="70" t="inlineStr">
        <is>
          <t>New Corp Openings</t>
        </is>
      </c>
      <c r="C108" t="inlineStr">
        <is>
          <t>#</t>
        </is>
      </c>
      <c r="D108" s="29" t="n"/>
      <c r="E108" s="29" t="n"/>
      <c r="F108" s="29" t="n"/>
      <c r="G108" s="29" t="n">
        <v>7</v>
      </c>
      <c r="H108" s="29" t="n">
        <v>6</v>
      </c>
      <c r="I108" s="79">
        <f>G108</f>
        <v/>
      </c>
      <c r="J108" s="79">
        <f>H108</f>
        <v/>
      </c>
      <c r="K108" s="79">
        <f>I108</f>
        <v/>
      </c>
      <c r="L108" s="79">
        <f>J108</f>
        <v/>
      </c>
      <c r="M108" s="79">
        <f>K108</f>
        <v/>
      </c>
      <c r="N108" s="79">
        <f>L108</f>
        <v/>
      </c>
      <c r="O108" s="79">
        <f>M108</f>
        <v/>
      </c>
      <c r="P108" s="79">
        <f>N108</f>
        <v/>
      </c>
      <c r="Q108" s="79">
        <f>O108</f>
        <v/>
      </c>
      <c r="R108" s="79">
        <f>P108</f>
        <v/>
      </c>
      <c r="S108" s="79">
        <f>Q108</f>
        <v/>
      </c>
      <c r="T108" s="79">
        <f>R108</f>
        <v/>
      </c>
      <c r="U108" s="79">
        <f>S108</f>
        <v/>
      </c>
      <c r="V108" s="79">
        <f>T108</f>
        <v/>
      </c>
      <c r="W108" s="79">
        <f>U108</f>
        <v/>
      </c>
      <c r="X108" s="79">
        <f>V108</f>
        <v/>
      </c>
      <c r="Y108" s="79">
        <f>W108</f>
        <v/>
      </c>
      <c r="Z108" s="79">
        <f>X108</f>
        <v/>
      </c>
      <c r="AA108" s="79">
        <f>Y108</f>
        <v/>
      </c>
      <c r="AB108" s="79" t="n"/>
    </row>
    <row r="109">
      <c r="B109" s="70" t="inlineStr">
        <is>
          <t>Corp Sales / AU NS %</t>
        </is>
      </c>
      <c r="C109" t="inlineStr">
        <is>
          <t>%</t>
        </is>
      </c>
      <c r="D109" s="6" t="n">
        <v>0.31</v>
      </c>
      <c r="E109" s="6" t="n">
        <v>0.313</v>
      </c>
      <c r="F109" s="6" t="n">
        <v>0.327</v>
      </c>
      <c r="G109" s="6" t="n">
        <v>0.331</v>
      </c>
      <c r="H109" s="6" t="n">
        <v>0.34</v>
      </c>
      <c r="I109" s="80">
        <f>G109</f>
        <v/>
      </c>
      <c r="J109" s="80">
        <f>H109</f>
        <v/>
      </c>
      <c r="K109" s="80">
        <f>I109</f>
        <v/>
      </c>
      <c r="L109" s="80">
        <f>J109</f>
        <v/>
      </c>
      <c r="M109" s="80">
        <f>K109</f>
        <v/>
      </c>
      <c r="N109" s="80">
        <f>L109</f>
        <v/>
      </c>
      <c r="O109" s="80">
        <f>M109</f>
        <v/>
      </c>
      <c r="P109" s="80">
        <f>N109</f>
        <v/>
      </c>
      <c r="Q109" s="80">
        <f>O109</f>
        <v/>
      </c>
      <c r="R109" s="80">
        <f>P109</f>
        <v/>
      </c>
      <c r="S109" s="80">
        <f>Q109</f>
        <v/>
      </c>
      <c r="T109" s="80">
        <f>R109</f>
        <v/>
      </c>
      <c r="U109" s="80">
        <f>S109</f>
        <v/>
      </c>
      <c r="V109" s="80">
        <f>T109</f>
        <v/>
      </c>
      <c r="W109" s="80">
        <f>U109</f>
        <v/>
      </c>
      <c r="X109" s="80">
        <f>V109</f>
        <v/>
      </c>
      <c r="Y109" s="80">
        <f>W109</f>
        <v/>
      </c>
      <c r="Z109" s="80">
        <f>X109</f>
        <v/>
      </c>
      <c r="AA109" s="80">
        <f>Y109</f>
        <v/>
      </c>
      <c r="AB109" s="80" t="n"/>
    </row>
    <row r="110">
      <c r="B110" s="77" t="inlineStr">
        <is>
          <t>Corp Restaurant Sales</t>
        </is>
      </c>
      <c r="C110" t="inlineStr">
        <is>
          <t>AUDm</t>
        </is>
      </c>
      <c r="D110" s="4" t="n">
        <v>136.155</v>
      </c>
      <c r="E110" s="4" t="n">
        <v>142.722</v>
      </c>
      <c r="F110" s="4" t="n">
        <v>176.051</v>
      </c>
      <c r="G110" s="4" t="n">
        <v>183.671</v>
      </c>
      <c r="H110" s="4" t="n">
        <v>215.116</v>
      </c>
      <c r="I110" s="4">
        <f>I103*I109</f>
        <v/>
      </c>
      <c r="J110" s="4">
        <f>J103*J109</f>
        <v/>
      </c>
      <c r="K110" s="4">
        <f>K103*K109</f>
        <v/>
      </c>
      <c r="L110" s="4">
        <f>L103*L109</f>
        <v/>
      </c>
      <c r="M110" s="4">
        <f>M103*M109</f>
        <v/>
      </c>
      <c r="N110" s="4">
        <f>N103*N109</f>
        <v/>
      </c>
      <c r="O110" s="4">
        <f>O103*O109</f>
        <v/>
      </c>
      <c r="P110" s="4">
        <f>P103*P109</f>
        <v/>
      </c>
      <c r="Q110" s="4">
        <f>Q103*Q109</f>
        <v/>
      </c>
      <c r="R110" s="4">
        <f>R103*R109</f>
        <v/>
      </c>
      <c r="S110" s="4">
        <f>S103*S109</f>
        <v/>
      </c>
      <c r="T110" s="4">
        <f>T103*T109</f>
        <v/>
      </c>
      <c r="U110" s="4">
        <f>U103*U109</f>
        <v/>
      </c>
      <c r="V110" s="4">
        <f>V103*V109</f>
        <v/>
      </c>
      <c r="W110" s="4">
        <f>W103*W109</f>
        <v/>
      </c>
      <c r="X110" s="4">
        <f>X103*X109</f>
        <v/>
      </c>
      <c r="Y110" s="4">
        <f>Y103*Y109</f>
        <v/>
      </c>
      <c r="Z110" s="4">
        <f>Z103*Z109</f>
        <v/>
      </c>
      <c r="AA110" s="4">
        <f>AA103*AA109</f>
        <v/>
      </c>
      <c r="AB110" s="4" t="n"/>
    </row>
    <row r="111">
      <c r="B111" s="70" t="inlineStr">
        <is>
          <t>Corp Restaurant Margin %</t>
        </is>
      </c>
      <c r="C111" t="inlineStr">
        <is>
          <t>%</t>
        </is>
      </c>
      <c r="D111" s="6" t="n">
        <v>0.175</v>
      </c>
      <c r="E111" s="6" t="n">
        <v>0.173</v>
      </c>
      <c r="F111" s="6" t="n">
        <v>0.18</v>
      </c>
      <c r="G111" s="6" t="n">
        <v>0.178</v>
      </c>
      <c r="H111" s="6" t="n">
        <v>0.176</v>
      </c>
      <c r="I111" s="80">
        <f>G111</f>
        <v/>
      </c>
      <c r="J111" s="80">
        <f>H111</f>
        <v/>
      </c>
      <c r="K111" s="80">
        <f>I111</f>
        <v/>
      </c>
      <c r="L111" s="80">
        <f>J111</f>
        <v/>
      </c>
      <c r="M111" s="80">
        <f>K111</f>
        <v/>
      </c>
      <c r="N111" s="80">
        <f>L111</f>
        <v/>
      </c>
      <c r="O111" s="80">
        <f>M111</f>
        <v/>
      </c>
      <c r="P111" s="80">
        <f>N111</f>
        <v/>
      </c>
      <c r="Q111" s="80">
        <f>O111</f>
        <v/>
      </c>
      <c r="R111" s="80">
        <f>P111</f>
        <v/>
      </c>
      <c r="S111" s="80">
        <f>Q111</f>
        <v/>
      </c>
      <c r="T111" s="80">
        <f>R111</f>
        <v/>
      </c>
      <c r="U111" s="80">
        <f>S111</f>
        <v/>
      </c>
      <c r="V111" s="80">
        <f>T111</f>
        <v/>
      </c>
      <c r="W111" s="80">
        <f>U111</f>
        <v/>
      </c>
      <c r="X111" s="80">
        <f>V111</f>
        <v/>
      </c>
      <c r="Y111" s="80">
        <f>W111</f>
        <v/>
      </c>
      <c r="Z111" s="80">
        <f>X111</f>
        <v/>
      </c>
      <c r="AA111" s="80">
        <f>Y111</f>
        <v/>
      </c>
      <c r="AB111" s="80" t="n"/>
    </row>
    <row r="112">
      <c r="B112" s="77" t="inlineStr">
        <is>
          <t>Corp Margin $</t>
        </is>
      </c>
      <c r="C112" t="inlineStr">
        <is>
          <t>AUDm</t>
        </is>
      </c>
      <c r="D112" s="4" t="n">
        <v>23.9</v>
      </c>
      <c r="E112" s="4" t="n">
        <v>24.651</v>
      </c>
      <c r="F112" s="4" t="n">
        <v>31.721</v>
      </c>
      <c r="G112" s="4" t="n">
        <v>32.61799999999999</v>
      </c>
      <c r="H112" s="4" t="n">
        <v>37.88</v>
      </c>
      <c r="I112" s="4">
        <f>I110*I111</f>
        <v/>
      </c>
      <c r="J112" s="4">
        <f>J110*J111</f>
        <v/>
      </c>
      <c r="K112" s="4">
        <f>K110*K111</f>
        <v/>
      </c>
      <c r="L112" s="4">
        <f>L110*L111</f>
        <v/>
      </c>
      <c r="M112" s="4">
        <f>M110*M111</f>
        <v/>
      </c>
      <c r="N112" s="4">
        <f>N110*N111</f>
        <v/>
      </c>
      <c r="O112" s="4">
        <f>O110*O111</f>
        <v/>
      </c>
      <c r="P112" s="4">
        <f>P110*P111</f>
        <v/>
      </c>
      <c r="Q112" s="4">
        <f>Q110*Q111</f>
        <v/>
      </c>
      <c r="R112" s="4">
        <f>R110*R111</f>
        <v/>
      </c>
      <c r="S112" s="4">
        <f>S110*S111</f>
        <v/>
      </c>
      <c r="T112" s="4">
        <f>T110*T111</f>
        <v/>
      </c>
      <c r="U112" s="4">
        <f>U110*U111</f>
        <v/>
      </c>
      <c r="V112" s="4">
        <f>V110*V111</f>
        <v/>
      </c>
      <c r="W112" s="4">
        <f>W110*W111</f>
        <v/>
      </c>
      <c r="X112" s="4">
        <f>X110*X111</f>
        <v/>
      </c>
      <c r="Y112" s="4">
        <f>Y110*Y111</f>
        <v/>
      </c>
      <c r="Z112" s="4">
        <f>Z110*Z111</f>
        <v/>
      </c>
      <c r="AA112" s="4">
        <f>AA110*AA111</f>
        <v/>
      </c>
      <c r="AB112" s="4" t="n"/>
    </row>
    <row r="113">
      <c r="B113" s="70" t="inlineStr">
        <is>
          <t>Implied Franchise Royalty Rate %</t>
        </is>
      </c>
      <c r="C113" t="inlineStr">
        <is>
          <t>%</t>
        </is>
      </c>
      <c r="D113" s="6" t="n"/>
      <c r="E113" s="6" t="n">
        <v>0.078</v>
      </c>
      <c r="F113" s="6" t="n">
        <v>0.083</v>
      </c>
      <c r="G113" s="6" t="n">
        <v>0.083</v>
      </c>
      <c r="H113" s="6" t="n">
        <v>0.08599999999999999</v>
      </c>
      <c r="I113" s="80">
        <f>G113</f>
        <v/>
      </c>
      <c r="J113" s="80">
        <f>H113</f>
        <v/>
      </c>
      <c r="K113" s="80">
        <f>I113</f>
        <v/>
      </c>
      <c r="L113" s="80">
        <f>J113</f>
        <v/>
      </c>
      <c r="M113" s="80">
        <f>K113</f>
        <v/>
      </c>
      <c r="N113" s="80">
        <f>L113</f>
        <v/>
      </c>
      <c r="O113" s="80">
        <f>M113</f>
        <v/>
      </c>
      <c r="P113" s="80">
        <f>N113</f>
        <v/>
      </c>
      <c r="Q113" s="80">
        <f>O113</f>
        <v/>
      </c>
      <c r="R113" s="80">
        <f>P113</f>
        <v/>
      </c>
      <c r="S113" s="80">
        <f>Q113</f>
        <v/>
      </c>
      <c r="T113" s="80">
        <f>R113</f>
        <v/>
      </c>
      <c r="U113" s="80">
        <f>S113</f>
        <v/>
      </c>
      <c r="V113" s="80">
        <f>T113</f>
        <v/>
      </c>
      <c r="W113" s="80">
        <f>U113</f>
        <v/>
      </c>
      <c r="X113" s="80">
        <f>V113</f>
        <v/>
      </c>
      <c r="Y113" s="80">
        <f>W113</f>
        <v/>
      </c>
      <c r="Z113" s="80">
        <f>X113</f>
        <v/>
      </c>
      <c r="AA113" s="80">
        <f>Y113</f>
        <v/>
      </c>
      <c r="AB113" s="80" t="n"/>
    </row>
    <row r="114">
      <c r="B114" s="77" t="inlineStr">
        <is>
          <t>Franchise &amp; Other Revenue</t>
        </is>
      </c>
      <c r="C114" t="inlineStr">
        <is>
          <t>AUDm</t>
        </is>
      </c>
      <c r="D114" s="4" t="n">
        <v>29.477</v>
      </c>
      <c r="E114" s="4" t="n">
        <v>31.268</v>
      </c>
      <c r="F114" s="4" t="n">
        <v>38.197</v>
      </c>
      <c r="G114" s="4" t="n">
        <v>40.46299999999999</v>
      </c>
      <c r="H114" s="4" t="n">
        <v>42.829</v>
      </c>
      <c r="I114" s="4">
        <f>(I106-I110)*I113</f>
        <v/>
      </c>
      <c r="J114" s="4">
        <f>(J106-J110)*J113</f>
        <v/>
      </c>
      <c r="K114" s="4">
        <f>(K106-K110)*K113</f>
        <v/>
      </c>
      <c r="L114" s="4">
        <f>(L106-L110)*L113</f>
        <v/>
      </c>
      <c r="M114" s="4">
        <f>(M106-M110)*M113</f>
        <v/>
      </c>
      <c r="N114" s="4">
        <f>(N106-N110)*N113</f>
        <v/>
      </c>
      <c r="O114" s="4">
        <f>(O106-O110)*O113</f>
        <v/>
      </c>
      <c r="P114" s="4">
        <f>(P106-P110)*P113</f>
        <v/>
      </c>
      <c r="Q114" s="4">
        <f>(Q106-Q110)*Q113</f>
        <v/>
      </c>
      <c r="R114" s="4">
        <f>(R106-R110)*R113</f>
        <v/>
      </c>
      <c r="S114" s="4">
        <f>(S106-S110)*S113</f>
        <v/>
      </c>
      <c r="T114" s="4">
        <f>(T106-T110)*T113</f>
        <v/>
      </c>
      <c r="U114" s="4">
        <f>(U106-U110)*U113</f>
        <v/>
      </c>
      <c r="V114" s="4">
        <f>(V106-V110)*V113</f>
        <v/>
      </c>
      <c r="W114" s="4">
        <f>(W106-W110)*W113</f>
        <v/>
      </c>
      <c r="X114" s="4">
        <f>(X106-X110)*X113</f>
        <v/>
      </c>
      <c r="Y114" s="4">
        <f>(Y106-Y110)*Y113</f>
        <v/>
      </c>
      <c r="Z114" s="4">
        <f>(Z106-Z110)*Z113</f>
        <v/>
      </c>
      <c r="AA114" s="4">
        <f>(AA106-AA110)*AA113</f>
        <v/>
      </c>
      <c r="AB114" s="4" t="n"/>
    </row>
    <row r="115">
      <c r="B115" s="70" t="inlineStr">
        <is>
          <t>G&amp;A as % of Network Sales</t>
        </is>
      </c>
      <c r="C115" t="inlineStr">
        <is>
          <t>%</t>
        </is>
      </c>
      <c r="D115" s="6" t="n"/>
      <c r="E115" s="6" t="n">
        <v>0.067</v>
      </c>
      <c r="F115" s="6" t="n">
        <v>0.067</v>
      </c>
      <c r="G115" s="6" t="n">
        <v>0.066</v>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</c>
      <c r="L115" s="80">
        <f>J115</f>
        <v/>
      </c>
      <c r="M115" s="80">
        <f>K115</f>
        <v/>
      </c>
      <c r="N115" s="80">
        <f>L115</f>
        <v/>
      </c>
      <c r="O115" s="80">
        <f>M115</f>
        <v/>
      </c>
      <c r="P115" s="80">
        <f>N115</f>
        <v/>
      </c>
      <c r="Q115" s="80">
        <f>O115</f>
        <v/>
      </c>
      <c r="R115" s="80">
        <f>P115</f>
        <v/>
      </c>
      <c r="S115" s="80">
        <f>Q115</f>
        <v/>
      </c>
      <c r="T115" s="80">
        <f>R115</f>
        <v/>
      </c>
      <c r="U115" s="80">
        <f>S115</f>
        <v/>
      </c>
      <c r="V115" s="80">
        <f>T115</f>
        <v/>
      </c>
      <c r="W115" s="80">
        <f>U115</f>
        <v/>
      </c>
      <c r="X115" s="80">
        <f>V115</f>
        <v/>
      </c>
      <c r="Y115" s="80">
        <f>W115</f>
        <v/>
      </c>
      <c r="Z115" s="80">
        <f>X115</f>
        <v/>
      </c>
      <c r="AA115" s="80">
        <f>Y115</f>
        <v/>
      </c>
      <c r="AB115" s="80" t="n"/>
    </row>
    <row r="116">
      <c r="B116" s="70" t="inlineStr">
        <is>
          <t>G&amp;A Costs</t>
        </is>
      </c>
      <c r="C116" t="inlineStr">
        <is>
          <t>AUDm</t>
        </is>
      </c>
      <c r="D116" s="4" t="n">
        <v>-29.128</v>
      </c>
      <c r="E116" s="4" t="n">
        <v>-32.632</v>
      </c>
      <c r="F116" s="4" t="n">
        <v>-38.137</v>
      </c>
      <c r="G116" s="4" t="n">
        <v>-38.833</v>
      </c>
      <c r="H116" s="4" t="n">
        <v>-39.395</v>
      </c>
      <c r="I116" s="4">
        <f>-I106*I115</f>
        <v/>
      </c>
      <c r="J116" s="4">
        <f>-J106*J115</f>
        <v/>
      </c>
      <c r="K116" s="4">
        <f>-K106*K115</f>
        <v/>
      </c>
      <c r="L116" s="4">
        <f>-L106*L115</f>
        <v/>
      </c>
      <c r="M116" s="4">
        <f>-M106*M115</f>
        <v/>
      </c>
      <c r="N116" s="4">
        <f>-N106*N115</f>
        <v/>
      </c>
      <c r="O116" s="4">
        <f>-O106*O115</f>
        <v/>
      </c>
      <c r="P116" s="4">
        <f>-P106*P115</f>
        <v/>
      </c>
      <c r="Q116" s="4">
        <f>-Q106*Q115</f>
        <v/>
      </c>
      <c r="R116" s="4">
        <f>-R106*R115</f>
        <v/>
      </c>
      <c r="S116" s="4">
        <f>-S106*S115</f>
        <v/>
      </c>
      <c r="T116" s="4">
        <f>-T106*T115</f>
        <v/>
      </c>
      <c r="U116" s="4">
        <f>-U106*U115</f>
        <v/>
      </c>
      <c r="V116" s="4">
        <f>-V106*V115</f>
        <v/>
      </c>
      <c r="W116" s="4">
        <f>-W106*W115</f>
        <v/>
      </c>
      <c r="X116" s="4">
        <f>-X106*X115</f>
        <v/>
      </c>
      <c r="Y116" s="4">
        <f>-Y106*Y115</f>
        <v/>
      </c>
      <c r="Z116" s="4">
        <f>-Z106*Z115</f>
        <v/>
      </c>
      <c r="AA116" s="4">
        <f>-AA106*AA115</f>
        <v/>
      </c>
      <c r="AB116" s="4" t="n"/>
    </row>
    <row r="117">
      <c r="B117" s="77" t="inlineStr">
        <is>
          <t>AU Segment Underlying EBITDA</t>
        </is>
      </c>
      <c r="C117" t="inlineStr">
        <is>
          <t>AUDm</t>
        </is>
      </c>
      <c r="D117" s="4" t="n">
        <v>24.249</v>
      </c>
      <c r="E117" s="4" t="n">
        <v>23.287</v>
      </c>
      <c r="F117" s="4" t="n">
        <v>31.781</v>
      </c>
      <c r="G117" s="4" t="n">
        <v>34.248</v>
      </c>
      <c r="H117" s="4" t="n">
        <v>41.314</v>
      </c>
      <c r="I117" s="4">
        <f>I112+I114+I116</f>
        <v/>
      </c>
      <c r="J117" s="4">
        <f>J112+J114+J116</f>
        <v/>
      </c>
      <c r="K117" s="4">
        <f>K112+K114+K116</f>
        <v/>
      </c>
      <c r="L117" s="4">
        <f>L112+L114+L116</f>
        <v/>
      </c>
      <c r="M117" s="4">
        <f>M112+M114+M116</f>
        <v/>
      </c>
      <c r="N117" s="4">
        <f>N112+N114+N116</f>
        <v/>
      </c>
      <c r="O117" s="4">
        <f>O112+O114+O116</f>
        <v/>
      </c>
      <c r="P117" s="4">
        <f>P112+P114+P116</f>
        <v/>
      </c>
      <c r="Q117" s="4">
        <f>Q112+Q114+Q116</f>
        <v/>
      </c>
      <c r="R117" s="4">
        <f>R112+R114+R116</f>
        <v/>
      </c>
      <c r="S117" s="4">
        <f>S112+S114+S116</f>
        <v/>
      </c>
      <c r="T117" s="4">
        <f>T112+T114+T116</f>
        <v/>
      </c>
      <c r="U117" s="4">
        <f>U112+U114+U116</f>
        <v/>
      </c>
      <c r="V117" s="4">
        <f>V112+V114+V116</f>
        <v/>
      </c>
      <c r="W117" s="4">
        <f>W112+W114+W116</f>
        <v/>
      </c>
      <c r="X117" s="4">
        <f>X112+X114+X116</f>
        <v/>
      </c>
      <c r="Y117" s="4">
        <f>Y112+Y114+Y116</f>
        <v/>
      </c>
      <c r="Z117" s="4">
        <f>Z112+Z114+Z116</f>
        <v/>
      </c>
      <c r="AA117" s="4">
        <f>AA112+AA114+AA116</f>
        <v/>
      </c>
      <c r="AB117" s="4" t="n"/>
    </row>
    <row r="119">
      <c r="A119" s="27" t="n"/>
      <c r="B119" s="78" t="inlineStr">
        <is>
          <t>Segment Forecast — US</t>
        </is>
      </c>
      <c r="C119" s="78" t="n"/>
      <c r="D119" s="78" t="n"/>
      <c r="E119" s="78" t="n"/>
      <c r="F119" s="78" t="n"/>
      <c r="G119" s="78" t="n"/>
      <c r="H119" s="78" t="n"/>
      <c r="I119" s="78" t="n"/>
      <c r="J119" s="78" t="n"/>
      <c r="K119" s="78" t="n"/>
      <c r="L119" s="78" t="n"/>
      <c r="M119" s="78" t="n"/>
      <c r="N119" s="78" t="n"/>
      <c r="O119" s="78" t="n"/>
      <c r="P119" s="78" t="n"/>
      <c r="Q119" s="78" t="n"/>
      <c r="R119" s="78" t="n"/>
      <c r="S119" s="78" t="n"/>
      <c r="T119" s="78" t="n"/>
      <c r="U119" s="78" t="n"/>
      <c r="V119" s="78" t="n"/>
      <c r="W119" s="78" t="n"/>
      <c r="X119" s="78" t="n"/>
      <c r="Y119" s="78" t="n"/>
      <c r="Z119" s="78" t="n"/>
      <c r="AA119" s="78" t="n"/>
      <c r="AB119" s="78" t="n"/>
      <c r="AC119" s="27" t="n"/>
    </row>
    <row r="120">
      <c r="B120" s="77" t="inlineStr">
        <is>
          <t>US Corp Restaurant Count</t>
        </is>
      </c>
      <c r="C120" t="inlineStr">
        <is>
          <t>#</t>
        </is>
      </c>
      <c r="D120" s="29" t="n">
        <v>4</v>
      </c>
      <c r="E120" s="29" t="n">
        <v>4</v>
      </c>
      <c r="F120" s="29" t="n">
        <v>4</v>
      </c>
      <c r="G120" s="29" t="n">
        <v>6</v>
      </c>
      <c r="H120" s="29" t="n">
        <v>8</v>
      </c>
      <c r="I120" s="29">
        <f>H120+I121</f>
        <v/>
      </c>
      <c r="J120" s="29">
        <f>I120+J121</f>
        <v/>
      </c>
      <c r="K120" s="29">
        <f>J120+K121</f>
        <v/>
      </c>
      <c r="L120" s="29">
        <f>K120+L121</f>
        <v/>
      </c>
      <c r="M120" s="29">
        <f>L120+M121</f>
        <v/>
      </c>
      <c r="N120" s="29">
        <f>M120+N121</f>
        <v/>
      </c>
      <c r="O120" s="29">
        <f>N120+O121</f>
        <v/>
      </c>
      <c r="P120" s="29">
        <f>O120+P121</f>
        <v/>
      </c>
      <c r="Q120" s="29">
        <f>P120+Q121</f>
        <v/>
      </c>
      <c r="R120" s="29">
        <f>Q120+R121</f>
        <v/>
      </c>
      <c r="S120" s="29">
        <f>R120+S121</f>
        <v/>
      </c>
      <c r="T120" s="29">
        <f>S120+T121</f>
        <v/>
      </c>
      <c r="U120" s="29">
        <f>T120+U121</f>
        <v/>
      </c>
      <c r="V120" s="29">
        <f>U120+V121</f>
        <v/>
      </c>
      <c r="W120" s="29">
        <f>V120+W121</f>
        <v/>
      </c>
      <c r="X120" s="29">
        <f>W120+X121</f>
        <v/>
      </c>
      <c r="Y120" s="29">
        <f>X120+Y121</f>
        <v/>
      </c>
      <c r="Z120" s="29">
        <f>Y120+Z121</f>
        <v/>
      </c>
      <c r="AA120" s="29">
        <f>Z120+AA121</f>
        <v/>
      </c>
      <c r="AB120" s="29" t="n"/>
      <c r="AC120" s="4">
        <f>AA106*(1+AC107)</f>
        <v/>
      </c>
    </row>
    <row r="121">
      <c r="B121" s="70" t="inlineStr">
        <is>
          <t>New US Openings</t>
        </is>
      </c>
      <c r="C121" t="inlineStr">
        <is>
          <t>#</t>
        </is>
      </c>
      <c r="D121" s="29" t="n"/>
      <c r="E121" s="29" t="n"/>
      <c r="F121" s="29" t="n"/>
      <c r="G121" s="29" t="n">
        <v>2</v>
      </c>
      <c r="H121" s="29" t="n">
        <v>2</v>
      </c>
      <c r="I121" s="79">
        <f>G121</f>
        <v/>
      </c>
      <c r="J121" s="79">
        <f>H121</f>
        <v/>
      </c>
      <c r="K121" s="79">
        <f>I121</f>
        <v/>
      </c>
      <c r="L121" s="79">
        <f>J121</f>
        <v/>
      </c>
      <c r="M121" s="79">
        <f>K121</f>
        <v/>
      </c>
      <c r="N121" s="79">
        <f>L121</f>
        <v/>
      </c>
      <c r="O121" s="79">
        <f>M121</f>
        <v/>
      </c>
      <c r="P121" s="79">
        <f>N121</f>
        <v/>
      </c>
      <c r="Q121" s="79">
        <f>O121</f>
        <v/>
      </c>
      <c r="R121" s="79">
        <f>P121</f>
        <v/>
      </c>
      <c r="S121" s="79">
        <f>Q121</f>
        <v/>
      </c>
      <c r="T121" s="79">
        <f>R121</f>
        <v/>
      </c>
      <c r="U121" s="79">
        <f>S121</f>
        <v/>
      </c>
      <c r="V121" s="79">
        <f>T121</f>
        <v/>
      </c>
      <c r="W121" s="79">
        <f>U121</f>
        <v/>
      </c>
      <c r="X121" s="79">
        <f>V121</f>
        <v/>
      </c>
      <c r="Y121" s="79">
        <f>W121</f>
        <v/>
      </c>
      <c r="Z121" s="79">
        <f>X121</f>
        <v/>
      </c>
      <c r="AA121" s="79">
        <f>Y121</f>
        <v/>
      </c>
      <c r="AB121" s="79" t="n"/>
      <c r="AC121" s="26" t="n">
        <v>0.03</v>
      </c>
    </row>
    <row r="122">
      <c r="B122" s="77" t="inlineStr">
        <is>
          <t>US Corp AUV ($m)</t>
        </is>
      </c>
      <c r="C122" t="inlineStr">
        <is>
          <t>AUDm</t>
        </is>
      </c>
      <c r="D122" s="4" t="n"/>
      <c r="E122" s="4" t="n"/>
      <c r="F122" s="4" t="n"/>
      <c r="G122" s="4" t="n">
        <v>2</v>
      </c>
      <c r="H122" s="4" t="n">
        <v>2</v>
      </c>
      <c r="I122" s="4">
        <f>G122*(1+I123)</f>
        <v/>
      </c>
      <c r="J122" s="4">
        <f>H122*(1+J123)</f>
        <v/>
      </c>
      <c r="K122" s="4">
        <f>I122*(1+K123)</f>
        <v/>
      </c>
      <c r="L122" s="4">
        <f>J122*(1+L123)</f>
        <v/>
      </c>
      <c r="M122" s="4">
        <f>K122*(1+M123)</f>
        <v/>
      </c>
      <c r="N122" s="4">
        <f>L122*(1+N123)</f>
        <v/>
      </c>
      <c r="O122" s="4">
        <f>M122*(1+O123)</f>
        <v/>
      </c>
      <c r="P122" s="4">
        <f>N122*(1+P123)</f>
        <v/>
      </c>
      <c r="Q122" s="4">
        <f>O122*(1+Q123)</f>
        <v/>
      </c>
      <c r="R122" s="4">
        <f>P122*(1+R123)</f>
        <v/>
      </c>
      <c r="S122" s="4">
        <f>Q122*(1+S123)</f>
        <v/>
      </c>
      <c r="T122" s="4">
        <f>R122*(1+T123)</f>
        <v/>
      </c>
      <c r="U122" s="4">
        <f>S122*(1+U123)</f>
        <v/>
      </c>
      <c r="V122" s="4">
        <f>T122*(1+V123)</f>
        <v/>
      </c>
      <c r="W122" s="4">
        <f>U122*(1+W123)</f>
        <v/>
      </c>
      <c r="X122" s="4">
        <f>V122*(1+X123)</f>
        <v/>
      </c>
      <c r="Y122" s="4">
        <f>W122*(1+Y123)</f>
        <v/>
      </c>
      <c r="Z122" s="4">
        <f>X122*(1+Z123)</f>
        <v/>
      </c>
      <c r="AA122" s="4">
        <f>Y122*(1+AA123)</f>
        <v/>
      </c>
      <c r="AB122" s="4" t="n"/>
      <c r="AC122" s="29">
        <f>AA108*(1+AC109)</f>
        <v/>
      </c>
    </row>
    <row r="123">
      <c r="B123" s="70" t="inlineStr">
        <is>
          <t>US AUV Growth</t>
        </is>
      </c>
      <c r="C123" t="inlineStr">
        <is>
          <t>%</t>
        </is>
      </c>
      <c r="D123" s="6" t="n"/>
      <c r="E123" s="6" t="n"/>
      <c r="F123" s="6" t="n"/>
      <c r="G123" s="6" t="n"/>
      <c r="H123" s="6" t="n">
        <v>0</v>
      </c>
      <c r="I123" s="80">
        <f>G123</f>
        <v/>
      </c>
      <c r="J123" s="80">
        <f>H123</f>
        <v/>
      </c>
      <c r="K123" s="80">
        <f>I123</f>
        <v/>
      </c>
      <c r="L123" s="80">
        <f>J123</f>
        <v/>
      </c>
      <c r="M123" s="80">
        <f>K123</f>
        <v/>
      </c>
      <c r="N123" s="80">
        <f>L123</f>
        <v/>
      </c>
      <c r="O123" s="80">
        <f>M123</f>
        <v/>
      </c>
      <c r="P123" s="80">
        <f>N123</f>
        <v/>
      </c>
      <c r="Q123" s="80">
        <f>O123</f>
        <v/>
      </c>
      <c r="R123" s="80">
        <f>P123</f>
        <v/>
      </c>
      <c r="S123" s="80">
        <f>Q123</f>
        <v/>
      </c>
      <c r="T123" s="80">
        <f>R123</f>
        <v/>
      </c>
      <c r="U123" s="80">
        <f>S123</f>
        <v/>
      </c>
      <c r="V123" s="80">
        <f>T123</f>
        <v/>
      </c>
      <c r="W123" s="80">
        <f>U123</f>
        <v/>
      </c>
      <c r="X123" s="80">
        <f>V123</f>
        <v/>
      </c>
      <c r="Y123" s="80">
        <f>W123</f>
        <v/>
      </c>
      <c r="Z123" s="80">
        <f>X123</f>
        <v/>
      </c>
      <c r="AA123" s="80">
        <f>Y123</f>
        <v/>
      </c>
      <c r="AB123" s="80" t="n"/>
      <c r="AC123" s="26" t="n">
        <v>0.025</v>
      </c>
    </row>
    <row r="124">
      <c r="B124" s="77" t="inlineStr">
        <is>
          <t>US Corp Restaurant Sales</t>
        </is>
      </c>
      <c r="C124" t="inlineStr">
        <is>
          <t>AUDm</t>
        </is>
      </c>
      <c r="D124" s="4" t="n">
        <v>5.618</v>
      </c>
      <c r="E124" s="4" t="n">
        <v>5.216</v>
      </c>
      <c r="F124" s="4" t="n">
        <v>3.232</v>
      </c>
      <c r="G124" s="4" t="n">
        <v>5.637</v>
      </c>
      <c r="H124" s="4" t="n">
        <v>6.46</v>
      </c>
      <c r="I124" s="4">
        <f>I120*I122/2</f>
        <v/>
      </c>
      <c r="J124" s="4">
        <f>J120*J122/2</f>
        <v/>
      </c>
      <c r="K124" s="4">
        <f>K120*K122/2</f>
        <v/>
      </c>
      <c r="L124" s="4">
        <f>L120*L122/2</f>
        <v/>
      </c>
      <c r="M124" s="4">
        <f>M120*M122/2</f>
        <v/>
      </c>
      <c r="N124" s="4">
        <f>N120*N122/2</f>
        <v/>
      </c>
      <c r="O124" s="4">
        <f>O120*O122/2</f>
        <v/>
      </c>
      <c r="P124" s="4">
        <f>P120*P122/2</f>
        <v/>
      </c>
      <c r="Q124" s="4">
        <f>Q120*Q122/2</f>
        <v/>
      </c>
      <c r="R124" s="4">
        <f>R120*R122/2</f>
        <v/>
      </c>
      <c r="S124" s="4">
        <f>S120*S122/2</f>
        <v/>
      </c>
      <c r="T124" s="4">
        <f>T120*T122/2</f>
        <v/>
      </c>
      <c r="U124" s="4">
        <f>U120*U122/2</f>
        <v/>
      </c>
      <c r="V124" s="4">
        <f>V120*V122/2</f>
        <v/>
      </c>
      <c r="W124" s="4">
        <f>W120*W122/2</f>
        <v/>
      </c>
      <c r="X124" s="4">
        <f>X120*X122/2</f>
        <v/>
      </c>
      <c r="Y124" s="4">
        <f>Y120*Y122/2</f>
        <v/>
      </c>
      <c r="Z124" s="4">
        <f>Z120*Z122/2</f>
        <v/>
      </c>
      <c r="AA124" s="4">
        <f>AA120*AA122/2</f>
        <v/>
      </c>
      <c r="AB124" s="4" t="n"/>
      <c r="AC124" s="4">
        <f>AC106*AC108/1000</f>
        <v/>
      </c>
    </row>
    <row r="125">
      <c r="B125" s="70" t="inlineStr">
        <is>
          <t>US Corp Restaurant Margin %</t>
        </is>
      </c>
      <c r="C125" t="inlineStr">
        <is>
          <t>%</t>
        </is>
      </c>
      <c r="D125" s="6" t="n">
        <v>-0.09</v>
      </c>
      <c r="E125" s="6" t="n">
        <v>-0.092</v>
      </c>
      <c r="F125" s="6" t="n">
        <v>-0.408</v>
      </c>
      <c r="G125" s="6" t="n"/>
      <c r="H125" s="6" t="n">
        <v>-0.696</v>
      </c>
      <c r="I125" s="80">
        <f>G125</f>
        <v/>
      </c>
      <c r="J125" s="80">
        <f>H125</f>
        <v/>
      </c>
      <c r="K125" s="80">
        <f>I125</f>
        <v/>
      </c>
      <c r="L125" s="80">
        <f>J125</f>
        <v/>
      </c>
      <c r="M125" s="80">
        <f>K125</f>
        <v/>
      </c>
      <c r="N125" s="80">
        <f>L125</f>
        <v/>
      </c>
      <c r="O125" s="80">
        <f>M125</f>
        <v/>
      </c>
      <c r="P125" s="80">
        <f>N125</f>
        <v/>
      </c>
      <c r="Q125" s="80">
        <f>O125</f>
        <v/>
      </c>
      <c r="R125" s="80">
        <f>P125</f>
        <v/>
      </c>
      <c r="S125" s="80">
        <f>Q125</f>
        <v/>
      </c>
      <c r="T125" s="80">
        <f>R125</f>
        <v/>
      </c>
      <c r="U125" s="80">
        <f>S125</f>
        <v/>
      </c>
      <c r="V125" s="80">
        <f>T125</f>
        <v/>
      </c>
      <c r="W125" s="80">
        <f>U125</f>
        <v/>
      </c>
      <c r="X125" s="80">
        <f>V125</f>
        <v/>
      </c>
      <c r="Y125" s="80">
        <f>W125</f>
        <v/>
      </c>
      <c r="Z125" s="80">
        <f>X125</f>
        <v/>
      </c>
      <c r="AA125" s="80">
        <f>Y125</f>
        <v/>
      </c>
      <c r="AB125" s="80" t="n"/>
      <c r="AC125" s="26">
        <f>AA111</f>
        <v/>
      </c>
    </row>
    <row r="126">
      <c r="B126" s="77" t="inlineStr">
        <is>
          <t>US Corp Margin $</t>
        </is>
      </c>
      <c r="C126" t="inlineStr">
        <is>
          <t>AUDm</t>
        </is>
      </c>
      <c r="D126" s="4" t="n">
        <v>-0.507</v>
      </c>
      <c r="E126" s="4" t="n">
        <v>-0.488</v>
      </c>
      <c r="F126" s="4" t="n">
        <v>-1.319</v>
      </c>
      <c r="G126" s="4" t="n">
        <v>-3.783</v>
      </c>
      <c r="H126" s="4" t="n">
        <v>-4.496</v>
      </c>
      <c r="I126" s="4">
        <f>I124*I125</f>
        <v/>
      </c>
      <c r="J126" s="4">
        <f>J124*J125</f>
        <v/>
      </c>
      <c r="K126" s="4">
        <f>K124*K125</f>
        <v/>
      </c>
      <c r="L126" s="4">
        <f>L124*L125</f>
        <v/>
      </c>
      <c r="M126" s="4">
        <f>M124*M125</f>
        <v/>
      </c>
      <c r="N126" s="4">
        <f>N124*N125</f>
        <v/>
      </c>
      <c r="O126" s="4">
        <f>O124*O125</f>
        <v/>
      </c>
      <c r="P126" s="4">
        <f>P124*P125</f>
        <v/>
      </c>
      <c r="Q126" s="4">
        <f>Q124*Q125</f>
        <v/>
      </c>
      <c r="R126" s="4">
        <f>R124*R125</f>
        <v/>
      </c>
      <c r="S126" s="4">
        <f>S124*S125</f>
        <v/>
      </c>
      <c r="T126" s="4">
        <f>T124*T125</f>
        <v/>
      </c>
      <c r="U126" s="4">
        <f>U124*U125</f>
        <v/>
      </c>
      <c r="V126" s="4">
        <f>V124*V125</f>
        <v/>
      </c>
      <c r="W126" s="4">
        <f>W124*W125</f>
        <v/>
      </c>
      <c r="X126" s="4">
        <f>X124*X125</f>
        <v/>
      </c>
      <c r="Y126" s="4">
        <f>Y124*Y125</f>
        <v/>
      </c>
      <c r="Z126" s="4">
        <f>Z124*Z125</f>
        <v/>
      </c>
      <c r="AA126" s="4">
        <f>AA124*AA125</f>
        <v/>
      </c>
      <c r="AB126" s="4" t="n"/>
      <c r="AC126" s="4">
        <f>AC110*AC111</f>
        <v/>
      </c>
    </row>
    <row r="127">
      <c r="B127" s="70" t="inlineStr">
        <is>
          <t>US Franchise &amp; Other Revenue</t>
        </is>
      </c>
      <c r="C127" t="inlineStr">
        <is>
          <t>AUDm</t>
        </is>
      </c>
      <c r="D127" s="4" t="n">
        <v>0</v>
      </c>
      <c r="E127" s="4" t="n">
        <v>0</v>
      </c>
      <c r="F127" s="4" t="n">
        <v>0.136</v>
      </c>
      <c r="G127" s="4" t="n">
        <v>0.128</v>
      </c>
      <c r="H127" s="4" t="n">
        <v>0.141</v>
      </c>
      <c r="I127" s="83">
        <f>G127</f>
        <v/>
      </c>
      <c r="J127" s="83">
        <f>H127</f>
        <v/>
      </c>
      <c r="K127" s="83">
        <f>I127</f>
        <v/>
      </c>
      <c r="L127" s="83">
        <f>J127</f>
        <v/>
      </c>
      <c r="M127" s="83">
        <f>K127</f>
        <v/>
      </c>
      <c r="N127" s="83">
        <f>L127</f>
        <v/>
      </c>
      <c r="O127" s="83">
        <f>M127</f>
        <v/>
      </c>
      <c r="P127" s="83">
        <f>N127</f>
        <v/>
      </c>
      <c r="Q127" s="83">
        <f>O127</f>
        <v/>
      </c>
      <c r="R127" s="83">
        <f>P127</f>
        <v/>
      </c>
      <c r="S127" s="83">
        <f>Q127</f>
        <v/>
      </c>
      <c r="T127" s="83">
        <f>R127</f>
        <v/>
      </c>
      <c r="U127" s="83">
        <f>S127</f>
        <v/>
      </c>
      <c r="V127" s="83">
        <f>T127</f>
        <v/>
      </c>
      <c r="W127" s="83">
        <f>U127</f>
        <v/>
      </c>
      <c r="X127" s="83">
        <f>V127</f>
        <v/>
      </c>
      <c r="Y127" s="83">
        <f>W127</f>
        <v/>
      </c>
      <c r="Z127" s="83">
        <f>X127</f>
        <v/>
      </c>
      <c r="AA127" s="83">
        <f>Y127</f>
        <v/>
      </c>
      <c r="AB127" s="83" t="n"/>
      <c r="AC127" s="4">
        <f>AA113*(1+AC114)</f>
        <v/>
      </c>
    </row>
    <row r="128">
      <c r="B128" s="70" t="inlineStr">
        <is>
          <t>US G&amp;A Costs</t>
        </is>
      </c>
      <c r="C128" t="inlineStr">
        <is>
          <t>AUDm</t>
        </is>
      </c>
      <c r="D128" s="4" t="n">
        <v>-2.588</v>
      </c>
      <c r="E128" s="4" t="n">
        <v>-2.961</v>
      </c>
      <c r="F128" s="4" t="n">
        <v>-3.831</v>
      </c>
      <c r="G128" s="4" t="n">
        <v>-4.554</v>
      </c>
      <c r="H128" s="4" t="n">
        <v>-3.953</v>
      </c>
      <c r="I128" s="4">
        <f>G128*(1+I129)</f>
        <v/>
      </c>
      <c r="J128" s="4">
        <f>H128*(1+J129)</f>
        <v/>
      </c>
      <c r="K128" s="43">
        <f>I128*(1+K129)</f>
        <v/>
      </c>
      <c r="L128" s="43">
        <f>J128*(1+L129)</f>
        <v/>
      </c>
      <c r="M128" s="43">
        <f>K128*(1+M129)</f>
        <v/>
      </c>
      <c r="N128" s="43">
        <f>L128*(1+N129)</f>
        <v/>
      </c>
      <c r="O128" s="43">
        <f>M128*(1+O129)</f>
        <v/>
      </c>
      <c r="P128" s="43">
        <f>N128*(1+P129)</f>
        <v/>
      </c>
      <c r="Q128" s="43">
        <f>O128*(1+Q129)</f>
        <v/>
      </c>
      <c r="R128" s="43">
        <f>P128*(1+R129)</f>
        <v/>
      </c>
      <c r="S128" s="43">
        <f>Q128*(1+S129)</f>
        <v/>
      </c>
      <c r="T128" s="43">
        <f>R128*(1+T129)</f>
        <v/>
      </c>
      <c r="U128" s="43">
        <f>S128*(1+U129)</f>
        <v/>
      </c>
      <c r="V128" s="43">
        <f>T128*(1+V129)</f>
        <v/>
      </c>
      <c r="W128" s="43">
        <f>U128*(1+W129)</f>
        <v/>
      </c>
      <c r="X128" s="43">
        <f>V128*(1+X129)</f>
        <v/>
      </c>
      <c r="Y128" s="43">
        <f>W128*(1+Y129)</f>
        <v/>
      </c>
      <c r="Z128" s="43">
        <f>X128*(1+Z129)</f>
        <v/>
      </c>
      <c r="AA128" s="43">
        <f>Y128*(1+AA129)</f>
        <v/>
      </c>
      <c r="AB128" s="43" t="n"/>
      <c r="AC128" s="26" t="n">
        <v>0.025</v>
      </c>
    </row>
    <row r="129">
      <c r="B129" s="70" t="inlineStr">
        <is>
          <t>US G&amp;A Growth</t>
        </is>
      </c>
      <c r="C129" t="inlineStr">
        <is>
          <t>%</t>
        </is>
      </c>
      <c r="D129" s="6" t="n"/>
      <c r="E129" s="6" t="n"/>
      <c r="F129" s="6" t="n"/>
      <c r="G129" s="6" t="n">
        <v>0.03</v>
      </c>
      <c r="H129" s="6" t="n">
        <v>0.03</v>
      </c>
      <c r="I129" s="80">
        <f>G129</f>
        <v/>
      </c>
      <c r="J129" s="80">
        <f>H129</f>
        <v/>
      </c>
      <c r="K129" s="80">
        <f>I129</f>
        <v/>
      </c>
      <c r="L129" s="80">
        <f>J129</f>
        <v/>
      </c>
      <c r="M129" s="80">
        <f>K129</f>
        <v/>
      </c>
      <c r="N129" s="80">
        <f>L129</f>
        <v/>
      </c>
      <c r="O129" s="80">
        <f>M129</f>
        <v/>
      </c>
      <c r="P129" s="80">
        <f>N129</f>
        <v/>
      </c>
      <c r="Q129" s="80">
        <f>O129</f>
        <v/>
      </c>
      <c r="R129" s="80">
        <f>P129</f>
        <v/>
      </c>
      <c r="S129" s="80">
        <f>Q129</f>
        <v/>
      </c>
      <c r="T129" s="80">
        <f>R129</f>
        <v/>
      </c>
      <c r="U129" s="80">
        <f>S129</f>
        <v/>
      </c>
      <c r="V129" s="80">
        <f>T129</f>
        <v/>
      </c>
      <c r="W129" s="80">
        <f>U129</f>
        <v/>
      </c>
      <c r="X129" s="80">
        <f>V129</f>
        <v/>
      </c>
      <c r="Y129" s="80">
        <f>W129</f>
        <v/>
      </c>
      <c r="Z129" s="80">
        <f>X129</f>
        <v/>
      </c>
      <c r="AA129" s="80">
        <f>Y129</f>
        <v/>
      </c>
      <c r="AB129" s="80" t="n"/>
      <c r="AC129" s="29">
        <f>IF(AC106=0,"",-AC113/AC106*1000)</f>
        <v/>
      </c>
    </row>
    <row r="130">
      <c r="B130" s="82" t="inlineStr">
        <is>
          <t>US Segment Underlying EBITDA</t>
        </is>
      </c>
      <c r="C130" s="20" t="inlineStr">
        <is>
          <t>AUDm</t>
        </is>
      </c>
      <c r="D130" s="21" t="n">
        <v>-3.095</v>
      </c>
      <c r="E130" s="21" t="n">
        <v>-3.448999999999999</v>
      </c>
      <c r="F130" s="21" t="n">
        <v>-5.014</v>
      </c>
      <c r="G130" s="21" t="n">
        <v>-8.209</v>
      </c>
      <c r="H130" s="21" t="n">
        <v>-8.308</v>
      </c>
      <c r="I130" s="21">
        <f>I126+I127+I128</f>
        <v/>
      </c>
      <c r="J130" s="21">
        <f>J126+J127+J128</f>
        <v/>
      </c>
      <c r="K130" s="21">
        <f>K126+K127+K128</f>
        <v/>
      </c>
      <c r="L130" s="21">
        <f>L126+L127+L128</f>
        <v/>
      </c>
      <c r="M130" s="21">
        <f>M126+M127+M128</f>
        <v/>
      </c>
      <c r="N130" s="21">
        <f>N126+N127+N128</f>
        <v/>
      </c>
      <c r="O130" s="21">
        <f>O126+O127+O128</f>
        <v/>
      </c>
      <c r="P130" s="21">
        <f>P126+P127+P128</f>
        <v/>
      </c>
      <c r="Q130" s="21">
        <f>Q126+Q127+Q128</f>
        <v/>
      </c>
      <c r="R130" s="21">
        <f>R126+R127+R128</f>
        <v/>
      </c>
      <c r="S130" s="21">
        <f>S126+S127+S128</f>
        <v/>
      </c>
      <c r="T130" s="21">
        <f>T126+T127+T128</f>
        <v/>
      </c>
      <c r="U130" s="21">
        <f>U126+U127+U128</f>
        <v/>
      </c>
      <c r="V130" s="21">
        <f>V126+V127+V128</f>
        <v/>
      </c>
      <c r="W130" s="21">
        <f>W126+W127+W128</f>
        <v/>
      </c>
      <c r="X130" s="21">
        <f>X126+X127+X128</f>
        <v/>
      </c>
      <c r="Y130" s="21">
        <f>Y126+Y127+Y128</f>
        <v/>
      </c>
      <c r="Z130" s="21">
        <f>Z126+Z127+Z128</f>
        <v/>
      </c>
      <c r="AA130" s="21">
        <f>AA126+AA127+AA128</f>
        <v/>
      </c>
      <c r="AB130" s="21" t="n"/>
      <c r="AC130" s="21">
        <f>AC112+AC113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4.5"/>
  <cols>
    <col width="30" customWidth="1" min="2" max="2"/>
    <col width="8" customWidth="1" min="3" max="3"/>
    <col width="12" customWidth="1" min="4" max="9"/>
  </cols>
  <sheetData>
    <row r="1"/>
    <row r="2" ht="18.5" customHeight="1">
      <c r="B2" s="47" t="n"/>
    </row>
    <row r="3">
      <c r="B3" s="48" t="n"/>
      <c r="C3" s="48" t="n"/>
      <c r="D3" s="49" t="n"/>
      <c r="E3" s="49" t="n"/>
      <c r="F3" s="49" t="n"/>
      <c r="G3" s="49" t="n"/>
    </row>
    <row r="4"/>
    <row r="5">
      <c r="B5" s="50" t="n"/>
      <c r="C5" s="51" t="n"/>
      <c r="D5" s="51" t="n"/>
      <c r="E5" s="51" t="n"/>
      <c r="F5" s="51" t="n"/>
      <c r="G5" s="55" t="n"/>
    </row>
    <row r="6">
      <c r="D6" s="52" t="n"/>
      <c r="E6" s="52" t="n"/>
      <c r="F6" s="52" t="n"/>
      <c r="G6" s="56" t="n"/>
    </row>
    <row r="7">
      <c r="D7" s="52" t="n"/>
      <c r="E7" s="52" t="n"/>
      <c r="F7" s="52" t="n"/>
      <c r="G7" s="56" t="n"/>
    </row>
    <row r="8"/>
    <row r="9">
      <c r="B9" s="50" t="n"/>
      <c r="C9" s="51" t="n"/>
      <c r="D9" s="51" t="n"/>
      <c r="E9" s="51" t="n"/>
      <c r="F9" s="51" t="n"/>
      <c r="G9" s="55" t="n"/>
    </row>
    <row r="10">
      <c r="D10" s="53" t="n"/>
      <c r="E10" s="53" t="n"/>
      <c r="F10" s="53" t="n"/>
      <c r="G10" s="57" t="n"/>
    </row>
    <row r="11"/>
    <row r="12">
      <c r="B12" s="50" t="n"/>
      <c r="C12" s="51" t="n"/>
      <c r="D12" s="51" t="n"/>
      <c r="E12" s="51" t="n"/>
      <c r="F12" s="51" t="n"/>
      <c r="G12" s="55" t="n"/>
    </row>
    <row r="13">
      <c r="D13" s="53" t="n"/>
      <c r="E13" s="53" t="n"/>
      <c r="F13" s="53" t="n"/>
      <c r="G13" s="57" t="n"/>
    </row>
    <row r="14">
      <c r="D14" s="53" t="n"/>
      <c r="E14" s="53" t="n"/>
      <c r="F14" s="53" t="n"/>
      <c r="G14" s="5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H12" sqref="H12"/>
    </sheetView>
  </sheetViews>
  <sheetFormatPr baseColWidth="8" defaultRowHeight="14.5"/>
  <cols>
    <col width="22" customWidth="1" min="1" max="1"/>
    <col width="12" customWidth="1" min="2" max="2"/>
    <col hidden="1" width="13" customWidth="1" min="3" max="3"/>
    <col width="12" customWidth="1" min="4" max="8"/>
  </cols>
  <sheetData>
    <row r="1">
      <c r="A1" s="58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</row>
    <row r="3">
      <c r="A3" s="60" t="n"/>
      <c r="B3" s="4" t="n"/>
      <c r="D3" s="4" t="n"/>
      <c r="E3" s="4" t="n"/>
      <c r="F3" s="4" t="n"/>
      <c r="G3" s="4" t="n"/>
      <c r="H3" s="4" t="n"/>
    </row>
    <row r="4">
      <c r="A4" s="60" t="n"/>
      <c r="B4" s="4" t="n"/>
      <c r="D4" s="4" t="n"/>
      <c r="E4" s="4" t="n"/>
      <c r="F4" s="4" t="n"/>
      <c r="G4" s="4" t="n"/>
      <c r="H4" s="4" t="n"/>
    </row>
    <row r="5">
      <c r="A5" s="60" t="n"/>
      <c r="B5" s="4" t="n"/>
      <c r="D5" s="4" t="n"/>
      <c r="E5" s="4" t="n"/>
      <c r="F5" s="4" t="n"/>
      <c r="G5" s="4" t="n"/>
      <c r="H5" s="4" t="n"/>
    </row>
    <row r="6">
      <c r="A6" s="60" t="n"/>
      <c r="B6" s="4" t="n"/>
      <c r="D6" s="4" t="n"/>
      <c r="E6" s="4" t="n"/>
      <c r="F6" s="4" t="n"/>
      <c r="G6" s="4" t="n"/>
      <c r="H6" s="4" t="n"/>
    </row>
    <row r="7">
      <c r="A7" s="60" t="n"/>
      <c r="B7" s="4" t="n"/>
      <c r="D7" s="4" t="n"/>
      <c r="E7" s="4" t="n"/>
      <c r="F7" s="4" t="n"/>
      <c r="G7" s="4" t="n"/>
      <c r="H7" s="4" t="n"/>
    </row>
    <row r="8">
      <c r="A8" s="60" t="n"/>
      <c r="B8" s="4" t="n"/>
      <c r="D8" s="4" t="n"/>
      <c r="E8" s="4" t="n"/>
      <c r="F8" s="4" t="n"/>
      <c r="G8" s="4" t="n"/>
      <c r="H8" s="4" t="n"/>
    </row>
    <row r="9">
      <c r="A9" s="60" t="n"/>
      <c r="B9" s="4" t="n"/>
      <c r="D9" s="4" t="n"/>
      <c r="E9" s="4" t="n"/>
      <c r="F9" s="4" t="n"/>
      <c r="G9" s="4" t="n"/>
      <c r="H9" s="4" t="n"/>
    </row>
    <row r="10"/>
    <row r="11"/>
    <row r="12">
      <c r="A12" s="58" t="n"/>
    </row>
    <row r="13">
      <c r="A13" s="59" t="n"/>
      <c r="B13" s="59" t="n"/>
      <c r="C13" s="59" t="n"/>
      <c r="D13" s="59" t="n"/>
      <c r="E13" s="59" t="n"/>
      <c r="F13" s="59" t="n"/>
      <c r="G13" s="59" t="n"/>
      <c r="H13" s="59" t="n"/>
    </row>
    <row r="14">
      <c r="A14" s="60" t="n"/>
      <c r="B14" s="4" t="n"/>
      <c r="D14" s="4" t="n"/>
      <c r="E14" s="4" t="n"/>
      <c r="F14" s="4" t="n"/>
      <c r="G14" s="4" t="n"/>
      <c r="H14" s="4" t="n"/>
    </row>
    <row r="15">
      <c r="A15" s="60" t="n"/>
      <c r="B15" s="4" t="n"/>
      <c r="D15" s="4" t="n"/>
      <c r="E15" s="4" t="n"/>
      <c r="F15" s="4" t="n"/>
      <c r="G15" s="4" t="n"/>
      <c r="H15" s="4" t="n"/>
    </row>
    <row r="16">
      <c r="A16" s="60" t="n"/>
      <c r="B16" s="4" t="n"/>
      <c r="D16" s="4" t="n"/>
      <c r="E16" s="4" t="n"/>
      <c r="F16" s="4" t="n"/>
      <c r="G16" s="4" t="n"/>
      <c r="H16" s="4" t="n"/>
    </row>
    <row r="17">
      <c r="A17" s="60" t="n"/>
      <c r="B17" s="4" t="n"/>
      <c r="D17" s="4" t="n"/>
      <c r="E17" s="4" t="n"/>
      <c r="F17" s="4" t="n"/>
      <c r="G17" s="4" t="n"/>
      <c r="H17" s="4" t="n"/>
    </row>
    <row r="18">
      <c r="A18" s="60" t="n"/>
      <c r="B18" s="4" t="n"/>
      <c r="D18" s="4" t="n"/>
      <c r="E18" s="4" t="n"/>
      <c r="F18" s="4" t="n"/>
      <c r="G18" s="4" t="n"/>
      <c r="H18" s="4" t="n"/>
    </row>
    <row r="19"/>
    <row r="20"/>
    <row r="21">
      <c r="A21" s="58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</row>
    <row r="23">
      <c r="A23" s="60" t="n"/>
      <c r="B23" s="4" t="n"/>
      <c r="D23" s="4" t="n"/>
      <c r="E23" s="4" t="n"/>
      <c r="F23" s="4" t="n"/>
      <c r="G23" s="4" t="n"/>
      <c r="H23" s="4" t="n"/>
    </row>
    <row r="24">
      <c r="A24" s="60" t="n"/>
      <c r="B24" s="4" t="n"/>
      <c r="D24" s="4" t="n"/>
      <c r="E24" s="4" t="n"/>
      <c r="F24" s="4" t="n"/>
      <c r="G24" s="4" t="n"/>
      <c r="H24" s="4" t="n"/>
    </row>
    <row r="25">
      <c r="A25" s="60" t="n"/>
      <c r="B25" s="4" t="n"/>
      <c r="D25" s="4" t="n"/>
      <c r="E25" s="4" t="n"/>
      <c r="F25" s="4" t="n"/>
      <c r="G25" s="4" t="n"/>
      <c r="H25" s="4" t="n"/>
    </row>
    <row r="26">
      <c r="A26" s="60" t="n"/>
      <c r="B26" s="4" t="n"/>
      <c r="D26" s="4" t="n"/>
      <c r="E26" s="4" t="n"/>
      <c r="F26" s="4" t="n"/>
      <c r="G26" s="4" t="n"/>
      <c r="H26" s="4" t="n"/>
    </row>
    <row r="27">
      <c r="A27" s="60" t="n"/>
      <c r="B27" s="4" t="n"/>
      <c r="D27" s="4" t="n"/>
      <c r="E27" s="4" t="n"/>
      <c r="F27" s="4" t="n"/>
      <c r="G27" s="4" t="n"/>
      <c r="H27" s="4" t="n"/>
    </row>
    <row r="28"/>
    <row r="29"/>
    <row r="30">
      <c r="A30" s="58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</row>
    <row r="32">
      <c r="A32" s="60" t="n"/>
      <c r="B32" s="4" t="n"/>
      <c r="D32" s="4" t="n"/>
      <c r="E32" s="4" t="n"/>
      <c r="F32" s="4" t="n"/>
      <c r="G32" s="4" t="n"/>
      <c r="H32" s="4" t="n"/>
    </row>
    <row r="33">
      <c r="A33" s="60" t="n"/>
      <c r="B33" s="4" t="n"/>
      <c r="D33" s="4" t="n"/>
      <c r="E33" s="4" t="n"/>
      <c r="F33" s="4" t="n"/>
      <c r="G33" s="4" t="n"/>
      <c r="H33" s="4" t="n"/>
    </row>
    <row r="34">
      <c r="A34" s="60" t="n"/>
      <c r="B34" s="4" t="n"/>
      <c r="D34" s="4" t="n"/>
      <c r="E34" s="4" t="n"/>
      <c r="F34" s="4" t="n"/>
      <c r="G34" s="4" t="n"/>
      <c r="H34" s="4" t="n"/>
    </row>
    <row r="35">
      <c r="A35" s="60" t="n"/>
      <c r="B35" s="4" t="n"/>
      <c r="D35" s="4" t="n"/>
      <c r="E35" s="4" t="n"/>
      <c r="F35" s="4" t="n"/>
      <c r="G35" s="4" t="n"/>
      <c r="H35" s="4" t="n"/>
    </row>
    <row r="36">
      <c r="A36" s="60" t="n"/>
      <c r="B36" s="4" t="n"/>
      <c r="D36" s="4" t="n"/>
      <c r="E36" s="4" t="n"/>
      <c r="F36" s="4" t="n"/>
      <c r="G36" s="4" t="n"/>
      <c r="H36" s="4" t="n"/>
    </row>
    <row r="37">
      <c r="A37" s="60" t="n"/>
      <c r="B37" s="4" t="n"/>
      <c r="D37" s="4" t="n"/>
      <c r="E37" s="4" t="n"/>
      <c r="F37" s="4" t="n"/>
      <c r="G37" s="4" t="n"/>
      <c r="H37" s="4" t="n"/>
    </row>
    <row r="38">
      <c r="A38" s="60" t="n"/>
      <c r="B38" s="4" t="n"/>
      <c r="D38" s="4" t="n"/>
      <c r="E38" s="4" t="n"/>
      <c r="F38" s="4" t="n"/>
      <c r="G38" s="4" t="n"/>
      <c r="H38" s="4" t="n"/>
    </row>
    <row r="39">
      <c r="A39" s="60" t="n"/>
      <c r="B39" s="4" t="n"/>
      <c r="D39" s="4" t="n"/>
      <c r="E39" s="4" t="n"/>
      <c r="F39" s="4" t="n"/>
      <c r="G39" s="4" t="n"/>
      <c r="H39" s="4" t="n"/>
    </row>
    <row r="40">
      <c r="A40" s="60" t="n"/>
      <c r="B40" s="4" t="n"/>
      <c r="D40" s="4" t="n"/>
      <c r="E40" s="4" t="n"/>
      <c r="F40" s="4" t="n"/>
      <c r="G40" s="4" t="n"/>
      <c r="H40" s="4" t="n"/>
    </row>
    <row r="41">
      <c r="A41" s="60" t="n"/>
      <c r="B41" s="4" t="n"/>
      <c r="D41" s="4" t="n"/>
      <c r="E41" s="4" t="n"/>
      <c r="F41" s="4" t="n"/>
      <c r="G41" s="4" t="n"/>
      <c r="H41" s="4" t="n"/>
    </row>
    <row r="42"/>
    <row r="43"/>
    <row r="44">
      <c r="A44" s="58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</row>
    <row r="46">
      <c r="A46" s="60" t="n"/>
      <c r="B46" s="4" t="n"/>
      <c r="D46" s="4" t="n"/>
      <c r="E46" s="4" t="n"/>
      <c r="F46" s="4" t="n"/>
      <c r="G46" s="4" t="n"/>
      <c r="H46" s="4" t="n"/>
    </row>
    <row r="47">
      <c r="A47" s="60" t="n"/>
      <c r="B47" s="4" t="n"/>
      <c r="D47" s="4" t="n"/>
      <c r="E47" s="4" t="n"/>
      <c r="F47" s="4" t="n"/>
      <c r="G47" s="4" t="n"/>
      <c r="H47" s="4" t="n"/>
    </row>
    <row r="48">
      <c r="A48" s="60" t="n"/>
      <c r="B48" s="4" t="n"/>
      <c r="D48" s="4" t="n"/>
      <c r="E48" s="4" t="n"/>
      <c r="F48" s="4" t="n"/>
      <c r="G48" s="4" t="n"/>
      <c r="H48" s="4" t="n"/>
    </row>
    <row r="49">
      <c r="A49" s="60" t="n"/>
      <c r="B49" s="4" t="n"/>
      <c r="D49" s="4" t="n"/>
      <c r="E49" s="4" t="n"/>
      <c r="F49" s="4" t="n"/>
      <c r="G49" s="4" t="n"/>
      <c r="H49" s="4" t="n"/>
    </row>
    <row r="50">
      <c r="A50" s="60" t="n"/>
      <c r="B50" s="4" t="n"/>
      <c r="D50" s="4" t="n"/>
      <c r="E50" s="4" t="n"/>
      <c r="F50" s="4" t="n"/>
      <c r="G50" s="4" t="n"/>
      <c r="H50" s="4" t="n"/>
    </row>
    <row r="51"/>
    <row r="52"/>
    <row r="53"/>
    <row r="54">
      <c r="B54" s="4" t="n"/>
      <c r="C54" s="4" t="n"/>
      <c r="D54" s="4" t="n"/>
      <c r="E54" s="4" t="n"/>
      <c r="F54" s="4" t="n"/>
      <c r="G54" s="4" t="n"/>
      <c r="H54" s="4" t="n"/>
    </row>
    <row r="55">
      <c r="B55" s="4" t="n"/>
      <c r="C55" s="4" t="n"/>
      <c r="D55" s="4" t="n"/>
      <c r="E55" s="4" t="n"/>
      <c r="F55" s="4" t="n"/>
      <c r="G55" s="4" t="n"/>
      <c r="H55" s="4" t="n"/>
    </row>
    <row r="56">
      <c r="B56" s="4" t="n"/>
      <c r="C56" s="4" t="n"/>
      <c r="D56" s="4" t="n"/>
      <c r="E56" s="4" t="n"/>
      <c r="F56" s="4" t="n"/>
      <c r="G56" s="4" t="n"/>
      <c r="H56" s="4" t="n"/>
    </row>
    <row r="57">
      <c r="B57" s="4" t="n"/>
      <c r="C57" s="4" t="n"/>
      <c r="D57" s="4" t="n"/>
      <c r="E57" s="4" t="n"/>
      <c r="F57" s="4" t="n"/>
      <c r="G57" s="4" t="n"/>
      <c r="H57" s="4" t="n"/>
    </row>
    <row r="58">
      <c r="B58" s="4" t="n"/>
      <c r="C58" s="4" t="n"/>
      <c r="D58" s="4" t="n"/>
      <c r="E58" s="4" t="n"/>
      <c r="F58" s="4" t="n"/>
      <c r="G58" s="4" t="n"/>
      <c r="H58" s="4" t="n"/>
    </row>
    <row r="59">
      <c r="B59" s="4" t="n"/>
      <c r="C59" s="4" t="n"/>
      <c r="D59" s="4" t="n"/>
      <c r="E59" s="4" t="n"/>
      <c r="F59" s="4" t="n"/>
      <c r="G59" s="4" t="n"/>
      <c r="H59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2026-03-02T02:03:35Z</dcterms:created>
  <dcterms:modified xmlns:dcterms="http://purl.org/dc/terms/" xmlns:xsi="http://www.w3.org/2001/XMLSchema-instance" xsi:type="dcterms:W3CDTF">2026-03-20T05:30:12Z</dcterms:modified>
  <cp:lastModifiedBy>Peter Wilson</cp:lastModifiedBy>
</cp:coreProperties>
</file>