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pmwilson\Project_Equities\GYG\Models\"/>
    </mc:Choice>
  </mc:AlternateContent>
  <xr:revisionPtr revIDLastSave="0" documentId="13_ncr:1_{AA2AE1EA-AA1A-4B7C-97F0-A46E9B9EA38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Value" sheetId="1" r:id="rId1"/>
    <sheet name="Annual" sheetId="2" r:id="rId2"/>
    <sheet name="HY &amp; Segm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7" i="3" l="1"/>
  <c r="J112" i="3"/>
  <c r="J147" i="3"/>
  <c r="L147" i="3" s="1"/>
  <c r="N147" i="3" s="1"/>
  <c r="P147" i="3" s="1"/>
  <c r="R147" i="3" s="1"/>
  <c r="T147" i="3" s="1"/>
  <c r="V147" i="3" s="1"/>
  <c r="X147" i="3" s="1"/>
  <c r="Z147" i="3" s="1"/>
  <c r="I147" i="3"/>
  <c r="K147" i="3" s="1"/>
  <c r="M147" i="3" s="1"/>
  <c r="O147" i="3" s="1"/>
  <c r="Q147" i="3" s="1"/>
  <c r="S147" i="3" s="1"/>
  <c r="U147" i="3" s="1"/>
  <c r="W147" i="3" s="1"/>
  <c r="Y147" i="3" s="1"/>
  <c r="AA147" i="3" s="1"/>
  <c r="J146" i="3"/>
  <c r="L146" i="3" s="1"/>
  <c r="N146" i="3" s="1"/>
  <c r="P146" i="3" s="1"/>
  <c r="R146" i="3" s="1"/>
  <c r="T146" i="3" s="1"/>
  <c r="V146" i="3" s="1"/>
  <c r="X146" i="3" s="1"/>
  <c r="Z146" i="3" s="1"/>
  <c r="I146" i="3"/>
  <c r="K146" i="3" s="1"/>
  <c r="M146" i="3" s="1"/>
  <c r="O146" i="3" s="1"/>
  <c r="Q146" i="3" s="1"/>
  <c r="S146" i="3" s="1"/>
  <c r="U146" i="3" s="1"/>
  <c r="W146" i="3" s="1"/>
  <c r="Y146" i="3" s="1"/>
  <c r="AA146" i="3" s="1"/>
  <c r="K144" i="3"/>
  <c r="M144" i="3" s="1"/>
  <c r="O144" i="3" s="1"/>
  <c r="Q144" i="3" s="1"/>
  <c r="S144" i="3" s="1"/>
  <c r="U144" i="3" s="1"/>
  <c r="W144" i="3" s="1"/>
  <c r="Y144" i="3" s="1"/>
  <c r="AA144" i="3" s="1"/>
  <c r="J144" i="3"/>
  <c r="L144" i="3" s="1"/>
  <c r="N144" i="3" s="1"/>
  <c r="P144" i="3" s="1"/>
  <c r="R144" i="3" s="1"/>
  <c r="T144" i="3" s="1"/>
  <c r="V144" i="3" s="1"/>
  <c r="X144" i="3" s="1"/>
  <c r="Z144" i="3" s="1"/>
  <c r="I142" i="3"/>
  <c r="I143" i="3" s="1"/>
  <c r="K141" i="3"/>
  <c r="M141" i="3" s="1"/>
  <c r="O141" i="3" s="1"/>
  <c r="Q141" i="3" s="1"/>
  <c r="S141" i="3" s="1"/>
  <c r="U141" i="3" s="1"/>
  <c r="W141" i="3" s="1"/>
  <c r="Y141" i="3" s="1"/>
  <c r="AA141" i="3" s="1"/>
  <c r="J141" i="3"/>
  <c r="I140" i="3"/>
  <c r="K140" i="3" s="1"/>
  <c r="K132" i="3"/>
  <c r="M132" i="3" s="1"/>
  <c r="O132" i="3" s="1"/>
  <c r="Q132" i="3" s="1"/>
  <c r="S132" i="3" s="1"/>
  <c r="U132" i="3" s="1"/>
  <c r="W132" i="3" s="1"/>
  <c r="Y132" i="3" s="1"/>
  <c r="AA132" i="3" s="1"/>
  <c r="J132" i="3"/>
  <c r="L132" i="3" s="1"/>
  <c r="N132" i="3" s="1"/>
  <c r="P132" i="3" s="1"/>
  <c r="R132" i="3" s="1"/>
  <c r="T132" i="3" s="1"/>
  <c r="V132" i="3" s="1"/>
  <c r="X132" i="3" s="1"/>
  <c r="Z132" i="3" s="1"/>
  <c r="H129" i="3"/>
  <c r="G129" i="3"/>
  <c r="F129" i="3"/>
  <c r="E129" i="3"/>
  <c r="D129" i="3"/>
  <c r="J128" i="3"/>
  <c r="I128" i="3"/>
  <c r="K126" i="3"/>
  <c r="M126" i="3" s="1"/>
  <c r="O126" i="3" s="1"/>
  <c r="Q126" i="3" s="1"/>
  <c r="S126" i="3" s="1"/>
  <c r="U126" i="3" s="1"/>
  <c r="W126" i="3" s="1"/>
  <c r="Y126" i="3" s="1"/>
  <c r="AA126" i="3" s="1"/>
  <c r="J126" i="3"/>
  <c r="L126" i="3" s="1"/>
  <c r="N126" i="3" s="1"/>
  <c r="P126" i="3" s="1"/>
  <c r="R126" i="3" s="1"/>
  <c r="T126" i="3" s="1"/>
  <c r="V126" i="3" s="1"/>
  <c r="X126" i="3" s="1"/>
  <c r="Z126" i="3" s="1"/>
  <c r="J120" i="3"/>
  <c r="L120" i="3" s="1"/>
  <c r="N120" i="3" s="1"/>
  <c r="P120" i="3" s="1"/>
  <c r="R120" i="3" s="1"/>
  <c r="T120" i="3" s="1"/>
  <c r="V120" i="3" s="1"/>
  <c r="X120" i="3" s="1"/>
  <c r="Z120" i="3" s="1"/>
  <c r="I120" i="3"/>
  <c r="K120" i="3" s="1"/>
  <c r="M120" i="3" s="1"/>
  <c r="O120" i="3" s="1"/>
  <c r="Q120" i="3" s="1"/>
  <c r="S120" i="3" s="1"/>
  <c r="U120" i="3" s="1"/>
  <c r="W120" i="3" s="1"/>
  <c r="Y120" i="3" s="1"/>
  <c r="AA120" i="3" s="1"/>
  <c r="K118" i="3"/>
  <c r="M118" i="3" s="1"/>
  <c r="O118" i="3" s="1"/>
  <c r="Q118" i="3" s="1"/>
  <c r="S118" i="3" s="1"/>
  <c r="U118" i="3" s="1"/>
  <c r="W118" i="3" s="1"/>
  <c r="Y118" i="3" s="1"/>
  <c r="AA118" i="3" s="1"/>
  <c r="J118" i="3"/>
  <c r="L118" i="3" s="1"/>
  <c r="N118" i="3" s="1"/>
  <c r="P118" i="3" s="1"/>
  <c r="R118" i="3" s="1"/>
  <c r="T118" i="3" s="1"/>
  <c r="V118" i="3" s="1"/>
  <c r="X118" i="3" s="1"/>
  <c r="Z118" i="3" s="1"/>
  <c r="J117" i="3"/>
  <c r="I117" i="3"/>
  <c r="H112" i="3"/>
  <c r="G112" i="3"/>
  <c r="F112" i="3"/>
  <c r="E112" i="3"/>
  <c r="D112" i="3"/>
  <c r="K111" i="3"/>
  <c r="M111" i="3" s="1"/>
  <c r="O111" i="3" s="1"/>
  <c r="Q111" i="3" s="1"/>
  <c r="S111" i="3" s="1"/>
  <c r="U111" i="3" s="1"/>
  <c r="W111" i="3" s="1"/>
  <c r="Y111" i="3" s="1"/>
  <c r="AA111" i="3" s="1"/>
  <c r="J111" i="3"/>
  <c r="L111" i="3" s="1"/>
  <c r="N111" i="3" s="1"/>
  <c r="P111" i="3" s="1"/>
  <c r="R111" i="3" s="1"/>
  <c r="T111" i="3" s="1"/>
  <c r="V111" i="3" s="1"/>
  <c r="X111" i="3" s="1"/>
  <c r="Z111" i="3" s="1"/>
  <c r="J110" i="3"/>
  <c r="I110" i="3"/>
  <c r="K110" i="3" s="1"/>
  <c r="M110" i="3" s="1"/>
  <c r="O110" i="3" s="1"/>
  <c r="Q110" i="3" s="1"/>
  <c r="S110" i="3" s="1"/>
  <c r="U110" i="3" s="1"/>
  <c r="W110" i="3" s="1"/>
  <c r="Y110" i="3" s="1"/>
  <c r="AA110" i="3" s="1"/>
  <c r="K109" i="3"/>
  <c r="M109" i="3" s="1"/>
  <c r="O109" i="3" s="1"/>
  <c r="Q109" i="3" s="1"/>
  <c r="S109" i="3" s="1"/>
  <c r="U109" i="3" s="1"/>
  <c r="W109" i="3" s="1"/>
  <c r="Y109" i="3" s="1"/>
  <c r="AA109" i="3" s="1"/>
  <c r="J109" i="3"/>
  <c r="L109" i="3" s="1"/>
  <c r="N109" i="3" s="1"/>
  <c r="P109" i="3" s="1"/>
  <c r="R109" i="3" s="1"/>
  <c r="T109" i="3" s="1"/>
  <c r="V109" i="3" s="1"/>
  <c r="X109" i="3" s="1"/>
  <c r="Z109" i="3" s="1"/>
  <c r="J108" i="3"/>
  <c r="L108" i="3" s="1"/>
  <c r="N108" i="3" s="1"/>
  <c r="P108" i="3" s="1"/>
  <c r="R108" i="3" s="1"/>
  <c r="T108" i="3" s="1"/>
  <c r="V108" i="3" s="1"/>
  <c r="X108" i="3" s="1"/>
  <c r="Z108" i="3" s="1"/>
  <c r="I108" i="3"/>
  <c r="K108" i="3" s="1"/>
  <c r="M108" i="3" s="1"/>
  <c r="O108" i="3" s="1"/>
  <c r="Q108" i="3" s="1"/>
  <c r="S108" i="3" s="1"/>
  <c r="U108" i="3" s="1"/>
  <c r="W108" i="3" s="1"/>
  <c r="Y108" i="3" s="1"/>
  <c r="AA108" i="3" s="1"/>
  <c r="K106" i="3"/>
  <c r="M106" i="3" s="1"/>
  <c r="O106" i="3" s="1"/>
  <c r="Q106" i="3" s="1"/>
  <c r="S106" i="3" s="1"/>
  <c r="U106" i="3" s="1"/>
  <c r="W106" i="3" s="1"/>
  <c r="Y106" i="3" s="1"/>
  <c r="AA106" i="3" s="1"/>
  <c r="J106" i="3"/>
  <c r="L106" i="3" s="1"/>
  <c r="N106" i="3" s="1"/>
  <c r="P106" i="3" s="1"/>
  <c r="R106" i="3" s="1"/>
  <c r="T106" i="3" s="1"/>
  <c r="V106" i="3" s="1"/>
  <c r="X106" i="3" s="1"/>
  <c r="Z106" i="3" s="1"/>
  <c r="K104" i="3"/>
  <c r="M104" i="3" s="1"/>
  <c r="O104" i="3" s="1"/>
  <c r="Q104" i="3" s="1"/>
  <c r="S104" i="3" s="1"/>
  <c r="U104" i="3" s="1"/>
  <c r="W104" i="3" s="1"/>
  <c r="Y104" i="3" s="1"/>
  <c r="AA104" i="3" s="1"/>
  <c r="J104" i="3"/>
  <c r="L104" i="3" s="1"/>
  <c r="N104" i="3" s="1"/>
  <c r="P104" i="3" s="1"/>
  <c r="R104" i="3" s="1"/>
  <c r="T104" i="3" s="1"/>
  <c r="V104" i="3" s="1"/>
  <c r="X104" i="3" s="1"/>
  <c r="Z104" i="3" s="1"/>
  <c r="K102" i="3"/>
  <c r="M102" i="3" s="1"/>
  <c r="O102" i="3" s="1"/>
  <c r="Q102" i="3" s="1"/>
  <c r="S102" i="3" s="1"/>
  <c r="U102" i="3" s="1"/>
  <c r="W102" i="3" s="1"/>
  <c r="Y102" i="3" s="1"/>
  <c r="AA102" i="3" s="1"/>
  <c r="J102" i="3"/>
  <c r="L102" i="3" s="1"/>
  <c r="N102" i="3" s="1"/>
  <c r="P102" i="3" s="1"/>
  <c r="R102" i="3" s="1"/>
  <c r="T102" i="3" s="1"/>
  <c r="V102" i="3" s="1"/>
  <c r="X102" i="3" s="1"/>
  <c r="Z102" i="3" s="1"/>
  <c r="H101" i="3"/>
  <c r="G101" i="3"/>
  <c r="F101" i="3"/>
  <c r="E101" i="3"/>
  <c r="D101" i="3"/>
  <c r="J100" i="3"/>
  <c r="L100" i="3" s="1"/>
  <c r="N100" i="3" s="1"/>
  <c r="P100" i="3" s="1"/>
  <c r="R100" i="3" s="1"/>
  <c r="T100" i="3" s="1"/>
  <c r="V100" i="3" s="1"/>
  <c r="X100" i="3" s="1"/>
  <c r="Z100" i="3" s="1"/>
  <c r="I100" i="3"/>
  <c r="K99" i="3"/>
  <c r="M99" i="3" s="1"/>
  <c r="O99" i="3" s="1"/>
  <c r="Q99" i="3" s="1"/>
  <c r="S99" i="3" s="1"/>
  <c r="U99" i="3" s="1"/>
  <c r="W99" i="3" s="1"/>
  <c r="Y99" i="3" s="1"/>
  <c r="AA99" i="3" s="1"/>
  <c r="J99" i="3"/>
  <c r="L99" i="3" s="1"/>
  <c r="N99" i="3" s="1"/>
  <c r="P99" i="3" s="1"/>
  <c r="R99" i="3" s="1"/>
  <c r="T99" i="3" s="1"/>
  <c r="V99" i="3" s="1"/>
  <c r="X99" i="3" s="1"/>
  <c r="Z99" i="3" s="1"/>
  <c r="K98" i="3"/>
  <c r="J98" i="3"/>
  <c r="J89" i="3"/>
  <c r="L89" i="3" s="1"/>
  <c r="N89" i="3" s="1"/>
  <c r="P89" i="3" s="1"/>
  <c r="R89" i="3" s="1"/>
  <c r="T89" i="3" s="1"/>
  <c r="V89" i="3" s="1"/>
  <c r="X89" i="3" s="1"/>
  <c r="Z89" i="3" s="1"/>
  <c r="I89" i="3"/>
  <c r="K89" i="3" s="1"/>
  <c r="M89" i="3" s="1"/>
  <c r="O89" i="3" s="1"/>
  <c r="Q89" i="3" s="1"/>
  <c r="S89" i="3" s="1"/>
  <c r="U89" i="3" s="1"/>
  <c r="W89" i="3" s="1"/>
  <c r="Y89" i="3" s="1"/>
  <c r="AA89" i="3" s="1"/>
  <c r="H70" i="3"/>
  <c r="G70" i="3"/>
  <c r="F70" i="3"/>
  <c r="E70" i="3"/>
  <c r="D70" i="3"/>
  <c r="J68" i="3"/>
  <c r="L68" i="3" s="1"/>
  <c r="N68" i="3" s="1"/>
  <c r="P68" i="3" s="1"/>
  <c r="R68" i="3" s="1"/>
  <c r="T68" i="3" s="1"/>
  <c r="V68" i="3" s="1"/>
  <c r="X68" i="3" s="1"/>
  <c r="Z68" i="3" s="1"/>
  <c r="I68" i="3"/>
  <c r="K68" i="3" s="1"/>
  <c r="M68" i="3" s="1"/>
  <c r="O68" i="3" s="1"/>
  <c r="Q68" i="3" s="1"/>
  <c r="S68" i="3" s="1"/>
  <c r="U68" i="3" s="1"/>
  <c r="W68" i="3" s="1"/>
  <c r="Y68" i="3" s="1"/>
  <c r="AA68" i="3" s="1"/>
  <c r="J66" i="3"/>
  <c r="L66" i="3" s="1"/>
  <c r="N66" i="3" s="1"/>
  <c r="P66" i="3" s="1"/>
  <c r="R66" i="3" s="1"/>
  <c r="T66" i="3" s="1"/>
  <c r="V66" i="3" s="1"/>
  <c r="X66" i="3" s="1"/>
  <c r="Z66" i="3" s="1"/>
  <c r="I66" i="3"/>
  <c r="K66" i="3" s="1"/>
  <c r="M66" i="3" s="1"/>
  <c r="O66" i="3" s="1"/>
  <c r="Q66" i="3" s="1"/>
  <c r="S66" i="3" s="1"/>
  <c r="U66" i="3" s="1"/>
  <c r="W66" i="3" s="1"/>
  <c r="Y66" i="3" s="1"/>
  <c r="AA66" i="3" s="1"/>
  <c r="J65" i="3"/>
  <c r="I65" i="3"/>
  <c r="H56" i="3"/>
  <c r="G56" i="3"/>
  <c r="F56" i="3"/>
  <c r="E56" i="3"/>
  <c r="D56" i="3"/>
  <c r="H48" i="3"/>
  <c r="G48" i="3"/>
  <c r="F48" i="3"/>
  <c r="E48" i="3"/>
  <c r="D48" i="3"/>
  <c r="J43" i="3"/>
  <c r="L43" i="3" s="1"/>
  <c r="N43" i="3" s="1"/>
  <c r="P43" i="3" s="1"/>
  <c r="R43" i="3" s="1"/>
  <c r="T43" i="3" s="1"/>
  <c r="V43" i="3" s="1"/>
  <c r="X43" i="3" s="1"/>
  <c r="Z43" i="3" s="1"/>
  <c r="I43" i="3"/>
  <c r="K43" i="3" s="1"/>
  <c r="M43" i="3" s="1"/>
  <c r="O43" i="3" s="1"/>
  <c r="Q43" i="3" s="1"/>
  <c r="S43" i="3" s="1"/>
  <c r="U43" i="3" s="1"/>
  <c r="W43" i="3" s="1"/>
  <c r="Y43" i="3" s="1"/>
  <c r="AA43" i="3" s="1"/>
  <c r="H34" i="3"/>
  <c r="G34" i="3"/>
  <c r="F34" i="3"/>
  <c r="E34" i="3"/>
  <c r="D34" i="3"/>
  <c r="H22" i="3"/>
  <c r="G22" i="3"/>
  <c r="F22" i="3"/>
  <c r="E22" i="3"/>
  <c r="D22" i="3"/>
  <c r="H18" i="3"/>
  <c r="G18" i="3"/>
  <c r="F18" i="3"/>
  <c r="E18" i="3"/>
  <c r="D18" i="3"/>
  <c r="J17" i="3"/>
  <c r="L17" i="3" s="1"/>
  <c r="N17" i="3" s="1"/>
  <c r="P17" i="3" s="1"/>
  <c r="R17" i="3" s="1"/>
  <c r="T17" i="3" s="1"/>
  <c r="V17" i="3" s="1"/>
  <c r="X17" i="3" s="1"/>
  <c r="Z17" i="3" s="1"/>
  <c r="I17" i="3"/>
  <c r="K17" i="3" s="1"/>
  <c r="M17" i="3" s="1"/>
  <c r="O17" i="3" s="1"/>
  <c r="Q17" i="3" s="1"/>
  <c r="S17" i="3" s="1"/>
  <c r="U17" i="3" s="1"/>
  <c r="W17" i="3" s="1"/>
  <c r="Y17" i="3" s="1"/>
  <c r="AA17" i="3" s="1"/>
  <c r="J15" i="3"/>
  <c r="I15" i="3"/>
  <c r="H11" i="3"/>
  <c r="G11" i="3"/>
  <c r="F11" i="3"/>
  <c r="F25" i="3" s="1"/>
  <c r="F38" i="3" s="1"/>
  <c r="F60" i="3" s="1"/>
  <c r="F76" i="3" s="1"/>
  <c r="F80" i="3" s="1"/>
  <c r="F82" i="3" s="1"/>
  <c r="E11" i="3"/>
  <c r="E25" i="3" s="1"/>
  <c r="E38" i="3" s="1"/>
  <c r="E60" i="3" s="1"/>
  <c r="E76" i="3" s="1"/>
  <c r="E80" i="3" s="1"/>
  <c r="E82" i="3" s="1"/>
  <c r="D11" i="3"/>
  <c r="D25" i="3" s="1"/>
  <c r="D38" i="3" s="1"/>
  <c r="D60" i="3" s="1"/>
  <c r="D76" i="3" s="1"/>
  <c r="D80" i="3" s="1"/>
  <c r="D82" i="3" s="1"/>
  <c r="J10" i="3"/>
  <c r="L10" i="3" s="1"/>
  <c r="N10" i="3" s="1"/>
  <c r="P10" i="3" s="1"/>
  <c r="R10" i="3" s="1"/>
  <c r="T10" i="3" s="1"/>
  <c r="V10" i="3" s="1"/>
  <c r="X10" i="3" s="1"/>
  <c r="Z10" i="3" s="1"/>
  <c r="I10" i="3"/>
  <c r="K10" i="3" s="1"/>
  <c r="M10" i="3" s="1"/>
  <c r="O10" i="3" s="1"/>
  <c r="Q10" i="3" s="1"/>
  <c r="S10" i="3" s="1"/>
  <c r="U10" i="3" s="1"/>
  <c r="W10" i="3" s="1"/>
  <c r="Y10" i="3" s="1"/>
  <c r="AA10" i="3" s="1"/>
  <c r="E63" i="1"/>
  <c r="C56" i="1"/>
  <c r="C46" i="1"/>
  <c r="C22" i="1"/>
  <c r="C18" i="1"/>
  <c r="C15" i="1"/>
  <c r="C20" i="1" s="1"/>
  <c r="C7" i="1"/>
  <c r="C5" i="1"/>
  <c r="C6" i="1" s="1"/>
  <c r="G220" i="2"/>
  <c r="F220" i="2"/>
  <c r="E220" i="2"/>
  <c r="D220" i="2"/>
  <c r="D214" i="2"/>
  <c r="D215" i="2" s="1"/>
  <c r="G212" i="2"/>
  <c r="F212" i="2"/>
  <c r="E212" i="2"/>
  <c r="D212" i="2"/>
  <c r="G211" i="2"/>
  <c r="F211" i="2"/>
  <c r="E211" i="2"/>
  <c r="D211" i="2"/>
  <c r="G205" i="2"/>
  <c r="F205" i="2"/>
  <c r="E205" i="2"/>
  <c r="D205" i="2"/>
  <c r="H202" i="2"/>
  <c r="H212" i="2" s="1"/>
  <c r="G197" i="2"/>
  <c r="F197" i="2"/>
  <c r="E197" i="2"/>
  <c r="D197" i="2"/>
  <c r="I192" i="2"/>
  <c r="J192" i="2" s="1"/>
  <c r="G171" i="2"/>
  <c r="F171" i="2"/>
  <c r="E171" i="2"/>
  <c r="D171" i="2"/>
  <c r="H169" i="2"/>
  <c r="I169" i="2" s="1"/>
  <c r="J169" i="2" s="1"/>
  <c r="K169" i="2" s="1"/>
  <c r="L169" i="2" s="1"/>
  <c r="M169" i="2" s="1"/>
  <c r="N169" i="2" s="1"/>
  <c r="O169" i="2" s="1"/>
  <c r="P169" i="2" s="1"/>
  <c r="Q169" i="2" s="1"/>
  <c r="H167" i="2"/>
  <c r="G161" i="2"/>
  <c r="F161" i="2"/>
  <c r="E161" i="2"/>
  <c r="D161" i="2"/>
  <c r="G159" i="2"/>
  <c r="F159" i="2"/>
  <c r="E159" i="2"/>
  <c r="D159" i="2"/>
  <c r="H158" i="2"/>
  <c r="H157" i="2"/>
  <c r="H156" i="2"/>
  <c r="I156" i="2" s="1"/>
  <c r="J156" i="2" s="1"/>
  <c r="K156" i="2" s="1"/>
  <c r="L156" i="2" s="1"/>
  <c r="M156" i="2" s="1"/>
  <c r="N156" i="2" s="1"/>
  <c r="O156" i="2" s="1"/>
  <c r="P156" i="2" s="1"/>
  <c r="Q156" i="2" s="1"/>
  <c r="H155" i="2"/>
  <c r="I155" i="2" s="1"/>
  <c r="J155" i="2" s="1"/>
  <c r="K155" i="2" s="1"/>
  <c r="L155" i="2" s="1"/>
  <c r="M155" i="2" s="1"/>
  <c r="N155" i="2" s="1"/>
  <c r="O155" i="2" s="1"/>
  <c r="P155" i="2" s="1"/>
  <c r="Q155" i="2" s="1"/>
  <c r="I151" i="2"/>
  <c r="J151" i="2" s="1"/>
  <c r="K151" i="2" s="1"/>
  <c r="L151" i="2" s="1"/>
  <c r="M151" i="2" s="1"/>
  <c r="N151" i="2" s="1"/>
  <c r="O151" i="2" s="1"/>
  <c r="P151" i="2" s="1"/>
  <c r="Q151" i="2" s="1"/>
  <c r="G149" i="2"/>
  <c r="F149" i="2"/>
  <c r="E149" i="2"/>
  <c r="D149" i="2"/>
  <c r="G146" i="2"/>
  <c r="G174" i="2" s="1"/>
  <c r="F146" i="2"/>
  <c r="F174" i="2" s="1"/>
  <c r="E146" i="2"/>
  <c r="E174" i="2" s="1"/>
  <c r="D146" i="2"/>
  <c r="D174" i="2" s="1"/>
  <c r="H145" i="2"/>
  <c r="I145" i="2" s="1"/>
  <c r="J145" i="2" s="1"/>
  <c r="K145" i="2" s="1"/>
  <c r="L145" i="2" s="1"/>
  <c r="M145" i="2" s="1"/>
  <c r="N145" i="2" s="1"/>
  <c r="O145" i="2" s="1"/>
  <c r="P145" i="2" s="1"/>
  <c r="Q145" i="2" s="1"/>
  <c r="H143" i="2"/>
  <c r="I143" i="2" s="1"/>
  <c r="J143" i="2" s="1"/>
  <c r="K143" i="2" s="1"/>
  <c r="L143" i="2" s="1"/>
  <c r="M143" i="2" s="1"/>
  <c r="N143" i="2" s="1"/>
  <c r="O143" i="2" s="1"/>
  <c r="P143" i="2" s="1"/>
  <c r="Q143" i="2" s="1"/>
  <c r="H142" i="2"/>
  <c r="I142" i="2" s="1"/>
  <c r="J142" i="2" s="1"/>
  <c r="K142" i="2" s="1"/>
  <c r="L142" i="2" s="1"/>
  <c r="M142" i="2" s="1"/>
  <c r="N142" i="2" s="1"/>
  <c r="O142" i="2" s="1"/>
  <c r="P142" i="2" s="1"/>
  <c r="Q142" i="2" s="1"/>
  <c r="H140" i="2"/>
  <c r="I140" i="2" s="1"/>
  <c r="J140" i="2" s="1"/>
  <c r="K140" i="2" s="1"/>
  <c r="L140" i="2" s="1"/>
  <c r="M140" i="2" s="1"/>
  <c r="N140" i="2" s="1"/>
  <c r="O140" i="2" s="1"/>
  <c r="P140" i="2" s="1"/>
  <c r="Q140" i="2" s="1"/>
  <c r="H137" i="2"/>
  <c r="Q131" i="2"/>
  <c r="P131" i="2"/>
  <c r="O131" i="2"/>
  <c r="N131" i="2"/>
  <c r="M131" i="2"/>
  <c r="L131" i="2"/>
  <c r="K131" i="2"/>
  <c r="J131" i="2"/>
  <c r="I131" i="2"/>
  <c r="H131" i="2"/>
  <c r="Q130" i="2"/>
  <c r="P130" i="2"/>
  <c r="O130" i="2"/>
  <c r="N130" i="2"/>
  <c r="M130" i="2"/>
  <c r="L130" i="2"/>
  <c r="K130" i="2"/>
  <c r="J130" i="2"/>
  <c r="I130" i="2"/>
  <c r="H130" i="2"/>
  <c r="Q129" i="2"/>
  <c r="P129" i="2"/>
  <c r="O129" i="2"/>
  <c r="N129" i="2"/>
  <c r="M129" i="2"/>
  <c r="L129" i="2"/>
  <c r="K129" i="2"/>
  <c r="J129" i="2"/>
  <c r="I129" i="2"/>
  <c r="H129" i="2"/>
  <c r="I128" i="2"/>
  <c r="J128" i="2" s="1"/>
  <c r="K128" i="2" s="1"/>
  <c r="L128" i="2" s="1"/>
  <c r="M128" i="2" s="1"/>
  <c r="N128" i="2" s="1"/>
  <c r="O128" i="2" s="1"/>
  <c r="P128" i="2" s="1"/>
  <c r="Q128" i="2" s="1"/>
  <c r="Q125" i="2"/>
  <c r="P125" i="2"/>
  <c r="O125" i="2"/>
  <c r="N125" i="2"/>
  <c r="M125" i="2"/>
  <c r="L125" i="2"/>
  <c r="K125" i="2"/>
  <c r="J125" i="2"/>
  <c r="I125" i="2"/>
  <c r="H125" i="2"/>
  <c r="Q124" i="2"/>
  <c r="P124" i="2"/>
  <c r="O124" i="2"/>
  <c r="N124" i="2"/>
  <c r="M124" i="2"/>
  <c r="L124" i="2"/>
  <c r="K124" i="2"/>
  <c r="J124" i="2"/>
  <c r="I124" i="2"/>
  <c r="H124" i="2"/>
  <c r="Q123" i="2"/>
  <c r="P123" i="2"/>
  <c r="O123" i="2"/>
  <c r="N123" i="2"/>
  <c r="M123" i="2"/>
  <c r="L123" i="2"/>
  <c r="K123" i="2"/>
  <c r="J123" i="2"/>
  <c r="I123" i="2"/>
  <c r="H123" i="2"/>
  <c r="Q122" i="2"/>
  <c r="P122" i="2"/>
  <c r="O122" i="2"/>
  <c r="N122" i="2"/>
  <c r="M122" i="2"/>
  <c r="L122" i="2"/>
  <c r="K122" i="2"/>
  <c r="J122" i="2"/>
  <c r="I122" i="2"/>
  <c r="H122" i="2"/>
  <c r="Q121" i="2"/>
  <c r="P121" i="2"/>
  <c r="O121" i="2"/>
  <c r="N121" i="2"/>
  <c r="M121" i="2"/>
  <c r="L121" i="2"/>
  <c r="K121" i="2"/>
  <c r="J121" i="2"/>
  <c r="I121" i="2"/>
  <c r="H121" i="2"/>
  <c r="Q120" i="2"/>
  <c r="P120" i="2"/>
  <c r="O120" i="2"/>
  <c r="N120" i="2"/>
  <c r="M120" i="2"/>
  <c r="L120" i="2"/>
  <c r="K120" i="2"/>
  <c r="J120" i="2"/>
  <c r="I120" i="2"/>
  <c r="H120" i="2"/>
  <c r="G117" i="2"/>
  <c r="F117" i="2"/>
  <c r="E117" i="2"/>
  <c r="D117" i="2"/>
  <c r="Q116" i="2"/>
  <c r="P116" i="2"/>
  <c r="O116" i="2"/>
  <c r="N116" i="2"/>
  <c r="M116" i="2"/>
  <c r="L116" i="2"/>
  <c r="K116" i="2"/>
  <c r="J116" i="2"/>
  <c r="I116" i="2"/>
  <c r="H116" i="2"/>
  <c r="H115" i="2"/>
  <c r="I115" i="2" s="1"/>
  <c r="J115" i="2" s="1"/>
  <c r="K115" i="2" s="1"/>
  <c r="L115" i="2" s="1"/>
  <c r="M115" i="2" s="1"/>
  <c r="N115" i="2" s="1"/>
  <c r="O115" i="2" s="1"/>
  <c r="P115" i="2" s="1"/>
  <c r="Q115" i="2" s="1"/>
  <c r="H114" i="2"/>
  <c r="I114" i="2" s="1"/>
  <c r="J114" i="2" s="1"/>
  <c r="K114" i="2" s="1"/>
  <c r="L114" i="2" s="1"/>
  <c r="M114" i="2" s="1"/>
  <c r="N114" i="2" s="1"/>
  <c r="O114" i="2" s="1"/>
  <c r="P114" i="2" s="1"/>
  <c r="Q114" i="2" s="1"/>
  <c r="Q113" i="2"/>
  <c r="P113" i="2"/>
  <c r="O113" i="2"/>
  <c r="N113" i="2"/>
  <c r="M113" i="2"/>
  <c r="L113" i="2"/>
  <c r="K113" i="2"/>
  <c r="J113" i="2"/>
  <c r="I113" i="2"/>
  <c r="H113" i="2"/>
  <c r="Q112" i="2"/>
  <c r="Q117" i="2" s="1"/>
  <c r="P112" i="2"/>
  <c r="P117" i="2" s="1"/>
  <c r="O112" i="2"/>
  <c r="O117" i="2" s="1"/>
  <c r="N112" i="2"/>
  <c r="N117" i="2" s="1"/>
  <c r="M112" i="2"/>
  <c r="M117" i="2" s="1"/>
  <c r="L112" i="2"/>
  <c r="L117" i="2" s="1"/>
  <c r="K112" i="2"/>
  <c r="K117" i="2" s="1"/>
  <c r="J112" i="2"/>
  <c r="J117" i="2" s="1"/>
  <c r="I112" i="2"/>
  <c r="I117" i="2" s="1"/>
  <c r="H112" i="2"/>
  <c r="H117" i="2" s="1"/>
  <c r="G108" i="2"/>
  <c r="F108" i="2"/>
  <c r="G109" i="2" s="1"/>
  <c r="E108" i="2"/>
  <c r="F109" i="2" s="1"/>
  <c r="D108" i="2"/>
  <c r="E109" i="2" s="1"/>
  <c r="Q107" i="2"/>
  <c r="P107" i="2"/>
  <c r="O107" i="2"/>
  <c r="N107" i="2"/>
  <c r="M107" i="2"/>
  <c r="L107" i="2"/>
  <c r="K107" i="2"/>
  <c r="J107" i="2"/>
  <c r="I107" i="2"/>
  <c r="H107" i="2"/>
  <c r="Q106" i="2"/>
  <c r="P106" i="2"/>
  <c r="O106" i="2"/>
  <c r="N106" i="2"/>
  <c r="M106" i="2"/>
  <c r="L106" i="2"/>
  <c r="K106" i="2"/>
  <c r="J106" i="2"/>
  <c r="I106" i="2"/>
  <c r="H106" i="2"/>
  <c r="Q105" i="2"/>
  <c r="P105" i="2"/>
  <c r="O105" i="2"/>
  <c r="N105" i="2"/>
  <c r="M105" i="2"/>
  <c r="L105" i="2"/>
  <c r="K105" i="2"/>
  <c r="J105" i="2"/>
  <c r="I105" i="2"/>
  <c r="H105" i="2"/>
  <c r="Q104" i="2"/>
  <c r="Q108" i="2" s="1"/>
  <c r="P104" i="2"/>
  <c r="P108" i="2" s="1"/>
  <c r="O104" i="2"/>
  <c r="O108" i="2" s="1"/>
  <c r="N104" i="2"/>
  <c r="N108" i="2" s="1"/>
  <c r="M104" i="2"/>
  <c r="M108" i="2" s="1"/>
  <c r="L104" i="2"/>
  <c r="L108" i="2" s="1"/>
  <c r="K104" i="2"/>
  <c r="K108" i="2" s="1"/>
  <c r="J104" i="2"/>
  <c r="J108" i="2" s="1"/>
  <c r="I104" i="2"/>
  <c r="I108" i="2" s="1"/>
  <c r="H104" i="2"/>
  <c r="H108" i="2" s="1"/>
  <c r="G100" i="2"/>
  <c r="F100" i="2"/>
  <c r="E100" i="2"/>
  <c r="G99" i="2"/>
  <c r="F99" i="2"/>
  <c r="E99" i="2"/>
  <c r="D99" i="2"/>
  <c r="G97" i="2"/>
  <c r="F97" i="2"/>
  <c r="E97" i="2"/>
  <c r="D97" i="2"/>
  <c r="H96" i="2"/>
  <c r="D93" i="2"/>
  <c r="D92" i="2"/>
  <c r="G89" i="2"/>
  <c r="F89" i="2"/>
  <c r="E89" i="2"/>
  <c r="D89" i="2"/>
  <c r="H87" i="2"/>
  <c r="Q81" i="2"/>
  <c r="P81" i="2"/>
  <c r="O81" i="2"/>
  <c r="N81" i="2"/>
  <c r="M81" i="2"/>
  <c r="L81" i="2"/>
  <c r="K81" i="2"/>
  <c r="J81" i="2"/>
  <c r="I81" i="2"/>
  <c r="H81" i="2"/>
  <c r="Q79" i="2"/>
  <c r="P79" i="2"/>
  <c r="O79" i="2"/>
  <c r="N79" i="2"/>
  <c r="M79" i="2"/>
  <c r="L79" i="2"/>
  <c r="K79" i="2"/>
  <c r="J79" i="2"/>
  <c r="I79" i="2"/>
  <c r="H79" i="2"/>
  <c r="H170" i="2" s="1"/>
  <c r="I170" i="2" s="1"/>
  <c r="J170" i="2" s="1"/>
  <c r="K170" i="2" s="1"/>
  <c r="L170" i="2" s="1"/>
  <c r="M170" i="2" s="1"/>
  <c r="N170" i="2" s="1"/>
  <c r="O170" i="2" s="1"/>
  <c r="P170" i="2" s="1"/>
  <c r="Q170" i="2" s="1"/>
  <c r="Q77" i="2"/>
  <c r="Q185" i="2" s="1"/>
  <c r="P77" i="2"/>
  <c r="P185" i="2" s="1"/>
  <c r="O77" i="2"/>
  <c r="O185" i="2" s="1"/>
  <c r="N77" i="2"/>
  <c r="N185" i="2" s="1"/>
  <c r="M77" i="2"/>
  <c r="M185" i="2" s="1"/>
  <c r="L77" i="2"/>
  <c r="L185" i="2" s="1"/>
  <c r="K77" i="2"/>
  <c r="K185" i="2" s="1"/>
  <c r="J77" i="2"/>
  <c r="J185" i="2" s="1"/>
  <c r="I77" i="2"/>
  <c r="I185" i="2" s="1"/>
  <c r="H77" i="2"/>
  <c r="H185" i="2" s="1"/>
  <c r="I73" i="2"/>
  <c r="J73" i="2" s="1"/>
  <c r="K73" i="2" s="1"/>
  <c r="L73" i="2" s="1"/>
  <c r="M73" i="2" s="1"/>
  <c r="N73" i="2" s="1"/>
  <c r="O73" i="2" s="1"/>
  <c r="P73" i="2" s="1"/>
  <c r="Q73" i="2" s="1"/>
  <c r="I72" i="2"/>
  <c r="J72" i="2" s="1"/>
  <c r="K72" i="2" s="1"/>
  <c r="L72" i="2" s="1"/>
  <c r="M72" i="2" s="1"/>
  <c r="N72" i="2" s="1"/>
  <c r="O72" i="2" s="1"/>
  <c r="P72" i="2" s="1"/>
  <c r="Q72" i="2" s="1"/>
  <c r="I71" i="2"/>
  <c r="J71" i="2" s="1"/>
  <c r="K71" i="2" s="1"/>
  <c r="L71" i="2" s="1"/>
  <c r="M71" i="2" s="1"/>
  <c r="N71" i="2" s="1"/>
  <c r="O71" i="2" s="1"/>
  <c r="P71" i="2" s="1"/>
  <c r="Q71" i="2" s="1"/>
  <c r="G70" i="2"/>
  <c r="F70" i="2"/>
  <c r="E70" i="2"/>
  <c r="D70" i="2"/>
  <c r="Q69" i="2"/>
  <c r="Q183" i="2" s="1"/>
  <c r="P69" i="2"/>
  <c r="P183" i="2" s="1"/>
  <c r="O69" i="2"/>
  <c r="O183" i="2" s="1"/>
  <c r="N69" i="2"/>
  <c r="N183" i="2" s="1"/>
  <c r="M69" i="2"/>
  <c r="M183" i="2" s="1"/>
  <c r="L69" i="2"/>
  <c r="L183" i="2" s="1"/>
  <c r="K69" i="2"/>
  <c r="K183" i="2" s="1"/>
  <c r="J69" i="2"/>
  <c r="J183" i="2" s="1"/>
  <c r="I69" i="2"/>
  <c r="I183" i="2" s="1"/>
  <c r="H69" i="2"/>
  <c r="H183" i="2" s="1"/>
  <c r="Q68" i="2"/>
  <c r="Q184" i="2" s="1"/>
  <c r="P68" i="2"/>
  <c r="P184" i="2" s="1"/>
  <c r="O68" i="2"/>
  <c r="O184" i="2" s="1"/>
  <c r="N68" i="2"/>
  <c r="N184" i="2" s="1"/>
  <c r="M68" i="2"/>
  <c r="M184" i="2" s="1"/>
  <c r="L68" i="2"/>
  <c r="L184" i="2" s="1"/>
  <c r="K68" i="2"/>
  <c r="K184" i="2" s="1"/>
  <c r="J68" i="2"/>
  <c r="J184" i="2" s="1"/>
  <c r="I68" i="2"/>
  <c r="I184" i="2" s="1"/>
  <c r="H68" i="2"/>
  <c r="H184" i="2" s="1"/>
  <c r="Q67" i="2"/>
  <c r="P67" i="2"/>
  <c r="O67" i="2"/>
  <c r="N67" i="2"/>
  <c r="M67" i="2"/>
  <c r="L67" i="2"/>
  <c r="K67" i="2"/>
  <c r="J67" i="2"/>
  <c r="I67" i="2"/>
  <c r="H67" i="2"/>
  <c r="Q66" i="2"/>
  <c r="P66" i="2"/>
  <c r="O66" i="2"/>
  <c r="N66" i="2"/>
  <c r="M66" i="2"/>
  <c r="L66" i="2"/>
  <c r="K66" i="2"/>
  <c r="J66" i="2"/>
  <c r="I66" i="2"/>
  <c r="H66" i="2"/>
  <c r="Q65" i="2"/>
  <c r="P65" i="2"/>
  <c r="O65" i="2"/>
  <c r="N65" i="2"/>
  <c r="M65" i="2"/>
  <c r="L65" i="2"/>
  <c r="K65" i="2"/>
  <c r="J65" i="2"/>
  <c r="I65" i="2"/>
  <c r="H65" i="2"/>
  <c r="I58" i="2"/>
  <c r="J58" i="2" s="1"/>
  <c r="K58" i="2" s="1"/>
  <c r="L58" i="2" s="1"/>
  <c r="M58" i="2" s="1"/>
  <c r="N58" i="2" s="1"/>
  <c r="O58" i="2" s="1"/>
  <c r="P58" i="2" s="1"/>
  <c r="Q58" i="2" s="1"/>
  <c r="G56" i="2"/>
  <c r="F56" i="2"/>
  <c r="E56" i="2"/>
  <c r="Q55" i="2"/>
  <c r="P55" i="2"/>
  <c r="O55" i="2"/>
  <c r="N55" i="2"/>
  <c r="M55" i="2"/>
  <c r="L55" i="2"/>
  <c r="K55" i="2"/>
  <c r="J55" i="2"/>
  <c r="I55" i="2"/>
  <c r="H55" i="2"/>
  <c r="Q54" i="2"/>
  <c r="P54" i="2"/>
  <c r="O54" i="2"/>
  <c r="N54" i="2"/>
  <c r="M54" i="2"/>
  <c r="L54" i="2"/>
  <c r="K54" i="2"/>
  <c r="J54" i="2"/>
  <c r="I54" i="2"/>
  <c r="H54" i="2"/>
  <c r="Q53" i="2"/>
  <c r="P53" i="2"/>
  <c r="O53" i="2"/>
  <c r="N53" i="2"/>
  <c r="M53" i="2"/>
  <c r="L53" i="2"/>
  <c r="K53" i="2"/>
  <c r="J53" i="2"/>
  <c r="I53" i="2"/>
  <c r="H53" i="2"/>
  <c r="H144" i="2" s="1"/>
  <c r="I144" i="2" s="1"/>
  <c r="Q52" i="2"/>
  <c r="Q56" i="2" s="1"/>
  <c r="M26" i="1" s="1"/>
  <c r="M30" i="1" s="1"/>
  <c r="P52" i="2"/>
  <c r="P56" i="2" s="1"/>
  <c r="L26" i="1" s="1"/>
  <c r="L30" i="1" s="1"/>
  <c r="O52" i="2"/>
  <c r="O56" i="2" s="1"/>
  <c r="K26" i="1" s="1"/>
  <c r="K30" i="1" s="1"/>
  <c r="N52" i="2"/>
  <c r="N56" i="2" s="1"/>
  <c r="J26" i="1" s="1"/>
  <c r="J30" i="1" s="1"/>
  <c r="M52" i="2"/>
  <c r="M56" i="2" s="1"/>
  <c r="I26" i="1" s="1"/>
  <c r="I30" i="1" s="1"/>
  <c r="L52" i="2"/>
  <c r="L56" i="2" s="1"/>
  <c r="H26" i="1" s="1"/>
  <c r="H30" i="1" s="1"/>
  <c r="K52" i="2"/>
  <c r="K56" i="2" s="1"/>
  <c r="G26" i="1" s="1"/>
  <c r="G30" i="1" s="1"/>
  <c r="J52" i="2"/>
  <c r="J56" i="2" s="1"/>
  <c r="F26" i="1" s="1"/>
  <c r="F30" i="1" s="1"/>
  <c r="I52" i="2"/>
  <c r="I56" i="2" s="1"/>
  <c r="E26" i="1" s="1"/>
  <c r="E30" i="1" s="1"/>
  <c r="H52" i="2"/>
  <c r="H56" i="2" s="1"/>
  <c r="D26" i="1" s="1"/>
  <c r="D30" i="1" s="1"/>
  <c r="G48" i="2"/>
  <c r="F48" i="2"/>
  <c r="E48" i="2"/>
  <c r="D48" i="2"/>
  <c r="Q47" i="2"/>
  <c r="P47" i="2"/>
  <c r="O47" i="2"/>
  <c r="N47" i="2"/>
  <c r="M47" i="2"/>
  <c r="L47" i="2"/>
  <c r="K47" i="2"/>
  <c r="J47" i="2"/>
  <c r="I47" i="2"/>
  <c r="C58" i="1" s="1"/>
  <c r="E58" i="1" s="1"/>
  <c r="H47" i="2"/>
  <c r="Q46" i="2"/>
  <c r="Q48" i="2" s="1"/>
  <c r="P46" i="2"/>
  <c r="P48" i="2" s="1"/>
  <c r="O46" i="2"/>
  <c r="O48" i="2" s="1"/>
  <c r="N46" i="2"/>
  <c r="N48" i="2" s="1"/>
  <c r="M46" i="2"/>
  <c r="M48" i="2" s="1"/>
  <c r="L46" i="2"/>
  <c r="L48" i="2" s="1"/>
  <c r="K46" i="2"/>
  <c r="K48" i="2" s="1"/>
  <c r="J46" i="2"/>
  <c r="J48" i="2" s="1"/>
  <c r="I46" i="2"/>
  <c r="H46" i="2"/>
  <c r="H48" i="2" s="1"/>
  <c r="Q45" i="2"/>
  <c r="P45" i="2"/>
  <c r="O45" i="2"/>
  <c r="N45" i="2"/>
  <c r="M45" i="2"/>
  <c r="L45" i="2"/>
  <c r="K45" i="2"/>
  <c r="J45" i="2"/>
  <c r="I45" i="2"/>
  <c r="H45" i="2"/>
  <c r="Q44" i="2"/>
  <c r="P44" i="2"/>
  <c r="O44" i="2"/>
  <c r="N44" i="2"/>
  <c r="M44" i="2"/>
  <c r="L44" i="2"/>
  <c r="K44" i="2"/>
  <c r="J44" i="2"/>
  <c r="I44" i="2"/>
  <c r="H44" i="2"/>
  <c r="Q43" i="2"/>
  <c r="Q180" i="2" s="1"/>
  <c r="P43" i="2"/>
  <c r="P180" i="2" s="1"/>
  <c r="O43" i="2"/>
  <c r="O180" i="2" s="1"/>
  <c r="N43" i="2"/>
  <c r="N180" i="2" s="1"/>
  <c r="M43" i="2"/>
  <c r="M180" i="2" s="1"/>
  <c r="L43" i="2"/>
  <c r="L180" i="2" s="1"/>
  <c r="K43" i="2"/>
  <c r="K180" i="2" s="1"/>
  <c r="J43" i="2"/>
  <c r="J180" i="2" s="1"/>
  <c r="I43" i="2"/>
  <c r="I180" i="2" s="1"/>
  <c r="H43" i="2"/>
  <c r="H180" i="2" s="1"/>
  <c r="G34" i="2"/>
  <c r="F34" i="2"/>
  <c r="E34" i="2"/>
  <c r="D34" i="2"/>
  <c r="Q33" i="2"/>
  <c r="P33" i="2"/>
  <c r="O33" i="2"/>
  <c r="N33" i="2"/>
  <c r="M33" i="2"/>
  <c r="L33" i="2"/>
  <c r="K33" i="2"/>
  <c r="J33" i="2"/>
  <c r="I33" i="2"/>
  <c r="H33" i="2"/>
  <c r="Q32" i="2"/>
  <c r="P32" i="2"/>
  <c r="O32" i="2"/>
  <c r="N32" i="2"/>
  <c r="M32" i="2"/>
  <c r="L32" i="2"/>
  <c r="K32" i="2"/>
  <c r="J32" i="2"/>
  <c r="I32" i="2"/>
  <c r="H32" i="2"/>
  <c r="Q31" i="2"/>
  <c r="P31" i="2"/>
  <c r="O31" i="2"/>
  <c r="N31" i="2"/>
  <c r="M31" i="2"/>
  <c r="L31" i="2"/>
  <c r="K31" i="2"/>
  <c r="J31" i="2"/>
  <c r="I31" i="2"/>
  <c r="H31" i="2"/>
  <c r="Q30" i="2"/>
  <c r="Q34" i="2" s="1"/>
  <c r="P30" i="2"/>
  <c r="P34" i="2" s="1"/>
  <c r="Q35" i="2" s="1"/>
  <c r="O30" i="2"/>
  <c r="O34" i="2" s="1"/>
  <c r="P35" i="2" s="1"/>
  <c r="N30" i="2"/>
  <c r="N34" i="2" s="1"/>
  <c r="O35" i="2" s="1"/>
  <c r="M30" i="2"/>
  <c r="M34" i="2" s="1"/>
  <c r="N35" i="2" s="1"/>
  <c r="L30" i="2"/>
  <c r="L34" i="2" s="1"/>
  <c r="M35" i="2" s="1"/>
  <c r="K30" i="2"/>
  <c r="K34" i="2" s="1"/>
  <c r="L35" i="2" s="1"/>
  <c r="J30" i="2"/>
  <c r="J34" i="2" s="1"/>
  <c r="K35" i="2" s="1"/>
  <c r="I30" i="2"/>
  <c r="I34" i="2" s="1"/>
  <c r="J35" i="2" s="1"/>
  <c r="H30" i="2"/>
  <c r="H34" i="2" s="1"/>
  <c r="I35" i="2" s="1"/>
  <c r="G22" i="2"/>
  <c r="F22" i="2"/>
  <c r="E22" i="2"/>
  <c r="D22" i="2"/>
  <c r="Q21" i="2"/>
  <c r="Q22" i="2" s="1"/>
  <c r="P21" i="2"/>
  <c r="P22" i="2" s="1"/>
  <c r="O21" i="2"/>
  <c r="O22" i="2" s="1"/>
  <c r="N21" i="2"/>
  <c r="N22" i="2" s="1"/>
  <c r="M21" i="2"/>
  <c r="M22" i="2" s="1"/>
  <c r="L21" i="2"/>
  <c r="L22" i="2" s="1"/>
  <c r="K21" i="2"/>
  <c r="K22" i="2" s="1"/>
  <c r="J21" i="2"/>
  <c r="J22" i="2" s="1"/>
  <c r="I21" i="2"/>
  <c r="I22" i="2" s="1"/>
  <c r="H21" i="2"/>
  <c r="H22" i="2" s="1"/>
  <c r="G18" i="2"/>
  <c r="F18" i="2"/>
  <c r="E18" i="2"/>
  <c r="Q17" i="2"/>
  <c r="P17" i="2"/>
  <c r="O17" i="2"/>
  <c r="N17" i="2"/>
  <c r="M17" i="2"/>
  <c r="L17" i="2"/>
  <c r="K17" i="2"/>
  <c r="J17" i="2"/>
  <c r="I17" i="2"/>
  <c r="H17" i="2"/>
  <c r="Q16" i="2"/>
  <c r="P16" i="2"/>
  <c r="O16" i="2"/>
  <c r="N16" i="2"/>
  <c r="M16" i="2"/>
  <c r="L16" i="2"/>
  <c r="K16" i="2"/>
  <c r="J16" i="2"/>
  <c r="I16" i="2"/>
  <c r="H16" i="2"/>
  <c r="Q15" i="2"/>
  <c r="Q18" i="2" s="1"/>
  <c r="P15" i="2"/>
  <c r="P18" i="2" s="1"/>
  <c r="O15" i="2"/>
  <c r="O18" i="2" s="1"/>
  <c r="N15" i="2"/>
  <c r="N18" i="2" s="1"/>
  <c r="M15" i="2"/>
  <c r="M18" i="2" s="1"/>
  <c r="L15" i="2"/>
  <c r="L18" i="2" s="1"/>
  <c r="K15" i="2"/>
  <c r="K18" i="2" s="1"/>
  <c r="J15" i="2"/>
  <c r="J18" i="2" s="1"/>
  <c r="I15" i="2"/>
  <c r="I18" i="2" s="1"/>
  <c r="H15" i="2"/>
  <c r="H18" i="2" s="1"/>
  <c r="G11" i="2"/>
  <c r="F11" i="2"/>
  <c r="E11" i="2"/>
  <c r="D11" i="2"/>
  <c r="Q10" i="2"/>
  <c r="P10" i="2"/>
  <c r="O10" i="2"/>
  <c r="N10" i="2"/>
  <c r="M10" i="2"/>
  <c r="L10" i="2"/>
  <c r="K10" i="2"/>
  <c r="J10" i="2"/>
  <c r="I10" i="2"/>
  <c r="H10" i="2"/>
  <c r="Q9" i="2"/>
  <c r="P9" i="2"/>
  <c r="O9" i="2"/>
  <c r="N9" i="2"/>
  <c r="M9" i="2"/>
  <c r="L9" i="2"/>
  <c r="K9" i="2"/>
  <c r="J9" i="2"/>
  <c r="I9" i="2"/>
  <c r="H9" i="2"/>
  <c r="Q8" i="2"/>
  <c r="P8" i="2"/>
  <c r="O8" i="2"/>
  <c r="N8" i="2"/>
  <c r="M8" i="2"/>
  <c r="L8" i="2"/>
  <c r="K8" i="2"/>
  <c r="J8" i="2"/>
  <c r="I8" i="2"/>
  <c r="H8" i="2"/>
  <c r="Q7" i="2"/>
  <c r="Q11" i="2" s="1"/>
  <c r="P7" i="2"/>
  <c r="P11" i="2" s="1"/>
  <c r="O7" i="2"/>
  <c r="O11" i="2" s="1"/>
  <c r="N7" i="2"/>
  <c r="N11" i="2" s="1"/>
  <c r="M7" i="2"/>
  <c r="M11" i="2" s="1"/>
  <c r="L7" i="2"/>
  <c r="L11" i="2" s="1"/>
  <c r="K7" i="2"/>
  <c r="K11" i="2" s="1"/>
  <c r="J7" i="2"/>
  <c r="J11" i="2" s="1"/>
  <c r="I7" i="2"/>
  <c r="I11" i="2" s="1"/>
  <c r="H7" i="2"/>
  <c r="H11" i="2" s="1"/>
  <c r="C8" i="1" l="1"/>
  <c r="I8" i="3"/>
  <c r="I145" i="3"/>
  <c r="I148" i="3" s="1"/>
  <c r="I47" i="3" s="1"/>
  <c r="J140" i="3"/>
  <c r="L141" i="3"/>
  <c r="N141" i="3" s="1"/>
  <c r="P141" i="3" s="1"/>
  <c r="R141" i="3" s="1"/>
  <c r="T141" i="3" s="1"/>
  <c r="V141" i="3" s="1"/>
  <c r="X141" i="3" s="1"/>
  <c r="Z141" i="3" s="1"/>
  <c r="M140" i="3"/>
  <c r="O140" i="3" s="1"/>
  <c r="Q140" i="3" s="1"/>
  <c r="S140" i="3" s="1"/>
  <c r="U140" i="3" s="1"/>
  <c r="W140" i="3" s="1"/>
  <c r="Y140" i="3" s="1"/>
  <c r="AA140" i="3" s="1"/>
  <c r="K142" i="3"/>
  <c r="L128" i="3"/>
  <c r="J16" i="3"/>
  <c r="K128" i="3"/>
  <c r="I16" i="3"/>
  <c r="L117" i="3"/>
  <c r="K117" i="3"/>
  <c r="K100" i="3"/>
  <c r="M100" i="3" s="1"/>
  <c r="O100" i="3" s="1"/>
  <c r="Q100" i="3" s="1"/>
  <c r="S100" i="3" s="1"/>
  <c r="U100" i="3" s="1"/>
  <c r="W100" i="3" s="1"/>
  <c r="Y100" i="3" s="1"/>
  <c r="AA100" i="3" s="1"/>
  <c r="I107" i="3"/>
  <c r="I101" i="3"/>
  <c r="I119" i="3" s="1"/>
  <c r="K107" i="3"/>
  <c r="M98" i="3"/>
  <c r="K101" i="3"/>
  <c r="K124" i="3" s="1"/>
  <c r="J101" i="3"/>
  <c r="J119" i="3" s="1"/>
  <c r="L98" i="3"/>
  <c r="L65" i="3"/>
  <c r="J70" i="3"/>
  <c r="I70" i="3"/>
  <c r="K65" i="3"/>
  <c r="J18" i="3"/>
  <c r="L15" i="3"/>
  <c r="K15" i="3"/>
  <c r="I18" i="3"/>
  <c r="H25" i="3"/>
  <c r="H38" i="3" s="1"/>
  <c r="H60" i="3" s="1"/>
  <c r="H76" i="3" s="1"/>
  <c r="H80" i="3" s="1"/>
  <c r="H82" i="3" s="1"/>
  <c r="G25" i="3"/>
  <c r="G38" i="3" s="1"/>
  <c r="G60" i="3" s="1"/>
  <c r="G76" i="3" s="1"/>
  <c r="G80" i="3" s="1"/>
  <c r="G82" i="3" s="1"/>
  <c r="D37" i="1"/>
  <c r="E37" i="1"/>
  <c r="F37" i="1"/>
  <c r="G37" i="1"/>
  <c r="H37" i="1"/>
  <c r="I37" i="1"/>
  <c r="J37" i="1"/>
  <c r="K37" i="1"/>
  <c r="L37" i="1"/>
  <c r="M37" i="1"/>
  <c r="E62" i="1"/>
  <c r="C45" i="1"/>
  <c r="D224" i="2"/>
  <c r="D222" i="2"/>
  <c r="K192" i="2"/>
  <c r="J191" i="2"/>
  <c r="G173" i="2"/>
  <c r="F173" i="2"/>
  <c r="E173" i="2"/>
  <c r="D172" i="2"/>
  <c r="D173" i="2"/>
  <c r="I167" i="2"/>
  <c r="G162" i="2"/>
  <c r="G164" i="2"/>
  <c r="F164" i="2"/>
  <c r="F162" i="2"/>
  <c r="E164" i="2"/>
  <c r="E162" i="2"/>
  <c r="D164" i="2"/>
  <c r="D162" i="2"/>
  <c r="I158" i="2"/>
  <c r="I202" i="2"/>
  <c r="H196" i="2"/>
  <c r="I137" i="2"/>
  <c r="I196" i="2" s="1"/>
  <c r="Q132" i="2"/>
  <c r="Q49" i="2"/>
  <c r="P49" i="2"/>
  <c r="Q109" i="2"/>
  <c r="P132" i="2"/>
  <c r="O132" i="2"/>
  <c r="P109" i="2"/>
  <c r="O49" i="2"/>
  <c r="N49" i="2"/>
  <c r="O109" i="2"/>
  <c r="N132" i="2"/>
  <c r="N109" i="2"/>
  <c r="M132" i="2"/>
  <c r="M49" i="2"/>
  <c r="L49" i="2"/>
  <c r="M109" i="2"/>
  <c r="L132" i="2"/>
  <c r="K132" i="2"/>
  <c r="L109" i="2"/>
  <c r="K49" i="2"/>
  <c r="J49" i="2"/>
  <c r="K109" i="2"/>
  <c r="J132" i="2"/>
  <c r="I132" i="2"/>
  <c r="J109" i="2"/>
  <c r="I49" i="2"/>
  <c r="I109" i="2"/>
  <c r="H132" i="2"/>
  <c r="H49" i="2"/>
  <c r="I96" i="2"/>
  <c r="I100" i="2"/>
  <c r="H99" i="2"/>
  <c r="H100" i="2"/>
  <c r="D98" i="2"/>
  <c r="I87" i="2"/>
  <c r="I88" i="2" s="1"/>
  <c r="I90" i="2" s="1"/>
  <c r="H88" i="2"/>
  <c r="Q70" i="2"/>
  <c r="Q182" i="2"/>
  <c r="P70" i="2"/>
  <c r="P182" i="2"/>
  <c r="O70" i="2"/>
  <c r="O182" i="2"/>
  <c r="N70" i="2"/>
  <c r="N182" i="2"/>
  <c r="M182" i="2"/>
  <c r="M70" i="2"/>
  <c r="L182" i="2"/>
  <c r="L70" i="2"/>
  <c r="K182" i="2"/>
  <c r="K70" i="2"/>
  <c r="J182" i="2"/>
  <c r="J70" i="2"/>
  <c r="I70" i="2"/>
  <c r="I182" i="2"/>
  <c r="H70" i="2"/>
  <c r="H182" i="2"/>
  <c r="C57" i="1"/>
  <c r="I48" i="2"/>
  <c r="G150" i="2"/>
  <c r="H150" i="2" s="1"/>
  <c r="G148" i="2"/>
  <c r="H148" i="2" s="1"/>
  <c r="G147" i="2"/>
  <c r="H147" i="2" s="1"/>
  <c r="I147" i="2" s="1"/>
  <c r="J147" i="2" s="1"/>
  <c r="K147" i="2" s="1"/>
  <c r="L147" i="2" s="1"/>
  <c r="M147" i="2" s="1"/>
  <c r="N147" i="2" s="1"/>
  <c r="O147" i="2" s="1"/>
  <c r="P147" i="2" s="1"/>
  <c r="Q147" i="2" s="1"/>
  <c r="G192" i="2"/>
  <c r="G25" i="2"/>
  <c r="H12" i="2"/>
  <c r="F147" i="2"/>
  <c r="F150" i="2"/>
  <c r="F25" i="2"/>
  <c r="F38" i="2" s="1"/>
  <c r="F148" i="2"/>
  <c r="F192" i="2"/>
  <c r="E25" i="2"/>
  <c r="E38" i="2" s="1"/>
  <c r="E150" i="2"/>
  <c r="E148" i="2"/>
  <c r="E147" i="2"/>
  <c r="E192" i="2"/>
  <c r="D150" i="2"/>
  <c r="D148" i="2"/>
  <c r="D192" i="2"/>
  <c r="D25" i="2"/>
  <c r="D38" i="2" s="1"/>
  <c r="D147" i="2"/>
  <c r="Q216" i="2"/>
  <c r="Q62" i="2"/>
  <c r="Q40" i="2"/>
  <c r="Q57" i="2"/>
  <c r="Q25" i="2"/>
  <c r="Q38" i="2" s="1"/>
  <c r="Q27" i="2"/>
  <c r="Q84" i="2"/>
  <c r="Q138" i="2"/>
  <c r="Q12" i="2"/>
  <c r="P57" i="2"/>
  <c r="P25" i="2"/>
  <c r="P62" i="2"/>
  <c r="P84" i="2"/>
  <c r="P216" i="2"/>
  <c r="P40" i="2"/>
  <c r="P27" i="2"/>
  <c r="P138" i="2"/>
  <c r="O40" i="2"/>
  <c r="O25" i="2"/>
  <c r="O27" i="2"/>
  <c r="O138" i="2"/>
  <c r="O57" i="2"/>
  <c r="O62" i="2"/>
  <c r="O84" i="2"/>
  <c r="O216" i="2"/>
  <c r="P12" i="2"/>
  <c r="O12" i="2"/>
  <c r="N40" i="2"/>
  <c r="N216" i="2"/>
  <c r="N57" i="2"/>
  <c r="N62" i="2"/>
  <c r="N25" i="2"/>
  <c r="N27" i="2"/>
  <c r="N84" i="2"/>
  <c r="N138" i="2"/>
  <c r="M25" i="2"/>
  <c r="M62" i="2"/>
  <c r="M40" i="2"/>
  <c r="M27" i="2"/>
  <c r="M138" i="2"/>
  <c r="M84" i="2"/>
  <c r="M216" i="2"/>
  <c r="N12" i="2"/>
  <c r="M57" i="2"/>
  <c r="L40" i="2"/>
  <c r="L62" i="2"/>
  <c r="M12" i="2"/>
  <c r="L57" i="2"/>
  <c r="L25" i="2"/>
  <c r="L27" i="2"/>
  <c r="L84" i="2"/>
  <c r="L138" i="2"/>
  <c r="L216" i="2"/>
  <c r="K27" i="2"/>
  <c r="K84" i="2"/>
  <c r="K138" i="2"/>
  <c r="K62" i="2"/>
  <c r="L12" i="2"/>
  <c r="K40" i="2"/>
  <c r="K25" i="2"/>
  <c r="K57" i="2"/>
  <c r="K216" i="2"/>
  <c r="J57" i="2"/>
  <c r="J62" i="2"/>
  <c r="J25" i="2"/>
  <c r="J40" i="2"/>
  <c r="J27" i="2"/>
  <c r="J138" i="2"/>
  <c r="K12" i="2"/>
  <c r="J84" i="2"/>
  <c r="J216" i="2"/>
  <c r="J12" i="2"/>
  <c r="I40" i="2"/>
  <c r="I216" i="2"/>
  <c r="I27" i="2"/>
  <c r="I138" i="2"/>
  <c r="I191" i="2"/>
  <c r="I25" i="2"/>
  <c r="I57" i="2"/>
  <c r="I62" i="2"/>
  <c r="I84" i="2"/>
  <c r="H40" i="2"/>
  <c r="H57" i="2"/>
  <c r="H25" i="2"/>
  <c r="H27" i="2"/>
  <c r="H138" i="2"/>
  <c r="H191" i="2"/>
  <c r="I12" i="2"/>
  <c r="H216" i="2"/>
  <c r="H62" i="2"/>
  <c r="H84" i="2"/>
  <c r="L110" i="3"/>
  <c r="N110" i="3" s="1"/>
  <c r="P110" i="3" s="1"/>
  <c r="R110" i="3" s="1"/>
  <c r="T110" i="3" s="1"/>
  <c r="V110" i="3" s="1"/>
  <c r="X110" i="3" s="1"/>
  <c r="Z110" i="3" s="1"/>
  <c r="H109" i="2"/>
  <c r="J144" i="2"/>
  <c r="K144" i="2" s="1"/>
  <c r="L144" i="2" s="1"/>
  <c r="M144" i="2" s="1"/>
  <c r="N144" i="2" s="1"/>
  <c r="O144" i="2" s="1"/>
  <c r="P144" i="2" s="1"/>
  <c r="Q144" i="2" s="1"/>
  <c r="H35" i="2"/>
  <c r="L140" i="3" l="1"/>
  <c r="N140" i="3" s="1"/>
  <c r="P140" i="3" s="1"/>
  <c r="R140" i="3" s="1"/>
  <c r="T140" i="3" s="1"/>
  <c r="V140" i="3" s="1"/>
  <c r="X140" i="3" s="1"/>
  <c r="Z140" i="3" s="1"/>
  <c r="J142" i="3"/>
  <c r="M142" i="3"/>
  <c r="K143" i="3"/>
  <c r="N128" i="3"/>
  <c r="L16" i="3"/>
  <c r="L18" i="3" s="1"/>
  <c r="M128" i="3"/>
  <c r="K16" i="3"/>
  <c r="K18" i="3" s="1"/>
  <c r="N117" i="3"/>
  <c r="L119" i="3"/>
  <c r="J121" i="3"/>
  <c r="J7" i="3"/>
  <c r="I121" i="3"/>
  <c r="I7" i="3"/>
  <c r="M117" i="3"/>
  <c r="K119" i="3"/>
  <c r="I112" i="3"/>
  <c r="I124" i="3"/>
  <c r="I127" i="3" s="1"/>
  <c r="I45" i="3"/>
  <c r="K45" i="3" s="1"/>
  <c r="K112" i="3"/>
  <c r="K127" i="3"/>
  <c r="O98" i="3"/>
  <c r="M101" i="3"/>
  <c r="M124" i="3" s="1"/>
  <c r="M125" i="3" s="1"/>
  <c r="M107" i="3"/>
  <c r="J45" i="3"/>
  <c r="J124" i="3"/>
  <c r="J125" i="3" s="1"/>
  <c r="J127" i="3"/>
  <c r="L107" i="3"/>
  <c r="N98" i="3"/>
  <c r="L101" i="3"/>
  <c r="L124" i="3" s="1"/>
  <c r="L125" i="3" s="1"/>
  <c r="L70" i="3"/>
  <c r="N65" i="3"/>
  <c r="M65" i="3"/>
  <c r="K70" i="3"/>
  <c r="N15" i="3"/>
  <c r="M15" i="3"/>
  <c r="L192" i="2"/>
  <c r="K191" i="2"/>
  <c r="J197" i="2"/>
  <c r="J211" i="2"/>
  <c r="F31" i="1"/>
  <c r="J167" i="2"/>
  <c r="J158" i="2"/>
  <c r="J137" i="2"/>
  <c r="J196" i="2"/>
  <c r="I97" i="2"/>
  <c r="I200" i="2" s="1"/>
  <c r="I205" i="2" s="1"/>
  <c r="J96" i="2"/>
  <c r="J100" i="2" s="1"/>
  <c r="I99" i="2"/>
  <c r="I89" i="2"/>
  <c r="J87" i="2"/>
  <c r="J88" i="2"/>
  <c r="J90" i="2" s="1"/>
  <c r="E57" i="1"/>
  <c r="E61" i="1" s="1"/>
  <c r="E64" i="1" s="1"/>
  <c r="E65" i="1" s="1"/>
  <c r="E66" i="1" s="1"/>
  <c r="C59" i="1"/>
  <c r="E59" i="1" s="1"/>
  <c r="D59" i="1"/>
  <c r="G38" i="2"/>
  <c r="H26" i="2"/>
  <c r="F163" i="2"/>
  <c r="F178" i="2"/>
  <c r="F60" i="2"/>
  <c r="E60" i="2"/>
  <c r="E163" i="2"/>
  <c r="E178" i="2"/>
  <c r="D163" i="2"/>
  <c r="D178" i="2"/>
  <c r="D60" i="2"/>
  <c r="Q163" i="2"/>
  <c r="Q178" i="2"/>
  <c r="Q60" i="2"/>
  <c r="M25" i="1"/>
  <c r="P38" i="2"/>
  <c r="Q26" i="2"/>
  <c r="P26" i="2"/>
  <c r="O38" i="2"/>
  <c r="O26" i="2"/>
  <c r="N38" i="2"/>
  <c r="M38" i="2"/>
  <c r="N26" i="2"/>
  <c r="M26" i="2"/>
  <c r="L38" i="2"/>
  <c r="L26" i="2"/>
  <c r="K38" i="2"/>
  <c r="K26" i="2"/>
  <c r="J38" i="2"/>
  <c r="I197" i="2"/>
  <c r="I211" i="2"/>
  <c r="E31" i="1"/>
  <c r="I38" i="2"/>
  <c r="J26" i="2"/>
  <c r="I26" i="2"/>
  <c r="H38" i="2"/>
  <c r="H197" i="2"/>
  <c r="H211" i="2"/>
  <c r="D31" i="1"/>
  <c r="H141" i="2"/>
  <c r="I141" i="2" s="1"/>
  <c r="J141" i="2" s="1"/>
  <c r="I212" i="2"/>
  <c r="I157" i="2"/>
  <c r="H90" i="2"/>
  <c r="H97" i="2"/>
  <c r="H200" i="2" s="1"/>
  <c r="H205" i="2" s="1"/>
  <c r="I150" i="2"/>
  <c r="H154" i="2"/>
  <c r="H159" i="2" s="1"/>
  <c r="I148" i="2"/>
  <c r="H139" i="2"/>
  <c r="L142" i="3" l="1"/>
  <c r="J143" i="3"/>
  <c r="M143" i="3"/>
  <c r="O142" i="3"/>
  <c r="K145" i="3"/>
  <c r="K148" i="3" s="1"/>
  <c r="K47" i="3" s="1"/>
  <c r="K8" i="3"/>
  <c r="P128" i="3"/>
  <c r="N16" i="3"/>
  <c r="N18" i="3" s="1"/>
  <c r="O128" i="3"/>
  <c r="M16" i="3"/>
  <c r="M18" i="3" s="1"/>
  <c r="P117" i="3"/>
  <c r="N119" i="3"/>
  <c r="L121" i="3"/>
  <c r="L7" i="3"/>
  <c r="O117" i="3"/>
  <c r="M119" i="3"/>
  <c r="K121" i="3"/>
  <c r="K134" i="3" s="1"/>
  <c r="I129" i="3"/>
  <c r="I9" i="3"/>
  <c r="I11" i="3" s="1"/>
  <c r="I133" i="3"/>
  <c r="K125" i="3"/>
  <c r="I125" i="3"/>
  <c r="K133" i="3"/>
  <c r="K129" i="3"/>
  <c r="K9" i="3"/>
  <c r="Q98" i="3"/>
  <c r="O107" i="3"/>
  <c r="O101" i="3"/>
  <c r="M112" i="3"/>
  <c r="M127" i="3"/>
  <c r="J129" i="3"/>
  <c r="J9" i="3"/>
  <c r="J133" i="3"/>
  <c r="L112" i="3"/>
  <c r="L127" i="3"/>
  <c r="P98" i="3"/>
  <c r="N101" i="3"/>
  <c r="N124" i="3" s="1"/>
  <c r="N125" i="3" s="1"/>
  <c r="N107" i="3"/>
  <c r="P65" i="3"/>
  <c r="N70" i="3"/>
  <c r="M70" i="3"/>
  <c r="O65" i="3"/>
  <c r="P15" i="3"/>
  <c r="O15" i="3"/>
  <c r="M192" i="2"/>
  <c r="L191" i="2"/>
  <c r="K197" i="2"/>
  <c r="K211" i="2"/>
  <c r="G31" i="1"/>
  <c r="K167" i="2"/>
  <c r="K158" i="2"/>
  <c r="K137" i="2"/>
  <c r="K196" i="2"/>
  <c r="K96" i="2"/>
  <c r="K100" i="2" s="1"/>
  <c r="J97" i="2"/>
  <c r="J200" i="2" s="1"/>
  <c r="J99" i="2"/>
  <c r="K87" i="2"/>
  <c r="K88" i="2"/>
  <c r="K90" i="2" s="1"/>
  <c r="J89" i="2"/>
  <c r="G60" i="2"/>
  <c r="H39" i="2"/>
  <c r="G163" i="2"/>
  <c r="G178" i="2"/>
  <c r="F181" i="2"/>
  <c r="F186" i="2" s="1"/>
  <c r="F188" i="2"/>
  <c r="F62" i="2"/>
  <c r="G61" i="2"/>
  <c r="F76" i="2"/>
  <c r="F221" i="2"/>
  <c r="E62" i="2"/>
  <c r="E76" i="2"/>
  <c r="F61" i="2"/>
  <c r="E221" i="2"/>
  <c r="E181" i="2"/>
  <c r="E186" i="2" s="1"/>
  <c r="E188" i="2"/>
  <c r="D181" i="2"/>
  <c r="D186" i="2" s="1"/>
  <c r="D188" i="2"/>
  <c r="D62" i="2"/>
  <c r="E61" i="2"/>
  <c r="D221" i="2"/>
  <c r="D76" i="2"/>
  <c r="Q181" i="2"/>
  <c r="Q186" i="2" s="1"/>
  <c r="Q188" i="2"/>
  <c r="M27" i="1"/>
  <c r="Q221" i="2"/>
  <c r="Q76" i="2"/>
  <c r="P60" i="2"/>
  <c r="P163" i="2"/>
  <c r="P178" i="2"/>
  <c r="L25" i="1"/>
  <c r="Q39" i="2"/>
  <c r="P39" i="2"/>
  <c r="O163" i="2"/>
  <c r="O178" i="2"/>
  <c r="O60" i="2"/>
  <c r="K25" i="1"/>
  <c r="N163" i="2"/>
  <c r="N178" i="2"/>
  <c r="J25" i="1"/>
  <c r="O39" i="2"/>
  <c r="N60" i="2"/>
  <c r="N39" i="2"/>
  <c r="M163" i="2"/>
  <c r="M178" i="2"/>
  <c r="I25" i="1"/>
  <c r="M60" i="2"/>
  <c r="M39" i="2"/>
  <c r="L163" i="2"/>
  <c r="L178" i="2"/>
  <c r="H25" i="1"/>
  <c r="L60" i="2"/>
  <c r="K163" i="2"/>
  <c r="K178" i="2"/>
  <c r="K60" i="2"/>
  <c r="G25" i="1"/>
  <c r="L39" i="2"/>
  <c r="J60" i="2"/>
  <c r="K39" i="2"/>
  <c r="J163" i="2"/>
  <c r="J178" i="2"/>
  <c r="F25" i="1"/>
  <c r="I60" i="2"/>
  <c r="I163" i="2"/>
  <c r="I178" i="2"/>
  <c r="E25" i="1"/>
  <c r="E68" i="1"/>
  <c r="J39" i="2"/>
  <c r="H163" i="2"/>
  <c r="H178" i="2"/>
  <c r="H60" i="2"/>
  <c r="D25" i="1"/>
  <c r="I39" i="2"/>
  <c r="J202" i="2"/>
  <c r="J212" i="2" s="1"/>
  <c r="J157" i="2"/>
  <c r="H89" i="2"/>
  <c r="I154" i="2"/>
  <c r="I159" i="2" s="1"/>
  <c r="J150" i="2"/>
  <c r="I139" i="2"/>
  <c r="J148" i="2"/>
  <c r="M45" i="3"/>
  <c r="O45" i="3" s="1"/>
  <c r="L45" i="3"/>
  <c r="N45" i="3" s="1"/>
  <c r="K141" i="2"/>
  <c r="L141" i="2" s="1"/>
  <c r="H149" i="2"/>
  <c r="H179" i="2"/>
  <c r="D32" i="1" s="1"/>
  <c r="N142" i="3" l="1"/>
  <c r="L143" i="3"/>
  <c r="J145" i="3"/>
  <c r="J148" i="3" s="1"/>
  <c r="J47" i="3" s="1"/>
  <c r="J8" i="3"/>
  <c r="J11" i="3" s="1"/>
  <c r="M145" i="3"/>
  <c r="M148" i="3" s="1"/>
  <c r="M47" i="3" s="1"/>
  <c r="M8" i="3"/>
  <c r="Q142" i="3"/>
  <c r="O143" i="3"/>
  <c r="R128" i="3"/>
  <c r="P16" i="3"/>
  <c r="P18" i="3" s="1"/>
  <c r="Q128" i="3"/>
  <c r="O16" i="3"/>
  <c r="O18" i="3" s="1"/>
  <c r="R117" i="3"/>
  <c r="P119" i="3"/>
  <c r="N121" i="3"/>
  <c r="N7" i="3"/>
  <c r="Q117" i="3"/>
  <c r="O119" i="3"/>
  <c r="M121" i="3"/>
  <c r="M134" i="3" s="1"/>
  <c r="M7" i="3"/>
  <c r="M11" i="3" s="1"/>
  <c r="I56" i="3"/>
  <c r="I21" i="3"/>
  <c r="I32" i="3"/>
  <c r="I33" i="3"/>
  <c r="I30" i="3"/>
  <c r="I31" i="3"/>
  <c r="S98" i="3"/>
  <c r="Q107" i="3"/>
  <c r="Q101" i="3"/>
  <c r="O112" i="3"/>
  <c r="M133" i="3"/>
  <c r="M129" i="3"/>
  <c r="M9" i="3"/>
  <c r="L133" i="3"/>
  <c r="L129" i="3"/>
  <c r="L134" i="3" s="1"/>
  <c r="L9" i="3"/>
  <c r="R98" i="3"/>
  <c r="P101" i="3"/>
  <c r="P107" i="3"/>
  <c r="N112" i="3"/>
  <c r="N127" i="3"/>
  <c r="R65" i="3"/>
  <c r="P70" i="3"/>
  <c r="Q65" i="3"/>
  <c r="O70" i="3"/>
  <c r="R15" i="3"/>
  <c r="Q15" i="3"/>
  <c r="N192" i="2"/>
  <c r="M191" i="2"/>
  <c r="L197" i="2"/>
  <c r="L211" i="2"/>
  <c r="H31" i="1"/>
  <c r="L167" i="2"/>
  <c r="L158" i="2"/>
  <c r="L137" i="2"/>
  <c r="L196" i="2"/>
  <c r="K97" i="2"/>
  <c r="K200" i="2" s="1"/>
  <c r="K205" i="2" s="1"/>
  <c r="L96" i="2"/>
  <c r="L100" i="2" s="1"/>
  <c r="K99" i="2"/>
  <c r="L87" i="2"/>
  <c r="L88" i="2" s="1"/>
  <c r="L90" i="2" s="1"/>
  <c r="K89" i="2"/>
  <c r="G62" i="2"/>
  <c r="H61" i="2"/>
  <c r="G76" i="2"/>
  <c r="G221" i="2"/>
  <c r="G181" i="2"/>
  <c r="G186" i="2" s="1"/>
  <c r="G188" i="2"/>
  <c r="G187" i="2"/>
  <c r="F207" i="2"/>
  <c r="F210" i="2"/>
  <c r="F213" i="2" s="1"/>
  <c r="F78" i="2"/>
  <c r="F80" i="2"/>
  <c r="F222" i="2"/>
  <c r="F223" i="2"/>
  <c r="F224" i="2" s="1"/>
  <c r="E78" i="2"/>
  <c r="E80" i="2"/>
  <c r="E222" i="2"/>
  <c r="E223" i="2"/>
  <c r="E224" i="2" s="1"/>
  <c r="F187" i="2"/>
  <c r="E207" i="2"/>
  <c r="E210" i="2"/>
  <c r="E213" i="2" s="1"/>
  <c r="E187" i="2"/>
  <c r="D207" i="2"/>
  <c r="D210" i="2"/>
  <c r="D213" i="2" s="1"/>
  <c r="D216" i="2" s="1"/>
  <c r="D80" i="2"/>
  <c r="D78" i="2"/>
  <c r="D223" i="2" s="1"/>
  <c r="Q210" i="2"/>
  <c r="M28" i="1"/>
  <c r="M29" i="1"/>
  <c r="Q80" i="2"/>
  <c r="Q82" i="2" s="1"/>
  <c r="Q78" i="2"/>
  <c r="Q223" i="2" s="1"/>
  <c r="L27" i="1"/>
  <c r="Q61" i="2"/>
  <c r="P76" i="2"/>
  <c r="P221" i="2"/>
  <c r="P181" i="2"/>
  <c r="P186" i="2" s="1"/>
  <c r="P188" i="2"/>
  <c r="O181" i="2"/>
  <c r="O186" i="2" s="1"/>
  <c r="O188" i="2"/>
  <c r="P61" i="2"/>
  <c r="O221" i="2"/>
  <c r="K27" i="1"/>
  <c r="O76" i="2"/>
  <c r="N181" i="2"/>
  <c r="N186" i="2" s="1"/>
  <c r="N188" i="2"/>
  <c r="O61" i="2"/>
  <c r="N221" i="2"/>
  <c r="N76" i="2"/>
  <c r="J27" i="1"/>
  <c r="M181" i="2"/>
  <c r="M186" i="2" s="1"/>
  <c r="M188" i="2"/>
  <c r="M76" i="2"/>
  <c r="M221" i="2"/>
  <c r="N61" i="2"/>
  <c r="I27" i="1"/>
  <c r="L181" i="2"/>
  <c r="L186" i="2" s="1"/>
  <c r="L188" i="2"/>
  <c r="L221" i="2"/>
  <c r="M61" i="2"/>
  <c r="L76" i="2"/>
  <c r="H27" i="1"/>
  <c r="K181" i="2"/>
  <c r="K186" i="2" s="1"/>
  <c r="K188" i="2"/>
  <c r="G27" i="1"/>
  <c r="L61" i="2"/>
  <c r="K76" i="2"/>
  <c r="K221" i="2"/>
  <c r="J221" i="2"/>
  <c r="F27" i="1"/>
  <c r="K61" i="2"/>
  <c r="J76" i="2"/>
  <c r="J181" i="2"/>
  <c r="J186" i="2" s="1"/>
  <c r="J188" i="2"/>
  <c r="J61" i="2"/>
  <c r="E27" i="1"/>
  <c r="I76" i="2"/>
  <c r="I221" i="2"/>
  <c r="I181" i="2"/>
  <c r="I186" i="2" s="1"/>
  <c r="I188" i="2"/>
  <c r="H181" i="2"/>
  <c r="H186" i="2" s="1"/>
  <c r="H188" i="2"/>
  <c r="D27" i="1"/>
  <c r="I61" i="2"/>
  <c r="H221" i="2"/>
  <c r="H76" i="2"/>
  <c r="K202" i="2"/>
  <c r="J154" i="2"/>
  <c r="J159" i="2" s="1"/>
  <c r="K150" i="2"/>
  <c r="I179" i="2"/>
  <c r="E32" i="1" s="1"/>
  <c r="I149" i="2"/>
  <c r="J139" i="2"/>
  <c r="K148" i="2"/>
  <c r="K11" i="3"/>
  <c r="I134" i="3"/>
  <c r="O124" i="3"/>
  <c r="J134" i="3"/>
  <c r="J205" i="2"/>
  <c r="K46" i="3"/>
  <c r="K48" i="3" s="1"/>
  <c r="K135" i="3"/>
  <c r="P142" i="3" l="1"/>
  <c r="N143" i="3"/>
  <c r="L8" i="3"/>
  <c r="L11" i="3" s="1"/>
  <c r="L145" i="3"/>
  <c r="L148" i="3" s="1"/>
  <c r="L47" i="3" s="1"/>
  <c r="L48" i="3" s="1"/>
  <c r="J56" i="3"/>
  <c r="J21" i="3"/>
  <c r="J30" i="3"/>
  <c r="J31" i="3"/>
  <c r="L31" i="3" s="1"/>
  <c r="J32" i="3"/>
  <c r="L32" i="3" s="1"/>
  <c r="J33" i="3"/>
  <c r="L33" i="3" s="1"/>
  <c r="S142" i="3"/>
  <c r="Q143" i="3"/>
  <c r="O145" i="3"/>
  <c r="O148" i="3" s="1"/>
  <c r="O47" i="3" s="1"/>
  <c r="O8" i="3"/>
  <c r="T128" i="3"/>
  <c r="R16" i="3"/>
  <c r="R18" i="3" s="1"/>
  <c r="S128" i="3"/>
  <c r="Q16" i="3"/>
  <c r="Q18" i="3" s="1"/>
  <c r="T117" i="3"/>
  <c r="P121" i="3"/>
  <c r="P7" i="3"/>
  <c r="S117" i="3"/>
  <c r="Q119" i="3"/>
  <c r="O121" i="3"/>
  <c r="O7" i="3"/>
  <c r="I53" i="3"/>
  <c r="K56" i="3"/>
  <c r="I52" i="3"/>
  <c r="I55" i="3"/>
  <c r="K55" i="3" s="1"/>
  <c r="I54" i="3"/>
  <c r="I22" i="3"/>
  <c r="I25" i="3" s="1"/>
  <c r="K21" i="3"/>
  <c r="I34" i="3"/>
  <c r="K30" i="3"/>
  <c r="U98" i="3"/>
  <c r="S101" i="3"/>
  <c r="S124" i="3" s="1"/>
  <c r="S107" i="3"/>
  <c r="Q112" i="3"/>
  <c r="Q45" i="3"/>
  <c r="S45" i="3" s="1"/>
  <c r="Q124" i="3"/>
  <c r="O133" i="3"/>
  <c r="T98" i="3"/>
  <c r="R101" i="3"/>
  <c r="R107" i="3"/>
  <c r="P45" i="3"/>
  <c r="R45" i="3" s="1"/>
  <c r="P124" i="3"/>
  <c r="P125" i="3" s="1"/>
  <c r="P112" i="3"/>
  <c r="P127" i="3"/>
  <c r="N133" i="3"/>
  <c r="N129" i="3"/>
  <c r="N134" i="3" s="1"/>
  <c r="N9" i="3"/>
  <c r="T65" i="3"/>
  <c r="R70" i="3"/>
  <c r="S65" i="3"/>
  <c r="Q70" i="3"/>
  <c r="T15" i="3"/>
  <c r="S15" i="3"/>
  <c r="O192" i="2"/>
  <c r="N191" i="2"/>
  <c r="M141" i="2"/>
  <c r="N141" i="2" s="1"/>
  <c r="M197" i="2"/>
  <c r="M211" i="2"/>
  <c r="I31" i="1"/>
  <c r="M167" i="2"/>
  <c r="M158" i="2"/>
  <c r="M137" i="2"/>
  <c r="M196" i="2"/>
  <c r="L97" i="2"/>
  <c r="L200" i="2" s="1"/>
  <c r="M96" i="2"/>
  <c r="M100" i="2" s="1"/>
  <c r="L99" i="2"/>
  <c r="L89" i="2"/>
  <c r="M87" i="2"/>
  <c r="M88" i="2" s="1"/>
  <c r="M90" i="2" s="1"/>
  <c r="G80" i="2"/>
  <c r="G78" i="2"/>
  <c r="G222" i="2"/>
  <c r="G223" i="2"/>
  <c r="G224" i="2" s="1"/>
  <c r="H187" i="2"/>
  <c r="G207" i="2"/>
  <c r="G210" i="2"/>
  <c r="G213" i="2" s="1"/>
  <c r="F216" i="2"/>
  <c r="F214" i="2"/>
  <c r="F215" i="2" s="1"/>
  <c r="F172" i="2"/>
  <c r="F84" i="2"/>
  <c r="F92" i="2"/>
  <c r="F82" i="2"/>
  <c r="F93" i="2" s="1"/>
  <c r="G83" i="2"/>
  <c r="E172" i="2"/>
  <c r="E84" i="2"/>
  <c r="E82" i="2"/>
  <c r="E93" i="2" s="1"/>
  <c r="F83" i="2"/>
  <c r="E92" i="2"/>
  <c r="E216" i="2"/>
  <c r="E214" i="2"/>
  <c r="E215" i="2" s="1"/>
  <c r="D84" i="2"/>
  <c r="E83" i="2"/>
  <c r="D82" i="2"/>
  <c r="L28" i="1"/>
  <c r="L29" i="1" s="1"/>
  <c r="P80" i="2"/>
  <c r="P78" i="2"/>
  <c r="P223" i="2" s="1"/>
  <c r="Q187" i="2"/>
  <c r="P210" i="2"/>
  <c r="P187" i="2"/>
  <c r="O210" i="2"/>
  <c r="K28" i="1"/>
  <c r="K29" i="1" s="1"/>
  <c r="O80" i="2"/>
  <c r="O78" i="2"/>
  <c r="O223" i="2" s="1"/>
  <c r="O187" i="2"/>
  <c r="N210" i="2"/>
  <c r="N80" i="2"/>
  <c r="N78" i="2"/>
  <c r="N223" i="2" s="1"/>
  <c r="J28" i="1"/>
  <c r="J29" i="1" s="1"/>
  <c r="N187" i="2"/>
  <c r="M210" i="2"/>
  <c r="M80" i="2"/>
  <c r="M78" i="2"/>
  <c r="M223" i="2" s="1"/>
  <c r="I28" i="1"/>
  <c r="I29" i="1"/>
  <c r="M187" i="2"/>
  <c r="L210" i="2"/>
  <c r="L78" i="2"/>
  <c r="L223" i="2" s="1"/>
  <c r="L80" i="2"/>
  <c r="L92" i="2" s="1"/>
  <c r="H28" i="1"/>
  <c r="H29" i="1" s="1"/>
  <c r="L187" i="2"/>
  <c r="K207" i="2"/>
  <c r="K210" i="2"/>
  <c r="K213" i="2" s="1"/>
  <c r="K214" i="2" s="1"/>
  <c r="K215" i="2" s="1"/>
  <c r="G28" i="1"/>
  <c r="G29" i="1"/>
  <c r="K80" i="2"/>
  <c r="K78" i="2"/>
  <c r="K223" i="2" s="1"/>
  <c r="F28" i="1"/>
  <c r="F29" i="1" s="1"/>
  <c r="J80" i="2"/>
  <c r="J78" i="2"/>
  <c r="J223" i="2" s="1"/>
  <c r="K187" i="2"/>
  <c r="J207" i="2"/>
  <c r="J210" i="2"/>
  <c r="J213" i="2" s="1"/>
  <c r="J214" i="2" s="1"/>
  <c r="J215" i="2" s="1"/>
  <c r="E28" i="1"/>
  <c r="E29" i="1"/>
  <c r="E33" i="1" s="1"/>
  <c r="E38" i="1" s="1"/>
  <c r="I80" i="2"/>
  <c r="I78" i="2"/>
  <c r="I223" i="2" s="1"/>
  <c r="J187" i="2"/>
  <c r="I207" i="2"/>
  <c r="I210" i="2"/>
  <c r="I213" i="2" s="1"/>
  <c r="I214" i="2" s="1"/>
  <c r="I215" i="2" s="1"/>
  <c r="I187" i="2"/>
  <c r="H207" i="2"/>
  <c r="H136" i="2" s="1"/>
  <c r="H210" i="2"/>
  <c r="H213" i="2" s="1"/>
  <c r="H214" i="2" s="1"/>
  <c r="H215" i="2" s="1"/>
  <c r="D28" i="1"/>
  <c r="D29" i="1"/>
  <c r="D33" i="1" s="1"/>
  <c r="D38" i="1" s="1"/>
  <c r="C41" i="1" s="1"/>
  <c r="H80" i="2"/>
  <c r="H78" i="2"/>
  <c r="H223" i="2" s="1"/>
  <c r="K154" i="2"/>
  <c r="K159" i="2" s="1"/>
  <c r="L150" i="2"/>
  <c r="J179" i="2"/>
  <c r="F32" i="1" s="1"/>
  <c r="J149" i="2"/>
  <c r="K139" i="2"/>
  <c r="L148" i="2"/>
  <c r="I135" i="3"/>
  <c r="I46" i="3"/>
  <c r="I48" i="3" s="1"/>
  <c r="J135" i="3"/>
  <c r="J46" i="3"/>
  <c r="J48" i="3" s="1"/>
  <c r="K32" i="3"/>
  <c r="M32" i="3" s="1"/>
  <c r="K33" i="3"/>
  <c r="M33" i="3" s="1"/>
  <c r="K31" i="3"/>
  <c r="M31" i="3" s="1"/>
  <c r="M46" i="3"/>
  <c r="M48" i="3" s="1"/>
  <c r="M135" i="3"/>
  <c r="L46" i="3"/>
  <c r="L135" i="3"/>
  <c r="K212" i="2"/>
  <c r="K157" i="2"/>
  <c r="O125" i="3"/>
  <c r="O127" i="3"/>
  <c r="R142" i="3" l="1"/>
  <c r="P143" i="3"/>
  <c r="N8" i="3"/>
  <c r="N11" i="3" s="1"/>
  <c r="N145" i="3"/>
  <c r="N148" i="3" s="1"/>
  <c r="N47" i="3" s="1"/>
  <c r="N48" i="3" s="1"/>
  <c r="J54" i="3"/>
  <c r="J55" i="3"/>
  <c r="J53" i="3"/>
  <c r="J52" i="3"/>
  <c r="L56" i="3"/>
  <c r="J22" i="3"/>
  <c r="J25" i="3" s="1"/>
  <c r="L21" i="3"/>
  <c r="J34" i="3"/>
  <c r="L30" i="3"/>
  <c r="S143" i="3"/>
  <c r="U142" i="3"/>
  <c r="Q8" i="3"/>
  <c r="Q145" i="3"/>
  <c r="Q148" i="3" s="1"/>
  <c r="Q47" i="3" s="1"/>
  <c r="V128" i="3"/>
  <c r="T16" i="3"/>
  <c r="T18" i="3" s="1"/>
  <c r="U128" i="3"/>
  <c r="S16" i="3"/>
  <c r="S18" i="3" s="1"/>
  <c r="V117" i="3"/>
  <c r="U117" i="3"/>
  <c r="S119" i="3"/>
  <c r="Q121" i="3"/>
  <c r="Q7" i="3"/>
  <c r="M56" i="3"/>
  <c r="M55" i="3"/>
  <c r="K22" i="3"/>
  <c r="K25" i="3" s="1"/>
  <c r="M21" i="3"/>
  <c r="K34" i="3"/>
  <c r="M30" i="3"/>
  <c r="W98" i="3"/>
  <c r="U101" i="3"/>
  <c r="U107" i="3"/>
  <c r="S112" i="3"/>
  <c r="S127" i="3"/>
  <c r="Q133" i="3"/>
  <c r="V98" i="3"/>
  <c r="T101" i="3"/>
  <c r="T119" i="3" s="1"/>
  <c r="T107" i="3"/>
  <c r="R112" i="3"/>
  <c r="R127" i="3"/>
  <c r="P133" i="3"/>
  <c r="P129" i="3"/>
  <c r="P134" i="3" s="1"/>
  <c r="P9" i="3"/>
  <c r="V65" i="3"/>
  <c r="T70" i="3"/>
  <c r="U65" i="3"/>
  <c r="S70" i="3"/>
  <c r="V15" i="3"/>
  <c r="U15" i="3"/>
  <c r="P192" i="2"/>
  <c r="O191" i="2"/>
  <c r="N197" i="2"/>
  <c r="N211" i="2"/>
  <c r="J31" i="1"/>
  <c r="N167" i="2"/>
  <c r="N158" i="2"/>
  <c r="N137" i="2"/>
  <c r="N196" i="2" s="1"/>
  <c r="M97" i="2"/>
  <c r="M200" i="2" s="1"/>
  <c r="N96" i="2"/>
  <c r="M99" i="2"/>
  <c r="N100" i="2"/>
  <c r="M94" i="2"/>
  <c r="L98" i="2"/>
  <c r="M89" i="2"/>
  <c r="M92" i="2"/>
  <c r="N87" i="2"/>
  <c r="N88" i="2" s="1"/>
  <c r="N90" i="2" s="1"/>
  <c r="G84" i="2"/>
  <c r="G172" i="2"/>
  <c r="H83" i="2"/>
  <c r="G82" i="2"/>
  <c r="G93" i="2" s="1"/>
  <c r="G92" i="2"/>
  <c r="G216" i="2"/>
  <c r="G214" i="2"/>
  <c r="G215" i="2" s="1"/>
  <c r="G94" i="2"/>
  <c r="F98" i="2"/>
  <c r="E94" i="2"/>
  <c r="F94" i="2"/>
  <c r="E98" i="2"/>
  <c r="Q83" i="2"/>
  <c r="P82" i="2"/>
  <c r="O82" i="2"/>
  <c r="P83" i="2"/>
  <c r="N82" i="2"/>
  <c r="O83" i="2"/>
  <c r="M82" i="2"/>
  <c r="M93" i="2" s="1"/>
  <c r="N83" i="2"/>
  <c r="L82" i="2"/>
  <c r="L93" i="2" s="1"/>
  <c r="M83" i="2"/>
  <c r="K92" i="2"/>
  <c r="K82" i="2"/>
  <c r="K93" i="2" s="1"/>
  <c r="L83" i="2"/>
  <c r="J92" i="2"/>
  <c r="J82" i="2"/>
  <c r="J93" i="2" s="1"/>
  <c r="K83" i="2"/>
  <c r="I92" i="2"/>
  <c r="I82" i="2"/>
  <c r="I93" i="2" s="1"/>
  <c r="J83" i="2"/>
  <c r="H161" i="2"/>
  <c r="I136" i="2"/>
  <c r="H146" i="2"/>
  <c r="H92" i="2"/>
  <c r="I83" i="2"/>
  <c r="H82" i="2"/>
  <c r="L154" i="2"/>
  <c r="L159" i="2" s="1"/>
  <c r="M150" i="2"/>
  <c r="K179" i="2"/>
  <c r="G32" i="1" s="1"/>
  <c r="G33" i="1" s="1"/>
  <c r="G38" i="1" s="1"/>
  <c r="K149" i="2"/>
  <c r="L139" i="2"/>
  <c r="M148" i="2"/>
  <c r="L202" i="2"/>
  <c r="L157" i="2"/>
  <c r="O9" i="3"/>
  <c r="O11" i="3" s="1"/>
  <c r="O129" i="3"/>
  <c r="O134" i="3" s="1"/>
  <c r="I38" i="3"/>
  <c r="I60" i="3" s="1"/>
  <c r="I76" i="3" s="1"/>
  <c r="S125" i="3"/>
  <c r="R125" i="3"/>
  <c r="F33" i="1"/>
  <c r="F38" i="1" s="1"/>
  <c r="K54" i="3"/>
  <c r="M54" i="3" s="1"/>
  <c r="K53" i="3"/>
  <c r="K52" i="3"/>
  <c r="Q125" i="3"/>
  <c r="Q127" i="3"/>
  <c r="R124" i="3"/>
  <c r="R119" i="3"/>
  <c r="N46" i="3"/>
  <c r="N135" i="3"/>
  <c r="T142" i="3" l="1"/>
  <c r="R143" i="3"/>
  <c r="P145" i="3"/>
  <c r="P148" i="3" s="1"/>
  <c r="P47" i="3" s="1"/>
  <c r="P48" i="3" s="1"/>
  <c r="P8" i="3"/>
  <c r="P11" i="3" s="1"/>
  <c r="N33" i="3"/>
  <c r="P33" i="3" s="1"/>
  <c r="N32" i="3"/>
  <c r="P32" i="3" s="1"/>
  <c r="N31" i="3"/>
  <c r="P31" i="3" s="1"/>
  <c r="N56" i="3"/>
  <c r="N52" i="3" s="1"/>
  <c r="N54" i="3"/>
  <c r="N55" i="3"/>
  <c r="N53" i="3"/>
  <c r="N21" i="3"/>
  <c r="L22" i="3"/>
  <c r="L25" i="3" s="1"/>
  <c r="L34" i="3"/>
  <c r="N30" i="3"/>
  <c r="S145" i="3"/>
  <c r="S148" i="3" s="1"/>
  <c r="S47" i="3" s="1"/>
  <c r="S8" i="3"/>
  <c r="W142" i="3"/>
  <c r="U143" i="3"/>
  <c r="X128" i="3"/>
  <c r="V16" i="3"/>
  <c r="V18" i="3" s="1"/>
  <c r="W128" i="3"/>
  <c r="U16" i="3"/>
  <c r="U18" i="3" s="1"/>
  <c r="X117" i="3"/>
  <c r="V119" i="3"/>
  <c r="T121" i="3"/>
  <c r="T7" i="3"/>
  <c r="W117" i="3"/>
  <c r="U119" i="3"/>
  <c r="S121" i="3"/>
  <c r="S134" i="3" s="1"/>
  <c r="S7" i="3"/>
  <c r="S11" i="3" s="1"/>
  <c r="O56" i="3"/>
  <c r="O55" i="3"/>
  <c r="O52" i="3"/>
  <c r="O53" i="3"/>
  <c r="O54" i="3"/>
  <c r="M22" i="3"/>
  <c r="M25" i="3" s="1"/>
  <c r="O21" i="3"/>
  <c r="O30" i="3"/>
  <c r="M34" i="3"/>
  <c r="W107" i="3"/>
  <c r="Y98" i="3"/>
  <c r="W101" i="3"/>
  <c r="U45" i="3"/>
  <c r="W45" i="3" s="1"/>
  <c r="U124" i="3"/>
  <c r="U125" i="3" s="1"/>
  <c r="U112" i="3"/>
  <c r="U127" i="3"/>
  <c r="S133" i="3"/>
  <c r="S129" i="3"/>
  <c r="S9" i="3"/>
  <c r="X98" i="3"/>
  <c r="V101" i="3"/>
  <c r="V124" i="3" s="1"/>
  <c r="V107" i="3"/>
  <c r="T45" i="3"/>
  <c r="V45" i="3" s="1"/>
  <c r="T124" i="3"/>
  <c r="T125" i="3" s="1"/>
  <c r="T112" i="3"/>
  <c r="T127" i="3"/>
  <c r="R133" i="3"/>
  <c r="R129" i="3"/>
  <c r="R9" i="3"/>
  <c r="V70" i="3"/>
  <c r="X65" i="3"/>
  <c r="U70" i="3"/>
  <c r="W65" i="3"/>
  <c r="X15" i="3"/>
  <c r="W15" i="3"/>
  <c r="Q192" i="2"/>
  <c r="Q191" i="2" s="1"/>
  <c r="P191" i="2"/>
  <c r="O141" i="2"/>
  <c r="P141" i="2" s="1"/>
  <c r="Q141" i="2" s="1"/>
  <c r="O197" i="2"/>
  <c r="O211" i="2"/>
  <c r="K31" i="1"/>
  <c r="O167" i="2"/>
  <c r="O158" i="2"/>
  <c r="O137" i="2"/>
  <c r="O196" i="2"/>
  <c r="N97" i="2"/>
  <c r="N200" i="2" s="1"/>
  <c r="N99" i="2"/>
  <c r="O96" i="2"/>
  <c r="O100" i="2"/>
  <c r="N94" i="2"/>
  <c r="M98" i="2"/>
  <c r="N92" i="2"/>
  <c r="N93" i="2"/>
  <c r="N89" i="2"/>
  <c r="O88" i="2"/>
  <c r="O90" i="2" s="1"/>
  <c r="O87" i="2"/>
  <c r="H94" i="2"/>
  <c r="G98" i="2"/>
  <c r="K98" i="2"/>
  <c r="L94" i="2"/>
  <c r="K94" i="2"/>
  <c r="J98" i="2"/>
  <c r="I98" i="2"/>
  <c r="J94" i="2"/>
  <c r="H162" i="2"/>
  <c r="I161" i="2"/>
  <c r="J136" i="2"/>
  <c r="I146" i="2"/>
  <c r="H98" i="2"/>
  <c r="I94" i="2"/>
  <c r="H93" i="2"/>
  <c r="H168" i="2"/>
  <c r="M154" i="2"/>
  <c r="M159" i="2" s="1"/>
  <c r="N150" i="2"/>
  <c r="L179" i="2"/>
  <c r="H32" i="1" s="1"/>
  <c r="H33" i="1" s="1"/>
  <c r="H38" i="1" s="1"/>
  <c r="L149" i="2"/>
  <c r="M139" i="2"/>
  <c r="N148" i="2"/>
  <c r="L205" i="2"/>
  <c r="L207" i="2" s="1"/>
  <c r="L212" i="2"/>
  <c r="L213" i="2" s="1"/>
  <c r="L214" i="2" s="1"/>
  <c r="L215" i="2" s="1"/>
  <c r="M202" i="2"/>
  <c r="M157" i="2" s="1"/>
  <c r="O31" i="3"/>
  <c r="Q31" i="3" s="1"/>
  <c r="O32" i="3"/>
  <c r="Q32" i="3" s="1"/>
  <c r="O33" i="3"/>
  <c r="O135" i="3"/>
  <c r="O46" i="3"/>
  <c r="O48" i="3" s="1"/>
  <c r="I77" i="3"/>
  <c r="I80" i="3"/>
  <c r="I82" i="3" s="1"/>
  <c r="Q9" i="3"/>
  <c r="Q11" i="3" s="1"/>
  <c r="Q129" i="3"/>
  <c r="Q134" i="3" s="1"/>
  <c r="R7" i="3"/>
  <c r="R121" i="3"/>
  <c r="R134" i="3" s="1"/>
  <c r="J38" i="3"/>
  <c r="J60" i="3" s="1"/>
  <c r="J76" i="3" s="1"/>
  <c r="K38" i="3"/>
  <c r="K60" i="3" s="1"/>
  <c r="K76" i="3" s="1"/>
  <c r="L54" i="3"/>
  <c r="L55" i="3"/>
  <c r="L52" i="3"/>
  <c r="L53" i="3"/>
  <c r="M52" i="3"/>
  <c r="M53" i="3"/>
  <c r="P46" i="3"/>
  <c r="P135" i="3"/>
  <c r="T143" i="3" l="1"/>
  <c r="V142" i="3"/>
  <c r="R8" i="3"/>
  <c r="R11" i="3" s="1"/>
  <c r="R31" i="3" s="1"/>
  <c r="R145" i="3"/>
  <c r="R148" i="3" s="1"/>
  <c r="R47" i="3" s="1"/>
  <c r="R48" i="3" s="1"/>
  <c r="P56" i="3"/>
  <c r="P52" i="3"/>
  <c r="P53" i="3"/>
  <c r="N22" i="3"/>
  <c r="N25" i="3" s="1"/>
  <c r="P21" i="3"/>
  <c r="P30" i="3"/>
  <c r="N34" i="3"/>
  <c r="W143" i="3"/>
  <c r="Y142" i="3"/>
  <c r="U145" i="3"/>
  <c r="U148" i="3" s="1"/>
  <c r="U47" i="3" s="1"/>
  <c r="U8" i="3"/>
  <c r="Z128" i="3"/>
  <c r="Z16" i="3" s="1"/>
  <c r="X16" i="3"/>
  <c r="Y128" i="3"/>
  <c r="W16" i="3"/>
  <c r="Z117" i="3"/>
  <c r="V121" i="3"/>
  <c r="V7" i="3"/>
  <c r="Y117" i="3"/>
  <c r="W119" i="3"/>
  <c r="U121" i="3"/>
  <c r="U134" i="3" s="1"/>
  <c r="U7" i="3"/>
  <c r="Q56" i="3"/>
  <c r="Q21" i="3"/>
  <c r="O22" i="3"/>
  <c r="O25" i="3" s="1"/>
  <c r="Q30" i="3"/>
  <c r="O34" i="3"/>
  <c r="W112" i="3"/>
  <c r="AA98" i="3"/>
  <c r="Y101" i="3"/>
  <c r="Y107" i="3"/>
  <c r="U133" i="3"/>
  <c r="U129" i="3"/>
  <c r="U9" i="3"/>
  <c r="X101" i="3"/>
  <c r="X119" i="3" s="1"/>
  <c r="Z98" i="3"/>
  <c r="X107" i="3"/>
  <c r="V112" i="3"/>
  <c r="V127" i="3"/>
  <c r="T133" i="3"/>
  <c r="T129" i="3"/>
  <c r="T9" i="3"/>
  <c r="Z65" i="3"/>
  <c r="Z70" i="3" s="1"/>
  <c r="X70" i="3"/>
  <c r="Y65" i="3"/>
  <c r="W70" i="3"/>
  <c r="Z15" i="3"/>
  <c r="X18" i="3"/>
  <c r="Y15" i="3"/>
  <c r="W18" i="3"/>
  <c r="Q197" i="2"/>
  <c r="Q211" i="2"/>
  <c r="M31" i="1"/>
  <c r="P197" i="2"/>
  <c r="P211" i="2"/>
  <c r="L31" i="1"/>
  <c r="P167" i="2"/>
  <c r="P158" i="2"/>
  <c r="P137" i="2"/>
  <c r="P196" i="2"/>
  <c r="P96" i="2"/>
  <c r="O97" i="2"/>
  <c r="O200" i="2" s="1"/>
  <c r="O99" i="2"/>
  <c r="P100" i="2"/>
  <c r="O94" i="2"/>
  <c r="N98" i="2"/>
  <c r="O89" i="2"/>
  <c r="O93" i="2"/>
  <c r="O92" i="2"/>
  <c r="P87" i="2"/>
  <c r="P88" i="2"/>
  <c r="P90" i="2" s="1"/>
  <c r="I162" i="2"/>
  <c r="J161" i="2"/>
  <c r="K136" i="2"/>
  <c r="J146" i="2"/>
  <c r="H171" i="2"/>
  <c r="I168" i="2"/>
  <c r="N154" i="2"/>
  <c r="N159" i="2" s="1"/>
  <c r="O150" i="2"/>
  <c r="M179" i="2"/>
  <c r="I32" i="1" s="1"/>
  <c r="I33" i="1" s="1"/>
  <c r="I38" i="1" s="1"/>
  <c r="M149" i="2"/>
  <c r="N139" i="2"/>
  <c r="O148" i="2"/>
  <c r="N202" i="2"/>
  <c r="N157" i="2" s="1"/>
  <c r="M205" i="2"/>
  <c r="M207" i="2" s="1"/>
  <c r="M212" i="2"/>
  <c r="M213" i="2" s="1"/>
  <c r="M214" i="2" s="1"/>
  <c r="M215" i="2" s="1"/>
  <c r="Q135" i="3"/>
  <c r="Q46" i="3"/>
  <c r="Q48" i="3" s="1"/>
  <c r="J77" i="3"/>
  <c r="J80" i="3" s="1"/>
  <c r="J82" i="3" s="1"/>
  <c r="K77" i="3"/>
  <c r="K80" i="3"/>
  <c r="K82" i="3" s="1"/>
  <c r="W124" i="3"/>
  <c r="V125" i="3"/>
  <c r="S32" i="3"/>
  <c r="S31" i="3"/>
  <c r="L38" i="3"/>
  <c r="L60" i="3" s="1"/>
  <c r="L76" i="3" s="1"/>
  <c r="M38" i="3"/>
  <c r="M60" i="3" s="1"/>
  <c r="M76" i="3" s="1"/>
  <c r="Q33" i="3"/>
  <c r="S33" i="3" s="1"/>
  <c r="S46" i="3"/>
  <c r="S48" i="3" s="1"/>
  <c r="S135" i="3"/>
  <c r="R46" i="3"/>
  <c r="R135" i="3"/>
  <c r="Q53" i="3" l="1"/>
  <c r="S53" i="3" s="1"/>
  <c r="Q55" i="3"/>
  <c r="S55" i="3" s="1"/>
  <c r="Q52" i="3"/>
  <c r="S52" i="3" s="1"/>
  <c r="Q54" i="3"/>
  <c r="S54" i="3" s="1"/>
  <c r="T8" i="3"/>
  <c r="T11" i="3" s="1"/>
  <c r="T145" i="3"/>
  <c r="T148" i="3" s="1"/>
  <c r="T47" i="3" s="1"/>
  <c r="V143" i="3"/>
  <c r="X142" i="3"/>
  <c r="R32" i="3"/>
  <c r="T32" i="3" s="1"/>
  <c r="R33" i="3"/>
  <c r="T33" i="3" s="1"/>
  <c r="R56" i="3"/>
  <c r="R52" i="3"/>
  <c r="R55" i="3"/>
  <c r="P22" i="3"/>
  <c r="P25" i="3" s="1"/>
  <c r="R21" i="3"/>
  <c r="R30" i="3"/>
  <c r="P34" i="3"/>
  <c r="W145" i="3"/>
  <c r="W148" i="3" s="1"/>
  <c r="W47" i="3" s="1"/>
  <c r="W8" i="3"/>
  <c r="AA142" i="3"/>
  <c r="AA143" i="3" s="1"/>
  <c r="Y143" i="3"/>
  <c r="AA128" i="3"/>
  <c r="AA16" i="3" s="1"/>
  <c r="Y16" i="3"/>
  <c r="X121" i="3"/>
  <c r="X7" i="3"/>
  <c r="AA117" i="3"/>
  <c r="Y119" i="3"/>
  <c r="W121" i="3"/>
  <c r="W7" i="3"/>
  <c r="S56" i="3"/>
  <c r="Q22" i="3"/>
  <c r="Q25" i="3" s="1"/>
  <c r="S21" i="3"/>
  <c r="S30" i="3"/>
  <c r="Q34" i="3"/>
  <c r="W133" i="3"/>
  <c r="AA101" i="3"/>
  <c r="AA124" i="3" s="1"/>
  <c r="AA107" i="3"/>
  <c r="Y45" i="3"/>
  <c r="AA45" i="3" s="1"/>
  <c r="Y124" i="3"/>
  <c r="Y125" i="3" s="1"/>
  <c r="Y112" i="3"/>
  <c r="Y127" i="3"/>
  <c r="X45" i="3"/>
  <c r="X124" i="3"/>
  <c r="X125" i="3" s="1"/>
  <c r="Z101" i="3"/>
  <c r="Z107" i="3"/>
  <c r="X112" i="3"/>
  <c r="X127" i="3"/>
  <c r="V133" i="3"/>
  <c r="V129" i="3"/>
  <c r="V134" i="3" s="1"/>
  <c r="V9" i="3"/>
  <c r="AA65" i="3"/>
  <c r="AA70" i="3" s="1"/>
  <c r="Y70" i="3"/>
  <c r="AA15" i="3"/>
  <c r="AA18" i="3" s="1"/>
  <c r="Y18" i="3"/>
  <c r="Q167" i="2"/>
  <c r="Q158" i="2"/>
  <c r="Q137" i="2"/>
  <c r="Q196" i="2"/>
  <c r="Q96" i="2"/>
  <c r="Q100" i="2" s="1"/>
  <c r="P97" i="2"/>
  <c r="P200" i="2" s="1"/>
  <c r="P99" i="2"/>
  <c r="O98" i="2"/>
  <c r="P94" i="2"/>
  <c r="Q87" i="2"/>
  <c r="Q88" i="2" s="1"/>
  <c r="Q90" i="2" s="1"/>
  <c r="P92" i="2"/>
  <c r="P89" i="2"/>
  <c r="P93" i="2"/>
  <c r="J162" i="2"/>
  <c r="K161" i="2"/>
  <c r="L136" i="2"/>
  <c r="K146" i="2"/>
  <c r="H164" i="2"/>
  <c r="H174" i="2"/>
  <c r="H220" i="2"/>
  <c r="H173" i="2"/>
  <c r="H172" i="2"/>
  <c r="I171" i="2"/>
  <c r="J168" i="2"/>
  <c r="O154" i="2"/>
  <c r="O159" i="2" s="1"/>
  <c r="P150" i="2"/>
  <c r="N179" i="2"/>
  <c r="J32" i="1" s="1"/>
  <c r="J33" i="1" s="1"/>
  <c r="J38" i="1" s="1"/>
  <c r="N149" i="2"/>
  <c r="O139" i="2"/>
  <c r="P148" i="2"/>
  <c r="O202" i="2"/>
  <c r="O157" i="2" s="1"/>
  <c r="N205" i="2"/>
  <c r="N207" i="2" s="1"/>
  <c r="N212" i="2"/>
  <c r="N213" i="2" s="1"/>
  <c r="N214" i="2" s="1"/>
  <c r="N215" i="2" s="1"/>
  <c r="L77" i="3"/>
  <c r="L80" i="3" s="1"/>
  <c r="L82" i="3" s="1"/>
  <c r="M77" i="3"/>
  <c r="M80" i="3"/>
  <c r="M82" i="3" s="1"/>
  <c r="U48" i="3"/>
  <c r="U11" i="3"/>
  <c r="O38" i="3"/>
  <c r="O60" i="3" s="1"/>
  <c r="O76" i="3" s="1"/>
  <c r="T134" i="3"/>
  <c r="Z18" i="3"/>
  <c r="N38" i="3"/>
  <c r="N60" i="3" s="1"/>
  <c r="N76" i="3" s="1"/>
  <c r="P54" i="3"/>
  <c r="P55" i="3"/>
  <c r="U46" i="3"/>
  <c r="U135" i="3"/>
  <c r="W125" i="3"/>
  <c r="W127" i="3"/>
  <c r="T31" i="3" l="1"/>
  <c r="V145" i="3"/>
  <c r="V148" i="3" s="1"/>
  <c r="V47" i="3" s="1"/>
  <c r="V48" i="3" s="1"/>
  <c r="V8" i="3"/>
  <c r="V11" i="3" s="1"/>
  <c r="Z142" i="3"/>
  <c r="Z143" i="3" s="1"/>
  <c r="X143" i="3"/>
  <c r="T56" i="3"/>
  <c r="T55" i="3" s="1"/>
  <c r="T52" i="3"/>
  <c r="T53" i="3"/>
  <c r="T54" i="3"/>
  <c r="T21" i="3"/>
  <c r="R22" i="3"/>
  <c r="R25" i="3" s="1"/>
  <c r="R38" i="3" s="1"/>
  <c r="R60" i="3" s="1"/>
  <c r="R76" i="3" s="1"/>
  <c r="T30" i="3"/>
  <c r="R34" i="3"/>
  <c r="AA145" i="3"/>
  <c r="AA148" i="3" s="1"/>
  <c r="AA47" i="3" s="1"/>
  <c r="AA8" i="3"/>
  <c r="Y145" i="3"/>
  <c r="Y148" i="3" s="1"/>
  <c r="Y47" i="3" s="1"/>
  <c r="Y8" i="3"/>
  <c r="Y121" i="3"/>
  <c r="Y134" i="3" s="1"/>
  <c r="Y7" i="3"/>
  <c r="Y11" i="3" s="1"/>
  <c r="U56" i="3"/>
  <c r="U54" i="3"/>
  <c r="U55" i="3"/>
  <c r="U52" i="3"/>
  <c r="U53" i="3"/>
  <c r="S22" i="3"/>
  <c r="S25" i="3" s="1"/>
  <c r="U21" i="3"/>
  <c r="U30" i="3"/>
  <c r="S34" i="3"/>
  <c r="AA112" i="3"/>
  <c r="AA127" i="3"/>
  <c r="Y133" i="3"/>
  <c r="Y129" i="3"/>
  <c r="Y9" i="3"/>
  <c r="Z119" i="3"/>
  <c r="Z124" i="3"/>
  <c r="Z125" i="3" s="1"/>
  <c r="Z112" i="3"/>
  <c r="Z127" i="3"/>
  <c r="X133" i="3"/>
  <c r="X129" i="3"/>
  <c r="X9" i="3"/>
  <c r="Q97" i="2"/>
  <c r="Q200" i="2" s="1"/>
  <c r="Q99" i="2"/>
  <c r="Q89" i="2"/>
  <c r="Q92" i="2"/>
  <c r="Q98" i="2" s="1"/>
  <c r="Q93" i="2"/>
  <c r="P98" i="2"/>
  <c r="Q94" i="2"/>
  <c r="K162" i="2"/>
  <c r="L161" i="2"/>
  <c r="M136" i="2"/>
  <c r="L146" i="2"/>
  <c r="H222" i="2"/>
  <c r="H224" i="2"/>
  <c r="I164" i="2"/>
  <c r="I174" i="2"/>
  <c r="I220" i="2"/>
  <c r="I173" i="2"/>
  <c r="I172" i="2"/>
  <c r="J171" i="2"/>
  <c r="K168" i="2"/>
  <c r="P154" i="2"/>
  <c r="P159" i="2" s="1"/>
  <c r="Q150" i="2"/>
  <c r="Q154" i="2" s="1"/>
  <c r="Q159" i="2" s="1"/>
  <c r="O179" i="2"/>
  <c r="K32" i="1" s="1"/>
  <c r="K33" i="1" s="1"/>
  <c r="K38" i="1" s="1"/>
  <c r="O149" i="2"/>
  <c r="P139" i="2"/>
  <c r="Q148" i="2"/>
  <c r="Q139" i="2" s="1"/>
  <c r="P202" i="2"/>
  <c r="P157" i="2" s="1"/>
  <c r="O205" i="2"/>
  <c r="O207" i="2" s="1"/>
  <c r="O212" i="2"/>
  <c r="O213" i="2" s="1"/>
  <c r="O214" i="2" s="1"/>
  <c r="O215" i="2" s="1"/>
  <c r="U33" i="3"/>
  <c r="U31" i="3"/>
  <c r="U32" i="3"/>
  <c r="O77" i="3"/>
  <c r="O80" i="3" s="1"/>
  <c r="O82" i="3" s="1"/>
  <c r="T135" i="3"/>
  <c r="T46" i="3"/>
  <c r="T48" i="3" s="1"/>
  <c r="N77" i="3"/>
  <c r="N80" i="3" s="1"/>
  <c r="N82" i="3" s="1"/>
  <c r="W9" i="3"/>
  <c r="W11" i="3" s="1"/>
  <c r="W129" i="3"/>
  <c r="W134" i="3" s="1"/>
  <c r="P38" i="3"/>
  <c r="P60" i="3" s="1"/>
  <c r="P76" i="3" s="1"/>
  <c r="Q38" i="3"/>
  <c r="Q60" i="3" s="1"/>
  <c r="Q76" i="3" s="1"/>
  <c r="AA125" i="3"/>
  <c r="Z45" i="3"/>
  <c r="AA119" i="3"/>
  <c r="R53" i="3"/>
  <c r="R54" i="3"/>
  <c r="V46" i="3"/>
  <c r="V135" i="3"/>
  <c r="S38" i="3" l="1"/>
  <c r="S60" i="3" s="1"/>
  <c r="S76" i="3" s="1"/>
  <c r="V33" i="3"/>
  <c r="V32" i="3"/>
  <c r="Z145" i="3"/>
  <c r="Z148" i="3" s="1"/>
  <c r="Z47" i="3" s="1"/>
  <c r="Z8" i="3"/>
  <c r="X145" i="3"/>
  <c r="X148" i="3" s="1"/>
  <c r="X47" i="3" s="1"/>
  <c r="X8" i="3"/>
  <c r="X11" i="3" s="1"/>
  <c r="V56" i="3"/>
  <c r="V54" i="3"/>
  <c r="V52" i="3"/>
  <c r="V53" i="3"/>
  <c r="V55" i="3"/>
  <c r="T22" i="3"/>
  <c r="T25" i="3" s="1"/>
  <c r="V21" i="3"/>
  <c r="R77" i="3"/>
  <c r="R80" i="3"/>
  <c r="R82" i="3" s="1"/>
  <c r="V30" i="3"/>
  <c r="T34" i="3"/>
  <c r="W56" i="3"/>
  <c r="S77" i="3"/>
  <c r="S80" i="3" s="1"/>
  <c r="S82" i="3" s="1"/>
  <c r="W21" i="3"/>
  <c r="U22" i="3"/>
  <c r="U25" i="3" s="1"/>
  <c r="W30" i="3"/>
  <c r="U34" i="3"/>
  <c r="AA133" i="3"/>
  <c r="AA129" i="3"/>
  <c r="AA9" i="3"/>
  <c r="Z7" i="3"/>
  <c r="Z11" i="3" s="1"/>
  <c r="Z121" i="3"/>
  <c r="Z133" i="3"/>
  <c r="Z129" i="3"/>
  <c r="Z9" i="3"/>
  <c r="L162" i="2"/>
  <c r="M161" i="2"/>
  <c r="N136" i="2"/>
  <c r="M146" i="2"/>
  <c r="I222" i="2"/>
  <c r="I224" i="2"/>
  <c r="J164" i="2"/>
  <c r="J174" i="2"/>
  <c r="J220" i="2"/>
  <c r="J173" i="2"/>
  <c r="J172" i="2"/>
  <c r="K171" i="2"/>
  <c r="L168" i="2"/>
  <c r="P179" i="2"/>
  <c r="L32" i="1" s="1"/>
  <c r="L33" i="1" s="1"/>
  <c r="L38" i="1" s="1"/>
  <c r="P149" i="2"/>
  <c r="Q179" i="2"/>
  <c r="M32" i="1" s="1"/>
  <c r="Q149" i="2"/>
  <c r="Q202" i="2"/>
  <c r="Q157" i="2" s="1"/>
  <c r="P205" i="2"/>
  <c r="P207" i="2" s="1"/>
  <c r="P212" i="2"/>
  <c r="P213" i="2" s="1"/>
  <c r="P214" i="2" s="1"/>
  <c r="P215" i="2" s="1"/>
  <c r="W135" i="3"/>
  <c r="W46" i="3"/>
  <c r="W48" i="3" s="1"/>
  <c r="P77" i="3"/>
  <c r="P80" i="3" s="1"/>
  <c r="P82" i="3" s="1"/>
  <c r="Q77" i="3"/>
  <c r="Q80" i="3" s="1"/>
  <c r="Q82" i="3" s="1"/>
  <c r="AA7" i="3"/>
  <c r="AA121" i="3"/>
  <c r="X134" i="3"/>
  <c r="Y48" i="3"/>
  <c r="W33" i="3"/>
  <c r="Y33" i="3" s="1"/>
  <c r="W31" i="3"/>
  <c r="Y31" i="3" s="1"/>
  <c r="W32" i="3"/>
  <c r="Y32" i="3" s="1"/>
  <c r="V31" i="3"/>
  <c r="Y46" i="3"/>
  <c r="Y135" i="3"/>
  <c r="X56" i="3" l="1"/>
  <c r="X52" i="3" s="1"/>
  <c r="X53" i="3"/>
  <c r="X54" i="3"/>
  <c r="X55" i="3"/>
  <c r="X21" i="3"/>
  <c r="V22" i="3"/>
  <c r="V25" i="3" s="1"/>
  <c r="X30" i="3"/>
  <c r="V34" i="3"/>
  <c r="Y56" i="3"/>
  <c r="Y52" i="3"/>
  <c r="Y21" i="3"/>
  <c r="W22" i="3"/>
  <c r="W25" i="3" s="1"/>
  <c r="Y30" i="3"/>
  <c r="W34" i="3"/>
  <c r="M162" i="2"/>
  <c r="N161" i="2"/>
  <c r="O136" i="2"/>
  <c r="N146" i="2"/>
  <c r="J224" i="2"/>
  <c r="J222" i="2"/>
  <c r="K164" i="2"/>
  <c r="K174" i="2"/>
  <c r="K220" i="2"/>
  <c r="K173" i="2"/>
  <c r="K172" i="2"/>
  <c r="L171" i="2"/>
  <c r="M168" i="2"/>
  <c r="M33" i="1"/>
  <c r="M38" i="1" s="1"/>
  <c r="M34" i="1"/>
  <c r="M35" i="1" s="1"/>
  <c r="M39" i="1" s="1"/>
  <c r="C42" i="1" s="1"/>
  <c r="C43" i="1" s="1"/>
  <c r="C47" i="1" s="1"/>
  <c r="C48" i="1" s="1"/>
  <c r="C49" i="1" s="1"/>
  <c r="Q205" i="2"/>
  <c r="Q207" i="2" s="1"/>
  <c r="Q212" i="2"/>
  <c r="Q213" i="2" s="1"/>
  <c r="Q214" i="2" s="1"/>
  <c r="Q215" i="2" s="1"/>
  <c r="X135" i="3"/>
  <c r="X46" i="3"/>
  <c r="X48" i="3" s="1"/>
  <c r="U38" i="3"/>
  <c r="U60" i="3" s="1"/>
  <c r="U76" i="3" s="1"/>
  <c r="Z134" i="3"/>
  <c r="AA11" i="3"/>
  <c r="AA134" i="3"/>
  <c r="X31" i="3"/>
  <c r="Z31" i="3" s="1"/>
  <c r="X33" i="3"/>
  <c r="Z33" i="3" s="1"/>
  <c r="X32" i="3"/>
  <c r="Z32" i="3" s="1"/>
  <c r="T38" i="3"/>
  <c r="T60" i="3" s="1"/>
  <c r="T76" i="3" s="1"/>
  <c r="W52" i="3"/>
  <c r="W54" i="3"/>
  <c r="W53" i="3"/>
  <c r="W55" i="3"/>
  <c r="W38" i="3" l="1"/>
  <c r="W60" i="3" s="1"/>
  <c r="W76" i="3" s="1"/>
  <c r="W77" i="3" s="1"/>
  <c r="W80" i="3" s="1"/>
  <c r="W82" i="3" s="1"/>
  <c r="Z53" i="3"/>
  <c r="Z56" i="3"/>
  <c r="Z54" i="3" s="1"/>
  <c r="Z52" i="3"/>
  <c r="Z55" i="3"/>
  <c r="Z21" i="3"/>
  <c r="Z22" i="3" s="1"/>
  <c r="Z25" i="3" s="1"/>
  <c r="Z38" i="3" s="1"/>
  <c r="Z60" i="3" s="1"/>
  <c r="Z76" i="3" s="1"/>
  <c r="X22" i="3"/>
  <c r="X25" i="3" s="1"/>
  <c r="Z30" i="3"/>
  <c r="Z34" i="3" s="1"/>
  <c r="X34" i="3"/>
  <c r="AA56" i="3"/>
  <c r="Y22" i="3"/>
  <c r="Y25" i="3" s="1"/>
  <c r="AA21" i="3"/>
  <c r="AA22" i="3" s="1"/>
  <c r="AA25" i="3" s="1"/>
  <c r="AA30" i="3"/>
  <c r="AA34" i="3" s="1"/>
  <c r="Y34" i="3"/>
  <c r="N162" i="2"/>
  <c r="O161" i="2"/>
  <c r="P136" i="2"/>
  <c r="O146" i="2"/>
  <c r="K224" i="2"/>
  <c r="K222" i="2"/>
  <c r="L164" i="2"/>
  <c r="L174" i="2"/>
  <c r="L220" i="2"/>
  <c r="L173" i="2"/>
  <c r="L172" i="2"/>
  <c r="M171" i="2"/>
  <c r="N168" i="2"/>
  <c r="U77" i="3"/>
  <c r="U80" i="3" s="1"/>
  <c r="U82" i="3" s="1"/>
  <c r="Z135" i="3"/>
  <c r="Z46" i="3"/>
  <c r="Z48" i="3" s="1"/>
  <c r="AA32" i="3"/>
  <c r="AA31" i="3"/>
  <c r="AA33" i="3"/>
  <c r="AA135" i="3"/>
  <c r="AA46" i="3"/>
  <c r="AA48" i="3" s="1"/>
  <c r="T77" i="3"/>
  <c r="T80" i="3"/>
  <c r="T82" i="3" s="1"/>
  <c r="V38" i="3"/>
  <c r="V60" i="3" s="1"/>
  <c r="V76" i="3" s="1"/>
  <c r="Y54" i="3"/>
  <c r="Y53" i="3"/>
  <c r="Y55" i="3"/>
  <c r="Y38" i="3" l="1"/>
  <c r="Y60" i="3" s="1"/>
  <c r="Y76" i="3" s="1"/>
  <c r="AA38" i="3"/>
  <c r="AA60" i="3" s="1"/>
  <c r="AA76" i="3" s="1"/>
  <c r="AA77" i="3" s="1"/>
  <c r="AA80" i="3" s="1"/>
  <c r="AA82" i="3" s="1"/>
  <c r="Z77" i="3"/>
  <c r="Z80" i="3"/>
  <c r="Z82" i="3" s="1"/>
  <c r="Y77" i="3"/>
  <c r="Y80" i="3" s="1"/>
  <c r="Y82" i="3" s="1"/>
  <c r="O162" i="2"/>
  <c r="P161" i="2"/>
  <c r="Q136" i="2"/>
  <c r="P146" i="2"/>
  <c r="L224" i="2"/>
  <c r="L222" i="2"/>
  <c r="M164" i="2"/>
  <c r="M174" i="2"/>
  <c r="M220" i="2"/>
  <c r="M173" i="2"/>
  <c r="M172" i="2"/>
  <c r="N171" i="2"/>
  <c r="O168" i="2"/>
  <c r="V77" i="3"/>
  <c r="V80" i="3" s="1"/>
  <c r="V82" i="3" s="1"/>
  <c r="X38" i="3"/>
  <c r="X60" i="3" s="1"/>
  <c r="X76" i="3" s="1"/>
  <c r="AA54" i="3"/>
  <c r="AA55" i="3"/>
  <c r="AA52" i="3"/>
  <c r="AA53" i="3"/>
  <c r="P162" i="2" l="1"/>
  <c r="Q161" i="2"/>
  <c r="Q146" i="2"/>
  <c r="M224" i="2"/>
  <c r="M222" i="2"/>
  <c r="N164" i="2"/>
  <c r="N174" i="2"/>
  <c r="N220" i="2"/>
  <c r="N173" i="2"/>
  <c r="N172" i="2"/>
  <c r="O171" i="2"/>
  <c r="P168" i="2"/>
  <c r="X77" i="3"/>
  <c r="X80" i="3" s="1"/>
  <c r="X82" i="3" s="1"/>
  <c r="Q164" i="2" l="1"/>
  <c r="Q162" i="2"/>
  <c r="N222" i="2"/>
  <c r="N224" i="2"/>
  <c r="O164" i="2"/>
  <c r="O174" i="2"/>
  <c r="O220" i="2"/>
  <c r="O173" i="2"/>
  <c r="O172" i="2"/>
  <c r="P171" i="2"/>
  <c r="Q168" i="2"/>
  <c r="Q171" i="2" s="1"/>
  <c r="O222" i="2" l="1"/>
  <c r="O224" i="2"/>
  <c r="P164" i="2"/>
  <c r="P174" i="2"/>
  <c r="P220" i="2"/>
  <c r="P173" i="2"/>
  <c r="P172" i="2"/>
  <c r="Q174" i="2"/>
  <c r="Q220" i="2"/>
  <c r="Q173" i="2"/>
  <c r="Q172" i="2"/>
  <c r="P222" i="2" l="1"/>
  <c r="P224" i="2"/>
  <c r="Q222" i="2"/>
  <c r="Q224" i="2"/>
</calcChain>
</file>

<file path=xl/sharedStrings.xml><?xml version="1.0" encoding="utf-8"?>
<sst xmlns="http://schemas.openxmlformats.org/spreadsheetml/2006/main" count="855" uniqueCount="479">
  <si>
    <t>GYG Model Summary</t>
  </si>
  <si>
    <t>Actual ----------&gt;</t>
  </si>
  <si>
    <t>Forecast -----&gt;</t>
  </si>
  <si>
    <t>Guzman y Gomez (GYG.AX)</t>
  </si>
  <si>
    <t>Units</t>
  </si>
  <si>
    <t>FY22A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</si>
  <si>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</si>
  <si>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</si>
  <si>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</si>
  <si>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</si>
  <si>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</si>
  <si>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</si>
  <si>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</si>
  <si>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</si>
  <si>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FY31E</t>
  </si>
  <si>
    <t>FY32E</t>
  </si>
  <si>
    <t>FY33E</t>
  </si>
  <si>
    <t>FY34E</t>
  </si>
  <si>
    <t>FY35E</t>
  </si>
  <si>
    <t>P&amp;L</t>
  </si>
  <si>
    <t>Revenue</t>
  </si>
  <si>
    <t>Rev-AU Corp Sales</t>
  </si>
  <si>
    <t>AU Corporate Restaurant Sales</t>
  </si>
  <si>
    <t>AUDm</t>
  </si>
  <si>
    <t>Rev-US Corp Sales</t>
  </si>
  <si>
    <t>US Corporate Restaurant Sales</t>
  </si>
  <si>
    <t>Rev-Franchise Royalty</t>
  </si>
  <si>
    <t>Franchise Royalty Revenue</t>
  </si>
  <si>
    <t>Rev-Franchise Fee</t>
  </si>
  <si>
    <t>Franchise Fee Revenue</t>
  </si>
  <si>
    <t>Rev-Total Revenue</t>
  </si>
  <si>
    <t>Total Revenue</t>
  </si>
  <si>
    <t>Revenue Growth</t>
  </si>
  <si>
    <t>% YoY</t>
  </si>
  <si>
    <t>Other Revenue</t>
  </si>
  <si>
    <t>Rev-Marketing Levy</t>
  </si>
  <si>
    <t>Marketing Levy Revenue</t>
  </si>
  <si>
    <t>Rev-Other Franchise</t>
  </si>
  <si>
    <t>Other Franchise Revenue</t>
  </si>
  <si>
    <t>Rev-Other Income</t>
  </si>
  <si>
    <t>Other Income</t>
  </si>
  <si>
    <t>Rev-Total Other Revenue</t>
  </si>
  <si>
    <t>Total Other Revenue</t>
  </si>
  <si>
    <t>COGS</t>
  </si>
  <si>
    <t>COGS-Food Packaging</t>
  </si>
  <si>
    <t>Food &amp; Packaging</t>
  </si>
  <si>
    <t>COGS-Total COGS</t>
  </si>
  <si>
    <t>Total COGS</t>
  </si>
  <si>
    <t>Gross Profit</t>
  </si>
  <si>
    <t>GP-Gross Profit</t>
  </si>
  <si>
    <t>GP Growth</t>
  </si>
  <si>
    <t>GP Margin</t>
  </si>
  <si>
    <t>%</t>
  </si>
  <si>
    <t>Operating Expenses</t>
  </si>
  <si>
    <t>OPEX-Employee Benefits</t>
  </si>
  <si>
    <t>Employee Benefits</t>
  </si>
  <si>
    <t>OPEX-Admin</t>
  </si>
  <si>
    <t>Administrative Expenses</t>
  </si>
  <si>
    <t>OPEX-Marketing</t>
  </si>
  <si>
    <t>Marketing Expenses</t>
  </si>
  <si>
    <t>OPEX-Other</t>
  </si>
  <si>
    <t>Other Expenses</t>
  </si>
  <si>
    <t>OPEX-Total OpEx</t>
  </si>
  <si>
    <t>Total Operating Expenses</t>
  </si>
  <si>
    <t>OpEx Growth</t>
  </si>
  <si>
    <t>EBITDA</t>
  </si>
  <si>
    <t>EBITDA-Statutory EBITDA</t>
  </si>
  <si>
    <t>Statutory EBITDA</t>
  </si>
  <si>
    <t>EBITDA Growth</t>
  </si>
  <si>
    <t>EBITDA Margin</t>
  </si>
  <si>
    <t>Segment EBITDA Bridge</t>
  </si>
  <si>
    <t>Stat-SBP</t>
  </si>
  <si>
    <t>Share-based payments</t>
  </si>
  <si>
    <t>Stat-Other Costs</t>
  </si>
  <si>
    <t>Other Non-Recurring Costs</t>
  </si>
  <si>
    <t>Stat-Cash Rent</t>
  </si>
  <si>
    <t>Cash Rent (AASB 16 Reversal)</t>
  </si>
  <si>
    <t>EBITDA-AU Segment EBITDA</t>
  </si>
  <si>
    <t>AU Segment Underlying EBITDA</t>
  </si>
  <si>
    <t>EBITDA-US Segment EBITDA</t>
  </si>
  <si>
    <t>US Segment Underlying EBITDA</t>
  </si>
  <si>
    <t>EBITDA-Group Segment EBITDA</t>
  </si>
  <si>
    <t>Group Segment Underlying EBITDA</t>
  </si>
  <si>
    <t>Segment EBITDA / Network Sales</t>
  </si>
  <si>
    <t>D&amp;A</t>
  </si>
  <si>
    <t>DA-Depreciation PPE</t>
  </si>
  <si>
    <t>PPE Depreciation</t>
  </si>
  <si>
    <t>DA-ROU Amortisation</t>
  </si>
  <si>
    <t>ROU Assets Depreciation</t>
  </si>
  <si>
    <t>DA-Reacq Amort</t>
  </si>
  <si>
    <t>Amortisation of Reacquired Rights</t>
  </si>
  <si>
    <t>DA-Other Amort</t>
  </si>
  <si>
    <t>Other Amortisation</t>
  </si>
  <si>
    <t>DA-Total DA</t>
  </si>
  <si>
    <t>Total D&amp;A</t>
  </si>
  <si>
    <t>D&amp;A / Revenue</t>
  </si>
  <si>
    <t>Avg Lease Life</t>
  </si>
  <si>
    <t>years</t>
  </si>
  <si>
    <t>EBIT</t>
  </si>
  <si>
    <t>EBIT-Underlying EBIT</t>
  </si>
  <si>
    <t>Underlying EBIT</t>
  </si>
  <si>
    <t>EBIT Growth</t>
  </si>
  <si>
    <t>EBIT Margin</t>
  </si>
  <si>
    <t>Finance Income / Costs</t>
  </si>
  <si>
    <t>Int-Term Deposit</t>
  </si>
  <si>
    <t>Term Deposit Interest</t>
  </si>
  <si>
    <t>Int-Lease Receivable</t>
  </si>
  <si>
    <t>Lease Receivable Interest</t>
  </si>
  <si>
    <t>Int-Other Income</t>
  </si>
  <si>
    <t>Other Finance Income</t>
  </si>
  <si>
    <t>Int-Lease Interest</t>
  </si>
  <si>
    <t>Lease Liability Interest</t>
  </si>
  <si>
    <t>Int-Other Costs</t>
  </si>
  <si>
    <t>Other Finance Costs</t>
  </si>
  <si>
    <t>Int-Net Finance Costs</t>
  </si>
  <si>
    <t>Net Finance Costs</t>
  </si>
  <si>
    <t>Term Deposit Rate</t>
  </si>
  <si>
    <t>Lease Receivable Rate</t>
  </si>
  <si>
    <t>Lease Liability Rate</t>
  </si>
  <si>
    <t>PBT, Tax, NPAT</t>
  </si>
  <si>
    <t>PBT-PBT</t>
  </si>
  <si>
    <t>PBT</t>
  </si>
  <si>
    <t>Tax-Tax Expense</t>
  </si>
  <si>
    <t>Tax Expense</t>
  </si>
  <si>
    <t>Underlying Tax Rate</t>
  </si>
  <si>
    <t>NPAT-NCI</t>
  </si>
  <si>
    <t>Non-controlling Interests</t>
  </si>
  <si>
    <t>NPAT-Underlying NPAT</t>
  </si>
  <si>
    <t>Underlying NPAT</t>
  </si>
  <si>
    <t>NPAT-Sig Items AT</t>
  </si>
  <si>
    <t>Significant Items After Tax</t>
  </si>
  <si>
    <t>NPAT-Statutory NPAT</t>
  </si>
  <si>
    <t>Statutory NPAT</t>
  </si>
  <si>
    <t>NPAT Growth</t>
  </si>
  <si>
    <t>NPAT Margin</t>
  </si>
  <si>
    <t>EPS &amp; Dividends</t>
  </si>
  <si>
    <t>EPS-YE Shares</t>
  </si>
  <si>
    <t>YE Basic Shares Outstanding</t>
  </si>
  <si>
    <t>#m</t>
  </si>
  <si>
    <t>EPS-WASO Basic</t>
  </si>
  <si>
    <t>WASO Basic</t>
  </si>
  <si>
    <t>EPS-Dilution</t>
  </si>
  <si>
    <t>Dilution</t>
  </si>
  <si>
    <t>EPS-WASO Diluted</t>
  </si>
  <si>
    <t>WASO Diluted</t>
  </si>
  <si>
    <t>EPS-Underlying EPS</t>
  </si>
  <si>
    <t>Underlying EPS</t>
  </si>
  <si>
    <t>AUDps</t>
  </si>
  <si>
    <t>EPS-Statutory EPS</t>
  </si>
  <si>
    <t>Statutory EPS</t>
  </si>
  <si>
    <t>EPS Growth</t>
  </si>
  <si>
    <t>Div-DPS</t>
  </si>
  <si>
    <t>DPS</t>
  </si>
  <si>
    <t>Div-Total Dividends</t>
  </si>
  <si>
    <t>Total Dividends</t>
  </si>
  <si>
    <t>Payout Ratio</t>
  </si>
  <si>
    <t>Dividend Yield</t>
  </si>
  <si>
    <t>Dividend Growth</t>
  </si>
  <si>
    <t>Operating Metrics</t>
  </si>
  <si>
    <t>Network Sales</t>
  </si>
  <si>
    <t>KPI-AU Network Sales</t>
  </si>
  <si>
    <t>AU Network Sales</t>
  </si>
  <si>
    <t>KPI-SG Network Sales</t>
  </si>
  <si>
    <t>SG Network Sales</t>
  </si>
  <si>
    <t>KPI-JP Network Sales</t>
  </si>
  <si>
    <t>JP Network Sales</t>
  </si>
  <si>
    <t>KPI-US Network Sales</t>
  </si>
  <si>
    <t>US Network Sales</t>
  </si>
  <si>
    <t>KPI-Global Network Sales</t>
  </si>
  <si>
    <t>Global Network Sales</t>
  </si>
  <si>
    <t>Network Sales Growth</t>
  </si>
  <si>
    <t>Restaurant Count</t>
  </si>
  <si>
    <t>KPI-AU Corp Count</t>
  </si>
  <si>
    <t>AU Corporate Restaurants</t>
  </si>
  <si>
    <t>#</t>
  </si>
  <si>
    <t>KPI-AU Franchise Count</t>
  </si>
  <si>
    <t>AU Franchise Restaurants</t>
  </si>
  <si>
    <t>KPI-SG Count</t>
  </si>
  <si>
    <t>SG Restaurants</t>
  </si>
  <si>
    <t>KPI-JP Count</t>
  </si>
  <si>
    <t>JP Restaurants</t>
  </si>
  <si>
    <t>KPI-US Count</t>
  </si>
  <si>
    <t>US Restaurants</t>
  </si>
  <si>
    <t>KPI-Total Restaurants</t>
  </si>
  <si>
    <t>Total Restaurants</t>
  </si>
  <si>
    <t>AU Format Detail</t>
  </si>
  <si>
    <t>KPI-AU DT Count</t>
  </si>
  <si>
    <t>AU Drive-Thru Count</t>
  </si>
  <si>
    <t>KPI-AU Strip Count</t>
  </si>
  <si>
    <t>AU Strip Count</t>
  </si>
  <si>
    <t>KPI-AU Other Count</t>
  </si>
  <si>
    <t>AU Other Count</t>
  </si>
  <si>
    <t>KPI-DT AUV</t>
  </si>
  <si>
    <t>Drive-Thru AUV</t>
  </si>
  <si>
    <t>KPI-Strip AUV</t>
  </si>
  <si>
    <t>Strip AUV</t>
  </si>
  <si>
    <t>KPI-Other AUV</t>
  </si>
  <si>
    <t>Other AUV</t>
  </si>
  <si>
    <t>Key Ratios</t>
  </si>
  <si>
    <t>Comp Sales Growth</t>
  </si>
  <si>
    <t>Corp Restaurant Margin</t>
  </si>
  <si>
    <t>Franchise Royalty Rate</t>
  </si>
  <si>
    <t>G&amp;A % Network Sales</t>
  </si>
  <si>
    <t>Segment EBITDA % Network Sales</t>
  </si>
  <si>
    <t>Balance Sheet</t>
  </si>
  <si>
    <t>Assets</t>
  </si>
  <si>
    <t>BS-Cash</t>
  </si>
  <si>
    <t>Cash</t>
  </si>
  <si>
    <t>BS-Term Deposits</t>
  </si>
  <si>
    <t>Funds in Term Deposits</t>
  </si>
  <si>
    <t>BS-Trade Receivables</t>
  </si>
  <si>
    <t>Trade Receivables</t>
  </si>
  <si>
    <t>BS-Inventories</t>
  </si>
  <si>
    <t>Inventories</t>
  </si>
  <si>
    <t>BS-Finance Lease Rec</t>
  </si>
  <si>
    <t>Finance Lease Receivables</t>
  </si>
  <si>
    <t>BS-PPE</t>
  </si>
  <si>
    <t>Property, Plant &amp; Equipment</t>
  </si>
  <si>
    <t>BS-Intangibles</t>
  </si>
  <si>
    <t>Intangibles</t>
  </si>
  <si>
    <t>BS-DTA</t>
  </si>
  <si>
    <t>Deferred Tax Assets</t>
  </si>
  <si>
    <t>BS-ROU Assets</t>
  </si>
  <si>
    <t>Right-of-Use Assets</t>
  </si>
  <si>
    <t>BS-Other Assets</t>
  </si>
  <si>
    <t>Prepayments &amp; Other Assets</t>
  </si>
  <si>
    <t>Total Assets</t>
  </si>
  <si>
    <t>Receivables / Revenue</t>
  </si>
  <si>
    <t>Inventory / Revenue</t>
  </si>
  <si>
    <t>Working Capital</t>
  </si>
  <si>
    <t>Payables / Revenue</t>
  </si>
  <si>
    <t>New Lease Additions</t>
  </si>
  <si>
    <t>Liabilities</t>
  </si>
  <si>
    <t>BS-Trade Payables</t>
  </si>
  <si>
    <t>Trade &amp; Other Payables</t>
  </si>
  <si>
    <t>BS-Contract Liabilities</t>
  </si>
  <si>
    <t>Contract Liabilities</t>
  </si>
  <si>
    <t>BS-Other Liabilities</t>
  </si>
  <si>
    <t>Other Liabilities</t>
  </si>
  <si>
    <t>BS-Lease Liabilities</t>
  </si>
  <si>
    <t>Lease Liabilities</t>
  </si>
  <si>
    <t>BS-Total Banking Debt</t>
  </si>
  <si>
    <t>Total Banking Debt</t>
  </si>
  <si>
    <t>Total Liabilities</t>
  </si>
  <si>
    <t>Net Banking Debt</t>
  </si>
  <si>
    <t>Adj Net Debt (incl leases)</t>
  </si>
  <si>
    <t>ND / EBITDA</t>
  </si>
  <si>
    <t>x</t>
  </si>
  <si>
    <t>Gearing (ND/(ND+E))</t>
  </si>
  <si>
    <t>Equity</t>
  </si>
  <si>
    <t>BS-Issued Capital</t>
  </si>
  <si>
    <t>Issued Capital</t>
  </si>
  <si>
    <t>BS-Retained Profits</t>
  </si>
  <si>
    <t>Retained Profits</t>
  </si>
  <si>
    <t>BS-Reserves</t>
  </si>
  <si>
    <t>Reserves</t>
  </si>
  <si>
    <t>BS-Minorities</t>
  </si>
  <si>
    <t>Minorities</t>
  </si>
  <si>
    <t>Total Equity</t>
  </si>
  <si>
    <t>ROE</t>
  </si>
  <si>
    <t>P/B</t>
  </si>
  <si>
    <t>BS Check (should be 0, +/-0.2 due to rounding)</t>
  </si>
  <si>
    <t>Cash Flow</t>
  </si>
  <si>
    <t>CFO</t>
  </si>
  <si>
    <t>CF-EBITDA</t>
  </si>
  <si>
    <t>CF-WC Change</t>
  </si>
  <si>
    <t>Working Capital Change</t>
  </si>
  <si>
    <t>CF-Significant Items</t>
  </si>
  <si>
    <t>Significant Items/Non-Cash Items</t>
  </si>
  <si>
    <t>Gross Operating Cash Flow</t>
  </si>
  <si>
    <t>CF-Int Received</t>
  </si>
  <si>
    <t>Interest Received</t>
  </si>
  <si>
    <t>CF-Interest Paid</t>
  </si>
  <si>
    <t>Interest Paid</t>
  </si>
  <si>
    <t>CF-Lease Int Paid</t>
  </si>
  <si>
    <t>Lease Interest Paid</t>
  </si>
  <si>
    <t>CF-Tax Paid</t>
  </si>
  <si>
    <t>Tax Paid</t>
  </si>
  <si>
    <t>CF-Net OCF</t>
  </si>
  <si>
    <t>Net Operating Cash Flow</t>
  </si>
  <si>
    <t>OCF Growth</t>
  </si>
  <si>
    <t>EBITDA Cashflow conversion</t>
  </si>
  <si>
    <t>CFI</t>
  </si>
  <si>
    <t>CF-Capex PPE</t>
  </si>
  <si>
    <t>Capex (PPE)</t>
  </si>
  <si>
    <t>Capex / Sales</t>
  </si>
  <si>
    <t>CF-Capex Intang</t>
  </si>
  <si>
    <t>Capex (Intangibles)</t>
  </si>
  <si>
    <t>CF-Acquisitions</t>
  </si>
  <si>
    <t>Acquisitions</t>
  </si>
  <si>
    <t>CF-Asset Sales</t>
  </si>
  <si>
    <t>Asset Sales</t>
  </si>
  <si>
    <t>CF-Other CFI</t>
  </si>
  <si>
    <t>Other</t>
  </si>
  <si>
    <t>Total Investing Cash Flow</t>
  </si>
  <si>
    <t>CFF</t>
  </si>
  <si>
    <t>CF-Dividends</t>
  </si>
  <si>
    <t>Dividends Paid</t>
  </si>
  <si>
    <t>CF-Share Issues</t>
  </si>
  <si>
    <t>Share Issues / Buybacks</t>
  </si>
  <si>
    <t>CF-Lease Principal</t>
  </si>
  <si>
    <t>Lease Principal Payments</t>
  </si>
  <si>
    <t>CF-Debt Change</t>
  </si>
  <si>
    <t>Change in Debt</t>
  </si>
  <si>
    <t>CF-Other CFF</t>
  </si>
  <si>
    <t>Total Financing Cash Flow</t>
  </si>
  <si>
    <t>Net Change in Cash</t>
  </si>
  <si>
    <t>Operating Free Cash Flow</t>
  </si>
  <si>
    <t>Net OCF</t>
  </si>
  <si>
    <t>Net Capex</t>
  </si>
  <si>
    <t>Lease Principal</t>
  </si>
  <si>
    <t>FCF per Share</t>
  </si>
  <si>
    <t>FCF Yield</t>
  </si>
  <si>
    <t>FCF Margin</t>
  </si>
  <si>
    <t>ROIC</t>
  </si>
  <si>
    <t>Invested Capital</t>
  </si>
  <si>
    <t>ROFE</t>
  </si>
  <si>
    <t>NOPAT</t>
  </si>
  <si>
    <t>DCF Valuation</t>
  </si>
  <si>
    <t>Current Share Price (AUD)</t>
  </si>
  <si>
    <t>Shares Outstanding (#m)</t>
  </si>
  <si>
    <t>Market Cap (AUDm)</t>
  </si>
  <si>
    <t>Net Debt (AUDm)</t>
  </si>
  <si>
    <t>Market EV (AUDm)</t>
  </si>
  <si>
    <t>Valuation Date</t>
  </si>
  <si>
    <t>WACC Inputs</t>
  </si>
  <si>
    <t>Risk-free Rate</t>
  </si>
  <si>
    <t>Equity Risk Premium</t>
  </si>
  <si>
    <t>Beta</t>
  </si>
  <si>
    <t>Cost of Equity</t>
  </si>
  <si>
    <t>Pre-tax Cost of Debt</t>
  </si>
  <si>
    <t>Tax Rate</t>
  </si>
  <si>
    <t>After-tax Cost of Debt</t>
  </si>
  <si>
    <t>Debt Weight (D/(D+E))</t>
  </si>
  <si>
    <t>WACC</t>
  </si>
  <si>
    <t>Terminal Growth Rate</t>
  </si>
  <si>
    <t>Stub Period</t>
  </si>
  <si>
    <t>FCF Projection</t>
  </si>
  <si>
    <t>less D&amp;A</t>
  </si>
  <si>
    <t>less Tax on EBIT</t>
  </si>
  <si>
    <t>plus D&amp;A</t>
  </si>
  <si>
    <t>less Capex</t>
  </si>
  <si>
    <t>less WC Change</t>
  </si>
  <si>
    <t>FCFF</t>
  </si>
  <si>
    <t>Normalised FCFF (capex=D&amp;A)</t>
  </si>
  <si>
    <t>Terminal Value</t>
  </si>
  <si>
    <t>Discount Factor</t>
  </si>
  <si>
    <t>PV of FCFF</t>
  </si>
  <si>
    <t>PV of Terminal Value</t>
  </si>
  <si>
    <t>Sum of PV of FCFs</t>
  </si>
  <si>
    <t>Enterprise Value</t>
  </si>
  <si>
    <t>less Net Debt</t>
  </si>
  <si>
    <t>less Lease Liabilities</t>
  </si>
  <si>
    <t>Equity Value</t>
  </si>
  <si>
    <t>Per Share Value (AUD)</t>
  </si>
  <si>
    <t>Upside / Downside</t>
  </si>
  <si>
    <t>EV/EBITDA SOTP</t>
  </si>
  <si>
    <t>Select FY:</t>
  </si>
  <si>
    <t>Segment</t>
  </si>
  <si>
    <t>Multiple</t>
  </si>
  <si>
    <t>Implied EV</t>
  </si>
  <si>
    <t>AU Segment</t>
  </si>
  <si>
    <t>US Segment</t>
  </si>
  <si>
    <t>Corporate</t>
  </si>
  <si>
    <t>Group EV</t>
  </si>
  <si>
    <t>Implied Group EV/EBITDA</t>
  </si>
  <si>
    <t>VSL Segments (Half-Year)</t>
  </si>
  <si>
    <t>1H24</t>
  </si>
  <si>
    <t>2H24</t>
  </si>
  <si>
    <t>1H25</t>
  </si>
  <si>
    <t>2H25</t>
  </si>
  <si>
    <t>1H26</t>
  </si>
  <si>
    <t>2H26E</t>
  </si>
  <si>
    <t>1H27E</t>
  </si>
  <si>
    <t>2H27E</t>
  </si>
  <si>
    <t>1H28E</t>
  </si>
  <si>
    <t>2H28E</t>
  </si>
  <si>
    <t>1H29E</t>
  </si>
  <si>
    <t>2H29E</t>
  </si>
  <si>
    <t>1H30E</t>
  </si>
  <si>
    <t>2H30E</t>
  </si>
  <si>
    <t>1H31E</t>
  </si>
  <si>
    <t>2H31E</t>
  </si>
  <si>
    <t>1H32E</t>
  </si>
  <si>
    <t>2H32E</t>
  </si>
  <si>
    <t>1H33E</t>
  </si>
  <si>
    <t>2H33E</t>
  </si>
  <si>
    <t>1H34E</t>
  </si>
  <si>
    <t>2H34E</t>
  </si>
  <si>
    <t>1H35E</t>
  </si>
  <si>
    <t>2H35E</t>
  </si>
  <si>
    <t>EPS-Basic EPS</t>
  </si>
  <si>
    <t>Basic EPS</t>
  </si>
  <si>
    <t>cps</t>
  </si>
  <si>
    <t>EPS-Diluted EPS</t>
  </si>
  <si>
    <t>Diluted EPS</t>
  </si>
  <si>
    <t>Australia Segment Drivers</t>
  </si>
  <si>
    <t>Network Build</t>
  </si>
  <si>
    <t>AU-DT Count</t>
  </si>
  <si>
    <t>AU Drive-Thru Count (period end)</t>
  </si>
  <si>
    <t>AU-Strip Count</t>
  </si>
  <si>
    <t>AU Strip Count (period end)</t>
  </si>
  <si>
    <t>AU-Other Count</t>
  </si>
  <si>
    <t>AU Other Count (period end)</t>
  </si>
  <si>
    <t>AU-Total Network</t>
  </si>
  <si>
    <t>AU Total Network Restaurants</t>
  </si>
  <si>
    <t>AU-DT AUV</t>
  </si>
  <si>
    <t>Drive-Thru AUV (annualised)</t>
  </si>
  <si>
    <t>AU-DT AUV Growth</t>
  </si>
  <si>
    <t>DT AUV Growth</t>
  </si>
  <si>
    <t>AU-Strip AUV</t>
  </si>
  <si>
    <t>Strip AUV (annualised)</t>
  </si>
  <si>
    <t>AU-Strip AUV Growth</t>
  </si>
  <si>
    <t>Strip AUV Growth</t>
  </si>
  <si>
    <t>AU-Other AUV</t>
  </si>
  <si>
    <t>Other AUV (annualised)</t>
  </si>
  <si>
    <t>AU-Network Sales</t>
  </si>
  <si>
    <t>SG-Network Sales</t>
  </si>
  <si>
    <t>SG-Growth</t>
  </si>
  <si>
    <t>SG Sales Growth</t>
  </si>
  <si>
    <t>JP-Network Sales</t>
  </si>
  <si>
    <t>JP-Growth</t>
  </si>
  <si>
    <t>JP Sales Growth</t>
  </si>
  <si>
    <t>AU-Total Seg NS</t>
  </si>
  <si>
    <t>Total AU Segment Network Sales</t>
  </si>
  <si>
    <t>Corporate Build</t>
  </si>
  <si>
    <t>Corp-DT Count</t>
  </si>
  <si>
    <t>Corp Drive-Thru Count</t>
  </si>
  <si>
    <t>Corp-Other Count</t>
  </si>
  <si>
    <t>Corp Strip/Other Count</t>
  </si>
  <si>
    <t>Corp-Total</t>
  </si>
  <si>
    <t>Total Corp Count</t>
  </si>
  <si>
    <t>Corp-New</t>
  </si>
  <si>
    <t>New Corp Openings</t>
  </si>
  <si>
    <t>Corp-Sales</t>
  </si>
  <si>
    <t>Corp Restaurant Sales</t>
  </si>
  <si>
    <t>Corp-Margin%</t>
  </si>
  <si>
    <t>Corp Restaurant Margin %</t>
  </si>
  <si>
    <t>Corp-Margin$</t>
  </si>
  <si>
    <t>Corp Restaurant Margin ($)</t>
  </si>
  <si>
    <t>Franchise Build</t>
  </si>
  <si>
    <t>Fran-Count</t>
  </si>
  <si>
    <t>Franchise Count (AU)</t>
  </si>
  <si>
    <t>Fran-New</t>
  </si>
  <si>
    <t>New Franchise Openings</t>
  </si>
  <si>
    <t>Fran-Royalty%</t>
  </si>
  <si>
    <t>Implied Franchise Royalty Rate</t>
  </si>
  <si>
    <t>Fran-Royalty$</t>
  </si>
  <si>
    <t>Fran-Other$</t>
  </si>
  <si>
    <t>Other Franchise &amp; Fee Revenue</t>
  </si>
  <si>
    <t>Fran-Total$</t>
  </si>
  <si>
    <t>Total Franchise &amp; Other Revenue</t>
  </si>
  <si>
    <t>Segment EBITDA</t>
  </si>
  <si>
    <t>AU-G&amp;A%</t>
  </si>
  <si>
    <t>G&amp;A as % of Network Sales</t>
  </si>
  <si>
    <t>AU-G&amp;A$</t>
  </si>
  <si>
    <t>G&amp;A Costs</t>
  </si>
  <si>
    <t>AU-Seg EBITDA</t>
  </si>
  <si>
    <t>AU-Seg EBITDA%</t>
  </si>
  <si>
    <t>AU Segment EBITDA % Network Sales</t>
  </si>
  <si>
    <t>US Segment Drivers</t>
  </si>
  <si>
    <t>US-Count</t>
  </si>
  <si>
    <t>US Restaurant Count</t>
  </si>
  <si>
    <t>US-New</t>
  </si>
  <si>
    <t>US New Openings</t>
  </si>
  <si>
    <t>US-Network Sales</t>
  </si>
  <si>
    <t>US-Corp Sales</t>
  </si>
  <si>
    <t>US Corp Sales</t>
  </si>
  <si>
    <t>US-Corp Margin%</t>
  </si>
  <si>
    <t>US Corp Margin %</t>
  </si>
  <si>
    <t>US-Corp Margin$</t>
  </si>
  <si>
    <t>US Corp Margin ($)</t>
  </si>
  <si>
    <t>US-Fran$</t>
  </si>
  <si>
    <t>US Franchise &amp; Other Revenue</t>
  </si>
  <si>
    <t>US-G&amp;A$</t>
  </si>
  <si>
    <t>US G&amp;A Costs</t>
  </si>
  <si>
    <t>US-Seg EBITDA</t>
  </si>
  <si>
    <t>US Segment EBITDA</t>
  </si>
  <si>
    <t>The top section, the pnl section on the hyn segments tab. The fields and formatting is incomplete.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</si>
</sst>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#,##0.0"/>
    <numFmt numFmtId="166" formatCode="0.0%"/>
    <numFmt numFmtId="167" formatCode="0.000"/>
    <numFmt numFmtId="168" formatCode="0.0\x"/>
    <numFmt numFmtId="169" formatCode="d/mm/yy"/>
    <numFmt numFmtId="171" formatCode="#,##0.000"/>
    <numFmt numFmtId="172" formatCode="yyyy\-mm\-dd"/>
  </numFmts>
  <fonts count="21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u/>
      <sz val="11"/>
      <name val="Calibri"/>
      <family val="2"/>
    </font>
    <font>
      <sz val="11"/>
      <color rgb="FFC00000"/>
      <name val="Calibri"/>
      <family val="2"/>
    </font>
    <font>
      <b/>
      <sz val="12"/>
      <name val="Calibri"/>
      <family val="2"/>
    </font>
    <font>
      <sz val="11"/>
      <color rgb="FF0000CC"/>
      <name val="Calibri"/>
      <family val="2"/>
    </font>
    <font>
      <b/>
      <sz val="11"/>
      <color rgb="FF0000CC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C00000"/>
      <name val="Calibri"/>
    </font>
    <font>
      <sz val="11"/>
      <color rgb="FF0000CC"/>
      <name val="Calibri"/>
    </font>
    <font>
      <sz val="11"/>
      <color rgb="FF0000CC"/>
      <name val="Calibri"/>
    </font>
    <font>
      <sz val="11"/>
      <name val="Calibri"/>
      <family val="2"/>
    </font>
    <font>
      <sz val="10"/>
      <color rgb="FF0000CC"/>
      <name val="Calibri"/>
    </font>
    <font>
      <b/>
      <sz val="10"/>
      <name val="Calibri"/>
    </font>
    <font>
      <sz val="11"/>
      <color rgb="FF000000"/>
      <name val="Calibri"/>
    </font>
    <font>
      <b/>
      <sz val="11"/>
      <color rgb="FFC00000"/>
      <name val="Calibri"/>
    </font>
    <font>
      <b/>
      <sz val="11"/>
      <color rgb="FF000000"/>
      <name val="Calibri"/>
    </font>
    <font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C5D9F1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4" borderId="0" xfId="0" applyFont="1" applyFill="1"/>
    <xf numFmtId="0" fontId="0" fillId="4" borderId="0" xfId="0" applyFill="1"/>
    <xf numFmtId="164" fontId="0" fillId="0" borderId="0" xfId="0" applyNumberFormat="1"/>
    <xf numFmtId="165" fontId="0" fillId="0" borderId="0" xfId="0" applyNumberFormat="1"/>
    <xf numFmtId="0" fontId="4" fillId="0" borderId="0" xfId="0" applyFont="1"/>
    <xf numFmtId="166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/>
    <xf numFmtId="167" fontId="0" fillId="0" borderId="0" xfId="0" applyNumberFormat="1"/>
    <xf numFmtId="165" fontId="3" fillId="0" borderId="0" xfId="0" applyNumberFormat="1" applyFont="1"/>
    <xf numFmtId="2" fontId="6" fillId="0" borderId="0" xfId="0" applyNumberFormat="1" applyFont="1"/>
    <xf numFmtId="168" fontId="0" fillId="0" borderId="0" xfId="0" applyNumberFormat="1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169" fontId="0" fillId="0" borderId="0" xfId="0" applyNumberFormat="1"/>
    <xf numFmtId="0" fontId="3" fillId="4" borderId="0" xfId="0" applyFont="1" applyFill="1"/>
    <xf numFmtId="165" fontId="7" fillId="0" borderId="0" xfId="0" applyNumberFormat="1" applyFont="1"/>
    <xf numFmtId="0" fontId="3" fillId="0" borderId="1" xfId="0" applyFont="1" applyBorder="1"/>
    <xf numFmtId="165" fontId="3" fillId="0" borderId="1" xfId="0" applyNumberFormat="1" applyFont="1" applyBorder="1"/>
    <xf numFmtId="164" fontId="7" fillId="0" borderId="0" xfId="0" applyNumberFormat="1" applyFont="1"/>
    <xf numFmtId="167" fontId="3" fillId="0" borderId="1" xfId="0" applyNumberFormat="1" applyFont="1" applyBorder="1"/>
    <xf numFmtId="0" fontId="5" fillId="0" borderId="0" xfId="0" applyFont="1"/>
    <xf numFmtId="166" fontId="5" fillId="0" borderId="0" xfId="0" applyNumberFormat="1" applyFont="1"/>
    <xf numFmtId="0" fontId="0" fillId="5" borderId="0" xfId="0" applyFill="1"/>
    <xf numFmtId="0" fontId="3" fillId="5" borderId="0" xfId="0" applyFont="1" applyFill="1"/>
    <xf numFmtId="3" fontId="0" fillId="0" borderId="0" xfId="0" applyNumberFormat="1"/>
    <xf numFmtId="3" fontId="7" fillId="0" borderId="0" xfId="0" applyNumberFormat="1" applyFont="1"/>
    <xf numFmtId="166" fontId="7" fillId="0" borderId="0" xfId="0" applyNumberFormat="1" applyFont="1"/>
    <xf numFmtId="165" fontId="8" fillId="0" borderId="1" xfId="0" applyNumberFormat="1" applyFont="1" applyBorder="1"/>
    <xf numFmtId="0" fontId="9" fillId="0" borderId="1" xfId="0" applyFont="1" applyBorder="1"/>
    <xf numFmtId="165" fontId="9" fillId="0" borderId="1" xfId="0" applyNumberFormat="1" applyFont="1" applyBorder="1"/>
    <xf numFmtId="0" fontId="0" fillId="0" borderId="3" xfId="0" applyBorder="1"/>
    <xf numFmtId="165" fontId="0" fillId="0" borderId="3" xfId="0" applyNumberFormat="1" applyBorder="1"/>
    <xf numFmtId="0" fontId="0" fillId="0" borderId="2" xfId="0" applyBorder="1"/>
    <xf numFmtId="165" fontId="3" fillId="0" borderId="2" xfId="0" applyNumberFormat="1" applyFont="1" applyBorder="1"/>
    <xf numFmtId="165" fontId="10" fillId="0" borderId="0" xfId="0" applyNumberFormat="1" applyFont="1"/>
    <xf numFmtId="165" fontId="11" fillId="0" borderId="0" xfId="0" applyNumberFormat="1" applyFont="1"/>
    <xf numFmtId="165" fontId="12" fillId="0" borderId="0" xfId="0" applyNumberFormat="1" applyFont="1"/>
    <xf numFmtId="165" fontId="13" fillId="0" borderId="0" xfId="0" applyNumberFormat="1" applyFont="1"/>
    <xf numFmtId="164" fontId="5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6" fontId="10" fillId="0" borderId="0" xfId="0" applyNumberFormat="1" applyFont="1"/>
    <xf numFmtId="165" fontId="14" fillId="0" borderId="0" xfId="0" applyNumberFormat="1" applyFont="1"/>
    <xf numFmtId="0" fontId="0" fillId="7" borderId="0" xfId="0" applyFill="1" applyAlignment="1">
      <alignment horizontal="right"/>
    </xf>
    <xf numFmtId="165" fontId="3" fillId="0" borderId="4" xfId="0" applyNumberFormat="1" applyFont="1" applyBorder="1"/>
    <xf numFmtId="0" fontId="0" fillId="8" borderId="0" xfId="0" applyFill="1"/>
    <xf numFmtId="0" fontId="3" fillId="8" borderId="0" xfId="0" applyFont="1" applyFill="1"/>
    <xf numFmtId="3" fontId="3" fillId="0" borderId="4" xfId="0" applyNumberFormat="1" applyFont="1" applyBorder="1"/>
    <xf numFmtId="165" fontId="15" fillId="0" borderId="0" xfId="0" applyNumberFormat="1" applyFont="1"/>
    <xf numFmtId="165" fontId="15" fillId="0" borderId="4" xfId="0" applyNumberFormat="1" applyFont="1" applyBorder="1"/>
    <xf numFmtId="165" fontId="15" fillId="0" borderId="1" xfId="0" applyNumberFormat="1" applyFont="1" applyBorder="1"/>
    <xf numFmtId="167" fontId="15" fillId="0" borderId="0" xfId="0" applyNumberFormat="1" applyFont="1"/>
    <xf numFmtId="3" fontId="15" fillId="0" borderId="0" xfId="0" applyNumberFormat="1" applyFont="1"/>
    <xf numFmtId="166" fontId="15" fillId="0" borderId="0" xfId="0" applyNumberFormat="1" applyFont="1"/>
    <xf numFmtId="164" fontId="15" fillId="0" borderId="0" xfId="0" applyNumberFormat="1" applyFont="1"/>
    <xf numFmtId="0" fontId="16" fillId="0" borderId="0" xfId="0" applyFont="1"/>
    <xf numFmtId="0" fontId="15" fillId="0" borderId="0" xfId="0" applyFont="1"/>
    <xf numFmtId="171" fontId="15" fillId="0" borderId="0" xfId="0" applyNumberFormat="1" applyFont="1"/>
    <xf numFmtId="2" fontId="11" fillId="0" borderId="0" xfId="0" applyNumberFormat="1" applyFont="1"/>
    <xf numFmtId="164" fontId="17" fillId="0" borderId="0" xfId="0" applyNumberFormat="1" applyFont="1"/>
    <xf numFmtId="165" fontId="17" fillId="0" borderId="0" xfId="0" applyNumberFormat="1" applyFont="1"/>
    <xf numFmtId="172" fontId="20" fillId="7" borderId="0" xfId="0" applyNumberFormat="1" applyFont="1" applyFill="1"/>
    <xf numFmtId="166" fontId="11" fillId="0" borderId="0" xfId="0" applyNumberFormat="1" applyFont="1"/>
    <xf numFmtId="166" fontId="11" fillId="0" borderId="3" xfId="0" applyNumberFormat="1" applyFont="1" applyBorder="1"/>
    <xf numFmtId="2" fontId="17" fillId="0" borderId="0" xfId="0" applyNumberFormat="1" applyFont="1"/>
    <xf numFmtId="165" fontId="17" fillId="0" borderId="2" xfId="0" applyNumberFormat="1" applyFont="1" applyBorder="1"/>
    <xf numFmtId="165" fontId="17" fillId="0" borderId="3" xfId="0" applyNumberFormat="1" applyFont="1" applyBorder="1"/>
    <xf numFmtId="168" fontId="11" fillId="6" borderId="0" xfId="0" applyNumberFormat="1" applyFont="1" applyFill="1"/>
    <xf numFmtId="168" fontId="17" fillId="6" borderId="0" xfId="0" applyNumberFormat="1" applyFont="1" applyFill="1"/>
    <xf numFmtId="168" fontId="17" fillId="0" borderId="0" xfId="0" applyNumberFormat="1" applyFont="1"/>
    <xf numFmtId="165" fontId="19" fillId="0" borderId="1" xfId="0" applyNumberFormat="1" applyFont="1" applyBorder="1"/>
    <xf numFmtId="166" fontId="17" fillId="0" borderId="0" xfId="0" applyNumberFormat="1" applyFont="1"/>
    <xf numFmtId="165" fontId="19" fillId="0" borderId="4" xfId="0" applyNumberFormat="1" applyFont="1" applyBorder="1"/>
    <xf numFmtId="164" fontId="11" fillId="0" borderId="0" xfId="0" applyNumberFormat="1" applyFont="1"/>
    <xf numFmtId="167" fontId="19" fillId="0" borderId="1" xfId="0" applyNumberFormat="1" applyFont="1" applyBorder="1"/>
    <xf numFmtId="167" fontId="17" fillId="0" borderId="0" xfId="0" applyNumberFormat="1" applyFont="1"/>
    <xf numFmtId="167" fontId="11" fillId="0" borderId="0" xfId="0" applyNumberFormat="1" applyFont="1"/>
    <xf numFmtId="3" fontId="17" fillId="0" borderId="0" xfId="0" applyNumberFormat="1" applyFont="1"/>
    <xf numFmtId="3" fontId="11" fillId="0" borderId="0" xfId="0" applyNumberFormat="1" applyFont="1"/>
    <xf numFmtId="3" fontId="19" fillId="0" borderId="4" xfId="0" applyNumberFormat="1" applyFont="1" applyBorder="1"/>
    <xf numFmtId="0" fontId="17" fillId="0" borderId="0" xfId="0" applyFont="1"/>
    <xf numFmtId="0" fontId="11" fillId="0" borderId="0" xfId="0" applyFont="1"/>
    <xf numFmtId="165" fontId="18" fillId="0" borderId="1" xfId="0" applyNumberFormat="1" applyFont="1" applyBorder="1"/>
    <xf numFmtId="0" fontId="17" fillId="5" borderId="0" xfId="0" applyFont="1" applyFill="1"/>
    <xf numFmtId="0" fontId="11" fillId="5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68"/>
  <sheetViews>
    <sheetView workbookViewId="0">
      <selection activeCell="C7" sqref="C7"/>
    </sheetView>
  </sheetViews>
  <sheetFormatPr defaultRowHeight="14.5" x14ac:dyDescent="0.35"/>
  <cols>
    <col min="1" max="1" width="3" customWidth="1"/>
    <col min="2" max="2" width="30" customWidth="1"/>
    <col min="3" max="18" width="12" customWidth="1"/>
  </cols>
  <sheetData>
    <row r="2" spans="2:18" ht="18.5" customHeight="1" x14ac:dyDescent="0.45">
      <c r="B2" s="1" t="s">
        <v>318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2:18" x14ac:dyDescent="0.35">
      <c r="B4" t="s">
        <v>319</v>
      </c>
      <c r="C4" s="61">
        <v>35</v>
      </c>
    </row>
    <row r="5" spans="2:18" x14ac:dyDescent="0.35">
      <c r="B5" t="s">
        <v>320</v>
      </c>
      <c r="C5" s="62">
        <f>INDEX(Annual!$D:$Q,MATCH("EPS-YE Shares",Annual!$A:$A,0),MATCH($D$24,Annual!$D$3:$Q$3,0)-1)</f>
        <v>103</v>
      </c>
    </row>
    <row r="6" spans="2:18" x14ac:dyDescent="0.35">
      <c r="B6" t="s">
        <v>321</v>
      </c>
      <c r="C6" s="4">
        <f>C4*C5</f>
        <v>3605</v>
      </c>
    </row>
    <row r="7" spans="2:18" x14ac:dyDescent="0.35">
      <c r="B7" t="s">
        <v>322</v>
      </c>
      <c r="C7" s="63">
        <f>INDEX(Annual!$D:$Q,MATCH("BS-Total Banking Debt",Annual!$A:$A,0),MATCH($D$24,Annual!$D$3:$Q$3,0)-1)-INDEX(Annual!$D:$Q,MATCH("BS-Cash",Annual!$A:$A,0),MATCH($D$24,Annual!$D$3:$Q$3,0)-1)</f>
        <v>-39.700000000000003</v>
      </c>
    </row>
    <row r="8" spans="2:18" x14ac:dyDescent="0.35">
      <c r="B8" t="s">
        <v>323</v>
      </c>
      <c r="C8" s="4">
        <f>C6+C7</f>
        <v>3565.3</v>
      </c>
    </row>
    <row r="9" spans="2:18" x14ac:dyDescent="0.35">
      <c r="B9" t="s">
        <v>324</v>
      </c>
      <c r="C9" s="64">
        <v>46096</v>
      </c>
    </row>
    <row r="11" spans="2:18" x14ac:dyDescent="0.35">
      <c r="B11" s="5" t="s">
        <v>325</v>
      </c>
    </row>
    <row r="12" spans="2:18" x14ac:dyDescent="0.35">
      <c r="B12" t="s">
        <v>326</v>
      </c>
      <c r="C12" s="65">
        <v>4.2000000000000003E-2</v>
      </c>
    </row>
    <row r="13" spans="2:18" x14ac:dyDescent="0.35">
      <c r="B13" t="s">
        <v>327</v>
      </c>
      <c r="C13" s="65">
        <v>0.06</v>
      </c>
    </row>
    <row r="14" spans="2:18" x14ac:dyDescent="0.35">
      <c r="B14" t="s">
        <v>328</v>
      </c>
      <c r="C14" s="61">
        <v>1</v>
      </c>
    </row>
    <row r="15" spans="2:18" x14ac:dyDescent="0.35">
      <c r="B15" t="s">
        <v>329</v>
      </c>
      <c r="C15" s="6">
        <f>C12+C13*C14</f>
        <v>0.10200000000000001</v>
      </c>
    </row>
    <row r="16" spans="2:18" x14ac:dyDescent="0.35">
      <c r="B16" t="s">
        <v>330</v>
      </c>
      <c r="C16" s="65">
        <v>0</v>
      </c>
    </row>
    <row r="17" spans="2:13" x14ac:dyDescent="0.35">
      <c r="B17" t="s">
        <v>331</v>
      </c>
      <c r="C17" s="65">
        <v>0.3</v>
      </c>
    </row>
    <row r="18" spans="2:13" x14ac:dyDescent="0.35">
      <c r="B18" t="s">
        <v>332</v>
      </c>
      <c r="C18" s="6">
        <f>C16*(1-C17)</f>
        <v>0</v>
      </c>
    </row>
    <row r="19" spans="2:13" x14ac:dyDescent="0.35">
      <c r="B19" s="33" t="s">
        <v>333</v>
      </c>
      <c r="C19" s="66">
        <v>0</v>
      </c>
    </row>
    <row r="20" spans="2:13" x14ac:dyDescent="0.35">
      <c r="B20" t="s">
        <v>334</v>
      </c>
      <c r="C20" s="6">
        <f>C15*(1-C19)+C18*C19</f>
        <v>0.10200000000000001</v>
      </c>
    </row>
    <row r="21" spans="2:13" x14ac:dyDescent="0.35">
      <c r="B21" t="s">
        <v>335</v>
      </c>
      <c r="C21" s="65">
        <v>2.5000000000000001E-2</v>
      </c>
    </row>
    <row r="22" spans="2:13" x14ac:dyDescent="0.35">
      <c r="B22" t="s">
        <v>336</v>
      </c>
      <c r="C22" s="67">
        <f>(INDEX(Annual!$D:$Q,4,MATCH($D$24,Annual!$D$3:$Q$3,0))-C9)/365.25</f>
        <v>0.29295003422313481</v>
      </c>
    </row>
    <row r="23" spans="2:13" x14ac:dyDescent="0.35">
      <c r="C23" s="9"/>
    </row>
    <row r="24" spans="2:13" x14ac:dyDescent="0.35">
      <c r="B24" s="5" t="s">
        <v>337</v>
      </c>
      <c r="D24" s="7" t="s">
        <v>9</v>
      </c>
      <c r="E24" s="7" t="s">
        <v>10</v>
      </c>
      <c r="F24" s="7" t="s">
        <v>11</v>
      </c>
      <c r="G24" s="7" t="s">
        <v>12</v>
      </c>
      <c r="H24" s="7" t="s">
        <v>13</v>
      </c>
      <c r="I24" s="7" t="s">
        <v>14</v>
      </c>
      <c r="J24" s="7" t="s">
        <v>15</v>
      </c>
      <c r="K24" s="7" t="s">
        <v>16</v>
      </c>
      <c r="L24" s="7" t="s">
        <v>17</v>
      </c>
      <c r="M24" s="7" t="s">
        <v>18</v>
      </c>
    </row>
    <row r="25" spans="2:13" x14ac:dyDescent="0.35">
      <c r="B25" t="s">
        <v>65</v>
      </c>
      <c r="C25" t="s">
        <v>23</v>
      </c>
      <c r="D25" s="63" t="e">
        <f>INDEX(Annual!$D:$Q,MATCH("EBITDA-Statutory EBITDA",Annual!$A:$A,0),MATCH(D$24,Annual!$D$3:$Q$3,0))</f>
        <v>#N/A</v>
      </c>
      <c r="E25" s="63" t="e">
        <f>INDEX(Annual!$D:$Q,MATCH("EBITDA-Statutory EBITDA",Annual!$A:$A,0),MATCH(E$24,Annual!$D$3:$Q$3,0))</f>
        <v>#N/A</v>
      </c>
      <c r="F25" s="63" t="e">
        <f>INDEX(Annual!$D:$Q,MATCH("EBITDA-Statutory EBITDA",Annual!$A:$A,0),MATCH(F$24,Annual!$D$3:$Q$3,0))</f>
        <v>#N/A</v>
      </c>
      <c r="G25" s="63" t="e">
        <f>INDEX(Annual!$D:$Q,MATCH("EBITDA-Statutory EBITDA",Annual!$A:$A,0),MATCH(G$24,Annual!$D$3:$Q$3,0))</f>
        <v>#N/A</v>
      </c>
      <c r="H25" s="63" t="e">
        <f>INDEX(Annual!$D:$Q,MATCH("EBITDA-Statutory EBITDA",Annual!$A:$A,0),MATCH(H$24,Annual!$D$3:$Q$3,0))</f>
        <v>#N/A</v>
      </c>
      <c r="I25" s="63" t="e">
        <f>INDEX(Annual!$D:$Q,MATCH("EBITDA-Statutory EBITDA",Annual!$A:$A,0),MATCH(I$24,Annual!$D$3:$Q$3,0))</f>
        <v>#N/A</v>
      </c>
      <c r="J25" s="63" t="e">
        <f>INDEX(Annual!$D:$Q,MATCH("EBITDA-Statutory EBITDA",Annual!$A:$A,0),MATCH(J$24,Annual!$D$3:$Q$3,0))</f>
        <v>#N/A</v>
      </c>
      <c r="K25" s="63" t="e">
        <f>INDEX(Annual!$D:$Q,MATCH("EBITDA-Statutory EBITDA",Annual!$A:$A,0),MATCH(K$24,Annual!$D$3:$Q$3,0))</f>
        <v>#N/A</v>
      </c>
      <c r="L25" s="63" t="e">
        <f>INDEX(Annual!$D:$Q,MATCH("EBITDA-Statutory EBITDA",Annual!$A:$A,0),MATCH(L$24,Annual!$D$3:$Q$3,0))</f>
        <v>#N/A</v>
      </c>
      <c r="M25" s="63" t="e">
        <f>INDEX(Annual!$D:$Q,MATCH("EBITDA-Statutory EBITDA",Annual!$A:$A,0),MATCH(M$24,Annual!$D$3:$Q$3,0))</f>
        <v>#N/A</v>
      </c>
    </row>
    <row r="26" spans="2:13" x14ac:dyDescent="0.35">
      <c r="B26" t="s">
        <v>338</v>
      </c>
      <c r="C26" t="s">
        <v>23</v>
      </c>
      <c r="D26" s="63" t="e">
        <f>INDEX(Annual!$D:$Q,MATCH("DA-Total DA",Annual!$A:$A,0),MATCH(D$24,Annual!$D$3:$Q$3,0))</f>
        <v>#N/A</v>
      </c>
      <c r="E26" s="63" t="e">
        <f>INDEX(Annual!$D:$Q,MATCH("DA-Total DA",Annual!$A:$A,0),MATCH(E$24,Annual!$D$3:$Q$3,0))</f>
        <v>#N/A</v>
      </c>
      <c r="F26" s="63" t="e">
        <f>INDEX(Annual!$D:$Q,MATCH("DA-Total DA",Annual!$A:$A,0),MATCH(F$24,Annual!$D$3:$Q$3,0))</f>
        <v>#N/A</v>
      </c>
      <c r="G26" s="63" t="e">
        <f>INDEX(Annual!$D:$Q,MATCH("DA-Total DA",Annual!$A:$A,0),MATCH(G$24,Annual!$D$3:$Q$3,0))</f>
        <v>#N/A</v>
      </c>
      <c r="H26" s="63" t="e">
        <f>INDEX(Annual!$D:$Q,MATCH("DA-Total DA",Annual!$A:$A,0),MATCH(H$24,Annual!$D$3:$Q$3,0))</f>
        <v>#N/A</v>
      </c>
      <c r="I26" s="63" t="e">
        <f>INDEX(Annual!$D:$Q,MATCH("DA-Total DA",Annual!$A:$A,0),MATCH(I$24,Annual!$D$3:$Q$3,0))</f>
        <v>#N/A</v>
      </c>
      <c r="J26" s="63" t="e">
        <f>INDEX(Annual!$D:$Q,MATCH("DA-Total DA",Annual!$A:$A,0),MATCH(J$24,Annual!$D$3:$Q$3,0))</f>
        <v>#N/A</v>
      </c>
      <c r="K26" s="63" t="e">
        <f>INDEX(Annual!$D:$Q,MATCH("DA-Total DA",Annual!$A:$A,0),MATCH(K$24,Annual!$D$3:$Q$3,0))</f>
        <v>#N/A</v>
      </c>
      <c r="L26" s="63" t="e">
        <f>INDEX(Annual!$D:$Q,MATCH("DA-Total DA",Annual!$A:$A,0),MATCH(L$24,Annual!$D$3:$Q$3,0))</f>
        <v>#N/A</v>
      </c>
      <c r="M26" s="63" t="e">
        <f>INDEX(Annual!$D:$Q,MATCH("DA-Total DA",Annual!$A:$A,0),MATCH(M$24,Annual!$D$3:$Q$3,0))</f>
        <v>#N/A</v>
      </c>
    </row>
    <row r="27" spans="2:13" x14ac:dyDescent="0.35">
      <c r="B27" t="s">
        <v>98</v>
      </c>
      <c r="C27" t="s">
        <v>23</v>
      </c>
      <c r="D27" s="63" t="e">
        <f>INDEX(Annual!$D:$Q,MATCH("EBIT-Underlying EBIT",Annual!$A:$A,0),MATCH(D$24,Annual!$D$3:$Q$3,0))</f>
        <v>#N/A</v>
      </c>
      <c r="E27" s="63" t="e">
        <f>INDEX(Annual!$D:$Q,MATCH("EBIT-Underlying EBIT",Annual!$A:$A,0),MATCH(E$24,Annual!$D$3:$Q$3,0))</f>
        <v>#N/A</v>
      </c>
      <c r="F27" s="63" t="e">
        <f>INDEX(Annual!$D:$Q,MATCH("EBIT-Underlying EBIT",Annual!$A:$A,0),MATCH(F$24,Annual!$D$3:$Q$3,0))</f>
        <v>#N/A</v>
      </c>
      <c r="G27" s="63" t="e">
        <f>INDEX(Annual!$D:$Q,MATCH("EBIT-Underlying EBIT",Annual!$A:$A,0),MATCH(G$24,Annual!$D$3:$Q$3,0))</f>
        <v>#N/A</v>
      </c>
      <c r="H27" s="63" t="e">
        <f>INDEX(Annual!$D:$Q,MATCH("EBIT-Underlying EBIT",Annual!$A:$A,0),MATCH(H$24,Annual!$D$3:$Q$3,0))</f>
        <v>#N/A</v>
      </c>
      <c r="I27" s="63" t="e">
        <f>INDEX(Annual!$D:$Q,MATCH("EBIT-Underlying EBIT",Annual!$A:$A,0),MATCH(I$24,Annual!$D$3:$Q$3,0))</f>
        <v>#N/A</v>
      </c>
      <c r="J27" s="63" t="e">
        <f>INDEX(Annual!$D:$Q,MATCH("EBIT-Underlying EBIT",Annual!$A:$A,0),MATCH(J$24,Annual!$D$3:$Q$3,0))</f>
        <v>#N/A</v>
      </c>
      <c r="K27" s="63" t="e">
        <f>INDEX(Annual!$D:$Q,MATCH("EBIT-Underlying EBIT",Annual!$A:$A,0),MATCH(K$24,Annual!$D$3:$Q$3,0))</f>
        <v>#N/A</v>
      </c>
      <c r="L27" s="63" t="e">
        <f>INDEX(Annual!$D:$Q,MATCH("EBIT-Underlying EBIT",Annual!$A:$A,0),MATCH(L$24,Annual!$D$3:$Q$3,0))</f>
        <v>#N/A</v>
      </c>
      <c r="M27" s="63" t="e">
        <f>INDEX(Annual!$D:$Q,MATCH("EBIT-Underlying EBIT",Annual!$A:$A,0),MATCH(M$24,Annual!$D$3:$Q$3,0))</f>
        <v>#N/A</v>
      </c>
    </row>
    <row r="28" spans="2:13" x14ac:dyDescent="0.35">
      <c r="B28" t="s">
        <v>339</v>
      </c>
      <c r="C28" t="s">
        <v>23</v>
      </c>
      <c r="D28" s="4" t="e">
        <f t="shared" ref="D28:M28" si="0">-D27*$C$17</f>
        <v>#N/A</v>
      </c>
      <c r="E28" s="4" t="e">
        <f t="shared" si="0"/>
        <v>#N/A</v>
      </c>
      <c r="F28" s="4" t="e">
        <f t="shared" si="0"/>
        <v>#N/A</v>
      </c>
      <c r="G28" s="4" t="e">
        <f t="shared" si="0"/>
        <v>#N/A</v>
      </c>
      <c r="H28" s="4" t="e">
        <f t="shared" si="0"/>
        <v>#N/A</v>
      </c>
      <c r="I28" s="4" t="e">
        <f t="shared" si="0"/>
        <v>#N/A</v>
      </c>
      <c r="J28" s="4" t="e">
        <f t="shared" si="0"/>
        <v>#N/A</v>
      </c>
      <c r="K28" s="4" t="e">
        <f t="shared" si="0"/>
        <v>#N/A</v>
      </c>
      <c r="L28" s="4" t="e">
        <f t="shared" si="0"/>
        <v>#N/A</v>
      </c>
      <c r="M28" s="4" t="e">
        <f t="shared" si="0"/>
        <v>#N/A</v>
      </c>
    </row>
    <row r="29" spans="2:13" x14ac:dyDescent="0.35">
      <c r="B29" t="s">
        <v>317</v>
      </c>
      <c r="C29" t="s">
        <v>23</v>
      </c>
      <c r="D29" s="4" t="e">
        <f t="shared" ref="D29:M29" si="1">D27+D28</f>
        <v>#N/A</v>
      </c>
      <c r="E29" s="4" t="e">
        <f t="shared" si="1"/>
        <v>#N/A</v>
      </c>
      <c r="F29" s="4" t="e">
        <f t="shared" si="1"/>
        <v>#N/A</v>
      </c>
      <c r="G29" s="4" t="e">
        <f t="shared" si="1"/>
        <v>#N/A</v>
      </c>
      <c r="H29" s="4" t="e">
        <f t="shared" si="1"/>
        <v>#N/A</v>
      </c>
      <c r="I29" s="4" t="e">
        <f t="shared" si="1"/>
        <v>#N/A</v>
      </c>
      <c r="J29" s="4" t="e">
        <f t="shared" si="1"/>
        <v>#N/A</v>
      </c>
      <c r="K29" s="4" t="e">
        <f t="shared" si="1"/>
        <v>#N/A</v>
      </c>
      <c r="L29" s="4" t="e">
        <f t="shared" si="1"/>
        <v>#N/A</v>
      </c>
      <c r="M29" s="4" t="e">
        <f t="shared" si="1"/>
        <v>#N/A</v>
      </c>
    </row>
    <row r="30" spans="2:13" x14ac:dyDescent="0.35">
      <c r="B30" t="s">
        <v>340</v>
      </c>
      <c r="C30" t="s">
        <v>23</v>
      </c>
      <c r="D30" s="4" t="e">
        <f t="shared" ref="D30:M30" si="2">-D26</f>
        <v>#N/A</v>
      </c>
      <c r="E30" s="4" t="e">
        <f t="shared" si="2"/>
        <v>#N/A</v>
      </c>
      <c r="F30" s="4" t="e">
        <f t="shared" si="2"/>
        <v>#N/A</v>
      </c>
      <c r="G30" s="4" t="e">
        <f t="shared" si="2"/>
        <v>#N/A</v>
      </c>
      <c r="H30" s="4" t="e">
        <f t="shared" si="2"/>
        <v>#N/A</v>
      </c>
      <c r="I30" s="4" t="e">
        <f t="shared" si="2"/>
        <v>#N/A</v>
      </c>
      <c r="J30" s="4" t="e">
        <f t="shared" si="2"/>
        <v>#N/A</v>
      </c>
      <c r="K30" s="4" t="e">
        <f t="shared" si="2"/>
        <v>#N/A</v>
      </c>
      <c r="L30" s="4" t="e">
        <f t="shared" si="2"/>
        <v>#N/A</v>
      </c>
      <c r="M30" s="4" t="e">
        <f t="shared" si="2"/>
        <v>#N/A</v>
      </c>
    </row>
    <row r="31" spans="2:13" x14ac:dyDescent="0.35">
      <c r="B31" t="s">
        <v>341</v>
      </c>
      <c r="C31" t="s">
        <v>23</v>
      </c>
      <c r="D31" s="63" t="e">
        <f>INDEX(Annual!$D:$Q,MATCH("CF-Capex PPE",Annual!$A:$A,0),MATCH(D$24,Annual!$D$3:$Q$3,0))+INDEX(Annual!$D:$Q,MATCH("CF-Capex Intang",Annual!$A:$A,0),MATCH(D$24,Annual!$D$3:$Q$3,0))</f>
        <v>#N/A</v>
      </c>
      <c r="E31" s="63" t="e">
        <f>INDEX(Annual!$D:$Q,MATCH("CF-Capex PPE",Annual!$A:$A,0),MATCH(E$24,Annual!$D$3:$Q$3,0))+INDEX(Annual!$D:$Q,MATCH("CF-Capex Intang",Annual!$A:$A,0),MATCH(E$24,Annual!$D$3:$Q$3,0))</f>
        <v>#N/A</v>
      </c>
      <c r="F31" s="63" t="e">
        <f>INDEX(Annual!$D:$Q,MATCH("CF-Capex PPE",Annual!$A:$A,0),MATCH(F$24,Annual!$D$3:$Q$3,0))+INDEX(Annual!$D:$Q,MATCH("CF-Capex Intang",Annual!$A:$A,0),MATCH(F$24,Annual!$D$3:$Q$3,0))</f>
        <v>#N/A</v>
      </c>
      <c r="G31" s="63" t="e">
        <f>INDEX(Annual!$D:$Q,MATCH("CF-Capex PPE",Annual!$A:$A,0),MATCH(G$24,Annual!$D$3:$Q$3,0))+INDEX(Annual!$D:$Q,MATCH("CF-Capex Intang",Annual!$A:$A,0),MATCH(G$24,Annual!$D$3:$Q$3,0))</f>
        <v>#N/A</v>
      </c>
      <c r="H31" s="63" t="e">
        <f>INDEX(Annual!$D:$Q,MATCH("CF-Capex PPE",Annual!$A:$A,0),MATCH(H$24,Annual!$D$3:$Q$3,0))+INDEX(Annual!$D:$Q,MATCH("CF-Capex Intang",Annual!$A:$A,0),MATCH(H$24,Annual!$D$3:$Q$3,0))</f>
        <v>#N/A</v>
      </c>
      <c r="I31" s="63" t="e">
        <f>INDEX(Annual!$D:$Q,MATCH("CF-Capex PPE",Annual!$A:$A,0),MATCH(I$24,Annual!$D$3:$Q$3,0))+INDEX(Annual!$D:$Q,MATCH("CF-Capex Intang",Annual!$A:$A,0),MATCH(I$24,Annual!$D$3:$Q$3,0))</f>
        <v>#N/A</v>
      </c>
      <c r="J31" s="63" t="e">
        <f>INDEX(Annual!$D:$Q,MATCH("CF-Capex PPE",Annual!$A:$A,0),MATCH(J$24,Annual!$D$3:$Q$3,0))+INDEX(Annual!$D:$Q,MATCH("CF-Capex Intang",Annual!$A:$A,0),MATCH(J$24,Annual!$D$3:$Q$3,0))</f>
        <v>#N/A</v>
      </c>
      <c r="K31" s="63" t="e">
        <f>INDEX(Annual!$D:$Q,MATCH("CF-Capex PPE",Annual!$A:$A,0),MATCH(K$24,Annual!$D$3:$Q$3,0))+INDEX(Annual!$D:$Q,MATCH("CF-Capex Intang",Annual!$A:$A,0),MATCH(K$24,Annual!$D$3:$Q$3,0))</f>
        <v>#N/A</v>
      </c>
      <c r="L31" s="63" t="e">
        <f>INDEX(Annual!$D:$Q,MATCH("CF-Capex PPE",Annual!$A:$A,0),MATCH(L$24,Annual!$D$3:$Q$3,0))+INDEX(Annual!$D:$Q,MATCH("CF-Capex Intang",Annual!$A:$A,0),MATCH(L$24,Annual!$D$3:$Q$3,0))</f>
        <v>#N/A</v>
      </c>
      <c r="M31" s="63" t="e">
        <f>INDEX(Annual!$D:$Q,MATCH("CF-Capex PPE",Annual!$A:$A,0),MATCH(M$24,Annual!$D$3:$Q$3,0))+INDEX(Annual!$D:$Q,MATCH("CF-Capex Intang",Annual!$A:$A,0),MATCH(M$24,Annual!$D$3:$Q$3,0))</f>
        <v>#N/A</v>
      </c>
    </row>
    <row r="32" spans="2:13" x14ac:dyDescent="0.35">
      <c r="B32" t="s">
        <v>342</v>
      </c>
      <c r="C32" t="s">
        <v>23</v>
      </c>
      <c r="D32" s="63" t="e">
        <f>INDEX(Annual!$D:$Q,MATCH("CF-WC Change",Annual!$A:$A,0),MATCH(D$24,Annual!$D$3:$Q$3,0))</f>
        <v>#N/A</v>
      </c>
      <c r="E32" s="63" t="e">
        <f>INDEX(Annual!$D:$Q,MATCH("CF-WC Change",Annual!$A:$A,0),MATCH(E$24,Annual!$D$3:$Q$3,0))</f>
        <v>#N/A</v>
      </c>
      <c r="F32" s="63" t="e">
        <f>INDEX(Annual!$D:$Q,MATCH("CF-WC Change",Annual!$A:$A,0),MATCH(F$24,Annual!$D$3:$Q$3,0))</f>
        <v>#N/A</v>
      </c>
      <c r="G32" s="63" t="e">
        <f>INDEX(Annual!$D:$Q,MATCH("CF-WC Change",Annual!$A:$A,0),MATCH(G$24,Annual!$D$3:$Q$3,0))</f>
        <v>#N/A</v>
      </c>
      <c r="H32" s="63" t="e">
        <f>INDEX(Annual!$D:$Q,MATCH("CF-WC Change",Annual!$A:$A,0),MATCH(H$24,Annual!$D$3:$Q$3,0))</f>
        <v>#N/A</v>
      </c>
      <c r="I32" s="63" t="e">
        <f>INDEX(Annual!$D:$Q,MATCH("CF-WC Change",Annual!$A:$A,0),MATCH(I$24,Annual!$D$3:$Q$3,0))</f>
        <v>#N/A</v>
      </c>
      <c r="J32" s="63" t="e">
        <f>INDEX(Annual!$D:$Q,MATCH("CF-WC Change",Annual!$A:$A,0),MATCH(J$24,Annual!$D$3:$Q$3,0))</f>
        <v>#N/A</v>
      </c>
      <c r="K32" s="63" t="e">
        <f>INDEX(Annual!$D:$Q,MATCH("CF-WC Change",Annual!$A:$A,0),MATCH(K$24,Annual!$D$3:$Q$3,0))</f>
        <v>#N/A</v>
      </c>
      <c r="L32" s="63" t="e">
        <f>INDEX(Annual!$D:$Q,MATCH("CF-WC Change",Annual!$A:$A,0),MATCH(L$24,Annual!$D$3:$Q$3,0))</f>
        <v>#N/A</v>
      </c>
      <c r="M32" s="63" t="e">
        <f>INDEX(Annual!$D:$Q,MATCH("CF-WC Change",Annual!$A:$A,0),MATCH(M$24,Annual!$D$3:$Q$3,0))</f>
        <v>#N/A</v>
      </c>
    </row>
    <row r="33" spans="2:13" x14ac:dyDescent="0.35">
      <c r="B33" s="31" t="s">
        <v>343</v>
      </c>
      <c r="C33" s="31" t="s">
        <v>23</v>
      </c>
      <c r="D33" s="32" t="e">
        <f t="shared" ref="D33:M33" si="3">D29+D30+D31+D32</f>
        <v>#N/A</v>
      </c>
      <c r="E33" s="32" t="e">
        <f t="shared" si="3"/>
        <v>#N/A</v>
      </c>
      <c r="F33" s="32" t="e">
        <f t="shared" si="3"/>
        <v>#N/A</v>
      </c>
      <c r="G33" s="32" t="e">
        <f t="shared" si="3"/>
        <v>#N/A</v>
      </c>
      <c r="H33" s="32" t="e">
        <f t="shared" si="3"/>
        <v>#N/A</v>
      </c>
      <c r="I33" s="32" t="e">
        <f t="shared" si="3"/>
        <v>#N/A</v>
      </c>
      <c r="J33" s="32" t="e">
        <f t="shared" si="3"/>
        <v>#N/A</v>
      </c>
      <c r="K33" s="32" t="e">
        <f t="shared" si="3"/>
        <v>#N/A</v>
      </c>
      <c r="L33" s="32" t="e">
        <f t="shared" si="3"/>
        <v>#N/A</v>
      </c>
      <c r="M33" s="32" t="e">
        <f t="shared" si="3"/>
        <v>#N/A</v>
      </c>
    </row>
    <row r="34" spans="2:13" ht="15" customHeight="1" thickBot="1" x14ac:dyDescent="0.4">
      <c r="B34" t="s">
        <v>344</v>
      </c>
      <c r="C34" t="s">
        <v>23</v>
      </c>
      <c r="M34" s="68" t="e">
        <f>M29+M32</f>
        <v>#N/A</v>
      </c>
    </row>
    <row r="35" spans="2:13" x14ac:dyDescent="0.35">
      <c r="B35" s="8" t="s">
        <v>345</v>
      </c>
      <c r="M35" s="63" t="e">
        <f>M34*(1+$C$21)/($C$20-$C$21)</f>
        <v>#N/A</v>
      </c>
    </row>
    <row r="37" spans="2:13" x14ac:dyDescent="0.35">
      <c r="B37" t="s">
        <v>346</v>
      </c>
      <c r="D37" s="67">
        <f>1/(1+$C$20)^($C$22+0)</f>
        <v>0.97194770905966121</v>
      </c>
      <c r="E37" s="67">
        <f>1/(1+$C$20)^($C$22+1)</f>
        <v>0.88198521693254184</v>
      </c>
      <c r="F37" s="67">
        <f>1/(1+$C$20)^($C$22+2)</f>
        <v>0.80034956164477478</v>
      </c>
      <c r="G37" s="67">
        <f>1/(1+$C$20)^($C$22+3)</f>
        <v>0.72627001964135629</v>
      </c>
      <c r="H37" s="67">
        <f>1/(1+$C$20)^($C$22+4)</f>
        <v>0.65904720475622169</v>
      </c>
      <c r="I37" s="67">
        <f>1/(1+$C$20)^($C$22+5)</f>
        <v>0.59804646529602679</v>
      </c>
      <c r="J37" s="67">
        <f>1/(1+$C$20)^($C$22+6)</f>
        <v>0.54269189228314596</v>
      </c>
      <c r="K37" s="67">
        <f>1/(1+$C$20)^($C$22+7)</f>
        <v>0.49246088228960611</v>
      </c>
      <c r="L37" s="67">
        <f>1/(1+$C$20)^($C$22+8)</f>
        <v>0.44687920352958804</v>
      </c>
      <c r="M37" s="67">
        <f>1/(1+$C$20)^($C$22+9)</f>
        <v>0.40551651862939014</v>
      </c>
    </row>
    <row r="38" spans="2:13" x14ac:dyDescent="0.35">
      <c r="B38" s="33" t="s">
        <v>347</v>
      </c>
      <c r="C38" s="33"/>
      <c r="D38" s="69" t="e">
        <f t="shared" ref="D38:M38" si="4">D33*D37</f>
        <v>#N/A</v>
      </c>
      <c r="E38" s="69" t="e">
        <f t="shared" si="4"/>
        <v>#N/A</v>
      </c>
      <c r="F38" s="69" t="e">
        <f t="shared" si="4"/>
        <v>#N/A</v>
      </c>
      <c r="G38" s="69" t="e">
        <f t="shared" si="4"/>
        <v>#N/A</v>
      </c>
      <c r="H38" s="69" t="e">
        <f t="shared" si="4"/>
        <v>#N/A</v>
      </c>
      <c r="I38" s="69" t="e">
        <f t="shared" si="4"/>
        <v>#N/A</v>
      </c>
      <c r="J38" s="69" t="e">
        <f t="shared" si="4"/>
        <v>#N/A</v>
      </c>
      <c r="K38" s="69" t="e">
        <f t="shared" si="4"/>
        <v>#N/A</v>
      </c>
      <c r="L38" s="69" t="e">
        <f t="shared" si="4"/>
        <v>#N/A</v>
      </c>
      <c r="M38" s="69" t="e">
        <f t="shared" si="4"/>
        <v>#N/A</v>
      </c>
    </row>
    <row r="39" spans="2:13" x14ac:dyDescent="0.35">
      <c r="B39" t="s">
        <v>348</v>
      </c>
      <c r="M39" s="63" t="e">
        <f>M35*M37</f>
        <v>#N/A</v>
      </c>
    </row>
    <row r="41" spans="2:13" x14ac:dyDescent="0.35">
      <c r="B41" t="s">
        <v>349</v>
      </c>
      <c r="C41" s="4" t="e">
        <f>SUM(D38:M38)</f>
        <v>#N/A</v>
      </c>
    </row>
    <row r="42" spans="2:13" x14ac:dyDescent="0.35">
      <c r="B42" s="33" t="s">
        <v>348</v>
      </c>
      <c r="C42" s="34" t="e">
        <f>M39</f>
        <v>#N/A</v>
      </c>
    </row>
    <row r="43" spans="2:13" x14ac:dyDescent="0.35">
      <c r="B43" t="s">
        <v>350</v>
      </c>
      <c r="C43" s="10" t="e">
        <f>C41+C42</f>
        <v>#N/A</v>
      </c>
    </row>
    <row r="45" spans="2:13" x14ac:dyDescent="0.35">
      <c r="B45" t="s">
        <v>351</v>
      </c>
      <c r="C45" s="4">
        <f>-C7</f>
        <v>39.700000000000003</v>
      </c>
    </row>
    <row r="46" spans="2:13" x14ac:dyDescent="0.35">
      <c r="B46" t="s">
        <v>352</v>
      </c>
      <c r="C46" s="63">
        <f>-INDEX(Annual!$D:$Q,MATCH("BS-Lease Liabilities",Annual!$A:$A,0),MATCH($D$24,Annual!$D$3:$Q$3,0)-1)</f>
        <v>-331.3</v>
      </c>
    </row>
    <row r="47" spans="2:13" ht="15" customHeight="1" thickBot="1" x14ac:dyDescent="0.4">
      <c r="B47" s="35" t="s">
        <v>353</v>
      </c>
      <c r="C47" s="36" t="e">
        <f>C43+C45+C46</f>
        <v>#N/A</v>
      </c>
    </row>
    <row r="48" spans="2:13" ht="15.5" customHeight="1" x14ac:dyDescent="0.35">
      <c r="B48" t="s">
        <v>354</v>
      </c>
      <c r="C48" s="11" t="e">
        <f>C47/C5</f>
        <v>#N/A</v>
      </c>
    </row>
    <row r="49" spans="2:9" x14ac:dyDescent="0.35">
      <c r="B49" t="s">
        <v>355</v>
      </c>
      <c r="C49" s="6" t="e">
        <f>IF(C4=0,"",C48/C4-1)</f>
        <v>#N/A</v>
      </c>
    </row>
    <row r="52" spans="2:9" ht="18.5" customHeight="1" x14ac:dyDescent="0.45">
      <c r="B52" s="1" t="s">
        <v>356</v>
      </c>
      <c r="C52" s="2"/>
      <c r="D52" s="2"/>
      <c r="E52" s="2"/>
      <c r="F52" s="2"/>
      <c r="G52" s="2"/>
      <c r="H52" s="2"/>
      <c r="I52" s="2"/>
    </row>
    <row r="54" spans="2:9" x14ac:dyDescent="0.35">
      <c r="B54" t="s">
        <v>357</v>
      </c>
      <c r="C54" s="46" t="s">
        <v>10</v>
      </c>
    </row>
    <row r="56" spans="2:9" x14ac:dyDescent="0.35">
      <c r="B56" s="8" t="s">
        <v>358</v>
      </c>
      <c r="C56" s="8" t="str">
        <f>$C$54&amp;" EBITDA"</f>
        <v>FY27E EBITDA</v>
      </c>
      <c r="D56" s="8" t="s">
        <v>359</v>
      </c>
      <c r="E56" s="8" t="s">
        <v>360</v>
      </c>
    </row>
    <row r="57" spans="2:9" x14ac:dyDescent="0.35">
      <c r="B57" t="s">
        <v>361</v>
      </c>
      <c r="C57" s="63" t="e">
        <f>INDEX(Annual!$D:$Q,MATCH("EBITDA-AU Segment EBITDA",Annual!$A:$A,0),MATCH($C$54,Annual!$D$3:$Q$3,0))</f>
        <v>#N/A</v>
      </c>
      <c r="D57" s="70">
        <v>25</v>
      </c>
      <c r="E57" s="4" t="e">
        <f>C57*D57</f>
        <v>#N/A</v>
      </c>
    </row>
    <row r="58" spans="2:9" x14ac:dyDescent="0.35">
      <c r="B58" t="s">
        <v>362</v>
      </c>
      <c r="C58" s="63" t="e">
        <f>INDEX(Annual!$D:$Q,MATCH("EBITDA-US Segment EBITDA",Annual!$A:$A,0),MATCH($C$54,Annual!$D$3:$Q$3,0))</f>
        <v>#N/A</v>
      </c>
      <c r="D58" s="70">
        <v>0</v>
      </c>
      <c r="E58" s="4" t="e">
        <f>C58*D58</f>
        <v>#N/A</v>
      </c>
    </row>
    <row r="59" spans="2:9" x14ac:dyDescent="0.35">
      <c r="B59" t="s">
        <v>363</v>
      </c>
      <c r="C59" s="63" t="e">
        <f>INDEX(Annual!$D:$Q,MATCH("EBITDA-Statutory EBITDA",Annual!$A:$A,0),MATCH($C$54,Annual!$D$3:$Q$3,0))-C57-C58</f>
        <v>#N/A</v>
      </c>
      <c r="D59" s="71" t="e">
        <f>IF((C57+C58)=0,"",(C57*D57+C58*D58)/(C57+C58))</f>
        <v>#N/A</v>
      </c>
      <c r="E59" s="4" t="e">
        <f>C59*D59</f>
        <v>#N/A</v>
      </c>
    </row>
    <row r="61" spans="2:9" x14ac:dyDescent="0.35">
      <c r="B61" s="8" t="s">
        <v>364</v>
      </c>
      <c r="E61" s="10" t="e">
        <f>SUM(E57:E59)</f>
        <v>#N/A</v>
      </c>
    </row>
    <row r="62" spans="2:9" x14ac:dyDescent="0.35">
      <c r="B62" t="s">
        <v>351</v>
      </c>
      <c r="E62" s="4">
        <f>-C7</f>
        <v>39.700000000000003</v>
      </c>
    </row>
    <row r="63" spans="2:9" x14ac:dyDescent="0.35">
      <c r="B63" t="s">
        <v>352</v>
      </c>
      <c r="E63" s="63">
        <f>-INDEX(Annual!$D:$Q,MATCH("BS-Lease Liabilities",Annual!$A:$A,0),MATCH($D$24,Annual!$D$3:$Q$3,0)-1)</f>
        <v>-331.3</v>
      </c>
    </row>
    <row r="64" spans="2:9" x14ac:dyDescent="0.35">
      <c r="B64" t="s">
        <v>353</v>
      </c>
      <c r="E64" s="10" t="e">
        <f>E61+E62+E63</f>
        <v>#N/A</v>
      </c>
    </row>
    <row r="65" spans="2:5" ht="15.5" customHeight="1" x14ac:dyDescent="0.35">
      <c r="B65" t="s">
        <v>354</v>
      </c>
      <c r="E65" s="11" t="e">
        <f>E64/C5</f>
        <v>#N/A</v>
      </c>
    </row>
    <row r="66" spans="2:5" x14ac:dyDescent="0.35">
      <c r="B66" t="s">
        <v>355</v>
      </c>
      <c r="E66" s="6" t="e">
        <f>IF(C4=0,"",E65/C4-1)</f>
        <v>#N/A</v>
      </c>
    </row>
    <row r="68" spans="2:5" x14ac:dyDescent="0.35">
      <c r="B68" t="s">
        <v>365</v>
      </c>
      <c r="E68" s="72" t="e">
        <f>IF(INDEX(Annual!$D:$Q,MATCH("EBITDA-Statutory EBITDA",Annual!$A:$A,0),MATCH($C$54,Annual!$D$3:$Q$3,0))=0,"",E61/INDEX(Annual!$D:$Q,MATCH("EBITDA-Statutory EBITDA",Annual!$A:$A,0),MATCH($C$54,Annual!$D$3:$Q$3,0)))</f>
        <v>#N/A</v>
      </c>
    </row>
  </sheetData>
  <conditionalFormatting sqref="C49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6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0"/>
  <sheetViews>
    <sheetView tabSelected="1" workbookViewId="0">
      <pane xSplit="3" ySplit="4" topLeftCell="D5" activePane="bottomRight" state="frozen"/>
      <selection pane="topRight"/>
      <selection pane="bottomLeft"/>
      <selection pane="bottomRight" activeCell="S165" sqref="S165"/>
    </sheetView>
  </sheetViews>
  <sheetFormatPr defaultRowHeight="14.5" x14ac:dyDescent="0.35"/>
  <cols>
    <col min="1" max="1" width="30" hidden="1" customWidth="1"/>
    <col min="2" max="2" width="32" customWidth="1"/>
    <col min="3" max="3" width="8" customWidth="1"/>
    <col min="4" max="18" width="12" customWidth="1"/>
  </cols>
  <sheetData>
    <row r="1" spans="1:17" x14ac:dyDescent="0.35"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</row>
    <row r="2" spans="1:17" ht="18.5" customHeight="1" x14ac:dyDescent="0.45">
      <c r="B2" s="13" t="s">
        <v>0</v>
      </c>
      <c r="D2" s="14" t="s">
        <v>1</v>
      </c>
      <c r="E2" s="14"/>
      <c r="F2" s="14"/>
      <c r="G2" s="14"/>
      <c r="H2" s="15" t="s">
        <v>2</v>
      </c>
      <c r="I2" s="15"/>
      <c r="J2" s="15"/>
      <c r="K2" s="15"/>
      <c r="L2" s="15"/>
      <c r="M2" s="15"/>
      <c r="N2" s="15"/>
      <c r="O2" s="15"/>
      <c r="P2" s="15"/>
      <c r="Q2" s="15"/>
    </row>
    <row r="3" spans="1:17" x14ac:dyDescent="0.35">
      <c r="B3" t="s">
        <v>3</v>
      </c>
      <c r="C3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</row>
    <row r="4" spans="1:17" x14ac:dyDescent="0.35">
      <c r="D4" s="16">
        <v>44742</v>
      </c>
      <c r="E4" s="16">
        <v>45107</v>
      </c>
      <c r="F4" s="16">
        <v>45473</v>
      </c>
      <c r="G4" s="16">
        <v>45838</v>
      </c>
      <c r="H4" s="16">
        <v>46203</v>
      </c>
      <c r="I4" s="16">
        <v>46568</v>
      </c>
      <c r="J4" s="16">
        <v>46934</v>
      </c>
      <c r="K4" s="16">
        <v>47299</v>
      </c>
      <c r="L4" s="16">
        <v>47664</v>
      </c>
      <c r="M4" s="16">
        <v>48029</v>
      </c>
      <c r="N4" s="16">
        <v>48395</v>
      </c>
      <c r="O4" s="16">
        <v>48760</v>
      </c>
      <c r="P4" s="16">
        <v>49125</v>
      </c>
      <c r="Q4" s="16">
        <v>49490</v>
      </c>
    </row>
    <row r="5" spans="1:17" x14ac:dyDescent="0.35">
      <c r="A5" s="2"/>
      <c r="B5" s="17" t="s">
        <v>19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35">
      <c r="B6" s="5" t="s">
        <v>20</v>
      </c>
    </row>
    <row r="7" spans="1:17" x14ac:dyDescent="0.35">
      <c r="A7" t="s">
        <v>21</v>
      </c>
      <c r="B7" t="s">
        <v>22</v>
      </c>
      <c r="C7" t="s">
        <v>23</v>
      </c>
      <c r="D7" s="51">
        <v>139.19999999999999</v>
      </c>
      <c r="E7" s="51">
        <v>212</v>
      </c>
      <c r="F7" s="51">
        <v>278.89999999999998</v>
      </c>
      <c r="G7" s="51">
        <v>359.7</v>
      </c>
      <c r="H7" s="63" t="e">
        <f>INDEX('HY &amp; Segments'!$A:$AA,MATCH($A7,'HY &amp; Segments'!$A:$A,0),MATCH("1H"&amp;RIGHT(H$1,2),'HY &amp; Segments'!$3:$3,0))+INDEX('HY &amp; Segments'!$A:$AA,MATCH($A7,'HY &amp; Segments'!$A:$A,0),MATCH("2H"&amp;RIGHT(H$1,2),'HY &amp; Segments'!$3:$3,0))</f>
        <v>#N/A</v>
      </c>
      <c r="I7" s="63" t="e">
        <f>INDEX('HY &amp; Segments'!$A:$AA,MATCH($A7,'HY &amp; Segments'!$A:$A,0),MATCH("1H"&amp;RIGHT(I$1,2),'HY &amp; Segments'!$3:$3,0))+INDEX('HY &amp; Segments'!$A:$AA,MATCH($A7,'HY &amp; Segments'!$A:$A,0),MATCH("2H"&amp;RIGHT(I$1,2),'HY &amp; Segments'!$3:$3,0))</f>
        <v>#N/A</v>
      </c>
      <c r="J7" s="63" t="e">
        <f>INDEX('HY &amp; Segments'!$A:$AA,MATCH($A7,'HY &amp; Segments'!$A:$A,0),MATCH("1H"&amp;RIGHT(J$1,2),'HY &amp; Segments'!$3:$3,0))+INDEX('HY &amp; Segments'!$A:$AA,MATCH($A7,'HY &amp; Segments'!$A:$A,0),MATCH("2H"&amp;RIGHT(J$1,2),'HY &amp; Segments'!$3:$3,0))</f>
        <v>#N/A</v>
      </c>
      <c r="K7" s="63" t="e">
        <f>INDEX('HY &amp; Segments'!$A:$AA,MATCH($A7,'HY &amp; Segments'!$A:$A,0),MATCH("1H"&amp;RIGHT(K$1,2),'HY &amp; Segments'!$3:$3,0))+INDEX('HY &amp; Segments'!$A:$AA,MATCH($A7,'HY &amp; Segments'!$A:$A,0),MATCH("2H"&amp;RIGHT(K$1,2),'HY &amp; Segments'!$3:$3,0))</f>
        <v>#N/A</v>
      </c>
      <c r="L7" s="63" t="e">
        <f>INDEX('HY &amp; Segments'!$A:$AA,MATCH($A7,'HY &amp; Segments'!$A:$A,0),MATCH("1H"&amp;RIGHT(L$1,2),'HY &amp; Segments'!$3:$3,0))+INDEX('HY &amp; Segments'!$A:$AA,MATCH($A7,'HY &amp; Segments'!$A:$A,0),MATCH("2H"&amp;RIGHT(L$1,2),'HY &amp; Segments'!$3:$3,0))</f>
        <v>#N/A</v>
      </c>
      <c r="M7" s="63" t="e">
        <f>INDEX('HY &amp; Segments'!$A:$AA,MATCH($A7,'HY &amp; Segments'!$A:$A,0),MATCH("1H"&amp;RIGHT(M$1,2),'HY &amp; Segments'!$3:$3,0))+INDEX('HY &amp; Segments'!$A:$AA,MATCH($A7,'HY &amp; Segments'!$A:$A,0),MATCH("2H"&amp;RIGHT(M$1,2),'HY &amp; Segments'!$3:$3,0))</f>
        <v>#N/A</v>
      </c>
      <c r="N7" s="63" t="e">
        <f>INDEX('HY &amp; Segments'!$A:$AA,MATCH($A7,'HY &amp; Segments'!$A:$A,0),MATCH("1H"&amp;RIGHT(N$1,2),'HY &amp; Segments'!$3:$3,0))+INDEX('HY &amp; Segments'!$A:$AA,MATCH($A7,'HY &amp; Segments'!$A:$A,0),MATCH("2H"&amp;RIGHT(N$1,2),'HY &amp; Segments'!$3:$3,0))</f>
        <v>#N/A</v>
      </c>
      <c r="O7" s="63" t="e">
        <f>INDEX('HY &amp; Segments'!$A:$AA,MATCH($A7,'HY &amp; Segments'!$A:$A,0),MATCH("1H"&amp;RIGHT(O$1,2),'HY &amp; Segments'!$3:$3,0))+INDEX('HY &amp; Segments'!$A:$AA,MATCH($A7,'HY &amp; Segments'!$A:$A,0),MATCH("2H"&amp;RIGHT(O$1,2),'HY &amp; Segments'!$3:$3,0))</f>
        <v>#N/A</v>
      </c>
      <c r="P7" s="63" t="e">
        <f>INDEX('HY &amp; Segments'!$A:$AA,MATCH($A7,'HY &amp; Segments'!$A:$A,0),MATCH("1H"&amp;RIGHT(P$1,2),'HY &amp; Segments'!$3:$3,0))+INDEX('HY &amp; Segments'!$A:$AA,MATCH($A7,'HY &amp; Segments'!$A:$A,0),MATCH("2H"&amp;RIGHT(P$1,2),'HY &amp; Segments'!$3:$3,0))</f>
        <v>#N/A</v>
      </c>
      <c r="Q7" s="63" t="e">
        <f>INDEX('HY &amp; Segments'!$A:$AA,MATCH($A7,'HY &amp; Segments'!$A:$A,0),MATCH("1H"&amp;RIGHT(Q$1,2),'HY &amp; Segments'!$3:$3,0))+INDEX('HY &amp; Segments'!$A:$AA,MATCH($A7,'HY &amp; Segments'!$A:$A,0),MATCH("2H"&amp;RIGHT(Q$1,2),'HY &amp; Segments'!$3:$3,0))</f>
        <v>#N/A</v>
      </c>
    </row>
    <row r="8" spans="1:17" x14ac:dyDescent="0.35">
      <c r="A8" t="s">
        <v>24</v>
      </c>
      <c r="B8" t="s">
        <v>25</v>
      </c>
      <c r="C8" t="s">
        <v>23</v>
      </c>
      <c r="D8" s="51">
        <v>2.5</v>
      </c>
      <c r="E8" s="51">
        <v>6</v>
      </c>
      <c r="F8" s="51">
        <v>10.8</v>
      </c>
      <c r="G8" s="51">
        <v>8.9</v>
      </c>
      <c r="H8" s="63" t="e">
        <f>INDEX('HY &amp; Segments'!$A:$AA,MATCH($A8,'HY &amp; Segments'!$A:$A,0),MATCH("1H"&amp;RIGHT(H$1,2),'HY &amp; Segments'!$3:$3,0))+INDEX('HY &amp; Segments'!$A:$AA,MATCH($A8,'HY &amp; Segments'!$A:$A,0),MATCH("2H"&amp;RIGHT(H$1,2),'HY &amp; Segments'!$3:$3,0))</f>
        <v>#N/A</v>
      </c>
      <c r="I8" s="63" t="e">
        <f>INDEX('HY &amp; Segments'!$A:$AA,MATCH($A8,'HY &amp; Segments'!$A:$A,0),MATCH("1H"&amp;RIGHT(I$1,2),'HY &amp; Segments'!$3:$3,0))+INDEX('HY &amp; Segments'!$A:$AA,MATCH($A8,'HY &amp; Segments'!$A:$A,0),MATCH("2H"&amp;RIGHT(I$1,2),'HY &amp; Segments'!$3:$3,0))</f>
        <v>#N/A</v>
      </c>
      <c r="J8" s="63" t="e">
        <f>INDEX('HY &amp; Segments'!$A:$AA,MATCH($A8,'HY &amp; Segments'!$A:$A,0),MATCH("1H"&amp;RIGHT(J$1,2),'HY &amp; Segments'!$3:$3,0))+INDEX('HY &amp; Segments'!$A:$AA,MATCH($A8,'HY &amp; Segments'!$A:$A,0),MATCH("2H"&amp;RIGHT(J$1,2),'HY &amp; Segments'!$3:$3,0))</f>
        <v>#N/A</v>
      </c>
      <c r="K8" s="63" t="e">
        <f>INDEX('HY &amp; Segments'!$A:$AA,MATCH($A8,'HY &amp; Segments'!$A:$A,0),MATCH("1H"&amp;RIGHT(K$1,2),'HY &amp; Segments'!$3:$3,0))+INDEX('HY &amp; Segments'!$A:$AA,MATCH($A8,'HY &amp; Segments'!$A:$A,0),MATCH("2H"&amp;RIGHT(K$1,2),'HY &amp; Segments'!$3:$3,0))</f>
        <v>#N/A</v>
      </c>
      <c r="L8" s="63" t="e">
        <f>INDEX('HY &amp; Segments'!$A:$AA,MATCH($A8,'HY &amp; Segments'!$A:$A,0),MATCH("1H"&amp;RIGHT(L$1,2),'HY &amp; Segments'!$3:$3,0))+INDEX('HY &amp; Segments'!$A:$AA,MATCH($A8,'HY &amp; Segments'!$A:$A,0),MATCH("2H"&amp;RIGHT(L$1,2),'HY &amp; Segments'!$3:$3,0))</f>
        <v>#N/A</v>
      </c>
      <c r="M8" s="63" t="e">
        <f>INDEX('HY &amp; Segments'!$A:$AA,MATCH($A8,'HY &amp; Segments'!$A:$A,0),MATCH("1H"&amp;RIGHT(M$1,2),'HY &amp; Segments'!$3:$3,0))+INDEX('HY &amp; Segments'!$A:$AA,MATCH($A8,'HY &amp; Segments'!$A:$A,0),MATCH("2H"&amp;RIGHT(M$1,2),'HY &amp; Segments'!$3:$3,0))</f>
        <v>#N/A</v>
      </c>
      <c r="N8" s="63" t="e">
        <f>INDEX('HY &amp; Segments'!$A:$AA,MATCH($A8,'HY &amp; Segments'!$A:$A,0),MATCH("1H"&amp;RIGHT(N$1,2),'HY &amp; Segments'!$3:$3,0))+INDEX('HY &amp; Segments'!$A:$AA,MATCH($A8,'HY &amp; Segments'!$A:$A,0),MATCH("2H"&amp;RIGHT(N$1,2),'HY &amp; Segments'!$3:$3,0))</f>
        <v>#N/A</v>
      </c>
      <c r="O8" s="63" t="e">
        <f>INDEX('HY &amp; Segments'!$A:$AA,MATCH($A8,'HY &amp; Segments'!$A:$A,0),MATCH("1H"&amp;RIGHT(O$1,2),'HY &amp; Segments'!$3:$3,0))+INDEX('HY &amp; Segments'!$A:$AA,MATCH($A8,'HY &amp; Segments'!$A:$A,0),MATCH("2H"&amp;RIGHT(O$1,2),'HY &amp; Segments'!$3:$3,0))</f>
        <v>#N/A</v>
      </c>
      <c r="P8" s="63" t="e">
        <f>INDEX('HY &amp; Segments'!$A:$AA,MATCH($A8,'HY &amp; Segments'!$A:$A,0),MATCH("1H"&amp;RIGHT(P$1,2),'HY &amp; Segments'!$3:$3,0))+INDEX('HY &amp; Segments'!$A:$AA,MATCH($A8,'HY &amp; Segments'!$A:$A,0),MATCH("2H"&amp;RIGHT(P$1,2),'HY &amp; Segments'!$3:$3,0))</f>
        <v>#N/A</v>
      </c>
      <c r="Q8" s="63" t="e">
        <f>INDEX('HY &amp; Segments'!$A:$AA,MATCH($A8,'HY &amp; Segments'!$A:$A,0),MATCH("1H"&amp;RIGHT(Q$1,2),'HY &amp; Segments'!$3:$3,0))+INDEX('HY &amp; Segments'!$A:$AA,MATCH($A8,'HY &amp; Segments'!$A:$A,0),MATCH("2H"&amp;RIGHT(Q$1,2),'HY &amp; Segments'!$3:$3,0))</f>
        <v>#N/A</v>
      </c>
    </row>
    <row r="9" spans="1:17" x14ac:dyDescent="0.35">
      <c r="A9" t="s">
        <v>26</v>
      </c>
      <c r="B9" t="s">
        <v>27</v>
      </c>
      <c r="C9" t="s">
        <v>23</v>
      </c>
      <c r="D9" s="51">
        <v>29.5</v>
      </c>
      <c r="E9" s="51">
        <v>40.5</v>
      </c>
      <c r="F9" s="51">
        <v>51.9</v>
      </c>
      <c r="G9" s="51">
        <v>66.8</v>
      </c>
      <c r="H9" s="63" t="e">
        <f>INDEX('HY &amp; Segments'!$A:$AA,MATCH($A9,'HY &amp; Segments'!$A:$A,0),MATCH("1H"&amp;RIGHT(H$1,2),'HY &amp; Segments'!$3:$3,0))+INDEX('HY &amp; Segments'!$A:$AA,MATCH($A9,'HY &amp; Segments'!$A:$A,0),MATCH("2H"&amp;RIGHT(H$1,2),'HY &amp; Segments'!$3:$3,0))</f>
        <v>#N/A</v>
      </c>
      <c r="I9" s="63" t="e">
        <f>INDEX('HY &amp; Segments'!$A:$AA,MATCH($A9,'HY &amp; Segments'!$A:$A,0),MATCH("1H"&amp;RIGHT(I$1,2),'HY &amp; Segments'!$3:$3,0))+INDEX('HY &amp; Segments'!$A:$AA,MATCH($A9,'HY &amp; Segments'!$A:$A,0),MATCH("2H"&amp;RIGHT(I$1,2),'HY &amp; Segments'!$3:$3,0))</f>
        <v>#N/A</v>
      </c>
      <c r="J9" s="63" t="e">
        <f>INDEX('HY &amp; Segments'!$A:$AA,MATCH($A9,'HY &amp; Segments'!$A:$A,0),MATCH("1H"&amp;RIGHT(J$1,2),'HY &amp; Segments'!$3:$3,0))+INDEX('HY &amp; Segments'!$A:$AA,MATCH($A9,'HY &amp; Segments'!$A:$A,0),MATCH("2H"&amp;RIGHT(J$1,2),'HY &amp; Segments'!$3:$3,0))</f>
        <v>#N/A</v>
      </c>
      <c r="K9" s="63" t="e">
        <f>INDEX('HY &amp; Segments'!$A:$AA,MATCH($A9,'HY &amp; Segments'!$A:$A,0),MATCH("1H"&amp;RIGHT(K$1,2),'HY &amp; Segments'!$3:$3,0))+INDEX('HY &amp; Segments'!$A:$AA,MATCH($A9,'HY &amp; Segments'!$A:$A,0),MATCH("2H"&amp;RIGHT(K$1,2),'HY &amp; Segments'!$3:$3,0))</f>
        <v>#N/A</v>
      </c>
      <c r="L9" s="63" t="e">
        <f>INDEX('HY &amp; Segments'!$A:$AA,MATCH($A9,'HY &amp; Segments'!$A:$A,0),MATCH("1H"&amp;RIGHT(L$1,2),'HY &amp; Segments'!$3:$3,0))+INDEX('HY &amp; Segments'!$A:$AA,MATCH($A9,'HY &amp; Segments'!$A:$A,0),MATCH("2H"&amp;RIGHT(L$1,2),'HY &amp; Segments'!$3:$3,0))</f>
        <v>#N/A</v>
      </c>
      <c r="M9" s="63" t="e">
        <f>INDEX('HY &amp; Segments'!$A:$AA,MATCH($A9,'HY &amp; Segments'!$A:$A,0),MATCH("1H"&amp;RIGHT(M$1,2),'HY &amp; Segments'!$3:$3,0))+INDEX('HY &amp; Segments'!$A:$AA,MATCH($A9,'HY &amp; Segments'!$A:$A,0),MATCH("2H"&amp;RIGHT(M$1,2),'HY &amp; Segments'!$3:$3,0))</f>
        <v>#N/A</v>
      </c>
      <c r="N9" s="63" t="e">
        <f>INDEX('HY &amp; Segments'!$A:$AA,MATCH($A9,'HY &amp; Segments'!$A:$A,0),MATCH("1H"&amp;RIGHT(N$1,2),'HY &amp; Segments'!$3:$3,0))+INDEX('HY &amp; Segments'!$A:$AA,MATCH($A9,'HY &amp; Segments'!$A:$A,0),MATCH("2H"&amp;RIGHT(N$1,2),'HY &amp; Segments'!$3:$3,0))</f>
        <v>#N/A</v>
      </c>
      <c r="O9" s="63" t="e">
        <f>INDEX('HY &amp; Segments'!$A:$AA,MATCH($A9,'HY &amp; Segments'!$A:$A,0),MATCH("1H"&amp;RIGHT(O$1,2),'HY &amp; Segments'!$3:$3,0))+INDEX('HY &amp; Segments'!$A:$AA,MATCH($A9,'HY &amp; Segments'!$A:$A,0),MATCH("2H"&amp;RIGHT(O$1,2),'HY &amp; Segments'!$3:$3,0))</f>
        <v>#N/A</v>
      </c>
      <c r="P9" s="63" t="e">
        <f>INDEX('HY &amp; Segments'!$A:$AA,MATCH($A9,'HY &amp; Segments'!$A:$A,0),MATCH("1H"&amp;RIGHT(P$1,2),'HY &amp; Segments'!$3:$3,0))+INDEX('HY &amp; Segments'!$A:$AA,MATCH($A9,'HY &amp; Segments'!$A:$A,0),MATCH("2H"&amp;RIGHT(P$1,2),'HY &amp; Segments'!$3:$3,0))</f>
        <v>#N/A</v>
      </c>
      <c r="Q9" s="63" t="e">
        <f>INDEX('HY &amp; Segments'!$A:$AA,MATCH($A9,'HY &amp; Segments'!$A:$A,0),MATCH("1H"&amp;RIGHT(Q$1,2),'HY &amp; Segments'!$3:$3,0))+INDEX('HY &amp; Segments'!$A:$AA,MATCH($A9,'HY &amp; Segments'!$A:$A,0),MATCH("2H"&amp;RIGHT(Q$1,2),'HY &amp; Segments'!$3:$3,0))</f>
        <v>#N/A</v>
      </c>
    </row>
    <row r="10" spans="1:17" x14ac:dyDescent="0.35">
      <c r="A10" t="s">
        <v>28</v>
      </c>
      <c r="B10" t="s">
        <v>29</v>
      </c>
      <c r="C10" t="s">
        <v>23</v>
      </c>
      <c r="D10" s="51">
        <v>0.6</v>
      </c>
      <c r="E10" s="51">
        <v>0.6</v>
      </c>
      <c r="F10" s="51">
        <v>0.6</v>
      </c>
      <c r="G10" s="51">
        <v>0.6</v>
      </c>
      <c r="H10" s="63" t="e">
        <f>INDEX('HY &amp; Segments'!$A:$AA,MATCH($A10,'HY &amp; Segments'!$A:$A,0),MATCH("1H"&amp;RIGHT(H$1,2),'HY &amp; Segments'!$3:$3,0))+INDEX('HY &amp; Segments'!$A:$AA,MATCH($A10,'HY &amp; Segments'!$A:$A,0),MATCH("2H"&amp;RIGHT(H$1,2),'HY &amp; Segments'!$3:$3,0))</f>
        <v>#N/A</v>
      </c>
      <c r="I10" s="63" t="e">
        <f>INDEX('HY &amp; Segments'!$A:$AA,MATCH($A10,'HY &amp; Segments'!$A:$A,0),MATCH("1H"&amp;RIGHT(I$1,2),'HY &amp; Segments'!$3:$3,0))+INDEX('HY &amp; Segments'!$A:$AA,MATCH($A10,'HY &amp; Segments'!$A:$A,0),MATCH("2H"&amp;RIGHT(I$1,2),'HY &amp; Segments'!$3:$3,0))</f>
        <v>#N/A</v>
      </c>
      <c r="J10" s="63" t="e">
        <f>INDEX('HY &amp; Segments'!$A:$AA,MATCH($A10,'HY &amp; Segments'!$A:$A,0),MATCH("1H"&amp;RIGHT(J$1,2),'HY &amp; Segments'!$3:$3,0))+INDEX('HY &amp; Segments'!$A:$AA,MATCH($A10,'HY &amp; Segments'!$A:$A,0),MATCH("2H"&amp;RIGHT(J$1,2),'HY &amp; Segments'!$3:$3,0))</f>
        <v>#N/A</v>
      </c>
      <c r="K10" s="63" t="e">
        <f>INDEX('HY &amp; Segments'!$A:$AA,MATCH($A10,'HY &amp; Segments'!$A:$A,0),MATCH("1H"&amp;RIGHT(K$1,2),'HY &amp; Segments'!$3:$3,0))+INDEX('HY &amp; Segments'!$A:$AA,MATCH($A10,'HY &amp; Segments'!$A:$A,0),MATCH("2H"&amp;RIGHT(K$1,2),'HY &amp; Segments'!$3:$3,0))</f>
        <v>#N/A</v>
      </c>
      <c r="L10" s="63" t="e">
        <f>INDEX('HY &amp; Segments'!$A:$AA,MATCH($A10,'HY &amp; Segments'!$A:$A,0),MATCH("1H"&amp;RIGHT(L$1,2),'HY &amp; Segments'!$3:$3,0))+INDEX('HY &amp; Segments'!$A:$AA,MATCH($A10,'HY &amp; Segments'!$A:$A,0),MATCH("2H"&amp;RIGHT(L$1,2),'HY &amp; Segments'!$3:$3,0))</f>
        <v>#N/A</v>
      </c>
      <c r="M10" s="63" t="e">
        <f>INDEX('HY &amp; Segments'!$A:$AA,MATCH($A10,'HY &amp; Segments'!$A:$A,0),MATCH("1H"&amp;RIGHT(M$1,2),'HY &amp; Segments'!$3:$3,0))+INDEX('HY &amp; Segments'!$A:$AA,MATCH($A10,'HY &amp; Segments'!$A:$A,0),MATCH("2H"&amp;RIGHT(M$1,2),'HY &amp; Segments'!$3:$3,0))</f>
        <v>#N/A</v>
      </c>
      <c r="N10" s="63" t="e">
        <f>INDEX('HY &amp; Segments'!$A:$AA,MATCH($A10,'HY &amp; Segments'!$A:$A,0),MATCH("1H"&amp;RIGHT(N$1,2),'HY &amp; Segments'!$3:$3,0))+INDEX('HY &amp; Segments'!$A:$AA,MATCH($A10,'HY &amp; Segments'!$A:$A,0),MATCH("2H"&amp;RIGHT(N$1,2),'HY &amp; Segments'!$3:$3,0))</f>
        <v>#N/A</v>
      </c>
      <c r="O10" s="63" t="e">
        <f>INDEX('HY &amp; Segments'!$A:$AA,MATCH($A10,'HY &amp; Segments'!$A:$A,0),MATCH("1H"&amp;RIGHT(O$1,2),'HY &amp; Segments'!$3:$3,0))+INDEX('HY &amp; Segments'!$A:$AA,MATCH($A10,'HY &amp; Segments'!$A:$A,0),MATCH("2H"&amp;RIGHT(O$1,2),'HY &amp; Segments'!$3:$3,0))</f>
        <v>#N/A</v>
      </c>
      <c r="P10" s="63" t="e">
        <f>INDEX('HY &amp; Segments'!$A:$AA,MATCH($A10,'HY &amp; Segments'!$A:$A,0),MATCH("1H"&amp;RIGHT(P$1,2),'HY &amp; Segments'!$3:$3,0))+INDEX('HY &amp; Segments'!$A:$AA,MATCH($A10,'HY &amp; Segments'!$A:$A,0),MATCH("2H"&amp;RIGHT(P$1,2),'HY &amp; Segments'!$3:$3,0))</f>
        <v>#N/A</v>
      </c>
      <c r="Q10" s="63" t="e">
        <f>INDEX('HY &amp; Segments'!$A:$AA,MATCH($A10,'HY &amp; Segments'!$A:$A,0),MATCH("1H"&amp;RIGHT(Q$1,2),'HY &amp; Segments'!$3:$3,0))+INDEX('HY &amp; Segments'!$A:$AA,MATCH($A10,'HY &amp; Segments'!$A:$A,0),MATCH("2H"&amp;RIGHT(Q$1,2),'HY &amp; Segments'!$3:$3,0))</f>
        <v>#N/A</v>
      </c>
    </row>
    <row r="11" spans="1:17" x14ac:dyDescent="0.35">
      <c r="A11" t="s">
        <v>30</v>
      </c>
      <c r="B11" s="19" t="s">
        <v>31</v>
      </c>
      <c r="C11" s="19" t="s">
        <v>23</v>
      </c>
      <c r="D11" s="20">
        <f t="shared" ref="D11:Q11" si="0">SUM(D7:D10)</f>
        <v>171.79999999999998</v>
      </c>
      <c r="E11" s="20">
        <f t="shared" si="0"/>
        <v>259.10000000000002</v>
      </c>
      <c r="F11" s="20">
        <f t="shared" si="0"/>
        <v>342.2</v>
      </c>
      <c r="G11" s="20">
        <f t="shared" si="0"/>
        <v>436</v>
      </c>
      <c r="H11" s="73" t="e">
        <f t="shared" si="0"/>
        <v>#N/A</v>
      </c>
      <c r="I11" s="73" t="e">
        <f t="shared" si="0"/>
        <v>#N/A</v>
      </c>
      <c r="J11" s="73" t="e">
        <f t="shared" si="0"/>
        <v>#N/A</v>
      </c>
      <c r="K11" s="73" t="e">
        <f t="shared" si="0"/>
        <v>#N/A</v>
      </c>
      <c r="L11" s="73" t="e">
        <f t="shared" si="0"/>
        <v>#N/A</v>
      </c>
      <c r="M11" s="73" t="e">
        <f t="shared" si="0"/>
        <v>#N/A</v>
      </c>
      <c r="N11" s="73" t="e">
        <f t="shared" si="0"/>
        <v>#N/A</v>
      </c>
      <c r="O11" s="73" t="e">
        <f t="shared" si="0"/>
        <v>#N/A</v>
      </c>
      <c r="P11" s="73" t="e">
        <f t="shared" si="0"/>
        <v>#N/A</v>
      </c>
      <c r="Q11" s="73" t="e">
        <f t="shared" si="0"/>
        <v>#N/A</v>
      </c>
    </row>
    <row r="12" spans="1:17" x14ac:dyDescent="0.35">
      <c r="B12" t="s">
        <v>32</v>
      </c>
      <c r="C12" t="s">
        <v>33</v>
      </c>
      <c r="D12" s="6"/>
      <c r="E12" s="6"/>
      <c r="F12" s="6"/>
      <c r="G12" s="6"/>
      <c r="H12" s="74" t="e">
        <f t="shared" ref="H12:Q12" si="1">IF(G11+G18=0,"",(H11+H18)/(G11+G18)-1)</f>
        <v>#N/A</v>
      </c>
      <c r="I12" s="74" t="e">
        <f t="shared" si="1"/>
        <v>#N/A</v>
      </c>
      <c r="J12" s="74" t="e">
        <f t="shared" si="1"/>
        <v>#N/A</v>
      </c>
      <c r="K12" s="74" t="e">
        <f t="shared" si="1"/>
        <v>#N/A</v>
      </c>
      <c r="L12" s="74" t="e">
        <f t="shared" si="1"/>
        <v>#N/A</v>
      </c>
      <c r="M12" s="74" t="e">
        <f t="shared" si="1"/>
        <v>#N/A</v>
      </c>
      <c r="N12" s="74" t="e">
        <f t="shared" si="1"/>
        <v>#N/A</v>
      </c>
      <c r="O12" s="74" t="e">
        <f t="shared" si="1"/>
        <v>#N/A</v>
      </c>
      <c r="P12" s="74" t="e">
        <f t="shared" si="1"/>
        <v>#N/A</v>
      </c>
      <c r="Q12" s="74" t="e">
        <f t="shared" si="1"/>
        <v>#N/A</v>
      </c>
    </row>
    <row r="14" spans="1:17" x14ac:dyDescent="0.35">
      <c r="B14" s="8" t="s">
        <v>34</v>
      </c>
    </row>
    <row r="15" spans="1:17" x14ac:dyDescent="0.35">
      <c r="A15" t="s">
        <v>35</v>
      </c>
      <c r="B15" t="s">
        <v>36</v>
      </c>
      <c r="C15" t="s">
        <v>23</v>
      </c>
      <c r="D15" s="18"/>
      <c r="E15" s="51">
        <v>13.3</v>
      </c>
      <c r="F15" s="51">
        <v>16.399999999999999</v>
      </c>
      <c r="G15" s="51">
        <v>19.7</v>
      </c>
      <c r="H15" s="63" t="e">
        <f>INDEX('HY &amp; Segments'!$A:$AA,MATCH($A15,'HY &amp; Segments'!$A:$A,0),MATCH("1H"&amp;RIGHT(H$1,2),'HY &amp; Segments'!$3:$3,0))+INDEX('HY &amp; Segments'!$A:$AA,MATCH($A15,'HY &amp; Segments'!$A:$A,0),MATCH("2H"&amp;RIGHT(H$1,2),'HY &amp; Segments'!$3:$3,0))</f>
        <v>#N/A</v>
      </c>
      <c r="I15" s="63" t="e">
        <f>INDEX('HY &amp; Segments'!$A:$AA,MATCH($A15,'HY &amp; Segments'!$A:$A,0),MATCH("1H"&amp;RIGHT(I$1,2),'HY &amp; Segments'!$3:$3,0))+INDEX('HY &amp; Segments'!$A:$AA,MATCH($A15,'HY &amp; Segments'!$A:$A,0),MATCH("2H"&amp;RIGHT(I$1,2),'HY &amp; Segments'!$3:$3,0))</f>
        <v>#N/A</v>
      </c>
      <c r="J15" s="63" t="e">
        <f>INDEX('HY &amp; Segments'!$A:$AA,MATCH($A15,'HY &amp; Segments'!$A:$A,0),MATCH("1H"&amp;RIGHT(J$1,2),'HY &amp; Segments'!$3:$3,0))+INDEX('HY &amp; Segments'!$A:$AA,MATCH($A15,'HY &amp; Segments'!$A:$A,0),MATCH("2H"&amp;RIGHT(J$1,2),'HY &amp; Segments'!$3:$3,0))</f>
        <v>#N/A</v>
      </c>
      <c r="K15" s="63" t="e">
        <f>INDEX('HY &amp; Segments'!$A:$AA,MATCH($A15,'HY &amp; Segments'!$A:$A,0),MATCH("1H"&amp;RIGHT(K$1,2),'HY &amp; Segments'!$3:$3,0))+INDEX('HY &amp; Segments'!$A:$AA,MATCH($A15,'HY &amp; Segments'!$A:$A,0),MATCH("2H"&amp;RIGHT(K$1,2),'HY &amp; Segments'!$3:$3,0))</f>
        <v>#N/A</v>
      </c>
      <c r="L15" s="63" t="e">
        <f>INDEX('HY &amp; Segments'!$A:$AA,MATCH($A15,'HY &amp; Segments'!$A:$A,0),MATCH("1H"&amp;RIGHT(L$1,2),'HY &amp; Segments'!$3:$3,0))+INDEX('HY &amp; Segments'!$A:$AA,MATCH($A15,'HY &amp; Segments'!$A:$A,0),MATCH("2H"&amp;RIGHT(L$1,2),'HY &amp; Segments'!$3:$3,0))</f>
        <v>#N/A</v>
      </c>
      <c r="M15" s="63" t="e">
        <f>INDEX('HY &amp; Segments'!$A:$AA,MATCH($A15,'HY &amp; Segments'!$A:$A,0),MATCH("1H"&amp;RIGHT(M$1,2),'HY &amp; Segments'!$3:$3,0))+INDEX('HY &amp; Segments'!$A:$AA,MATCH($A15,'HY &amp; Segments'!$A:$A,0),MATCH("2H"&amp;RIGHT(M$1,2),'HY &amp; Segments'!$3:$3,0))</f>
        <v>#N/A</v>
      </c>
      <c r="N15" s="63" t="e">
        <f>INDEX('HY &amp; Segments'!$A:$AA,MATCH($A15,'HY &amp; Segments'!$A:$A,0),MATCH("1H"&amp;RIGHT(N$1,2),'HY &amp; Segments'!$3:$3,0))+INDEX('HY &amp; Segments'!$A:$AA,MATCH($A15,'HY &amp; Segments'!$A:$A,0),MATCH("2H"&amp;RIGHT(N$1,2),'HY &amp; Segments'!$3:$3,0))</f>
        <v>#N/A</v>
      </c>
      <c r="O15" s="63" t="e">
        <f>INDEX('HY &amp; Segments'!$A:$AA,MATCH($A15,'HY &amp; Segments'!$A:$A,0),MATCH("1H"&amp;RIGHT(O$1,2),'HY &amp; Segments'!$3:$3,0))+INDEX('HY &amp; Segments'!$A:$AA,MATCH($A15,'HY &amp; Segments'!$A:$A,0),MATCH("2H"&amp;RIGHT(O$1,2),'HY &amp; Segments'!$3:$3,0))</f>
        <v>#N/A</v>
      </c>
      <c r="P15" s="63" t="e">
        <f>INDEX('HY &amp; Segments'!$A:$AA,MATCH($A15,'HY &amp; Segments'!$A:$A,0),MATCH("1H"&amp;RIGHT(P$1,2),'HY &amp; Segments'!$3:$3,0))+INDEX('HY &amp; Segments'!$A:$AA,MATCH($A15,'HY &amp; Segments'!$A:$A,0),MATCH("2H"&amp;RIGHT(P$1,2),'HY &amp; Segments'!$3:$3,0))</f>
        <v>#N/A</v>
      </c>
      <c r="Q15" s="63" t="e">
        <f>INDEX('HY &amp; Segments'!$A:$AA,MATCH($A15,'HY &amp; Segments'!$A:$A,0),MATCH("1H"&amp;RIGHT(Q$1,2),'HY &amp; Segments'!$3:$3,0))+INDEX('HY &amp; Segments'!$A:$AA,MATCH($A15,'HY &amp; Segments'!$A:$A,0),MATCH("2H"&amp;RIGHT(Q$1,2),'HY &amp; Segments'!$3:$3,0))</f>
        <v>#N/A</v>
      </c>
    </row>
    <row r="16" spans="1:17" x14ac:dyDescent="0.35">
      <c r="A16" t="s">
        <v>37</v>
      </c>
      <c r="B16" t="s">
        <v>38</v>
      </c>
      <c r="C16" t="s">
        <v>23</v>
      </c>
      <c r="D16" s="18"/>
      <c r="E16" s="51">
        <v>1.8</v>
      </c>
      <c r="F16" s="51">
        <v>6.2</v>
      </c>
      <c r="G16" s="51">
        <v>8.9</v>
      </c>
      <c r="H16" s="63" t="e">
        <f>INDEX('HY &amp; Segments'!$A:$AA,MATCH($A16,'HY &amp; Segments'!$A:$A,0),MATCH("1H"&amp;RIGHT(H$1,2),'HY &amp; Segments'!$3:$3,0))+INDEX('HY &amp; Segments'!$A:$AA,MATCH($A16,'HY &amp; Segments'!$A:$A,0),MATCH("2H"&amp;RIGHT(H$1,2),'HY &amp; Segments'!$3:$3,0))</f>
        <v>#N/A</v>
      </c>
      <c r="I16" s="63" t="e">
        <f>INDEX('HY &amp; Segments'!$A:$AA,MATCH($A16,'HY &amp; Segments'!$A:$A,0),MATCH("1H"&amp;RIGHT(I$1,2),'HY &amp; Segments'!$3:$3,0))+INDEX('HY &amp; Segments'!$A:$AA,MATCH($A16,'HY &amp; Segments'!$A:$A,0),MATCH("2H"&amp;RIGHT(I$1,2),'HY &amp; Segments'!$3:$3,0))</f>
        <v>#N/A</v>
      </c>
      <c r="J16" s="63" t="e">
        <f>INDEX('HY &amp; Segments'!$A:$AA,MATCH($A16,'HY &amp; Segments'!$A:$A,0),MATCH("1H"&amp;RIGHT(J$1,2),'HY &amp; Segments'!$3:$3,0))+INDEX('HY &amp; Segments'!$A:$AA,MATCH($A16,'HY &amp; Segments'!$A:$A,0),MATCH("2H"&amp;RIGHT(J$1,2),'HY &amp; Segments'!$3:$3,0))</f>
        <v>#N/A</v>
      </c>
      <c r="K16" s="63" t="e">
        <f>INDEX('HY &amp; Segments'!$A:$AA,MATCH($A16,'HY &amp; Segments'!$A:$A,0),MATCH("1H"&amp;RIGHT(K$1,2),'HY &amp; Segments'!$3:$3,0))+INDEX('HY &amp; Segments'!$A:$AA,MATCH($A16,'HY &amp; Segments'!$A:$A,0),MATCH("2H"&amp;RIGHT(K$1,2),'HY &amp; Segments'!$3:$3,0))</f>
        <v>#N/A</v>
      </c>
      <c r="L16" s="63" t="e">
        <f>INDEX('HY &amp; Segments'!$A:$AA,MATCH($A16,'HY &amp; Segments'!$A:$A,0),MATCH("1H"&amp;RIGHT(L$1,2),'HY &amp; Segments'!$3:$3,0))+INDEX('HY &amp; Segments'!$A:$AA,MATCH($A16,'HY &amp; Segments'!$A:$A,0),MATCH("2H"&amp;RIGHT(L$1,2),'HY &amp; Segments'!$3:$3,0))</f>
        <v>#N/A</v>
      </c>
      <c r="M16" s="63" t="e">
        <f>INDEX('HY &amp; Segments'!$A:$AA,MATCH($A16,'HY &amp; Segments'!$A:$A,0),MATCH("1H"&amp;RIGHT(M$1,2),'HY &amp; Segments'!$3:$3,0))+INDEX('HY &amp; Segments'!$A:$AA,MATCH($A16,'HY &amp; Segments'!$A:$A,0),MATCH("2H"&amp;RIGHT(M$1,2),'HY &amp; Segments'!$3:$3,0))</f>
        <v>#N/A</v>
      </c>
      <c r="N16" s="63" t="e">
        <f>INDEX('HY &amp; Segments'!$A:$AA,MATCH($A16,'HY &amp; Segments'!$A:$A,0),MATCH("1H"&amp;RIGHT(N$1,2),'HY &amp; Segments'!$3:$3,0))+INDEX('HY &amp; Segments'!$A:$AA,MATCH($A16,'HY &amp; Segments'!$A:$A,0),MATCH("2H"&amp;RIGHT(N$1,2),'HY &amp; Segments'!$3:$3,0))</f>
        <v>#N/A</v>
      </c>
      <c r="O16" s="63" t="e">
        <f>INDEX('HY &amp; Segments'!$A:$AA,MATCH($A16,'HY &amp; Segments'!$A:$A,0),MATCH("1H"&amp;RIGHT(O$1,2),'HY &amp; Segments'!$3:$3,0))+INDEX('HY &amp; Segments'!$A:$AA,MATCH($A16,'HY &amp; Segments'!$A:$A,0),MATCH("2H"&amp;RIGHT(O$1,2),'HY &amp; Segments'!$3:$3,0))</f>
        <v>#N/A</v>
      </c>
      <c r="P16" s="63" t="e">
        <f>INDEX('HY &amp; Segments'!$A:$AA,MATCH($A16,'HY &amp; Segments'!$A:$A,0),MATCH("1H"&amp;RIGHT(P$1,2),'HY &amp; Segments'!$3:$3,0))+INDEX('HY &amp; Segments'!$A:$AA,MATCH($A16,'HY &amp; Segments'!$A:$A,0),MATCH("2H"&amp;RIGHT(P$1,2),'HY &amp; Segments'!$3:$3,0))</f>
        <v>#N/A</v>
      </c>
      <c r="Q16" s="63" t="e">
        <f>INDEX('HY &amp; Segments'!$A:$AA,MATCH($A16,'HY &amp; Segments'!$A:$A,0),MATCH("1H"&amp;RIGHT(Q$1,2),'HY &amp; Segments'!$3:$3,0))+INDEX('HY &amp; Segments'!$A:$AA,MATCH($A16,'HY &amp; Segments'!$A:$A,0),MATCH("2H"&amp;RIGHT(Q$1,2),'HY &amp; Segments'!$3:$3,0))</f>
        <v>#N/A</v>
      </c>
    </row>
    <row r="17" spans="1:17" x14ac:dyDescent="0.35">
      <c r="A17" t="s">
        <v>39</v>
      </c>
      <c r="B17" t="s">
        <v>40</v>
      </c>
      <c r="C17" t="s">
        <v>23</v>
      </c>
      <c r="D17" s="18"/>
      <c r="E17" s="51">
        <v>2.7</v>
      </c>
      <c r="F17" s="51">
        <v>0.2</v>
      </c>
      <c r="G17" s="51">
        <v>3.4</v>
      </c>
      <c r="H17" s="63" t="e">
        <f>INDEX('HY &amp; Segments'!$A:$AA,MATCH($A17,'HY &amp; Segments'!$A:$A,0),MATCH("1H"&amp;RIGHT(H$1,2),'HY &amp; Segments'!$3:$3,0))+INDEX('HY &amp; Segments'!$A:$AA,MATCH($A17,'HY &amp; Segments'!$A:$A,0),MATCH("2H"&amp;RIGHT(H$1,2),'HY &amp; Segments'!$3:$3,0))</f>
        <v>#N/A</v>
      </c>
      <c r="I17" s="63" t="e">
        <f>INDEX('HY &amp; Segments'!$A:$AA,MATCH($A17,'HY &amp; Segments'!$A:$A,0),MATCH("1H"&amp;RIGHT(I$1,2),'HY &amp; Segments'!$3:$3,0))+INDEX('HY &amp; Segments'!$A:$AA,MATCH($A17,'HY &amp; Segments'!$A:$A,0),MATCH("2H"&amp;RIGHT(I$1,2),'HY &amp; Segments'!$3:$3,0))</f>
        <v>#N/A</v>
      </c>
      <c r="J17" s="63" t="e">
        <f>INDEX('HY &amp; Segments'!$A:$AA,MATCH($A17,'HY &amp; Segments'!$A:$A,0),MATCH("1H"&amp;RIGHT(J$1,2),'HY &amp; Segments'!$3:$3,0))+INDEX('HY &amp; Segments'!$A:$AA,MATCH($A17,'HY &amp; Segments'!$A:$A,0),MATCH("2H"&amp;RIGHT(J$1,2),'HY &amp; Segments'!$3:$3,0))</f>
        <v>#N/A</v>
      </c>
      <c r="K17" s="63" t="e">
        <f>INDEX('HY &amp; Segments'!$A:$AA,MATCH($A17,'HY &amp; Segments'!$A:$A,0),MATCH("1H"&amp;RIGHT(K$1,2),'HY &amp; Segments'!$3:$3,0))+INDEX('HY &amp; Segments'!$A:$AA,MATCH($A17,'HY &amp; Segments'!$A:$A,0),MATCH("2H"&amp;RIGHT(K$1,2),'HY &amp; Segments'!$3:$3,0))</f>
        <v>#N/A</v>
      </c>
      <c r="L17" s="63" t="e">
        <f>INDEX('HY &amp; Segments'!$A:$AA,MATCH($A17,'HY &amp; Segments'!$A:$A,0),MATCH("1H"&amp;RIGHT(L$1,2),'HY &amp; Segments'!$3:$3,0))+INDEX('HY &amp; Segments'!$A:$AA,MATCH($A17,'HY &amp; Segments'!$A:$A,0),MATCH("2H"&amp;RIGHT(L$1,2),'HY &amp; Segments'!$3:$3,0))</f>
        <v>#N/A</v>
      </c>
      <c r="M17" s="63" t="e">
        <f>INDEX('HY &amp; Segments'!$A:$AA,MATCH($A17,'HY &amp; Segments'!$A:$A,0),MATCH("1H"&amp;RIGHT(M$1,2),'HY &amp; Segments'!$3:$3,0))+INDEX('HY &amp; Segments'!$A:$AA,MATCH($A17,'HY &amp; Segments'!$A:$A,0),MATCH("2H"&amp;RIGHT(M$1,2),'HY &amp; Segments'!$3:$3,0))</f>
        <v>#N/A</v>
      </c>
      <c r="N17" s="63" t="e">
        <f>INDEX('HY &amp; Segments'!$A:$AA,MATCH($A17,'HY &amp; Segments'!$A:$A,0),MATCH("1H"&amp;RIGHT(N$1,2),'HY &amp; Segments'!$3:$3,0))+INDEX('HY &amp; Segments'!$A:$AA,MATCH($A17,'HY &amp; Segments'!$A:$A,0),MATCH("2H"&amp;RIGHT(N$1,2),'HY &amp; Segments'!$3:$3,0))</f>
        <v>#N/A</v>
      </c>
      <c r="O17" s="63" t="e">
        <f>INDEX('HY &amp; Segments'!$A:$AA,MATCH($A17,'HY &amp; Segments'!$A:$A,0),MATCH("1H"&amp;RIGHT(O$1,2),'HY &amp; Segments'!$3:$3,0))+INDEX('HY &amp; Segments'!$A:$AA,MATCH($A17,'HY &amp; Segments'!$A:$A,0),MATCH("2H"&amp;RIGHT(O$1,2),'HY &amp; Segments'!$3:$3,0))</f>
        <v>#N/A</v>
      </c>
      <c r="P17" s="63" t="e">
        <f>INDEX('HY &amp; Segments'!$A:$AA,MATCH($A17,'HY &amp; Segments'!$A:$A,0),MATCH("1H"&amp;RIGHT(P$1,2),'HY &amp; Segments'!$3:$3,0))+INDEX('HY &amp; Segments'!$A:$AA,MATCH($A17,'HY &amp; Segments'!$A:$A,0),MATCH("2H"&amp;RIGHT(P$1,2),'HY &amp; Segments'!$3:$3,0))</f>
        <v>#N/A</v>
      </c>
      <c r="Q17" s="63" t="e">
        <f>INDEX('HY &amp; Segments'!$A:$AA,MATCH($A17,'HY &amp; Segments'!$A:$A,0),MATCH("1H"&amp;RIGHT(Q$1,2),'HY &amp; Segments'!$3:$3,0))+INDEX('HY &amp; Segments'!$A:$AA,MATCH($A17,'HY &amp; Segments'!$A:$A,0),MATCH("2H"&amp;RIGHT(Q$1,2),'HY &amp; Segments'!$3:$3,0))</f>
        <v>#N/A</v>
      </c>
    </row>
    <row r="18" spans="1:17" x14ac:dyDescent="0.35">
      <c r="A18" t="s">
        <v>41</v>
      </c>
      <c r="B18" s="19" t="s">
        <v>42</v>
      </c>
      <c r="C18" s="19" t="s">
        <v>23</v>
      </c>
      <c r="D18" s="52">
        <v>13.3</v>
      </c>
      <c r="E18" s="47">
        <f t="shared" ref="E18:Q18" si="2">SUM(E15:E17)</f>
        <v>17.8</v>
      </c>
      <c r="F18" s="47">
        <f t="shared" si="2"/>
        <v>22.799999999999997</v>
      </c>
      <c r="G18" s="47">
        <f t="shared" si="2"/>
        <v>32</v>
      </c>
      <c r="H18" s="75" t="e">
        <f t="shared" si="2"/>
        <v>#N/A</v>
      </c>
      <c r="I18" s="75" t="e">
        <f t="shared" si="2"/>
        <v>#N/A</v>
      </c>
      <c r="J18" s="75" t="e">
        <f t="shared" si="2"/>
        <v>#N/A</v>
      </c>
      <c r="K18" s="75" t="e">
        <f t="shared" si="2"/>
        <v>#N/A</v>
      </c>
      <c r="L18" s="75" t="e">
        <f t="shared" si="2"/>
        <v>#N/A</v>
      </c>
      <c r="M18" s="75" t="e">
        <f t="shared" si="2"/>
        <v>#N/A</v>
      </c>
      <c r="N18" s="75" t="e">
        <f t="shared" si="2"/>
        <v>#N/A</v>
      </c>
      <c r="O18" s="75" t="e">
        <f t="shared" si="2"/>
        <v>#N/A</v>
      </c>
      <c r="P18" s="75" t="e">
        <f t="shared" si="2"/>
        <v>#N/A</v>
      </c>
      <c r="Q18" s="75" t="e">
        <f t="shared" si="2"/>
        <v>#N/A</v>
      </c>
    </row>
    <row r="20" spans="1:17" x14ac:dyDescent="0.35">
      <c r="B20" s="5" t="s">
        <v>43</v>
      </c>
    </row>
    <row r="21" spans="1:17" x14ac:dyDescent="0.35">
      <c r="A21" t="s">
        <v>44</v>
      </c>
      <c r="B21" t="s">
        <v>45</v>
      </c>
      <c r="C21" t="s">
        <v>23</v>
      </c>
      <c r="D21" s="51">
        <v>-44.2</v>
      </c>
      <c r="E21" s="51">
        <v>-70.400000000000006</v>
      </c>
      <c r="F21" s="51">
        <v>-87.6</v>
      </c>
      <c r="G21" s="51">
        <v>-113.9</v>
      </c>
      <c r="H21" s="63" t="e">
        <f>INDEX('HY &amp; Segments'!$A:$AA,MATCH($A21,'HY &amp; Segments'!$A:$A,0),MATCH("1H"&amp;RIGHT(H$1,2),'HY &amp; Segments'!$3:$3,0))+INDEX('HY &amp; Segments'!$A:$AA,MATCH($A21,'HY &amp; Segments'!$A:$A,0),MATCH("2H"&amp;RIGHT(H$1,2),'HY &amp; Segments'!$3:$3,0))</f>
        <v>#N/A</v>
      </c>
      <c r="I21" s="63" t="e">
        <f>INDEX('HY &amp; Segments'!$A:$AA,MATCH($A21,'HY &amp; Segments'!$A:$A,0),MATCH("1H"&amp;RIGHT(I$1,2),'HY &amp; Segments'!$3:$3,0))+INDEX('HY &amp; Segments'!$A:$AA,MATCH($A21,'HY &amp; Segments'!$A:$A,0),MATCH("2H"&amp;RIGHT(I$1,2),'HY &amp; Segments'!$3:$3,0))</f>
        <v>#N/A</v>
      </c>
      <c r="J21" s="63" t="e">
        <f>INDEX('HY &amp; Segments'!$A:$AA,MATCH($A21,'HY &amp; Segments'!$A:$A,0),MATCH("1H"&amp;RIGHT(J$1,2),'HY &amp; Segments'!$3:$3,0))+INDEX('HY &amp; Segments'!$A:$AA,MATCH($A21,'HY &amp; Segments'!$A:$A,0),MATCH("2H"&amp;RIGHT(J$1,2),'HY &amp; Segments'!$3:$3,0))</f>
        <v>#N/A</v>
      </c>
      <c r="K21" s="63" t="e">
        <f>INDEX('HY &amp; Segments'!$A:$AA,MATCH($A21,'HY &amp; Segments'!$A:$A,0),MATCH("1H"&amp;RIGHT(K$1,2),'HY &amp; Segments'!$3:$3,0))+INDEX('HY &amp; Segments'!$A:$AA,MATCH($A21,'HY &amp; Segments'!$A:$A,0),MATCH("2H"&amp;RIGHT(K$1,2),'HY &amp; Segments'!$3:$3,0))</f>
        <v>#N/A</v>
      </c>
      <c r="L21" s="63" t="e">
        <f>INDEX('HY &amp; Segments'!$A:$AA,MATCH($A21,'HY &amp; Segments'!$A:$A,0),MATCH("1H"&amp;RIGHT(L$1,2),'HY &amp; Segments'!$3:$3,0))+INDEX('HY &amp; Segments'!$A:$AA,MATCH($A21,'HY &amp; Segments'!$A:$A,0),MATCH("2H"&amp;RIGHT(L$1,2),'HY &amp; Segments'!$3:$3,0))</f>
        <v>#N/A</v>
      </c>
      <c r="M21" s="63" t="e">
        <f>INDEX('HY &amp; Segments'!$A:$AA,MATCH($A21,'HY &amp; Segments'!$A:$A,0),MATCH("1H"&amp;RIGHT(M$1,2),'HY &amp; Segments'!$3:$3,0))+INDEX('HY &amp; Segments'!$A:$AA,MATCH($A21,'HY &amp; Segments'!$A:$A,0),MATCH("2H"&amp;RIGHT(M$1,2),'HY &amp; Segments'!$3:$3,0))</f>
        <v>#N/A</v>
      </c>
      <c r="N21" s="63" t="e">
        <f>INDEX('HY &amp; Segments'!$A:$AA,MATCH($A21,'HY &amp; Segments'!$A:$A,0),MATCH("1H"&amp;RIGHT(N$1,2),'HY &amp; Segments'!$3:$3,0))+INDEX('HY &amp; Segments'!$A:$AA,MATCH($A21,'HY &amp; Segments'!$A:$A,0),MATCH("2H"&amp;RIGHT(N$1,2),'HY &amp; Segments'!$3:$3,0))</f>
        <v>#N/A</v>
      </c>
      <c r="O21" s="63" t="e">
        <f>INDEX('HY &amp; Segments'!$A:$AA,MATCH($A21,'HY &amp; Segments'!$A:$A,0),MATCH("1H"&amp;RIGHT(O$1,2),'HY &amp; Segments'!$3:$3,0))+INDEX('HY &amp; Segments'!$A:$AA,MATCH($A21,'HY &amp; Segments'!$A:$A,0),MATCH("2H"&amp;RIGHT(O$1,2),'HY &amp; Segments'!$3:$3,0))</f>
        <v>#N/A</v>
      </c>
      <c r="P21" s="63" t="e">
        <f>INDEX('HY &amp; Segments'!$A:$AA,MATCH($A21,'HY &amp; Segments'!$A:$A,0),MATCH("1H"&amp;RIGHT(P$1,2),'HY &amp; Segments'!$3:$3,0))+INDEX('HY &amp; Segments'!$A:$AA,MATCH($A21,'HY &amp; Segments'!$A:$A,0),MATCH("2H"&amp;RIGHT(P$1,2),'HY &amp; Segments'!$3:$3,0))</f>
        <v>#N/A</v>
      </c>
      <c r="Q21" s="63" t="e">
        <f>INDEX('HY &amp; Segments'!$A:$AA,MATCH($A21,'HY &amp; Segments'!$A:$A,0),MATCH("1H"&amp;RIGHT(Q$1,2),'HY &amp; Segments'!$3:$3,0))+INDEX('HY &amp; Segments'!$A:$AA,MATCH($A21,'HY &amp; Segments'!$A:$A,0),MATCH("2H"&amp;RIGHT(Q$1,2),'HY &amp; Segments'!$3:$3,0))</f>
        <v>#N/A</v>
      </c>
    </row>
    <row r="22" spans="1:17" x14ac:dyDescent="0.35">
      <c r="A22" t="s">
        <v>46</v>
      </c>
      <c r="B22" s="19" t="s">
        <v>47</v>
      </c>
      <c r="C22" s="19" t="s">
        <v>23</v>
      </c>
      <c r="D22" s="20">
        <f t="shared" ref="D22:Q22" si="3">SUM(D21:D21)</f>
        <v>-44.2</v>
      </c>
      <c r="E22" s="20">
        <f t="shared" si="3"/>
        <v>-70.400000000000006</v>
      </c>
      <c r="F22" s="20">
        <f t="shared" si="3"/>
        <v>-87.6</v>
      </c>
      <c r="G22" s="20">
        <f t="shared" si="3"/>
        <v>-113.9</v>
      </c>
      <c r="H22" s="73" t="e">
        <f t="shared" si="3"/>
        <v>#N/A</v>
      </c>
      <c r="I22" s="73" t="e">
        <f t="shared" si="3"/>
        <v>#N/A</v>
      </c>
      <c r="J22" s="73" t="e">
        <f t="shared" si="3"/>
        <v>#N/A</v>
      </c>
      <c r="K22" s="73" t="e">
        <f t="shared" si="3"/>
        <v>#N/A</v>
      </c>
      <c r="L22" s="73" t="e">
        <f t="shared" si="3"/>
        <v>#N/A</v>
      </c>
      <c r="M22" s="73" t="e">
        <f t="shared" si="3"/>
        <v>#N/A</v>
      </c>
      <c r="N22" s="73" t="e">
        <f t="shared" si="3"/>
        <v>#N/A</v>
      </c>
      <c r="O22" s="73" t="e">
        <f t="shared" si="3"/>
        <v>#N/A</v>
      </c>
      <c r="P22" s="73" t="e">
        <f t="shared" si="3"/>
        <v>#N/A</v>
      </c>
      <c r="Q22" s="73" t="e">
        <f t="shared" si="3"/>
        <v>#N/A</v>
      </c>
    </row>
    <row r="24" spans="1:17" x14ac:dyDescent="0.35">
      <c r="B24" s="5" t="s">
        <v>48</v>
      </c>
    </row>
    <row r="25" spans="1:17" x14ac:dyDescent="0.35">
      <c r="A25" t="s">
        <v>49</v>
      </c>
      <c r="B25" s="19" t="s">
        <v>48</v>
      </c>
      <c r="C25" s="19" t="s">
        <v>23</v>
      </c>
      <c r="D25" s="20">
        <f t="shared" ref="D25:Q25" si="4">D11+D18+D22</f>
        <v>140.89999999999998</v>
      </c>
      <c r="E25" s="20">
        <f t="shared" si="4"/>
        <v>206.50000000000003</v>
      </c>
      <c r="F25" s="20">
        <f t="shared" si="4"/>
        <v>277.39999999999998</v>
      </c>
      <c r="G25" s="20">
        <f t="shared" si="4"/>
        <v>354.1</v>
      </c>
      <c r="H25" s="73" t="e">
        <f t="shared" si="4"/>
        <v>#N/A</v>
      </c>
      <c r="I25" s="73" t="e">
        <f t="shared" si="4"/>
        <v>#N/A</v>
      </c>
      <c r="J25" s="73" t="e">
        <f t="shared" si="4"/>
        <v>#N/A</v>
      </c>
      <c r="K25" s="73" t="e">
        <f t="shared" si="4"/>
        <v>#N/A</v>
      </c>
      <c r="L25" s="73" t="e">
        <f t="shared" si="4"/>
        <v>#N/A</v>
      </c>
      <c r="M25" s="73" t="e">
        <f t="shared" si="4"/>
        <v>#N/A</v>
      </c>
      <c r="N25" s="73" t="e">
        <f t="shared" si="4"/>
        <v>#N/A</v>
      </c>
      <c r="O25" s="73" t="e">
        <f t="shared" si="4"/>
        <v>#N/A</v>
      </c>
      <c r="P25" s="73" t="e">
        <f t="shared" si="4"/>
        <v>#N/A</v>
      </c>
      <c r="Q25" s="73" t="e">
        <f t="shared" si="4"/>
        <v>#N/A</v>
      </c>
    </row>
    <row r="26" spans="1:17" x14ac:dyDescent="0.35">
      <c r="B26" t="s">
        <v>50</v>
      </c>
      <c r="C26" t="s">
        <v>33</v>
      </c>
      <c r="D26" s="6"/>
      <c r="E26" s="6"/>
      <c r="F26" s="6"/>
      <c r="G26" s="6"/>
      <c r="H26" s="74" t="e">
        <f t="shared" ref="H26:Q26" si="5">IF(G25=0,"",H25/G25-1)</f>
        <v>#N/A</v>
      </c>
      <c r="I26" s="74" t="e">
        <f t="shared" si="5"/>
        <v>#N/A</v>
      </c>
      <c r="J26" s="74" t="e">
        <f t="shared" si="5"/>
        <v>#N/A</v>
      </c>
      <c r="K26" s="74" t="e">
        <f t="shared" si="5"/>
        <v>#N/A</v>
      </c>
      <c r="L26" s="74" t="e">
        <f t="shared" si="5"/>
        <v>#N/A</v>
      </c>
      <c r="M26" s="74" t="e">
        <f t="shared" si="5"/>
        <v>#N/A</v>
      </c>
      <c r="N26" s="74" t="e">
        <f t="shared" si="5"/>
        <v>#N/A</v>
      </c>
      <c r="O26" s="74" t="e">
        <f t="shared" si="5"/>
        <v>#N/A</v>
      </c>
      <c r="P26" s="74" t="e">
        <f t="shared" si="5"/>
        <v>#N/A</v>
      </c>
      <c r="Q26" s="74" t="e">
        <f t="shared" si="5"/>
        <v>#N/A</v>
      </c>
    </row>
    <row r="27" spans="1:17" x14ac:dyDescent="0.35">
      <c r="B27" t="s">
        <v>51</v>
      </c>
      <c r="C27" t="s">
        <v>52</v>
      </c>
      <c r="D27" s="6"/>
      <c r="E27" s="6"/>
      <c r="F27" s="6"/>
      <c r="G27" s="6"/>
      <c r="H27" s="74" t="e">
        <f t="shared" ref="H27:Q27" si="6">IF(H11+H18=0,"",H25/(H11+H18))</f>
        <v>#N/A</v>
      </c>
      <c r="I27" s="74" t="e">
        <f t="shared" si="6"/>
        <v>#N/A</v>
      </c>
      <c r="J27" s="74" t="e">
        <f t="shared" si="6"/>
        <v>#N/A</v>
      </c>
      <c r="K27" s="74" t="e">
        <f t="shared" si="6"/>
        <v>#N/A</v>
      </c>
      <c r="L27" s="74" t="e">
        <f t="shared" si="6"/>
        <v>#N/A</v>
      </c>
      <c r="M27" s="74" t="e">
        <f t="shared" si="6"/>
        <v>#N/A</v>
      </c>
      <c r="N27" s="74" t="e">
        <f t="shared" si="6"/>
        <v>#N/A</v>
      </c>
      <c r="O27" s="74" t="e">
        <f t="shared" si="6"/>
        <v>#N/A</v>
      </c>
      <c r="P27" s="74" t="e">
        <f t="shared" si="6"/>
        <v>#N/A</v>
      </c>
      <c r="Q27" s="74" t="e">
        <f t="shared" si="6"/>
        <v>#N/A</v>
      </c>
    </row>
    <row r="28" spans="1:17" x14ac:dyDescent="0.35">
      <c r="G28" s="4"/>
    </row>
    <row r="29" spans="1:17" x14ac:dyDescent="0.35">
      <c r="B29" s="5" t="s">
        <v>53</v>
      </c>
    </row>
    <row r="30" spans="1:17" x14ac:dyDescent="0.35">
      <c r="A30" t="s">
        <v>54</v>
      </c>
      <c r="B30" t="s">
        <v>55</v>
      </c>
      <c r="C30" t="s">
        <v>23</v>
      </c>
      <c r="D30" s="51">
        <v>-73.2</v>
      </c>
      <c r="E30" s="51">
        <v>-113.7</v>
      </c>
      <c r="F30" s="51">
        <v>-153.69999999999999</v>
      </c>
      <c r="G30" s="51">
        <v>-184.7</v>
      </c>
      <c r="H30" s="63" t="e">
        <f>INDEX('HY &amp; Segments'!$A:$AA,MATCH($A30,'HY &amp; Segments'!$A:$A,0),MATCH("1H"&amp;RIGHT(H$1,2),'HY &amp; Segments'!$3:$3,0))+INDEX('HY &amp; Segments'!$A:$AA,MATCH($A30,'HY &amp; Segments'!$A:$A,0),MATCH("2H"&amp;RIGHT(H$1,2),'HY &amp; Segments'!$3:$3,0))</f>
        <v>#N/A</v>
      </c>
      <c r="I30" s="63" t="e">
        <f>INDEX('HY &amp; Segments'!$A:$AA,MATCH($A30,'HY &amp; Segments'!$A:$A,0),MATCH("1H"&amp;RIGHT(I$1,2),'HY &amp; Segments'!$3:$3,0))+INDEX('HY &amp; Segments'!$A:$AA,MATCH($A30,'HY &amp; Segments'!$A:$A,0),MATCH("2H"&amp;RIGHT(I$1,2),'HY &amp; Segments'!$3:$3,0))</f>
        <v>#N/A</v>
      </c>
      <c r="J30" s="63" t="e">
        <f>INDEX('HY &amp; Segments'!$A:$AA,MATCH($A30,'HY &amp; Segments'!$A:$A,0),MATCH("1H"&amp;RIGHT(J$1,2),'HY &amp; Segments'!$3:$3,0))+INDEX('HY &amp; Segments'!$A:$AA,MATCH($A30,'HY &amp; Segments'!$A:$A,0),MATCH("2H"&amp;RIGHT(J$1,2),'HY &amp; Segments'!$3:$3,0))</f>
        <v>#N/A</v>
      </c>
      <c r="K30" s="63" t="e">
        <f>INDEX('HY &amp; Segments'!$A:$AA,MATCH($A30,'HY &amp; Segments'!$A:$A,0),MATCH("1H"&amp;RIGHT(K$1,2),'HY &amp; Segments'!$3:$3,0))+INDEX('HY &amp; Segments'!$A:$AA,MATCH($A30,'HY &amp; Segments'!$A:$A,0),MATCH("2H"&amp;RIGHT(K$1,2),'HY &amp; Segments'!$3:$3,0))</f>
        <v>#N/A</v>
      </c>
      <c r="L30" s="63" t="e">
        <f>INDEX('HY &amp; Segments'!$A:$AA,MATCH($A30,'HY &amp; Segments'!$A:$A,0),MATCH("1H"&amp;RIGHT(L$1,2),'HY &amp; Segments'!$3:$3,0))+INDEX('HY &amp; Segments'!$A:$AA,MATCH($A30,'HY &amp; Segments'!$A:$A,0),MATCH("2H"&amp;RIGHT(L$1,2),'HY &amp; Segments'!$3:$3,0))</f>
        <v>#N/A</v>
      </c>
      <c r="M30" s="63" t="e">
        <f>INDEX('HY &amp; Segments'!$A:$AA,MATCH($A30,'HY &amp; Segments'!$A:$A,0),MATCH("1H"&amp;RIGHT(M$1,2),'HY &amp; Segments'!$3:$3,0))+INDEX('HY &amp; Segments'!$A:$AA,MATCH($A30,'HY &amp; Segments'!$A:$A,0),MATCH("2H"&amp;RIGHT(M$1,2),'HY &amp; Segments'!$3:$3,0))</f>
        <v>#N/A</v>
      </c>
      <c r="N30" s="63" t="e">
        <f>INDEX('HY &amp; Segments'!$A:$AA,MATCH($A30,'HY &amp; Segments'!$A:$A,0),MATCH("1H"&amp;RIGHT(N$1,2),'HY &amp; Segments'!$3:$3,0))+INDEX('HY &amp; Segments'!$A:$AA,MATCH($A30,'HY &amp; Segments'!$A:$A,0),MATCH("2H"&amp;RIGHT(N$1,2),'HY &amp; Segments'!$3:$3,0))</f>
        <v>#N/A</v>
      </c>
      <c r="O30" s="63" t="e">
        <f>INDEX('HY &amp; Segments'!$A:$AA,MATCH($A30,'HY &amp; Segments'!$A:$A,0),MATCH("1H"&amp;RIGHT(O$1,2),'HY &amp; Segments'!$3:$3,0))+INDEX('HY &amp; Segments'!$A:$AA,MATCH($A30,'HY &amp; Segments'!$A:$A,0),MATCH("2H"&amp;RIGHT(O$1,2),'HY &amp; Segments'!$3:$3,0))</f>
        <v>#N/A</v>
      </c>
      <c r="P30" s="63" t="e">
        <f>INDEX('HY &amp; Segments'!$A:$AA,MATCH($A30,'HY &amp; Segments'!$A:$A,0),MATCH("1H"&amp;RIGHT(P$1,2),'HY &amp; Segments'!$3:$3,0))+INDEX('HY &amp; Segments'!$A:$AA,MATCH($A30,'HY &amp; Segments'!$A:$A,0),MATCH("2H"&amp;RIGHT(P$1,2),'HY &amp; Segments'!$3:$3,0))</f>
        <v>#N/A</v>
      </c>
      <c r="Q30" s="63" t="e">
        <f>INDEX('HY &amp; Segments'!$A:$AA,MATCH($A30,'HY &amp; Segments'!$A:$A,0),MATCH("1H"&amp;RIGHT(Q$1,2),'HY &amp; Segments'!$3:$3,0))+INDEX('HY &amp; Segments'!$A:$AA,MATCH($A30,'HY &amp; Segments'!$A:$A,0),MATCH("2H"&amp;RIGHT(Q$1,2),'HY &amp; Segments'!$3:$3,0))</f>
        <v>#N/A</v>
      </c>
    </row>
    <row r="31" spans="1:17" x14ac:dyDescent="0.35">
      <c r="A31" t="s">
        <v>56</v>
      </c>
      <c r="B31" t="s">
        <v>57</v>
      </c>
      <c r="C31" t="s">
        <v>23</v>
      </c>
      <c r="D31" s="51">
        <v>-24.8</v>
      </c>
      <c r="E31" s="51">
        <v>-35.299999999999997</v>
      </c>
      <c r="F31" s="51">
        <v>-60.6</v>
      </c>
      <c r="G31" s="51">
        <v>-53.6</v>
      </c>
      <c r="H31" s="63" t="e">
        <f>INDEX('HY &amp; Segments'!$A:$AA,MATCH($A31,'HY &amp; Segments'!$A:$A,0),MATCH("1H"&amp;RIGHT(H$1,2),'HY &amp; Segments'!$3:$3,0))+INDEX('HY &amp; Segments'!$A:$AA,MATCH($A31,'HY &amp; Segments'!$A:$A,0),MATCH("2H"&amp;RIGHT(H$1,2),'HY &amp; Segments'!$3:$3,0))</f>
        <v>#N/A</v>
      </c>
      <c r="I31" s="63" t="e">
        <f>INDEX('HY &amp; Segments'!$A:$AA,MATCH($A31,'HY &amp; Segments'!$A:$A,0),MATCH("1H"&amp;RIGHT(I$1,2),'HY &amp; Segments'!$3:$3,0))+INDEX('HY &amp; Segments'!$A:$AA,MATCH($A31,'HY &amp; Segments'!$A:$A,0),MATCH("2H"&amp;RIGHT(I$1,2),'HY &amp; Segments'!$3:$3,0))</f>
        <v>#N/A</v>
      </c>
      <c r="J31" s="63" t="e">
        <f>INDEX('HY &amp; Segments'!$A:$AA,MATCH($A31,'HY &amp; Segments'!$A:$A,0),MATCH("1H"&amp;RIGHT(J$1,2),'HY &amp; Segments'!$3:$3,0))+INDEX('HY &amp; Segments'!$A:$AA,MATCH($A31,'HY &amp; Segments'!$A:$A,0),MATCH("2H"&amp;RIGHT(J$1,2),'HY &amp; Segments'!$3:$3,0))</f>
        <v>#N/A</v>
      </c>
      <c r="K31" s="63" t="e">
        <f>INDEX('HY &amp; Segments'!$A:$AA,MATCH($A31,'HY &amp; Segments'!$A:$A,0),MATCH("1H"&amp;RIGHT(K$1,2),'HY &amp; Segments'!$3:$3,0))+INDEX('HY &amp; Segments'!$A:$AA,MATCH($A31,'HY &amp; Segments'!$A:$A,0),MATCH("2H"&amp;RIGHT(K$1,2),'HY &amp; Segments'!$3:$3,0))</f>
        <v>#N/A</v>
      </c>
      <c r="L31" s="63" t="e">
        <f>INDEX('HY &amp; Segments'!$A:$AA,MATCH($A31,'HY &amp; Segments'!$A:$A,0),MATCH("1H"&amp;RIGHT(L$1,2),'HY &amp; Segments'!$3:$3,0))+INDEX('HY &amp; Segments'!$A:$AA,MATCH($A31,'HY &amp; Segments'!$A:$A,0),MATCH("2H"&amp;RIGHT(L$1,2),'HY &amp; Segments'!$3:$3,0))</f>
        <v>#N/A</v>
      </c>
      <c r="M31" s="63" t="e">
        <f>INDEX('HY &amp; Segments'!$A:$AA,MATCH($A31,'HY &amp; Segments'!$A:$A,0),MATCH("1H"&amp;RIGHT(M$1,2),'HY &amp; Segments'!$3:$3,0))+INDEX('HY &amp; Segments'!$A:$AA,MATCH($A31,'HY &amp; Segments'!$A:$A,0),MATCH("2H"&amp;RIGHT(M$1,2),'HY &amp; Segments'!$3:$3,0))</f>
        <v>#N/A</v>
      </c>
      <c r="N31" s="63" t="e">
        <f>INDEX('HY &amp; Segments'!$A:$AA,MATCH($A31,'HY &amp; Segments'!$A:$A,0),MATCH("1H"&amp;RIGHT(N$1,2),'HY &amp; Segments'!$3:$3,0))+INDEX('HY &amp; Segments'!$A:$AA,MATCH($A31,'HY &amp; Segments'!$A:$A,0),MATCH("2H"&amp;RIGHT(N$1,2),'HY &amp; Segments'!$3:$3,0))</f>
        <v>#N/A</v>
      </c>
      <c r="O31" s="63" t="e">
        <f>INDEX('HY &amp; Segments'!$A:$AA,MATCH($A31,'HY &amp; Segments'!$A:$A,0),MATCH("1H"&amp;RIGHT(O$1,2),'HY &amp; Segments'!$3:$3,0))+INDEX('HY &amp; Segments'!$A:$AA,MATCH($A31,'HY &amp; Segments'!$A:$A,0),MATCH("2H"&amp;RIGHT(O$1,2),'HY &amp; Segments'!$3:$3,0))</f>
        <v>#N/A</v>
      </c>
      <c r="P31" s="63" t="e">
        <f>INDEX('HY &amp; Segments'!$A:$AA,MATCH($A31,'HY &amp; Segments'!$A:$A,0),MATCH("1H"&amp;RIGHT(P$1,2),'HY &amp; Segments'!$3:$3,0))+INDEX('HY &amp; Segments'!$A:$AA,MATCH($A31,'HY &amp; Segments'!$A:$A,0),MATCH("2H"&amp;RIGHT(P$1,2),'HY &amp; Segments'!$3:$3,0))</f>
        <v>#N/A</v>
      </c>
      <c r="Q31" s="63" t="e">
        <f>INDEX('HY &amp; Segments'!$A:$AA,MATCH($A31,'HY &amp; Segments'!$A:$A,0),MATCH("1H"&amp;RIGHT(Q$1,2),'HY &amp; Segments'!$3:$3,0))+INDEX('HY &amp; Segments'!$A:$AA,MATCH($A31,'HY &amp; Segments'!$A:$A,0),MATCH("2H"&amp;RIGHT(Q$1,2),'HY &amp; Segments'!$3:$3,0))</f>
        <v>#N/A</v>
      </c>
    </row>
    <row r="32" spans="1:17" x14ac:dyDescent="0.35">
      <c r="A32" t="s">
        <v>58</v>
      </c>
      <c r="B32" t="s">
        <v>59</v>
      </c>
      <c r="C32" t="s">
        <v>23</v>
      </c>
      <c r="D32" s="51">
        <v>-11.3</v>
      </c>
      <c r="E32" s="51">
        <v>-13.7</v>
      </c>
      <c r="F32" s="51">
        <v>-17.899999999999999</v>
      </c>
      <c r="G32" s="51">
        <v>-21.3</v>
      </c>
      <c r="H32" s="63" t="e">
        <f>INDEX('HY &amp; Segments'!$A:$AA,MATCH($A32,'HY &amp; Segments'!$A:$A,0),MATCH("1H"&amp;RIGHT(H$1,2),'HY &amp; Segments'!$3:$3,0))+INDEX('HY &amp; Segments'!$A:$AA,MATCH($A32,'HY &amp; Segments'!$A:$A,0),MATCH("2H"&amp;RIGHT(H$1,2),'HY &amp; Segments'!$3:$3,0))</f>
        <v>#N/A</v>
      </c>
      <c r="I32" s="63" t="e">
        <f>INDEX('HY &amp; Segments'!$A:$AA,MATCH($A32,'HY &amp; Segments'!$A:$A,0),MATCH("1H"&amp;RIGHT(I$1,2),'HY &amp; Segments'!$3:$3,0))+INDEX('HY &amp; Segments'!$A:$AA,MATCH($A32,'HY &amp; Segments'!$A:$A,0),MATCH("2H"&amp;RIGHT(I$1,2),'HY &amp; Segments'!$3:$3,0))</f>
        <v>#N/A</v>
      </c>
      <c r="J32" s="63" t="e">
        <f>INDEX('HY &amp; Segments'!$A:$AA,MATCH($A32,'HY &amp; Segments'!$A:$A,0),MATCH("1H"&amp;RIGHT(J$1,2),'HY &amp; Segments'!$3:$3,0))+INDEX('HY &amp; Segments'!$A:$AA,MATCH($A32,'HY &amp; Segments'!$A:$A,0),MATCH("2H"&amp;RIGHT(J$1,2),'HY &amp; Segments'!$3:$3,0))</f>
        <v>#N/A</v>
      </c>
      <c r="K32" s="63" t="e">
        <f>INDEX('HY &amp; Segments'!$A:$AA,MATCH($A32,'HY &amp; Segments'!$A:$A,0),MATCH("1H"&amp;RIGHT(K$1,2),'HY &amp; Segments'!$3:$3,0))+INDEX('HY &amp; Segments'!$A:$AA,MATCH($A32,'HY &amp; Segments'!$A:$A,0),MATCH("2H"&amp;RIGHT(K$1,2),'HY &amp; Segments'!$3:$3,0))</f>
        <v>#N/A</v>
      </c>
      <c r="L32" s="63" t="e">
        <f>INDEX('HY &amp; Segments'!$A:$AA,MATCH($A32,'HY &amp; Segments'!$A:$A,0),MATCH("1H"&amp;RIGHT(L$1,2),'HY &amp; Segments'!$3:$3,0))+INDEX('HY &amp; Segments'!$A:$AA,MATCH($A32,'HY &amp; Segments'!$A:$A,0),MATCH("2H"&amp;RIGHT(L$1,2),'HY &amp; Segments'!$3:$3,0))</f>
        <v>#N/A</v>
      </c>
      <c r="M32" s="63" t="e">
        <f>INDEX('HY &amp; Segments'!$A:$AA,MATCH($A32,'HY &amp; Segments'!$A:$A,0),MATCH("1H"&amp;RIGHT(M$1,2),'HY &amp; Segments'!$3:$3,0))+INDEX('HY &amp; Segments'!$A:$AA,MATCH($A32,'HY &amp; Segments'!$A:$A,0),MATCH("2H"&amp;RIGHT(M$1,2),'HY &amp; Segments'!$3:$3,0))</f>
        <v>#N/A</v>
      </c>
      <c r="N32" s="63" t="e">
        <f>INDEX('HY &amp; Segments'!$A:$AA,MATCH($A32,'HY &amp; Segments'!$A:$A,0),MATCH("1H"&amp;RIGHT(N$1,2),'HY &amp; Segments'!$3:$3,0))+INDEX('HY &amp; Segments'!$A:$AA,MATCH($A32,'HY &amp; Segments'!$A:$A,0),MATCH("2H"&amp;RIGHT(N$1,2),'HY &amp; Segments'!$3:$3,0))</f>
        <v>#N/A</v>
      </c>
      <c r="O32" s="63" t="e">
        <f>INDEX('HY &amp; Segments'!$A:$AA,MATCH($A32,'HY &amp; Segments'!$A:$A,0),MATCH("1H"&amp;RIGHT(O$1,2),'HY &amp; Segments'!$3:$3,0))+INDEX('HY &amp; Segments'!$A:$AA,MATCH($A32,'HY &amp; Segments'!$A:$A,0),MATCH("2H"&amp;RIGHT(O$1,2),'HY &amp; Segments'!$3:$3,0))</f>
        <v>#N/A</v>
      </c>
      <c r="P32" s="63" t="e">
        <f>INDEX('HY &amp; Segments'!$A:$AA,MATCH($A32,'HY &amp; Segments'!$A:$A,0),MATCH("1H"&amp;RIGHT(P$1,2),'HY &amp; Segments'!$3:$3,0))+INDEX('HY &amp; Segments'!$A:$AA,MATCH($A32,'HY &amp; Segments'!$A:$A,0),MATCH("2H"&amp;RIGHT(P$1,2),'HY &amp; Segments'!$3:$3,0))</f>
        <v>#N/A</v>
      </c>
      <c r="Q32" s="63" t="e">
        <f>INDEX('HY &amp; Segments'!$A:$AA,MATCH($A32,'HY &amp; Segments'!$A:$A,0),MATCH("1H"&amp;RIGHT(Q$1,2),'HY &amp; Segments'!$3:$3,0))+INDEX('HY &amp; Segments'!$A:$AA,MATCH($A32,'HY &amp; Segments'!$A:$A,0),MATCH("2H"&amp;RIGHT(Q$1,2),'HY &amp; Segments'!$3:$3,0))</f>
        <v>#N/A</v>
      </c>
    </row>
    <row r="33" spans="1:17" x14ac:dyDescent="0.35">
      <c r="A33" t="s">
        <v>60</v>
      </c>
      <c r="B33" t="s">
        <v>61</v>
      </c>
      <c r="C33" t="s">
        <v>23</v>
      </c>
      <c r="D33" s="51">
        <v>-10</v>
      </c>
      <c r="E33" s="51">
        <v>-14</v>
      </c>
      <c r="F33" s="51">
        <v>-17.899999999999999</v>
      </c>
      <c r="G33" s="51">
        <v>-29.4</v>
      </c>
      <c r="H33" s="63" t="e">
        <f>INDEX('HY &amp; Segments'!$A:$AA,MATCH($A33,'HY &amp; Segments'!$A:$A,0),MATCH("1H"&amp;RIGHT(H$1,2),'HY &amp; Segments'!$3:$3,0))+INDEX('HY &amp; Segments'!$A:$AA,MATCH($A33,'HY &amp; Segments'!$A:$A,0),MATCH("2H"&amp;RIGHT(H$1,2),'HY &amp; Segments'!$3:$3,0))</f>
        <v>#N/A</v>
      </c>
      <c r="I33" s="63" t="e">
        <f>INDEX('HY &amp; Segments'!$A:$AA,MATCH($A33,'HY &amp; Segments'!$A:$A,0),MATCH("1H"&amp;RIGHT(I$1,2),'HY &amp; Segments'!$3:$3,0))+INDEX('HY &amp; Segments'!$A:$AA,MATCH($A33,'HY &amp; Segments'!$A:$A,0),MATCH("2H"&amp;RIGHT(I$1,2),'HY &amp; Segments'!$3:$3,0))</f>
        <v>#N/A</v>
      </c>
      <c r="J33" s="63" t="e">
        <f>INDEX('HY &amp; Segments'!$A:$AA,MATCH($A33,'HY &amp; Segments'!$A:$A,0),MATCH("1H"&amp;RIGHT(J$1,2),'HY &amp; Segments'!$3:$3,0))+INDEX('HY &amp; Segments'!$A:$AA,MATCH($A33,'HY &amp; Segments'!$A:$A,0),MATCH("2H"&amp;RIGHT(J$1,2),'HY &amp; Segments'!$3:$3,0))</f>
        <v>#N/A</v>
      </c>
      <c r="K33" s="63" t="e">
        <f>INDEX('HY &amp; Segments'!$A:$AA,MATCH($A33,'HY &amp; Segments'!$A:$A,0),MATCH("1H"&amp;RIGHT(K$1,2),'HY &amp; Segments'!$3:$3,0))+INDEX('HY &amp; Segments'!$A:$AA,MATCH($A33,'HY &amp; Segments'!$A:$A,0),MATCH("2H"&amp;RIGHT(K$1,2),'HY &amp; Segments'!$3:$3,0))</f>
        <v>#N/A</v>
      </c>
      <c r="L33" s="63" t="e">
        <f>INDEX('HY &amp; Segments'!$A:$AA,MATCH($A33,'HY &amp; Segments'!$A:$A,0),MATCH("1H"&amp;RIGHT(L$1,2),'HY &amp; Segments'!$3:$3,0))+INDEX('HY &amp; Segments'!$A:$AA,MATCH($A33,'HY &amp; Segments'!$A:$A,0),MATCH("2H"&amp;RIGHT(L$1,2),'HY &amp; Segments'!$3:$3,0))</f>
        <v>#N/A</v>
      </c>
      <c r="M33" s="63" t="e">
        <f>INDEX('HY &amp; Segments'!$A:$AA,MATCH($A33,'HY &amp; Segments'!$A:$A,0),MATCH("1H"&amp;RIGHT(M$1,2),'HY &amp; Segments'!$3:$3,0))+INDEX('HY &amp; Segments'!$A:$AA,MATCH($A33,'HY &amp; Segments'!$A:$A,0),MATCH("2H"&amp;RIGHT(M$1,2),'HY &amp; Segments'!$3:$3,0))</f>
        <v>#N/A</v>
      </c>
      <c r="N33" s="63" t="e">
        <f>INDEX('HY &amp; Segments'!$A:$AA,MATCH($A33,'HY &amp; Segments'!$A:$A,0),MATCH("1H"&amp;RIGHT(N$1,2),'HY &amp; Segments'!$3:$3,0))+INDEX('HY &amp; Segments'!$A:$AA,MATCH($A33,'HY &amp; Segments'!$A:$A,0),MATCH("2H"&amp;RIGHT(N$1,2),'HY &amp; Segments'!$3:$3,0))</f>
        <v>#N/A</v>
      </c>
      <c r="O33" s="63" t="e">
        <f>INDEX('HY &amp; Segments'!$A:$AA,MATCH($A33,'HY &amp; Segments'!$A:$A,0),MATCH("1H"&amp;RIGHT(O$1,2),'HY &amp; Segments'!$3:$3,0))+INDEX('HY &amp; Segments'!$A:$AA,MATCH($A33,'HY &amp; Segments'!$A:$A,0),MATCH("2H"&amp;RIGHT(O$1,2),'HY &amp; Segments'!$3:$3,0))</f>
        <v>#N/A</v>
      </c>
      <c r="P33" s="63" t="e">
        <f>INDEX('HY &amp; Segments'!$A:$AA,MATCH($A33,'HY &amp; Segments'!$A:$A,0),MATCH("1H"&amp;RIGHT(P$1,2),'HY &amp; Segments'!$3:$3,0))+INDEX('HY &amp; Segments'!$A:$AA,MATCH($A33,'HY &amp; Segments'!$A:$A,0),MATCH("2H"&amp;RIGHT(P$1,2),'HY &amp; Segments'!$3:$3,0))</f>
        <v>#N/A</v>
      </c>
      <c r="Q33" s="63" t="e">
        <f>INDEX('HY &amp; Segments'!$A:$AA,MATCH($A33,'HY &amp; Segments'!$A:$A,0),MATCH("1H"&amp;RIGHT(Q$1,2),'HY &amp; Segments'!$3:$3,0))+INDEX('HY &amp; Segments'!$A:$AA,MATCH($A33,'HY &amp; Segments'!$A:$A,0),MATCH("2H"&amp;RIGHT(Q$1,2),'HY &amp; Segments'!$3:$3,0))</f>
        <v>#N/A</v>
      </c>
    </row>
    <row r="34" spans="1:17" x14ac:dyDescent="0.35">
      <c r="A34" t="s">
        <v>62</v>
      </c>
      <c r="B34" s="19" t="s">
        <v>63</v>
      </c>
      <c r="C34" s="19" t="s">
        <v>23</v>
      </c>
      <c r="D34" s="20">
        <f t="shared" ref="D34:Q34" si="7">SUM(D30:D33)</f>
        <v>-119.3</v>
      </c>
      <c r="E34" s="20">
        <f t="shared" si="7"/>
        <v>-176.7</v>
      </c>
      <c r="F34" s="20">
        <f t="shared" si="7"/>
        <v>-250.1</v>
      </c>
      <c r="G34" s="20">
        <f t="shared" si="7"/>
        <v>-288.99999999999994</v>
      </c>
      <c r="H34" s="73" t="e">
        <f t="shared" si="7"/>
        <v>#N/A</v>
      </c>
      <c r="I34" s="73" t="e">
        <f t="shared" si="7"/>
        <v>#N/A</v>
      </c>
      <c r="J34" s="73" t="e">
        <f t="shared" si="7"/>
        <v>#N/A</v>
      </c>
      <c r="K34" s="73" t="e">
        <f t="shared" si="7"/>
        <v>#N/A</v>
      </c>
      <c r="L34" s="73" t="e">
        <f t="shared" si="7"/>
        <v>#N/A</v>
      </c>
      <c r="M34" s="73" t="e">
        <f t="shared" si="7"/>
        <v>#N/A</v>
      </c>
      <c r="N34" s="73" t="e">
        <f t="shared" si="7"/>
        <v>#N/A</v>
      </c>
      <c r="O34" s="73" t="e">
        <f t="shared" si="7"/>
        <v>#N/A</v>
      </c>
      <c r="P34" s="73" t="e">
        <f t="shared" si="7"/>
        <v>#N/A</v>
      </c>
      <c r="Q34" s="73" t="e">
        <f t="shared" si="7"/>
        <v>#N/A</v>
      </c>
    </row>
    <row r="35" spans="1:17" x14ac:dyDescent="0.35">
      <c r="B35" t="s">
        <v>64</v>
      </c>
      <c r="C35" t="s">
        <v>33</v>
      </c>
      <c r="D35" s="6"/>
      <c r="E35" s="6"/>
      <c r="F35" s="6"/>
      <c r="G35" s="6"/>
      <c r="H35" s="74" t="e">
        <f t="shared" ref="H35:Q35" si="8">IF(G34=0,"",H34/G34-1)</f>
        <v>#N/A</v>
      </c>
      <c r="I35" s="74" t="e">
        <f t="shared" si="8"/>
        <v>#N/A</v>
      </c>
      <c r="J35" s="74" t="e">
        <f t="shared" si="8"/>
        <v>#N/A</v>
      </c>
      <c r="K35" s="74" t="e">
        <f t="shared" si="8"/>
        <v>#N/A</v>
      </c>
      <c r="L35" s="74" t="e">
        <f t="shared" si="8"/>
        <v>#N/A</v>
      </c>
      <c r="M35" s="74" t="e">
        <f t="shared" si="8"/>
        <v>#N/A</v>
      </c>
      <c r="N35" s="74" t="e">
        <f t="shared" si="8"/>
        <v>#N/A</v>
      </c>
      <c r="O35" s="74" t="e">
        <f t="shared" si="8"/>
        <v>#N/A</v>
      </c>
      <c r="P35" s="74" t="e">
        <f t="shared" si="8"/>
        <v>#N/A</v>
      </c>
      <c r="Q35" s="74" t="e">
        <f t="shared" si="8"/>
        <v>#N/A</v>
      </c>
    </row>
    <row r="36" spans="1:17" x14ac:dyDescent="0.35">
      <c r="F36" s="4"/>
      <c r="G36" s="4"/>
    </row>
    <row r="37" spans="1:17" x14ac:dyDescent="0.35">
      <c r="B37" s="5" t="s">
        <v>65</v>
      </c>
    </row>
    <row r="38" spans="1:17" x14ac:dyDescent="0.35">
      <c r="A38" t="s">
        <v>66</v>
      </c>
      <c r="B38" s="19" t="s">
        <v>67</v>
      </c>
      <c r="C38" s="19" t="s">
        <v>23</v>
      </c>
      <c r="D38" s="20">
        <f t="shared" ref="D38:Q38" si="9">D25+D34</f>
        <v>21.59999999999998</v>
      </c>
      <c r="E38" s="20">
        <f t="shared" si="9"/>
        <v>29.80000000000004</v>
      </c>
      <c r="F38" s="20">
        <f t="shared" si="9"/>
        <v>27.299999999999983</v>
      </c>
      <c r="G38" s="20">
        <f t="shared" si="9"/>
        <v>65.10000000000008</v>
      </c>
      <c r="H38" s="73" t="e">
        <f t="shared" si="9"/>
        <v>#N/A</v>
      </c>
      <c r="I38" s="73" t="e">
        <f t="shared" si="9"/>
        <v>#N/A</v>
      </c>
      <c r="J38" s="73" t="e">
        <f t="shared" si="9"/>
        <v>#N/A</v>
      </c>
      <c r="K38" s="73" t="e">
        <f t="shared" si="9"/>
        <v>#N/A</v>
      </c>
      <c r="L38" s="73" t="e">
        <f t="shared" si="9"/>
        <v>#N/A</v>
      </c>
      <c r="M38" s="73" t="e">
        <f t="shared" si="9"/>
        <v>#N/A</v>
      </c>
      <c r="N38" s="73" t="e">
        <f t="shared" si="9"/>
        <v>#N/A</v>
      </c>
      <c r="O38" s="73" t="e">
        <f t="shared" si="9"/>
        <v>#N/A</v>
      </c>
      <c r="P38" s="73" t="e">
        <f t="shared" si="9"/>
        <v>#N/A</v>
      </c>
      <c r="Q38" s="73" t="e">
        <f t="shared" si="9"/>
        <v>#N/A</v>
      </c>
    </row>
    <row r="39" spans="1:17" x14ac:dyDescent="0.35">
      <c r="B39" t="s">
        <v>68</v>
      </c>
      <c r="C39" t="s">
        <v>33</v>
      </c>
      <c r="D39" s="6"/>
      <c r="E39" s="6"/>
      <c r="F39" s="6"/>
      <c r="G39" s="6"/>
      <c r="H39" s="74" t="e">
        <f t="shared" ref="H39:Q39" si="10">IF(G38=0,"",H38/G38-1)</f>
        <v>#N/A</v>
      </c>
      <c r="I39" s="74" t="e">
        <f t="shared" si="10"/>
        <v>#N/A</v>
      </c>
      <c r="J39" s="74" t="e">
        <f t="shared" si="10"/>
        <v>#N/A</v>
      </c>
      <c r="K39" s="74" t="e">
        <f t="shared" si="10"/>
        <v>#N/A</v>
      </c>
      <c r="L39" s="74" t="e">
        <f t="shared" si="10"/>
        <v>#N/A</v>
      </c>
      <c r="M39" s="74" t="e">
        <f t="shared" si="10"/>
        <v>#N/A</v>
      </c>
      <c r="N39" s="74" t="e">
        <f t="shared" si="10"/>
        <v>#N/A</v>
      </c>
      <c r="O39" s="74" t="e">
        <f t="shared" si="10"/>
        <v>#N/A</v>
      </c>
      <c r="P39" s="74" t="e">
        <f t="shared" si="10"/>
        <v>#N/A</v>
      </c>
      <c r="Q39" s="74" t="e">
        <f t="shared" si="10"/>
        <v>#N/A</v>
      </c>
    </row>
    <row r="40" spans="1:17" x14ac:dyDescent="0.35">
      <c r="B40" t="s">
        <v>69</v>
      </c>
      <c r="C40" t="s">
        <v>52</v>
      </c>
      <c r="D40" s="6"/>
      <c r="E40" s="6"/>
      <c r="F40" s="6"/>
      <c r="G40" s="6"/>
      <c r="H40" s="74" t="e">
        <f t="shared" ref="H40:Q40" si="11">IF(H11+H18=0,"",H38/(H11+H18))</f>
        <v>#N/A</v>
      </c>
      <c r="I40" s="74" t="e">
        <f t="shared" si="11"/>
        <v>#N/A</v>
      </c>
      <c r="J40" s="74" t="e">
        <f t="shared" si="11"/>
        <v>#N/A</v>
      </c>
      <c r="K40" s="74" t="e">
        <f t="shared" si="11"/>
        <v>#N/A</v>
      </c>
      <c r="L40" s="74" t="e">
        <f t="shared" si="11"/>
        <v>#N/A</v>
      </c>
      <c r="M40" s="74" t="e">
        <f t="shared" si="11"/>
        <v>#N/A</v>
      </c>
      <c r="N40" s="74" t="e">
        <f t="shared" si="11"/>
        <v>#N/A</v>
      </c>
      <c r="O40" s="74" t="e">
        <f t="shared" si="11"/>
        <v>#N/A</v>
      </c>
      <c r="P40" s="74" t="e">
        <f t="shared" si="11"/>
        <v>#N/A</v>
      </c>
      <c r="Q40" s="74" t="e">
        <f t="shared" si="11"/>
        <v>#N/A</v>
      </c>
    </row>
    <row r="42" spans="1:17" x14ac:dyDescent="0.35">
      <c r="B42" s="5" t="s">
        <v>70</v>
      </c>
    </row>
    <row r="43" spans="1:17" x14ac:dyDescent="0.35">
      <c r="A43" t="s">
        <v>71</v>
      </c>
      <c r="B43" t="s">
        <v>72</v>
      </c>
      <c r="C43" t="s">
        <v>23</v>
      </c>
      <c r="D43" s="51">
        <v>-1.4</v>
      </c>
      <c r="E43" s="51">
        <v>-4.2</v>
      </c>
      <c r="F43" s="51">
        <v>-11.1</v>
      </c>
      <c r="G43" s="51">
        <v>-9</v>
      </c>
      <c r="H43" s="63" t="e">
        <f>INDEX('HY &amp; Segments'!$A:$AA,MATCH($A43,'HY &amp; Segments'!$A:$A,0),MATCH("1H"&amp;RIGHT(H$1,2),'HY &amp; Segments'!$3:$3,0))+INDEX('HY &amp; Segments'!$A:$AA,MATCH($A43,'HY &amp; Segments'!$A:$A,0),MATCH("2H"&amp;RIGHT(H$1,2),'HY &amp; Segments'!$3:$3,0))</f>
        <v>#N/A</v>
      </c>
      <c r="I43" s="63" t="e">
        <f>INDEX('HY &amp; Segments'!$A:$AA,MATCH($A43,'HY &amp; Segments'!$A:$A,0),MATCH("1H"&amp;RIGHT(I$1,2),'HY &amp; Segments'!$3:$3,0))+INDEX('HY &amp; Segments'!$A:$AA,MATCH($A43,'HY &amp; Segments'!$A:$A,0),MATCH("2H"&amp;RIGHT(I$1,2),'HY &amp; Segments'!$3:$3,0))</f>
        <v>#N/A</v>
      </c>
      <c r="J43" s="63" t="e">
        <f>INDEX('HY &amp; Segments'!$A:$AA,MATCH($A43,'HY &amp; Segments'!$A:$A,0),MATCH("1H"&amp;RIGHT(J$1,2),'HY &amp; Segments'!$3:$3,0))+INDEX('HY &amp; Segments'!$A:$AA,MATCH($A43,'HY &amp; Segments'!$A:$A,0),MATCH("2H"&amp;RIGHT(J$1,2),'HY &amp; Segments'!$3:$3,0))</f>
        <v>#N/A</v>
      </c>
      <c r="K43" s="63" t="e">
        <f>INDEX('HY &amp; Segments'!$A:$AA,MATCH($A43,'HY &amp; Segments'!$A:$A,0),MATCH("1H"&amp;RIGHT(K$1,2),'HY &amp; Segments'!$3:$3,0))+INDEX('HY &amp; Segments'!$A:$AA,MATCH($A43,'HY &amp; Segments'!$A:$A,0),MATCH("2H"&amp;RIGHT(K$1,2),'HY &amp; Segments'!$3:$3,0))</f>
        <v>#N/A</v>
      </c>
      <c r="L43" s="63" t="e">
        <f>INDEX('HY &amp; Segments'!$A:$AA,MATCH($A43,'HY &amp; Segments'!$A:$A,0),MATCH("1H"&amp;RIGHT(L$1,2),'HY &amp; Segments'!$3:$3,0))+INDEX('HY &amp; Segments'!$A:$AA,MATCH($A43,'HY &amp; Segments'!$A:$A,0),MATCH("2H"&amp;RIGHT(L$1,2),'HY &amp; Segments'!$3:$3,0))</f>
        <v>#N/A</v>
      </c>
      <c r="M43" s="63" t="e">
        <f>INDEX('HY &amp; Segments'!$A:$AA,MATCH($A43,'HY &amp; Segments'!$A:$A,0),MATCH("1H"&amp;RIGHT(M$1,2),'HY &amp; Segments'!$3:$3,0))+INDEX('HY &amp; Segments'!$A:$AA,MATCH($A43,'HY &amp; Segments'!$A:$A,0),MATCH("2H"&amp;RIGHT(M$1,2),'HY &amp; Segments'!$3:$3,0))</f>
        <v>#N/A</v>
      </c>
      <c r="N43" s="63" t="e">
        <f>INDEX('HY &amp; Segments'!$A:$AA,MATCH($A43,'HY &amp; Segments'!$A:$A,0),MATCH("1H"&amp;RIGHT(N$1,2),'HY &amp; Segments'!$3:$3,0))+INDEX('HY &amp; Segments'!$A:$AA,MATCH($A43,'HY &amp; Segments'!$A:$A,0),MATCH("2H"&amp;RIGHT(N$1,2),'HY &amp; Segments'!$3:$3,0))</f>
        <v>#N/A</v>
      </c>
      <c r="O43" s="63" t="e">
        <f>INDEX('HY &amp; Segments'!$A:$AA,MATCH($A43,'HY &amp; Segments'!$A:$A,0),MATCH("1H"&amp;RIGHT(O$1,2),'HY &amp; Segments'!$3:$3,0))+INDEX('HY &amp; Segments'!$A:$AA,MATCH($A43,'HY &amp; Segments'!$A:$A,0),MATCH("2H"&amp;RIGHT(O$1,2),'HY &amp; Segments'!$3:$3,0))</f>
        <v>#N/A</v>
      </c>
      <c r="P43" s="63" t="e">
        <f>INDEX('HY &amp; Segments'!$A:$AA,MATCH($A43,'HY &amp; Segments'!$A:$A,0),MATCH("1H"&amp;RIGHT(P$1,2),'HY &amp; Segments'!$3:$3,0))+INDEX('HY &amp; Segments'!$A:$AA,MATCH($A43,'HY &amp; Segments'!$A:$A,0),MATCH("2H"&amp;RIGHT(P$1,2),'HY &amp; Segments'!$3:$3,0))</f>
        <v>#N/A</v>
      </c>
      <c r="Q43" s="63" t="e">
        <f>INDEX('HY &amp; Segments'!$A:$AA,MATCH($A43,'HY &amp; Segments'!$A:$A,0),MATCH("1H"&amp;RIGHT(Q$1,2),'HY &amp; Segments'!$3:$3,0))+INDEX('HY &amp; Segments'!$A:$AA,MATCH($A43,'HY &amp; Segments'!$A:$A,0),MATCH("2H"&amp;RIGHT(Q$1,2),'HY &amp; Segments'!$3:$3,0))</f>
        <v>#N/A</v>
      </c>
    </row>
    <row r="44" spans="1:17" x14ac:dyDescent="0.35">
      <c r="A44" t="s">
        <v>73</v>
      </c>
      <c r="B44" t="s">
        <v>74</v>
      </c>
      <c r="C44" t="s">
        <v>23</v>
      </c>
      <c r="D44" s="51">
        <v>-0.3</v>
      </c>
      <c r="E44" s="51">
        <v>-6.4</v>
      </c>
      <c r="F44" s="51">
        <v>-19.7</v>
      </c>
      <c r="G44" s="51">
        <v>2.9</v>
      </c>
      <c r="H44" s="63" t="e">
        <f>INDEX('HY &amp; Segments'!$A:$AA,MATCH($A44,'HY &amp; Segments'!$A:$A,0),MATCH("1H"&amp;RIGHT(H$1,2),'HY &amp; Segments'!$3:$3,0))+INDEX('HY &amp; Segments'!$A:$AA,MATCH($A44,'HY &amp; Segments'!$A:$A,0),MATCH("2H"&amp;RIGHT(H$1,2),'HY &amp; Segments'!$3:$3,0))</f>
        <v>#N/A</v>
      </c>
      <c r="I44" s="63" t="e">
        <f>INDEX('HY &amp; Segments'!$A:$AA,MATCH($A44,'HY &amp; Segments'!$A:$A,0),MATCH("1H"&amp;RIGHT(I$1,2),'HY &amp; Segments'!$3:$3,0))+INDEX('HY &amp; Segments'!$A:$AA,MATCH($A44,'HY &amp; Segments'!$A:$A,0),MATCH("2H"&amp;RIGHT(I$1,2),'HY &amp; Segments'!$3:$3,0))</f>
        <v>#N/A</v>
      </c>
      <c r="J44" s="63" t="e">
        <f>INDEX('HY &amp; Segments'!$A:$AA,MATCH($A44,'HY &amp; Segments'!$A:$A,0),MATCH("1H"&amp;RIGHT(J$1,2),'HY &amp; Segments'!$3:$3,0))+INDEX('HY &amp; Segments'!$A:$AA,MATCH($A44,'HY &amp; Segments'!$A:$A,0),MATCH("2H"&amp;RIGHT(J$1,2),'HY &amp; Segments'!$3:$3,0))</f>
        <v>#N/A</v>
      </c>
      <c r="K44" s="63" t="e">
        <f>INDEX('HY &amp; Segments'!$A:$AA,MATCH($A44,'HY &amp; Segments'!$A:$A,0),MATCH("1H"&amp;RIGHT(K$1,2),'HY &amp; Segments'!$3:$3,0))+INDEX('HY &amp; Segments'!$A:$AA,MATCH($A44,'HY &amp; Segments'!$A:$A,0),MATCH("2H"&amp;RIGHT(K$1,2),'HY &amp; Segments'!$3:$3,0))</f>
        <v>#N/A</v>
      </c>
      <c r="L44" s="63" t="e">
        <f>INDEX('HY &amp; Segments'!$A:$AA,MATCH($A44,'HY &amp; Segments'!$A:$A,0),MATCH("1H"&amp;RIGHT(L$1,2),'HY &amp; Segments'!$3:$3,0))+INDEX('HY &amp; Segments'!$A:$AA,MATCH($A44,'HY &amp; Segments'!$A:$A,0),MATCH("2H"&amp;RIGHT(L$1,2),'HY &amp; Segments'!$3:$3,0))</f>
        <v>#N/A</v>
      </c>
      <c r="M44" s="63" t="e">
        <f>INDEX('HY &amp; Segments'!$A:$AA,MATCH($A44,'HY &amp; Segments'!$A:$A,0),MATCH("1H"&amp;RIGHT(M$1,2),'HY &amp; Segments'!$3:$3,0))+INDEX('HY &amp; Segments'!$A:$AA,MATCH($A44,'HY &amp; Segments'!$A:$A,0),MATCH("2H"&amp;RIGHT(M$1,2),'HY &amp; Segments'!$3:$3,0))</f>
        <v>#N/A</v>
      </c>
      <c r="N44" s="63" t="e">
        <f>INDEX('HY &amp; Segments'!$A:$AA,MATCH($A44,'HY &amp; Segments'!$A:$A,0),MATCH("1H"&amp;RIGHT(N$1,2),'HY &amp; Segments'!$3:$3,0))+INDEX('HY &amp; Segments'!$A:$AA,MATCH($A44,'HY &amp; Segments'!$A:$A,0),MATCH("2H"&amp;RIGHT(N$1,2),'HY &amp; Segments'!$3:$3,0))</f>
        <v>#N/A</v>
      </c>
      <c r="O44" s="63" t="e">
        <f>INDEX('HY &amp; Segments'!$A:$AA,MATCH($A44,'HY &amp; Segments'!$A:$A,0),MATCH("1H"&amp;RIGHT(O$1,2),'HY &amp; Segments'!$3:$3,0))+INDEX('HY &amp; Segments'!$A:$AA,MATCH($A44,'HY &amp; Segments'!$A:$A,0),MATCH("2H"&amp;RIGHT(O$1,2),'HY &amp; Segments'!$3:$3,0))</f>
        <v>#N/A</v>
      </c>
      <c r="P44" s="63" t="e">
        <f>INDEX('HY &amp; Segments'!$A:$AA,MATCH($A44,'HY &amp; Segments'!$A:$A,0),MATCH("1H"&amp;RIGHT(P$1,2),'HY &amp; Segments'!$3:$3,0))+INDEX('HY &amp; Segments'!$A:$AA,MATCH($A44,'HY &amp; Segments'!$A:$A,0),MATCH("2H"&amp;RIGHT(P$1,2),'HY &amp; Segments'!$3:$3,0))</f>
        <v>#N/A</v>
      </c>
      <c r="Q44" s="63" t="e">
        <f>INDEX('HY &amp; Segments'!$A:$AA,MATCH($A44,'HY &amp; Segments'!$A:$A,0),MATCH("1H"&amp;RIGHT(Q$1,2),'HY &amp; Segments'!$3:$3,0))+INDEX('HY &amp; Segments'!$A:$AA,MATCH($A44,'HY &amp; Segments'!$A:$A,0),MATCH("2H"&amp;RIGHT(Q$1,2),'HY &amp; Segments'!$3:$3,0))</f>
        <v>#N/A</v>
      </c>
    </row>
    <row r="45" spans="1:17" x14ac:dyDescent="0.35">
      <c r="A45" t="s">
        <v>75</v>
      </c>
      <c r="B45" t="s">
        <v>76</v>
      </c>
      <c r="C45" t="s">
        <v>23</v>
      </c>
      <c r="D45" s="51">
        <v>8</v>
      </c>
      <c r="E45" s="51">
        <v>11.2</v>
      </c>
      <c r="F45" s="51">
        <v>17.100000000000001</v>
      </c>
      <c r="G45" s="51">
        <v>18.5</v>
      </c>
      <c r="H45" s="63" t="e">
        <f>INDEX('HY &amp; Segments'!$A:$AA,MATCH($A45,'HY &amp; Segments'!$A:$A,0),MATCH("1H"&amp;RIGHT(H$1,2),'HY &amp; Segments'!$3:$3,0))+INDEX('HY &amp; Segments'!$A:$AA,MATCH($A45,'HY &amp; Segments'!$A:$A,0),MATCH("2H"&amp;RIGHT(H$1,2),'HY &amp; Segments'!$3:$3,0))</f>
        <v>#N/A</v>
      </c>
      <c r="I45" s="63" t="e">
        <f>INDEX('HY &amp; Segments'!$A:$AA,MATCH($A45,'HY &amp; Segments'!$A:$A,0),MATCH("1H"&amp;RIGHT(I$1,2),'HY &amp; Segments'!$3:$3,0))+INDEX('HY &amp; Segments'!$A:$AA,MATCH($A45,'HY &amp; Segments'!$A:$A,0),MATCH("2H"&amp;RIGHT(I$1,2),'HY &amp; Segments'!$3:$3,0))</f>
        <v>#N/A</v>
      </c>
      <c r="J45" s="63" t="e">
        <f>INDEX('HY &amp; Segments'!$A:$AA,MATCH($A45,'HY &amp; Segments'!$A:$A,0),MATCH("1H"&amp;RIGHT(J$1,2),'HY &amp; Segments'!$3:$3,0))+INDEX('HY &amp; Segments'!$A:$AA,MATCH($A45,'HY &amp; Segments'!$A:$A,0),MATCH("2H"&amp;RIGHT(J$1,2),'HY &amp; Segments'!$3:$3,0))</f>
        <v>#N/A</v>
      </c>
      <c r="K45" s="63" t="e">
        <f>INDEX('HY &amp; Segments'!$A:$AA,MATCH($A45,'HY &amp; Segments'!$A:$A,0),MATCH("1H"&amp;RIGHT(K$1,2),'HY &amp; Segments'!$3:$3,0))+INDEX('HY &amp; Segments'!$A:$AA,MATCH($A45,'HY &amp; Segments'!$A:$A,0),MATCH("2H"&amp;RIGHT(K$1,2),'HY &amp; Segments'!$3:$3,0))</f>
        <v>#N/A</v>
      </c>
      <c r="L45" s="63" t="e">
        <f>INDEX('HY &amp; Segments'!$A:$AA,MATCH($A45,'HY &amp; Segments'!$A:$A,0),MATCH("1H"&amp;RIGHT(L$1,2),'HY &amp; Segments'!$3:$3,0))+INDEX('HY &amp; Segments'!$A:$AA,MATCH($A45,'HY &amp; Segments'!$A:$A,0),MATCH("2H"&amp;RIGHT(L$1,2),'HY &amp; Segments'!$3:$3,0))</f>
        <v>#N/A</v>
      </c>
      <c r="M45" s="63" t="e">
        <f>INDEX('HY &amp; Segments'!$A:$AA,MATCH($A45,'HY &amp; Segments'!$A:$A,0),MATCH("1H"&amp;RIGHT(M$1,2),'HY &amp; Segments'!$3:$3,0))+INDEX('HY &amp; Segments'!$A:$AA,MATCH($A45,'HY &amp; Segments'!$A:$A,0),MATCH("2H"&amp;RIGHT(M$1,2),'HY &amp; Segments'!$3:$3,0))</f>
        <v>#N/A</v>
      </c>
      <c r="N45" s="63" t="e">
        <f>INDEX('HY &amp; Segments'!$A:$AA,MATCH($A45,'HY &amp; Segments'!$A:$A,0),MATCH("1H"&amp;RIGHT(N$1,2),'HY &amp; Segments'!$3:$3,0))+INDEX('HY &amp; Segments'!$A:$AA,MATCH($A45,'HY &amp; Segments'!$A:$A,0),MATCH("2H"&amp;RIGHT(N$1,2),'HY &amp; Segments'!$3:$3,0))</f>
        <v>#N/A</v>
      </c>
      <c r="O45" s="63" t="e">
        <f>INDEX('HY &amp; Segments'!$A:$AA,MATCH($A45,'HY &amp; Segments'!$A:$A,0),MATCH("1H"&amp;RIGHT(O$1,2),'HY &amp; Segments'!$3:$3,0))+INDEX('HY &amp; Segments'!$A:$AA,MATCH($A45,'HY &amp; Segments'!$A:$A,0),MATCH("2H"&amp;RIGHT(O$1,2),'HY &amp; Segments'!$3:$3,0))</f>
        <v>#N/A</v>
      </c>
      <c r="P45" s="63" t="e">
        <f>INDEX('HY &amp; Segments'!$A:$AA,MATCH($A45,'HY &amp; Segments'!$A:$A,0),MATCH("1H"&amp;RIGHT(P$1,2),'HY &amp; Segments'!$3:$3,0))+INDEX('HY &amp; Segments'!$A:$AA,MATCH($A45,'HY &amp; Segments'!$A:$A,0),MATCH("2H"&amp;RIGHT(P$1,2),'HY &amp; Segments'!$3:$3,0))</f>
        <v>#N/A</v>
      </c>
      <c r="Q45" s="63" t="e">
        <f>INDEX('HY &amp; Segments'!$A:$AA,MATCH($A45,'HY &amp; Segments'!$A:$A,0),MATCH("1H"&amp;RIGHT(Q$1,2),'HY &amp; Segments'!$3:$3,0))+INDEX('HY &amp; Segments'!$A:$AA,MATCH($A45,'HY &amp; Segments'!$A:$A,0),MATCH("2H"&amp;RIGHT(Q$1,2),'HY &amp; Segments'!$3:$3,0))</f>
        <v>#N/A</v>
      </c>
    </row>
    <row r="46" spans="1:17" x14ac:dyDescent="0.35">
      <c r="A46" t="s">
        <v>77</v>
      </c>
      <c r="B46" t="s">
        <v>78</v>
      </c>
      <c r="C46" t="s">
        <v>23</v>
      </c>
      <c r="D46" s="51">
        <v>18.3</v>
      </c>
      <c r="E46" s="51">
        <v>33.299999999999997</v>
      </c>
      <c r="F46" s="51">
        <v>47.5</v>
      </c>
      <c r="G46" s="51">
        <v>66</v>
      </c>
      <c r="H46" s="63" t="e">
        <f>INDEX('HY &amp; Segments'!$A:$AA,MATCH($A46,'HY &amp; Segments'!$A:$A,0),MATCH("1H"&amp;RIGHT(H$1,2),'HY &amp; Segments'!$3:$3,0))+INDEX('HY &amp; Segments'!$A:$AA,MATCH($A46,'HY &amp; Segments'!$A:$A,0),MATCH("2H"&amp;RIGHT(H$1,2),'HY &amp; Segments'!$3:$3,0))</f>
        <v>#N/A</v>
      </c>
      <c r="I46" s="63" t="e">
        <f>INDEX('HY &amp; Segments'!$A:$AA,MATCH($A46,'HY &amp; Segments'!$A:$A,0),MATCH("1H"&amp;RIGHT(I$1,2),'HY &amp; Segments'!$3:$3,0))+INDEX('HY &amp; Segments'!$A:$AA,MATCH($A46,'HY &amp; Segments'!$A:$A,0),MATCH("2H"&amp;RIGHT(I$1,2),'HY &amp; Segments'!$3:$3,0))</f>
        <v>#N/A</v>
      </c>
      <c r="J46" s="63" t="e">
        <f>INDEX('HY &amp; Segments'!$A:$AA,MATCH($A46,'HY &amp; Segments'!$A:$A,0),MATCH("1H"&amp;RIGHT(J$1,2),'HY &amp; Segments'!$3:$3,0))+INDEX('HY &amp; Segments'!$A:$AA,MATCH($A46,'HY &amp; Segments'!$A:$A,0),MATCH("2H"&amp;RIGHT(J$1,2),'HY &amp; Segments'!$3:$3,0))</f>
        <v>#N/A</v>
      </c>
      <c r="K46" s="63" t="e">
        <f>INDEX('HY &amp; Segments'!$A:$AA,MATCH($A46,'HY &amp; Segments'!$A:$A,0),MATCH("1H"&amp;RIGHT(K$1,2),'HY &amp; Segments'!$3:$3,0))+INDEX('HY &amp; Segments'!$A:$AA,MATCH($A46,'HY &amp; Segments'!$A:$A,0),MATCH("2H"&amp;RIGHT(K$1,2),'HY &amp; Segments'!$3:$3,0))</f>
        <v>#N/A</v>
      </c>
      <c r="L46" s="63" t="e">
        <f>INDEX('HY &amp; Segments'!$A:$AA,MATCH($A46,'HY &amp; Segments'!$A:$A,0),MATCH("1H"&amp;RIGHT(L$1,2),'HY &amp; Segments'!$3:$3,0))+INDEX('HY &amp; Segments'!$A:$AA,MATCH($A46,'HY &amp; Segments'!$A:$A,0),MATCH("2H"&amp;RIGHT(L$1,2),'HY &amp; Segments'!$3:$3,0))</f>
        <v>#N/A</v>
      </c>
      <c r="M46" s="63" t="e">
        <f>INDEX('HY &amp; Segments'!$A:$AA,MATCH($A46,'HY &amp; Segments'!$A:$A,0),MATCH("1H"&amp;RIGHT(M$1,2),'HY &amp; Segments'!$3:$3,0))+INDEX('HY &amp; Segments'!$A:$AA,MATCH($A46,'HY &amp; Segments'!$A:$A,0),MATCH("2H"&amp;RIGHT(M$1,2),'HY &amp; Segments'!$3:$3,0))</f>
        <v>#N/A</v>
      </c>
      <c r="N46" s="63" t="e">
        <f>INDEX('HY &amp; Segments'!$A:$AA,MATCH($A46,'HY &amp; Segments'!$A:$A,0),MATCH("1H"&amp;RIGHT(N$1,2),'HY &amp; Segments'!$3:$3,0))+INDEX('HY &amp; Segments'!$A:$AA,MATCH($A46,'HY &amp; Segments'!$A:$A,0),MATCH("2H"&amp;RIGHT(N$1,2),'HY &amp; Segments'!$3:$3,0))</f>
        <v>#N/A</v>
      </c>
      <c r="O46" s="63" t="e">
        <f>INDEX('HY &amp; Segments'!$A:$AA,MATCH($A46,'HY &amp; Segments'!$A:$A,0),MATCH("1H"&amp;RIGHT(O$1,2),'HY &amp; Segments'!$3:$3,0))+INDEX('HY &amp; Segments'!$A:$AA,MATCH($A46,'HY &amp; Segments'!$A:$A,0),MATCH("2H"&amp;RIGHT(O$1,2),'HY &amp; Segments'!$3:$3,0))</f>
        <v>#N/A</v>
      </c>
      <c r="P46" s="63" t="e">
        <f>INDEX('HY &amp; Segments'!$A:$AA,MATCH($A46,'HY &amp; Segments'!$A:$A,0),MATCH("1H"&amp;RIGHT(P$1,2),'HY &amp; Segments'!$3:$3,0))+INDEX('HY &amp; Segments'!$A:$AA,MATCH($A46,'HY &amp; Segments'!$A:$A,0),MATCH("2H"&amp;RIGHT(P$1,2),'HY &amp; Segments'!$3:$3,0))</f>
        <v>#N/A</v>
      </c>
      <c r="Q46" s="63" t="e">
        <f>INDEX('HY &amp; Segments'!$A:$AA,MATCH($A46,'HY &amp; Segments'!$A:$A,0),MATCH("1H"&amp;RIGHT(Q$1,2),'HY &amp; Segments'!$3:$3,0))+INDEX('HY &amp; Segments'!$A:$AA,MATCH($A46,'HY &amp; Segments'!$A:$A,0),MATCH("2H"&amp;RIGHT(Q$1,2),'HY &amp; Segments'!$3:$3,0))</f>
        <v>#N/A</v>
      </c>
    </row>
    <row r="47" spans="1:17" x14ac:dyDescent="0.35">
      <c r="A47" t="s">
        <v>79</v>
      </c>
      <c r="B47" t="s">
        <v>80</v>
      </c>
      <c r="C47" t="s">
        <v>23</v>
      </c>
      <c r="D47" s="51">
        <v>-2.9</v>
      </c>
      <c r="E47" s="51">
        <v>-4.3</v>
      </c>
      <c r="F47" s="51">
        <v>-6.5</v>
      </c>
      <c r="G47" s="51">
        <v>-13.2</v>
      </c>
      <c r="H47" s="63" t="e">
        <f>INDEX('HY &amp; Segments'!$A:$AA,MATCH($A47,'HY &amp; Segments'!$A:$A,0),MATCH("1H"&amp;RIGHT(H$1,2),'HY &amp; Segments'!$3:$3,0))+INDEX('HY &amp; Segments'!$A:$AA,MATCH($A47,'HY &amp; Segments'!$A:$A,0),MATCH("2H"&amp;RIGHT(H$1,2),'HY &amp; Segments'!$3:$3,0))</f>
        <v>#N/A</v>
      </c>
      <c r="I47" s="63" t="e">
        <f>INDEX('HY &amp; Segments'!$A:$AA,MATCH($A47,'HY &amp; Segments'!$A:$A,0),MATCH("1H"&amp;RIGHT(I$1,2),'HY &amp; Segments'!$3:$3,0))+INDEX('HY &amp; Segments'!$A:$AA,MATCH($A47,'HY &amp; Segments'!$A:$A,0),MATCH("2H"&amp;RIGHT(I$1,2),'HY &amp; Segments'!$3:$3,0))</f>
        <v>#N/A</v>
      </c>
      <c r="J47" s="63" t="e">
        <f>INDEX('HY &amp; Segments'!$A:$AA,MATCH($A47,'HY &amp; Segments'!$A:$A,0),MATCH("1H"&amp;RIGHT(J$1,2),'HY &amp; Segments'!$3:$3,0))+INDEX('HY &amp; Segments'!$A:$AA,MATCH($A47,'HY &amp; Segments'!$A:$A,0),MATCH("2H"&amp;RIGHT(J$1,2),'HY &amp; Segments'!$3:$3,0))</f>
        <v>#N/A</v>
      </c>
      <c r="K47" s="63" t="e">
        <f>INDEX('HY &amp; Segments'!$A:$AA,MATCH($A47,'HY &amp; Segments'!$A:$A,0),MATCH("1H"&amp;RIGHT(K$1,2),'HY &amp; Segments'!$3:$3,0))+INDEX('HY &amp; Segments'!$A:$AA,MATCH($A47,'HY &amp; Segments'!$A:$A,0),MATCH("2H"&amp;RIGHT(K$1,2),'HY &amp; Segments'!$3:$3,0))</f>
        <v>#N/A</v>
      </c>
      <c r="L47" s="63" t="e">
        <f>INDEX('HY &amp; Segments'!$A:$AA,MATCH($A47,'HY &amp; Segments'!$A:$A,0),MATCH("1H"&amp;RIGHT(L$1,2),'HY &amp; Segments'!$3:$3,0))+INDEX('HY &amp; Segments'!$A:$AA,MATCH($A47,'HY &amp; Segments'!$A:$A,0),MATCH("2H"&amp;RIGHT(L$1,2),'HY &amp; Segments'!$3:$3,0))</f>
        <v>#N/A</v>
      </c>
      <c r="M47" s="63" t="e">
        <f>INDEX('HY &amp; Segments'!$A:$AA,MATCH($A47,'HY &amp; Segments'!$A:$A,0),MATCH("1H"&amp;RIGHT(M$1,2),'HY &amp; Segments'!$3:$3,0))+INDEX('HY &amp; Segments'!$A:$AA,MATCH($A47,'HY &amp; Segments'!$A:$A,0),MATCH("2H"&amp;RIGHT(M$1,2),'HY &amp; Segments'!$3:$3,0))</f>
        <v>#N/A</v>
      </c>
      <c r="N47" s="63" t="e">
        <f>INDEX('HY &amp; Segments'!$A:$AA,MATCH($A47,'HY &amp; Segments'!$A:$A,0),MATCH("1H"&amp;RIGHT(N$1,2),'HY &amp; Segments'!$3:$3,0))+INDEX('HY &amp; Segments'!$A:$AA,MATCH($A47,'HY &amp; Segments'!$A:$A,0),MATCH("2H"&amp;RIGHT(N$1,2),'HY &amp; Segments'!$3:$3,0))</f>
        <v>#N/A</v>
      </c>
      <c r="O47" s="63" t="e">
        <f>INDEX('HY &amp; Segments'!$A:$AA,MATCH($A47,'HY &amp; Segments'!$A:$A,0),MATCH("1H"&amp;RIGHT(O$1,2),'HY &amp; Segments'!$3:$3,0))+INDEX('HY &amp; Segments'!$A:$AA,MATCH($A47,'HY &amp; Segments'!$A:$A,0),MATCH("2H"&amp;RIGHT(O$1,2),'HY &amp; Segments'!$3:$3,0))</f>
        <v>#N/A</v>
      </c>
      <c r="P47" s="63" t="e">
        <f>INDEX('HY &amp; Segments'!$A:$AA,MATCH($A47,'HY &amp; Segments'!$A:$A,0),MATCH("1H"&amp;RIGHT(P$1,2),'HY &amp; Segments'!$3:$3,0))+INDEX('HY &amp; Segments'!$A:$AA,MATCH($A47,'HY &amp; Segments'!$A:$A,0),MATCH("2H"&amp;RIGHT(P$1,2),'HY &amp; Segments'!$3:$3,0))</f>
        <v>#N/A</v>
      </c>
      <c r="Q47" s="63" t="e">
        <f>INDEX('HY &amp; Segments'!$A:$AA,MATCH($A47,'HY &amp; Segments'!$A:$A,0),MATCH("1H"&amp;RIGHT(Q$1,2),'HY &amp; Segments'!$3:$3,0))+INDEX('HY &amp; Segments'!$A:$AA,MATCH($A47,'HY &amp; Segments'!$A:$A,0),MATCH("2H"&amp;RIGHT(Q$1,2),'HY &amp; Segments'!$3:$3,0))</f>
        <v>#N/A</v>
      </c>
    </row>
    <row r="48" spans="1:17" x14ac:dyDescent="0.35">
      <c r="A48" t="s">
        <v>81</v>
      </c>
      <c r="B48" s="19" t="s">
        <v>82</v>
      </c>
      <c r="C48" s="19" t="s">
        <v>23</v>
      </c>
      <c r="D48" s="20">
        <f t="shared" ref="D48:Q48" si="12">D46+D47</f>
        <v>15.4</v>
      </c>
      <c r="E48" s="20">
        <f t="shared" si="12"/>
        <v>28.999999999999996</v>
      </c>
      <c r="F48" s="20">
        <f t="shared" si="12"/>
        <v>41</v>
      </c>
      <c r="G48" s="20">
        <f t="shared" si="12"/>
        <v>52.8</v>
      </c>
      <c r="H48" s="73" t="e">
        <f t="shared" si="12"/>
        <v>#N/A</v>
      </c>
      <c r="I48" s="73" t="e">
        <f t="shared" si="12"/>
        <v>#N/A</v>
      </c>
      <c r="J48" s="73" t="e">
        <f t="shared" si="12"/>
        <v>#N/A</v>
      </c>
      <c r="K48" s="73" t="e">
        <f t="shared" si="12"/>
        <v>#N/A</v>
      </c>
      <c r="L48" s="73" t="e">
        <f t="shared" si="12"/>
        <v>#N/A</v>
      </c>
      <c r="M48" s="73" t="e">
        <f t="shared" si="12"/>
        <v>#N/A</v>
      </c>
      <c r="N48" s="73" t="e">
        <f t="shared" si="12"/>
        <v>#N/A</v>
      </c>
      <c r="O48" s="73" t="e">
        <f t="shared" si="12"/>
        <v>#N/A</v>
      </c>
      <c r="P48" s="73" t="e">
        <f t="shared" si="12"/>
        <v>#N/A</v>
      </c>
      <c r="Q48" s="73" t="e">
        <f t="shared" si="12"/>
        <v>#N/A</v>
      </c>
    </row>
    <row r="49" spans="1:17" x14ac:dyDescent="0.35">
      <c r="B49" t="s">
        <v>83</v>
      </c>
      <c r="C49" t="s">
        <v>52</v>
      </c>
      <c r="D49" s="29"/>
      <c r="E49" s="29"/>
      <c r="F49" s="29"/>
      <c r="G49" s="29"/>
      <c r="H49" s="74" t="e">
        <f t="shared" ref="H49:Q49" si="13">IF(H108=0,"",H48/H108)</f>
        <v>#N/A</v>
      </c>
      <c r="I49" s="74" t="e">
        <f t="shared" si="13"/>
        <v>#N/A</v>
      </c>
      <c r="J49" s="74" t="e">
        <f t="shared" si="13"/>
        <v>#N/A</v>
      </c>
      <c r="K49" s="74" t="e">
        <f t="shared" si="13"/>
        <v>#N/A</v>
      </c>
      <c r="L49" s="74" t="e">
        <f t="shared" si="13"/>
        <v>#N/A</v>
      </c>
      <c r="M49" s="74" t="e">
        <f t="shared" si="13"/>
        <v>#N/A</v>
      </c>
      <c r="N49" s="74" t="e">
        <f t="shared" si="13"/>
        <v>#N/A</v>
      </c>
      <c r="O49" s="74" t="e">
        <f t="shared" si="13"/>
        <v>#N/A</v>
      </c>
      <c r="P49" s="74" t="e">
        <f t="shared" si="13"/>
        <v>#N/A</v>
      </c>
      <c r="Q49" s="74" t="e">
        <f t="shared" si="13"/>
        <v>#N/A</v>
      </c>
    </row>
    <row r="51" spans="1:17" x14ac:dyDescent="0.35">
      <c r="B51" s="5" t="s">
        <v>84</v>
      </c>
    </row>
    <row r="52" spans="1:17" x14ac:dyDescent="0.35">
      <c r="A52" t="s">
        <v>85</v>
      </c>
      <c r="B52" t="s">
        <v>86</v>
      </c>
      <c r="C52" t="s">
        <v>23</v>
      </c>
      <c r="D52" s="18"/>
      <c r="E52" s="51">
        <v>-8.4</v>
      </c>
      <c r="F52" s="51">
        <v>-13</v>
      </c>
      <c r="G52" s="51">
        <v>-19.3</v>
      </c>
      <c r="H52" s="63" t="e">
        <f>INDEX('HY &amp; Segments'!$A:$AA,MATCH($A52,'HY &amp; Segments'!$A:$A,0),MATCH("1H"&amp;RIGHT(H$1,2),'HY &amp; Segments'!$3:$3,0))+INDEX('HY &amp; Segments'!$A:$AA,MATCH($A52,'HY &amp; Segments'!$A:$A,0),MATCH("2H"&amp;RIGHT(H$1,2),'HY &amp; Segments'!$3:$3,0))</f>
        <v>#N/A</v>
      </c>
      <c r="I52" s="63" t="e">
        <f>INDEX('HY &amp; Segments'!$A:$AA,MATCH($A52,'HY &amp; Segments'!$A:$A,0),MATCH("1H"&amp;RIGHT(I$1,2),'HY &amp; Segments'!$3:$3,0))+INDEX('HY &amp; Segments'!$A:$AA,MATCH($A52,'HY &amp; Segments'!$A:$A,0),MATCH("2H"&amp;RIGHT(I$1,2),'HY &amp; Segments'!$3:$3,0))</f>
        <v>#N/A</v>
      </c>
      <c r="J52" s="63" t="e">
        <f>INDEX('HY &amp; Segments'!$A:$AA,MATCH($A52,'HY &amp; Segments'!$A:$A,0),MATCH("1H"&amp;RIGHT(J$1,2),'HY &amp; Segments'!$3:$3,0))+INDEX('HY &amp; Segments'!$A:$AA,MATCH($A52,'HY &amp; Segments'!$A:$A,0),MATCH("2H"&amp;RIGHT(J$1,2),'HY &amp; Segments'!$3:$3,0))</f>
        <v>#N/A</v>
      </c>
      <c r="K52" s="63" t="e">
        <f>INDEX('HY &amp; Segments'!$A:$AA,MATCH($A52,'HY &amp; Segments'!$A:$A,0),MATCH("1H"&amp;RIGHT(K$1,2),'HY &amp; Segments'!$3:$3,0))+INDEX('HY &amp; Segments'!$A:$AA,MATCH($A52,'HY &amp; Segments'!$A:$A,0),MATCH("2H"&amp;RIGHT(K$1,2),'HY &amp; Segments'!$3:$3,0))</f>
        <v>#N/A</v>
      </c>
      <c r="L52" s="63" t="e">
        <f>INDEX('HY &amp; Segments'!$A:$AA,MATCH($A52,'HY &amp; Segments'!$A:$A,0),MATCH("1H"&amp;RIGHT(L$1,2),'HY &amp; Segments'!$3:$3,0))+INDEX('HY &amp; Segments'!$A:$AA,MATCH($A52,'HY &amp; Segments'!$A:$A,0),MATCH("2H"&amp;RIGHT(L$1,2),'HY &amp; Segments'!$3:$3,0))</f>
        <v>#N/A</v>
      </c>
      <c r="M52" s="63" t="e">
        <f>INDEX('HY &amp; Segments'!$A:$AA,MATCH($A52,'HY &amp; Segments'!$A:$A,0),MATCH("1H"&amp;RIGHT(M$1,2),'HY &amp; Segments'!$3:$3,0))+INDEX('HY &amp; Segments'!$A:$AA,MATCH($A52,'HY &amp; Segments'!$A:$A,0),MATCH("2H"&amp;RIGHT(M$1,2),'HY &amp; Segments'!$3:$3,0))</f>
        <v>#N/A</v>
      </c>
      <c r="N52" s="63" t="e">
        <f>INDEX('HY &amp; Segments'!$A:$AA,MATCH($A52,'HY &amp; Segments'!$A:$A,0),MATCH("1H"&amp;RIGHT(N$1,2),'HY &amp; Segments'!$3:$3,0))+INDEX('HY &amp; Segments'!$A:$AA,MATCH($A52,'HY &amp; Segments'!$A:$A,0),MATCH("2H"&amp;RIGHT(N$1,2),'HY &amp; Segments'!$3:$3,0))</f>
        <v>#N/A</v>
      </c>
      <c r="O52" s="63" t="e">
        <f>INDEX('HY &amp; Segments'!$A:$AA,MATCH($A52,'HY &amp; Segments'!$A:$A,0),MATCH("1H"&amp;RIGHT(O$1,2),'HY &amp; Segments'!$3:$3,0))+INDEX('HY &amp; Segments'!$A:$AA,MATCH($A52,'HY &amp; Segments'!$A:$A,0),MATCH("2H"&amp;RIGHT(O$1,2),'HY &amp; Segments'!$3:$3,0))</f>
        <v>#N/A</v>
      </c>
      <c r="P52" s="63" t="e">
        <f>INDEX('HY &amp; Segments'!$A:$AA,MATCH($A52,'HY &amp; Segments'!$A:$A,0),MATCH("1H"&amp;RIGHT(P$1,2),'HY &amp; Segments'!$3:$3,0))+INDEX('HY &amp; Segments'!$A:$AA,MATCH($A52,'HY &amp; Segments'!$A:$A,0),MATCH("2H"&amp;RIGHT(P$1,2),'HY &amp; Segments'!$3:$3,0))</f>
        <v>#N/A</v>
      </c>
      <c r="Q52" s="63" t="e">
        <f>INDEX('HY &amp; Segments'!$A:$AA,MATCH($A52,'HY &amp; Segments'!$A:$A,0),MATCH("1H"&amp;RIGHT(Q$1,2),'HY &amp; Segments'!$3:$3,0))+INDEX('HY &amp; Segments'!$A:$AA,MATCH($A52,'HY &amp; Segments'!$A:$A,0),MATCH("2H"&amp;RIGHT(Q$1,2),'HY &amp; Segments'!$3:$3,0))</f>
        <v>#N/A</v>
      </c>
    </row>
    <row r="53" spans="1:17" x14ac:dyDescent="0.35">
      <c r="A53" t="s">
        <v>87</v>
      </c>
      <c r="B53" t="s">
        <v>88</v>
      </c>
      <c r="C53" t="s">
        <v>23</v>
      </c>
      <c r="D53" s="18"/>
      <c r="E53" s="51">
        <v>-10.3</v>
      </c>
      <c r="F53" s="51">
        <v>-11.2</v>
      </c>
      <c r="G53" s="51">
        <v>-13.9</v>
      </c>
      <c r="H53" s="63" t="e">
        <f>INDEX('HY &amp; Segments'!$A:$AA,MATCH($A53,'HY &amp; Segments'!$A:$A,0),MATCH("1H"&amp;RIGHT(H$1,2),'HY &amp; Segments'!$3:$3,0))+INDEX('HY &amp; Segments'!$A:$AA,MATCH($A53,'HY &amp; Segments'!$A:$A,0),MATCH("2H"&amp;RIGHT(H$1,2),'HY &amp; Segments'!$3:$3,0))</f>
        <v>#N/A</v>
      </c>
      <c r="I53" s="63" t="e">
        <f>INDEX('HY &amp; Segments'!$A:$AA,MATCH($A53,'HY &amp; Segments'!$A:$A,0),MATCH("1H"&amp;RIGHT(I$1,2),'HY &amp; Segments'!$3:$3,0))+INDEX('HY &amp; Segments'!$A:$AA,MATCH($A53,'HY &amp; Segments'!$A:$A,0),MATCH("2H"&amp;RIGHT(I$1,2),'HY &amp; Segments'!$3:$3,0))</f>
        <v>#N/A</v>
      </c>
      <c r="J53" s="63" t="e">
        <f>INDEX('HY &amp; Segments'!$A:$AA,MATCH($A53,'HY &amp; Segments'!$A:$A,0),MATCH("1H"&amp;RIGHT(J$1,2),'HY &amp; Segments'!$3:$3,0))+INDEX('HY &amp; Segments'!$A:$AA,MATCH($A53,'HY &amp; Segments'!$A:$A,0),MATCH("2H"&amp;RIGHT(J$1,2),'HY &amp; Segments'!$3:$3,0))</f>
        <v>#N/A</v>
      </c>
      <c r="K53" s="63" t="e">
        <f>INDEX('HY &amp; Segments'!$A:$AA,MATCH($A53,'HY &amp; Segments'!$A:$A,0),MATCH("1H"&amp;RIGHT(K$1,2),'HY &amp; Segments'!$3:$3,0))+INDEX('HY &amp; Segments'!$A:$AA,MATCH($A53,'HY &amp; Segments'!$A:$A,0),MATCH("2H"&amp;RIGHT(K$1,2),'HY &amp; Segments'!$3:$3,0))</f>
        <v>#N/A</v>
      </c>
      <c r="L53" s="63" t="e">
        <f>INDEX('HY &amp; Segments'!$A:$AA,MATCH($A53,'HY &amp; Segments'!$A:$A,0),MATCH("1H"&amp;RIGHT(L$1,2),'HY &amp; Segments'!$3:$3,0))+INDEX('HY &amp; Segments'!$A:$AA,MATCH($A53,'HY &amp; Segments'!$A:$A,0),MATCH("2H"&amp;RIGHT(L$1,2),'HY &amp; Segments'!$3:$3,0))</f>
        <v>#N/A</v>
      </c>
      <c r="M53" s="63" t="e">
        <f>INDEX('HY &amp; Segments'!$A:$AA,MATCH($A53,'HY &amp; Segments'!$A:$A,0),MATCH("1H"&amp;RIGHT(M$1,2),'HY &amp; Segments'!$3:$3,0))+INDEX('HY &amp; Segments'!$A:$AA,MATCH($A53,'HY &amp; Segments'!$A:$A,0),MATCH("2H"&amp;RIGHT(M$1,2),'HY &amp; Segments'!$3:$3,0))</f>
        <v>#N/A</v>
      </c>
      <c r="N53" s="63" t="e">
        <f>INDEX('HY &amp; Segments'!$A:$AA,MATCH($A53,'HY &amp; Segments'!$A:$A,0),MATCH("1H"&amp;RIGHT(N$1,2),'HY &amp; Segments'!$3:$3,0))+INDEX('HY &amp; Segments'!$A:$AA,MATCH($A53,'HY &amp; Segments'!$A:$A,0),MATCH("2H"&amp;RIGHT(N$1,2),'HY &amp; Segments'!$3:$3,0))</f>
        <v>#N/A</v>
      </c>
      <c r="O53" s="63" t="e">
        <f>INDEX('HY &amp; Segments'!$A:$AA,MATCH($A53,'HY &amp; Segments'!$A:$A,0),MATCH("1H"&amp;RIGHT(O$1,2),'HY &amp; Segments'!$3:$3,0))+INDEX('HY &amp; Segments'!$A:$AA,MATCH($A53,'HY &amp; Segments'!$A:$A,0),MATCH("2H"&amp;RIGHT(O$1,2),'HY &amp; Segments'!$3:$3,0))</f>
        <v>#N/A</v>
      </c>
      <c r="P53" s="63" t="e">
        <f>INDEX('HY &amp; Segments'!$A:$AA,MATCH($A53,'HY &amp; Segments'!$A:$A,0),MATCH("1H"&amp;RIGHT(P$1,2),'HY &amp; Segments'!$3:$3,0))+INDEX('HY &amp; Segments'!$A:$AA,MATCH($A53,'HY &amp; Segments'!$A:$A,0),MATCH("2H"&amp;RIGHT(P$1,2),'HY &amp; Segments'!$3:$3,0))</f>
        <v>#N/A</v>
      </c>
      <c r="Q53" s="63" t="e">
        <f>INDEX('HY &amp; Segments'!$A:$AA,MATCH($A53,'HY &amp; Segments'!$A:$A,0),MATCH("1H"&amp;RIGHT(Q$1,2),'HY &amp; Segments'!$3:$3,0))+INDEX('HY &amp; Segments'!$A:$AA,MATCH($A53,'HY &amp; Segments'!$A:$A,0),MATCH("2H"&amp;RIGHT(Q$1,2),'HY &amp; Segments'!$3:$3,0))</f>
        <v>#N/A</v>
      </c>
    </row>
    <row r="54" spans="1:17" x14ac:dyDescent="0.35">
      <c r="A54" t="s">
        <v>89</v>
      </c>
      <c r="B54" t="s">
        <v>90</v>
      </c>
      <c r="C54" t="s">
        <v>23</v>
      </c>
      <c r="D54" s="18"/>
      <c r="E54" s="51">
        <v>-2.7</v>
      </c>
      <c r="F54" s="51">
        <v>-2.9</v>
      </c>
      <c r="G54" s="51">
        <v>-3.7</v>
      </c>
      <c r="H54" s="63" t="e">
        <f>INDEX('HY &amp; Segments'!$A:$AA,MATCH($A54,'HY &amp; Segments'!$A:$A,0),MATCH("1H"&amp;RIGHT(H$1,2),'HY &amp; Segments'!$3:$3,0))+INDEX('HY &amp; Segments'!$A:$AA,MATCH($A54,'HY &amp; Segments'!$A:$A,0),MATCH("2H"&amp;RIGHT(H$1,2),'HY &amp; Segments'!$3:$3,0))</f>
        <v>#N/A</v>
      </c>
      <c r="I54" s="63" t="e">
        <f>INDEX('HY &amp; Segments'!$A:$AA,MATCH($A54,'HY &amp; Segments'!$A:$A,0),MATCH("1H"&amp;RIGHT(I$1,2),'HY &amp; Segments'!$3:$3,0))+INDEX('HY &amp; Segments'!$A:$AA,MATCH($A54,'HY &amp; Segments'!$A:$A,0),MATCH("2H"&amp;RIGHT(I$1,2),'HY &amp; Segments'!$3:$3,0))</f>
        <v>#N/A</v>
      </c>
      <c r="J54" s="63" t="e">
        <f>INDEX('HY &amp; Segments'!$A:$AA,MATCH($A54,'HY &amp; Segments'!$A:$A,0),MATCH("1H"&amp;RIGHT(J$1,2),'HY &amp; Segments'!$3:$3,0))+INDEX('HY &amp; Segments'!$A:$AA,MATCH($A54,'HY &amp; Segments'!$A:$A,0),MATCH("2H"&amp;RIGHT(J$1,2),'HY &amp; Segments'!$3:$3,0))</f>
        <v>#N/A</v>
      </c>
      <c r="K54" s="63" t="e">
        <f>INDEX('HY &amp; Segments'!$A:$AA,MATCH($A54,'HY &amp; Segments'!$A:$A,0),MATCH("1H"&amp;RIGHT(K$1,2),'HY &amp; Segments'!$3:$3,0))+INDEX('HY &amp; Segments'!$A:$AA,MATCH($A54,'HY &amp; Segments'!$A:$A,0),MATCH("2H"&amp;RIGHT(K$1,2),'HY &amp; Segments'!$3:$3,0))</f>
        <v>#N/A</v>
      </c>
      <c r="L54" s="63" t="e">
        <f>INDEX('HY &amp; Segments'!$A:$AA,MATCH($A54,'HY &amp; Segments'!$A:$A,0),MATCH("1H"&amp;RIGHT(L$1,2),'HY &amp; Segments'!$3:$3,0))+INDEX('HY &amp; Segments'!$A:$AA,MATCH($A54,'HY &amp; Segments'!$A:$A,0),MATCH("2H"&amp;RIGHT(L$1,2),'HY &amp; Segments'!$3:$3,0))</f>
        <v>#N/A</v>
      </c>
      <c r="M54" s="63" t="e">
        <f>INDEX('HY &amp; Segments'!$A:$AA,MATCH($A54,'HY &amp; Segments'!$A:$A,0),MATCH("1H"&amp;RIGHT(M$1,2),'HY &amp; Segments'!$3:$3,0))+INDEX('HY &amp; Segments'!$A:$AA,MATCH($A54,'HY &amp; Segments'!$A:$A,0),MATCH("2H"&amp;RIGHT(M$1,2),'HY &amp; Segments'!$3:$3,0))</f>
        <v>#N/A</v>
      </c>
      <c r="N54" s="63" t="e">
        <f>INDEX('HY &amp; Segments'!$A:$AA,MATCH($A54,'HY &amp; Segments'!$A:$A,0),MATCH("1H"&amp;RIGHT(N$1,2),'HY &amp; Segments'!$3:$3,0))+INDEX('HY &amp; Segments'!$A:$AA,MATCH($A54,'HY &amp; Segments'!$A:$A,0),MATCH("2H"&amp;RIGHT(N$1,2),'HY &amp; Segments'!$3:$3,0))</f>
        <v>#N/A</v>
      </c>
      <c r="O54" s="63" t="e">
        <f>INDEX('HY &amp; Segments'!$A:$AA,MATCH($A54,'HY &amp; Segments'!$A:$A,0),MATCH("1H"&amp;RIGHT(O$1,2),'HY &amp; Segments'!$3:$3,0))+INDEX('HY &amp; Segments'!$A:$AA,MATCH($A54,'HY &amp; Segments'!$A:$A,0),MATCH("2H"&amp;RIGHT(O$1,2),'HY &amp; Segments'!$3:$3,0))</f>
        <v>#N/A</v>
      </c>
      <c r="P54" s="63" t="e">
        <f>INDEX('HY &amp; Segments'!$A:$AA,MATCH($A54,'HY &amp; Segments'!$A:$A,0),MATCH("1H"&amp;RIGHT(P$1,2),'HY &amp; Segments'!$3:$3,0))+INDEX('HY &amp; Segments'!$A:$AA,MATCH($A54,'HY &amp; Segments'!$A:$A,0),MATCH("2H"&amp;RIGHT(P$1,2),'HY &amp; Segments'!$3:$3,0))</f>
        <v>#N/A</v>
      </c>
      <c r="Q54" s="63" t="e">
        <f>INDEX('HY &amp; Segments'!$A:$AA,MATCH($A54,'HY &amp; Segments'!$A:$A,0),MATCH("1H"&amp;RIGHT(Q$1,2),'HY &amp; Segments'!$3:$3,0))+INDEX('HY &amp; Segments'!$A:$AA,MATCH($A54,'HY &amp; Segments'!$A:$A,0),MATCH("2H"&amp;RIGHT(Q$1,2),'HY &amp; Segments'!$3:$3,0))</f>
        <v>#N/A</v>
      </c>
    </row>
    <row r="55" spans="1:17" x14ac:dyDescent="0.35">
      <c r="A55" t="s">
        <v>91</v>
      </c>
      <c r="B55" t="s">
        <v>92</v>
      </c>
      <c r="C55" t="s">
        <v>23</v>
      </c>
      <c r="D55" s="18"/>
      <c r="E55" s="51">
        <v>-4.0999999999999996</v>
      </c>
      <c r="F55" s="51">
        <v>-4</v>
      </c>
      <c r="G55" s="51">
        <v>-2.8</v>
      </c>
      <c r="H55" s="63" t="e">
        <f>INDEX('HY &amp; Segments'!$A:$AA,MATCH($A55,'HY &amp; Segments'!$A:$A,0),MATCH("1H"&amp;RIGHT(H$1,2),'HY &amp; Segments'!$3:$3,0))+INDEX('HY &amp; Segments'!$A:$AA,MATCH($A55,'HY &amp; Segments'!$A:$A,0),MATCH("2H"&amp;RIGHT(H$1,2),'HY &amp; Segments'!$3:$3,0))</f>
        <v>#N/A</v>
      </c>
      <c r="I55" s="63" t="e">
        <f>INDEX('HY &amp; Segments'!$A:$AA,MATCH($A55,'HY &amp; Segments'!$A:$A,0),MATCH("1H"&amp;RIGHT(I$1,2),'HY &amp; Segments'!$3:$3,0))+INDEX('HY &amp; Segments'!$A:$AA,MATCH($A55,'HY &amp; Segments'!$A:$A,0),MATCH("2H"&amp;RIGHT(I$1,2),'HY &amp; Segments'!$3:$3,0))</f>
        <v>#N/A</v>
      </c>
      <c r="J55" s="63" t="e">
        <f>INDEX('HY &amp; Segments'!$A:$AA,MATCH($A55,'HY &amp; Segments'!$A:$A,0),MATCH("1H"&amp;RIGHT(J$1,2),'HY &amp; Segments'!$3:$3,0))+INDEX('HY &amp; Segments'!$A:$AA,MATCH($A55,'HY &amp; Segments'!$A:$A,0),MATCH("2H"&amp;RIGHT(J$1,2),'HY &amp; Segments'!$3:$3,0))</f>
        <v>#N/A</v>
      </c>
      <c r="K55" s="63" t="e">
        <f>INDEX('HY &amp; Segments'!$A:$AA,MATCH($A55,'HY &amp; Segments'!$A:$A,0),MATCH("1H"&amp;RIGHT(K$1,2),'HY &amp; Segments'!$3:$3,0))+INDEX('HY &amp; Segments'!$A:$AA,MATCH($A55,'HY &amp; Segments'!$A:$A,0),MATCH("2H"&amp;RIGHT(K$1,2),'HY &amp; Segments'!$3:$3,0))</f>
        <v>#N/A</v>
      </c>
      <c r="L55" s="63" t="e">
        <f>INDEX('HY &amp; Segments'!$A:$AA,MATCH($A55,'HY &amp; Segments'!$A:$A,0),MATCH("1H"&amp;RIGHT(L$1,2),'HY &amp; Segments'!$3:$3,0))+INDEX('HY &amp; Segments'!$A:$AA,MATCH($A55,'HY &amp; Segments'!$A:$A,0),MATCH("2H"&amp;RIGHT(L$1,2),'HY &amp; Segments'!$3:$3,0))</f>
        <v>#N/A</v>
      </c>
      <c r="M55" s="63" t="e">
        <f>INDEX('HY &amp; Segments'!$A:$AA,MATCH($A55,'HY &amp; Segments'!$A:$A,0),MATCH("1H"&amp;RIGHT(M$1,2),'HY &amp; Segments'!$3:$3,0))+INDEX('HY &amp; Segments'!$A:$AA,MATCH($A55,'HY &amp; Segments'!$A:$A,0),MATCH("2H"&amp;RIGHT(M$1,2),'HY &amp; Segments'!$3:$3,0))</f>
        <v>#N/A</v>
      </c>
      <c r="N55" s="63" t="e">
        <f>INDEX('HY &amp; Segments'!$A:$AA,MATCH($A55,'HY &amp; Segments'!$A:$A,0),MATCH("1H"&amp;RIGHT(N$1,2),'HY &amp; Segments'!$3:$3,0))+INDEX('HY &amp; Segments'!$A:$AA,MATCH($A55,'HY &amp; Segments'!$A:$A,0),MATCH("2H"&amp;RIGHT(N$1,2),'HY &amp; Segments'!$3:$3,0))</f>
        <v>#N/A</v>
      </c>
      <c r="O55" s="63" t="e">
        <f>INDEX('HY &amp; Segments'!$A:$AA,MATCH($A55,'HY &amp; Segments'!$A:$A,0),MATCH("1H"&amp;RIGHT(O$1,2),'HY &amp; Segments'!$3:$3,0))+INDEX('HY &amp; Segments'!$A:$AA,MATCH($A55,'HY &amp; Segments'!$A:$A,0),MATCH("2H"&amp;RIGHT(O$1,2),'HY &amp; Segments'!$3:$3,0))</f>
        <v>#N/A</v>
      </c>
      <c r="P55" s="63" t="e">
        <f>INDEX('HY &amp; Segments'!$A:$AA,MATCH($A55,'HY &amp; Segments'!$A:$A,0),MATCH("1H"&amp;RIGHT(P$1,2),'HY &amp; Segments'!$3:$3,0))+INDEX('HY &amp; Segments'!$A:$AA,MATCH($A55,'HY &amp; Segments'!$A:$A,0),MATCH("2H"&amp;RIGHT(P$1,2),'HY &amp; Segments'!$3:$3,0))</f>
        <v>#N/A</v>
      </c>
      <c r="Q55" s="63" t="e">
        <f>INDEX('HY &amp; Segments'!$A:$AA,MATCH($A55,'HY &amp; Segments'!$A:$A,0),MATCH("1H"&amp;RIGHT(Q$1,2),'HY &amp; Segments'!$3:$3,0))+INDEX('HY &amp; Segments'!$A:$AA,MATCH($A55,'HY &amp; Segments'!$A:$A,0),MATCH("2H"&amp;RIGHT(Q$1,2),'HY &amp; Segments'!$3:$3,0))</f>
        <v>#N/A</v>
      </c>
    </row>
    <row r="56" spans="1:17" x14ac:dyDescent="0.35">
      <c r="A56" t="s">
        <v>93</v>
      </c>
      <c r="B56" s="19" t="s">
        <v>94</v>
      </c>
      <c r="C56" s="19" t="s">
        <v>23</v>
      </c>
      <c r="D56" s="53">
        <v>-14.4</v>
      </c>
      <c r="E56" s="20">
        <f t="shared" ref="E56:Q56" si="14">SUM(E52:E55)</f>
        <v>-25.5</v>
      </c>
      <c r="F56" s="20">
        <f t="shared" si="14"/>
        <v>-31.099999999999998</v>
      </c>
      <c r="G56" s="20">
        <f t="shared" si="14"/>
        <v>-39.700000000000003</v>
      </c>
      <c r="H56" s="73" t="e">
        <f t="shared" si="14"/>
        <v>#N/A</v>
      </c>
      <c r="I56" s="73" t="e">
        <f t="shared" si="14"/>
        <v>#N/A</v>
      </c>
      <c r="J56" s="73" t="e">
        <f t="shared" si="14"/>
        <v>#N/A</v>
      </c>
      <c r="K56" s="73" t="e">
        <f t="shared" si="14"/>
        <v>#N/A</v>
      </c>
      <c r="L56" s="73" t="e">
        <f t="shared" si="14"/>
        <v>#N/A</v>
      </c>
      <c r="M56" s="73" t="e">
        <f t="shared" si="14"/>
        <v>#N/A</v>
      </c>
      <c r="N56" s="73" t="e">
        <f t="shared" si="14"/>
        <v>#N/A</v>
      </c>
      <c r="O56" s="73" t="e">
        <f t="shared" si="14"/>
        <v>#N/A</v>
      </c>
      <c r="P56" s="73" t="e">
        <f t="shared" si="14"/>
        <v>#N/A</v>
      </c>
      <c r="Q56" s="73" t="e">
        <f t="shared" si="14"/>
        <v>#N/A</v>
      </c>
    </row>
    <row r="57" spans="1:17" x14ac:dyDescent="0.35">
      <c r="B57" t="s">
        <v>95</v>
      </c>
      <c r="C57" t="s">
        <v>52</v>
      </c>
      <c r="D57" s="6"/>
      <c r="E57" s="6"/>
      <c r="F57" s="6"/>
      <c r="G57" s="6"/>
      <c r="H57" s="74" t="e">
        <f t="shared" ref="H57:Q57" si="15">IF(H11+H18=0,"",H56/(H11+H18))</f>
        <v>#N/A</v>
      </c>
      <c r="I57" s="74" t="e">
        <f t="shared" si="15"/>
        <v>#N/A</v>
      </c>
      <c r="J57" s="74" t="e">
        <f t="shared" si="15"/>
        <v>#N/A</v>
      </c>
      <c r="K57" s="74" t="e">
        <f t="shared" si="15"/>
        <v>#N/A</v>
      </c>
      <c r="L57" s="74" t="e">
        <f t="shared" si="15"/>
        <v>#N/A</v>
      </c>
      <c r="M57" s="74" t="e">
        <f t="shared" si="15"/>
        <v>#N/A</v>
      </c>
      <c r="N57" s="74" t="e">
        <f t="shared" si="15"/>
        <v>#N/A</v>
      </c>
      <c r="O57" s="74" t="e">
        <f t="shared" si="15"/>
        <v>#N/A</v>
      </c>
      <c r="P57" s="74" t="e">
        <f t="shared" si="15"/>
        <v>#N/A</v>
      </c>
      <c r="Q57" s="74" t="e">
        <f t="shared" si="15"/>
        <v>#N/A</v>
      </c>
    </row>
    <row r="58" spans="1:17" x14ac:dyDescent="0.35">
      <c r="B58" s="42" t="s">
        <v>96</v>
      </c>
      <c r="C58" s="42" t="s">
        <v>97</v>
      </c>
      <c r="D58" s="42"/>
      <c r="E58" s="42"/>
      <c r="F58" s="43"/>
      <c r="G58" s="43"/>
      <c r="H58" s="76">
        <v>9</v>
      </c>
      <c r="I58" s="76">
        <f t="shared" ref="I58:Q58" si="16">H58</f>
        <v>9</v>
      </c>
      <c r="J58" s="76">
        <f t="shared" si="16"/>
        <v>9</v>
      </c>
      <c r="K58" s="76">
        <f t="shared" si="16"/>
        <v>9</v>
      </c>
      <c r="L58" s="76">
        <f t="shared" si="16"/>
        <v>9</v>
      </c>
      <c r="M58" s="76">
        <f t="shared" si="16"/>
        <v>9</v>
      </c>
      <c r="N58" s="76">
        <f t="shared" si="16"/>
        <v>9</v>
      </c>
      <c r="O58" s="76">
        <f t="shared" si="16"/>
        <v>9</v>
      </c>
      <c r="P58" s="76">
        <f t="shared" si="16"/>
        <v>9</v>
      </c>
      <c r="Q58" s="76">
        <f t="shared" si="16"/>
        <v>9</v>
      </c>
    </row>
    <row r="59" spans="1:17" x14ac:dyDescent="0.35">
      <c r="B59" s="5" t="s">
        <v>98</v>
      </c>
    </row>
    <row r="60" spans="1:17" x14ac:dyDescent="0.35">
      <c r="A60" t="s">
        <v>99</v>
      </c>
      <c r="B60" s="19" t="s">
        <v>100</v>
      </c>
      <c r="C60" s="19" t="s">
        <v>23</v>
      </c>
      <c r="D60" s="20">
        <f t="shared" ref="D60:Q60" si="17">D38+D56</f>
        <v>7.1999999999999797</v>
      </c>
      <c r="E60" s="20">
        <f t="shared" si="17"/>
        <v>4.3000000000000398</v>
      </c>
      <c r="F60" s="20">
        <f t="shared" si="17"/>
        <v>-3.8000000000000149</v>
      </c>
      <c r="G60" s="20">
        <f t="shared" si="17"/>
        <v>25.400000000000077</v>
      </c>
      <c r="H60" s="73" t="e">
        <f t="shared" si="17"/>
        <v>#N/A</v>
      </c>
      <c r="I60" s="73" t="e">
        <f t="shared" si="17"/>
        <v>#N/A</v>
      </c>
      <c r="J60" s="73" t="e">
        <f t="shared" si="17"/>
        <v>#N/A</v>
      </c>
      <c r="K60" s="73" t="e">
        <f t="shared" si="17"/>
        <v>#N/A</v>
      </c>
      <c r="L60" s="73" t="e">
        <f t="shared" si="17"/>
        <v>#N/A</v>
      </c>
      <c r="M60" s="73" t="e">
        <f t="shared" si="17"/>
        <v>#N/A</v>
      </c>
      <c r="N60" s="73" t="e">
        <f t="shared" si="17"/>
        <v>#N/A</v>
      </c>
      <c r="O60" s="73" t="e">
        <f t="shared" si="17"/>
        <v>#N/A</v>
      </c>
      <c r="P60" s="73" t="e">
        <f t="shared" si="17"/>
        <v>#N/A</v>
      </c>
      <c r="Q60" s="73" t="e">
        <f t="shared" si="17"/>
        <v>#N/A</v>
      </c>
    </row>
    <row r="61" spans="1:17" x14ac:dyDescent="0.35">
      <c r="B61" t="s">
        <v>101</v>
      </c>
      <c r="C61" t="s">
        <v>33</v>
      </c>
      <c r="D61" s="6"/>
      <c r="E61" s="6">
        <f t="shared" ref="E61:Q61" si="18">IF(D60=0,"",E60/D60-1)</f>
        <v>-0.40277777777777057</v>
      </c>
      <c r="F61" s="6">
        <f t="shared" si="18"/>
        <v>-1.8837209302325535</v>
      </c>
      <c r="G61" s="6">
        <f t="shared" si="18"/>
        <v>-7.6842105263157832</v>
      </c>
      <c r="H61" s="74" t="e">
        <f t="shared" si="18"/>
        <v>#N/A</v>
      </c>
      <c r="I61" s="74" t="e">
        <f t="shared" si="18"/>
        <v>#N/A</v>
      </c>
      <c r="J61" s="74" t="e">
        <f t="shared" si="18"/>
        <v>#N/A</v>
      </c>
      <c r="K61" s="74" t="e">
        <f t="shared" si="18"/>
        <v>#N/A</v>
      </c>
      <c r="L61" s="74" t="e">
        <f t="shared" si="18"/>
        <v>#N/A</v>
      </c>
      <c r="M61" s="74" t="e">
        <f t="shared" si="18"/>
        <v>#N/A</v>
      </c>
      <c r="N61" s="74" t="e">
        <f t="shared" si="18"/>
        <v>#N/A</v>
      </c>
      <c r="O61" s="74" t="e">
        <f t="shared" si="18"/>
        <v>#N/A</v>
      </c>
      <c r="P61" s="74" t="e">
        <f t="shared" si="18"/>
        <v>#N/A</v>
      </c>
      <c r="Q61" s="74" t="e">
        <f t="shared" si="18"/>
        <v>#N/A</v>
      </c>
    </row>
    <row r="62" spans="1:17" x14ac:dyDescent="0.35">
      <c r="B62" t="s">
        <v>102</v>
      </c>
      <c r="C62" t="s">
        <v>52</v>
      </c>
      <c r="D62" s="6">
        <f t="shared" ref="D62:Q62" si="19">IF(D11+D18=0,"",D60/(D11+D18))</f>
        <v>3.8897893030794058E-2</v>
      </c>
      <c r="E62" s="6">
        <f t="shared" si="19"/>
        <v>1.5529071867100178E-2</v>
      </c>
      <c r="F62" s="6">
        <f t="shared" si="19"/>
        <v>-1.0410958904109631E-2</v>
      </c>
      <c r="G62" s="6">
        <f t="shared" si="19"/>
        <v>5.4273504273504435E-2</v>
      </c>
      <c r="H62" s="74" t="e">
        <f t="shared" si="19"/>
        <v>#N/A</v>
      </c>
      <c r="I62" s="74" t="e">
        <f t="shared" si="19"/>
        <v>#N/A</v>
      </c>
      <c r="J62" s="74" t="e">
        <f t="shared" si="19"/>
        <v>#N/A</v>
      </c>
      <c r="K62" s="74" t="e">
        <f t="shared" si="19"/>
        <v>#N/A</v>
      </c>
      <c r="L62" s="74" t="e">
        <f t="shared" si="19"/>
        <v>#N/A</v>
      </c>
      <c r="M62" s="74" t="e">
        <f t="shared" si="19"/>
        <v>#N/A</v>
      </c>
      <c r="N62" s="74" t="e">
        <f t="shared" si="19"/>
        <v>#N/A</v>
      </c>
      <c r="O62" s="74" t="e">
        <f t="shared" si="19"/>
        <v>#N/A</v>
      </c>
      <c r="P62" s="74" t="e">
        <f t="shared" si="19"/>
        <v>#N/A</v>
      </c>
      <c r="Q62" s="74" t="e">
        <f t="shared" si="19"/>
        <v>#N/A</v>
      </c>
    </row>
    <row r="64" spans="1:17" x14ac:dyDescent="0.35">
      <c r="B64" s="5" t="s">
        <v>103</v>
      </c>
    </row>
    <row r="65" spans="1:17" x14ac:dyDescent="0.35">
      <c r="A65" t="s">
        <v>104</v>
      </c>
      <c r="B65" t="s">
        <v>105</v>
      </c>
      <c r="C65" t="s">
        <v>23</v>
      </c>
      <c r="D65" s="18"/>
      <c r="E65" s="18"/>
      <c r="F65" s="51">
        <v>1.1000000000000001</v>
      </c>
      <c r="G65" s="51">
        <v>12.5</v>
      </c>
      <c r="H65" s="63" t="e">
        <f>INDEX('HY &amp; Segments'!$A:$AA,MATCH($A65,'HY &amp; Segments'!$A:$A,0),MATCH("1H"&amp;RIGHT(H$1,2),'HY &amp; Segments'!$3:$3,0))+INDEX('HY &amp; Segments'!$A:$AA,MATCH($A65,'HY &amp; Segments'!$A:$A,0),MATCH("2H"&amp;RIGHT(H$1,2),'HY &amp; Segments'!$3:$3,0))</f>
        <v>#N/A</v>
      </c>
      <c r="I65" s="63" t="e">
        <f>INDEX('HY &amp; Segments'!$A:$AA,MATCH($A65,'HY &amp; Segments'!$A:$A,0),MATCH("1H"&amp;RIGHT(I$1,2),'HY &amp; Segments'!$3:$3,0))+INDEX('HY &amp; Segments'!$A:$AA,MATCH($A65,'HY &amp; Segments'!$A:$A,0),MATCH("2H"&amp;RIGHT(I$1,2),'HY &amp; Segments'!$3:$3,0))</f>
        <v>#N/A</v>
      </c>
      <c r="J65" s="63" t="e">
        <f>INDEX('HY &amp; Segments'!$A:$AA,MATCH($A65,'HY &amp; Segments'!$A:$A,0),MATCH("1H"&amp;RIGHT(J$1,2),'HY &amp; Segments'!$3:$3,0))+INDEX('HY &amp; Segments'!$A:$AA,MATCH($A65,'HY &amp; Segments'!$A:$A,0),MATCH("2H"&amp;RIGHT(J$1,2),'HY &amp; Segments'!$3:$3,0))</f>
        <v>#N/A</v>
      </c>
      <c r="K65" s="63" t="e">
        <f>INDEX('HY &amp; Segments'!$A:$AA,MATCH($A65,'HY &amp; Segments'!$A:$A,0),MATCH("1H"&amp;RIGHT(K$1,2),'HY &amp; Segments'!$3:$3,0))+INDEX('HY &amp; Segments'!$A:$AA,MATCH($A65,'HY &amp; Segments'!$A:$A,0),MATCH("2H"&amp;RIGHT(K$1,2),'HY &amp; Segments'!$3:$3,0))</f>
        <v>#N/A</v>
      </c>
      <c r="L65" s="63" t="e">
        <f>INDEX('HY &amp; Segments'!$A:$AA,MATCH($A65,'HY &amp; Segments'!$A:$A,0),MATCH("1H"&amp;RIGHT(L$1,2),'HY &amp; Segments'!$3:$3,0))+INDEX('HY &amp; Segments'!$A:$AA,MATCH($A65,'HY &amp; Segments'!$A:$A,0),MATCH("2H"&amp;RIGHT(L$1,2),'HY &amp; Segments'!$3:$3,0))</f>
        <v>#N/A</v>
      </c>
      <c r="M65" s="63" t="e">
        <f>INDEX('HY &amp; Segments'!$A:$AA,MATCH($A65,'HY &amp; Segments'!$A:$A,0),MATCH("1H"&amp;RIGHT(M$1,2),'HY &amp; Segments'!$3:$3,0))+INDEX('HY &amp; Segments'!$A:$AA,MATCH($A65,'HY &amp; Segments'!$A:$A,0),MATCH("2H"&amp;RIGHT(M$1,2),'HY &amp; Segments'!$3:$3,0))</f>
        <v>#N/A</v>
      </c>
      <c r="N65" s="63" t="e">
        <f>INDEX('HY &amp; Segments'!$A:$AA,MATCH($A65,'HY &amp; Segments'!$A:$A,0),MATCH("1H"&amp;RIGHT(N$1,2),'HY &amp; Segments'!$3:$3,0))+INDEX('HY &amp; Segments'!$A:$AA,MATCH($A65,'HY &amp; Segments'!$A:$A,0),MATCH("2H"&amp;RIGHT(N$1,2),'HY &amp; Segments'!$3:$3,0))</f>
        <v>#N/A</v>
      </c>
      <c r="O65" s="63" t="e">
        <f>INDEX('HY &amp; Segments'!$A:$AA,MATCH($A65,'HY &amp; Segments'!$A:$A,0),MATCH("1H"&amp;RIGHT(O$1,2),'HY &amp; Segments'!$3:$3,0))+INDEX('HY &amp; Segments'!$A:$AA,MATCH($A65,'HY &amp; Segments'!$A:$A,0),MATCH("2H"&amp;RIGHT(O$1,2),'HY &amp; Segments'!$3:$3,0))</f>
        <v>#N/A</v>
      </c>
      <c r="P65" s="63" t="e">
        <f>INDEX('HY &amp; Segments'!$A:$AA,MATCH($A65,'HY &amp; Segments'!$A:$A,0),MATCH("1H"&amp;RIGHT(P$1,2),'HY &amp; Segments'!$3:$3,0))+INDEX('HY &amp; Segments'!$A:$AA,MATCH($A65,'HY &amp; Segments'!$A:$A,0),MATCH("2H"&amp;RIGHT(P$1,2),'HY &amp; Segments'!$3:$3,0))</f>
        <v>#N/A</v>
      </c>
      <c r="Q65" s="63" t="e">
        <f>INDEX('HY &amp; Segments'!$A:$AA,MATCH($A65,'HY &amp; Segments'!$A:$A,0),MATCH("1H"&amp;RIGHT(Q$1,2),'HY &amp; Segments'!$3:$3,0))+INDEX('HY &amp; Segments'!$A:$AA,MATCH($A65,'HY &amp; Segments'!$A:$A,0),MATCH("2H"&amp;RIGHT(Q$1,2),'HY &amp; Segments'!$3:$3,0))</f>
        <v>#N/A</v>
      </c>
    </row>
    <row r="66" spans="1:17" x14ac:dyDescent="0.35">
      <c r="A66" t="s">
        <v>106</v>
      </c>
      <c r="B66" t="s">
        <v>107</v>
      </c>
      <c r="C66" t="s">
        <v>23</v>
      </c>
      <c r="D66" s="18"/>
      <c r="E66" s="51">
        <v>3.6</v>
      </c>
      <c r="F66" s="51">
        <v>4.8</v>
      </c>
      <c r="G66" s="51">
        <v>10</v>
      </c>
      <c r="H66" s="63" t="e">
        <f>INDEX('HY &amp; Segments'!$A:$AA,MATCH($A66,'HY &amp; Segments'!$A:$A,0),MATCH("1H"&amp;RIGHT(H$1,2),'HY &amp; Segments'!$3:$3,0))+INDEX('HY &amp; Segments'!$A:$AA,MATCH($A66,'HY &amp; Segments'!$A:$A,0),MATCH("2H"&amp;RIGHT(H$1,2),'HY &amp; Segments'!$3:$3,0))</f>
        <v>#N/A</v>
      </c>
      <c r="I66" s="63" t="e">
        <f>INDEX('HY &amp; Segments'!$A:$AA,MATCH($A66,'HY &amp; Segments'!$A:$A,0),MATCH("1H"&amp;RIGHT(I$1,2),'HY &amp; Segments'!$3:$3,0))+INDEX('HY &amp; Segments'!$A:$AA,MATCH($A66,'HY &amp; Segments'!$A:$A,0),MATCH("2H"&amp;RIGHT(I$1,2),'HY &amp; Segments'!$3:$3,0))</f>
        <v>#N/A</v>
      </c>
      <c r="J66" s="63" t="e">
        <f>INDEX('HY &amp; Segments'!$A:$AA,MATCH($A66,'HY &amp; Segments'!$A:$A,0),MATCH("1H"&amp;RIGHT(J$1,2),'HY &amp; Segments'!$3:$3,0))+INDEX('HY &amp; Segments'!$A:$AA,MATCH($A66,'HY &amp; Segments'!$A:$A,0),MATCH("2H"&amp;RIGHT(J$1,2),'HY &amp; Segments'!$3:$3,0))</f>
        <v>#N/A</v>
      </c>
      <c r="K66" s="63" t="e">
        <f>INDEX('HY &amp; Segments'!$A:$AA,MATCH($A66,'HY &amp; Segments'!$A:$A,0),MATCH("1H"&amp;RIGHT(K$1,2),'HY &amp; Segments'!$3:$3,0))+INDEX('HY &amp; Segments'!$A:$AA,MATCH($A66,'HY &amp; Segments'!$A:$A,0),MATCH("2H"&amp;RIGHT(K$1,2),'HY &amp; Segments'!$3:$3,0))</f>
        <v>#N/A</v>
      </c>
      <c r="L66" s="63" t="e">
        <f>INDEX('HY &amp; Segments'!$A:$AA,MATCH($A66,'HY &amp; Segments'!$A:$A,0),MATCH("1H"&amp;RIGHT(L$1,2),'HY &amp; Segments'!$3:$3,0))+INDEX('HY &amp; Segments'!$A:$AA,MATCH($A66,'HY &amp; Segments'!$A:$A,0),MATCH("2H"&amp;RIGHT(L$1,2),'HY &amp; Segments'!$3:$3,0))</f>
        <v>#N/A</v>
      </c>
      <c r="M66" s="63" t="e">
        <f>INDEX('HY &amp; Segments'!$A:$AA,MATCH($A66,'HY &amp; Segments'!$A:$A,0),MATCH("1H"&amp;RIGHT(M$1,2),'HY &amp; Segments'!$3:$3,0))+INDEX('HY &amp; Segments'!$A:$AA,MATCH($A66,'HY &amp; Segments'!$A:$A,0),MATCH("2H"&amp;RIGHT(M$1,2),'HY &amp; Segments'!$3:$3,0))</f>
        <v>#N/A</v>
      </c>
      <c r="N66" s="63" t="e">
        <f>INDEX('HY &amp; Segments'!$A:$AA,MATCH($A66,'HY &amp; Segments'!$A:$A,0),MATCH("1H"&amp;RIGHT(N$1,2),'HY &amp; Segments'!$3:$3,0))+INDEX('HY &amp; Segments'!$A:$AA,MATCH($A66,'HY &amp; Segments'!$A:$A,0),MATCH("2H"&amp;RIGHT(N$1,2),'HY &amp; Segments'!$3:$3,0))</f>
        <v>#N/A</v>
      </c>
      <c r="O66" s="63" t="e">
        <f>INDEX('HY &amp; Segments'!$A:$AA,MATCH($A66,'HY &amp; Segments'!$A:$A,0),MATCH("1H"&amp;RIGHT(O$1,2),'HY &amp; Segments'!$3:$3,0))+INDEX('HY &amp; Segments'!$A:$AA,MATCH($A66,'HY &amp; Segments'!$A:$A,0),MATCH("2H"&amp;RIGHT(O$1,2),'HY &amp; Segments'!$3:$3,0))</f>
        <v>#N/A</v>
      </c>
      <c r="P66" s="63" t="e">
        <f>INDEX('HY &amp; Segments'!$A:$AA,MATCH($A66,'HY &amp; Segments'!$A:$A,0),MATCH("1H"&amp;RIGHT(P$1,2),'HY &amp; Segments'!$3:$3,0))+INDEX('HY &amp; Segments'!$A:$AA,MATCH($A66,'HY &amp; Segments'!$A:$A,0),MATCH("2H"&amp;RIGHT(P$1,2),'HY &amp; Segments'!$3:$3,0))</f>
        <v>#N/A</v>
      </c>
      <c r="Q66" s="63" t="e">
        <f>INDEX('HY &amp; Segments'!$A:$AA,MATCH($A66,'HY &amp; Segments'!$A:$A,0),MATCH("1H"&amp;RIGHT(Q$1,2),'HY &amp; Segments'!$3:$3,0))+INDEX('HY &amp; Segments'!$A:$AA,MATCH($A66,'HY &amp; Segments'!$A:$A,0),MATCH("2H"&amp;RIGHT(Q$1,2),'HY &amp; Segments'!$3:$3,0))</f>
        <v>#N/A</v>
      </c>
    </row>
    <row r="67" spans="1:17" x14ac:dyDescent="0.35">
      <c r="A67" t="s">
        <v>108</v>
      </c>
      <c r="B67" t="s">
        <v>109</v>
      </c>
      <c r="C67" t="s">
        <v>23</v>
      </c>
      <c r="D67" s="51">
        <v>4.4000000000000004</v>
      </c>
      <c r="E67" s="51">
        <v>1</v>
      </c>
      <c r="F67" s="51">
        <v>1.1000000000000001</v>
      </c>
      <c r="G67" s="51">
        <v>0.1</v>
      </c>
      <c r="H67" s="63" t="e">
        <f>INDEX('HY &amp; Segments'!$A:$AA,MATCH($A67,'HY &amp; Segments'!$A:$A,0),MATCH("1H"&amp;RIGHT(H$1,2),'HY &amp; Segments'!$3:$3,0))+INDEX('HY &amp; Segments'!$A:$AA,MATCH($A67,'HY &amp; Segments'!$A:$A,0),MATCH("2H"&amp;RIGHT(H$1,2),'HY &amp; Segments'!$3:$3,0))</f>
        <v>#N/A</v>
      </c>
      <c r="I67" s="63" t="e">
        <f>INDEX('HY &amp; Segments'!$A:$AA,MATCH($A67,'HY &amp; Segments'!$A:$A,0),MATCH("1H"&amp;RIGHT(I$1,2),'HY &amp; Segments'!$3:$3,0))+INDEX('HY &amp; Segments'!$A:$AA,MATCH($A67,'HY &amp; Segments'!$A:$A,0),MATCH("2H"&amp;RIGHT(I$1,2),'HY &amp; Segments'!$3:$3,0))</f>
        <v>#N/A</v>
      </c>
      <c r="J67" s="63" t="e">
        <f>INDEX('HY &amp; Segments'!$A:$AA,MATCH($A67,'HY &amp; Segments'!$A:$A,0),MATCH("1H"&amp;RIGHT(J$1,2),'HY &amp; Segments'!$3:$3,0))+INDEX('HY &amp; Segments'!$A:$AA,MATCH($A67,'HY &amp; Segments'!$A:$A,0),MATCH("2H"&amp;RIGHT(J$1,2),'HY &amp; Segments'!$3:$3,0))</f>
        <v>#N/A</v>
      </c>
      <c r="K67" s="63" t="e">
        <f>INDEX('HY &amp; Segments'!$A:$AA,MATCH($A67,'HY &amp; Segments'!$A:$A,0),MATCH("1H"&amp;RIGHT(K$1,2),'HY &amp; Segments'!$3:$3,0))+INDEX('HY &amp; Segments'!$A:$AA,MATCH($A67,'HY &amp; Segments'!$A:$A,0),MATCH("2H"&amp;RIGHT(K$1,2),'HY &amp; Segments'!$3:$3,0))</f>
        <v>#N/A</v>
      </c>
      <c r="L67" s="63" t="e">
        <f>INDEX('HY &amp; Segments'!$A:$AA,MATCH($A67,'HY &amp; Segments'!$A:$A,0),MATCH("1H"&amp;RIGHT(L$1,2),'HY &amp; Segments'!$3:$3,0))+INDEX('HY &amp; Segments'!$A:$AA,MATCH($A67,'HY &amp; Segments'!$A:$A,0),MATCH("2H"&amp;RIGHT(L$1,2),'HY &amp; Segments'!$3:$3,0))</f>
        <v>#N/A</v>
      </c>
      <c r="M67" s="63" t="e">
        <f>INDEX('HY &amp; Segments'!$A:$AA,MATCH($A67,'HY &amp; Segments'!$A:$A,0),MATCH("1H"&amp;RIGHT(M$1,2),'HY &amp; Segments'!$3:$3,0))+INDEX('HY &amp; Segments'!$A:$AA,MATCH($A67,'HY &amp; Segments'!$A:$A,0),MATCH("2H"&amp;RIGHT(M$1,2),'HY &amp; Segments'!$3:$3,0))</f>
        <v>#N/A</v>
      </c>
      <c r="N67" s="63" t="e">
        <f>INDEX('HY &amp; Segments'!$A:$AA,MATCH($A67,'HY &amp; Segments'!$A:$A,0),MATCH("1H"&amp;RIGHT(N$1,2),'HY &amp; Segments'!$3:$3,0))+INDEX('HY &amp; Segments'!$A:$AA,MATCH($A67,'HY &amp; Segments'!$A:$A,0),MATCH("2H"&amp;RIGHT(N$1,2),'HY &amp; Segments'!$3:$3,0))</f>
        <v>#N/A</v>
      </c>
      <c r="O67" s="63" t="e">
        <f>INDEX('HY &amp; Segments'!$A:$AA,MATCH($A67,'HY &amp; Segments'!$A:$A,0),MATCH("1H"&amp;RIGHT(O$1,2),'HY &amp; Segments'!$3:$3,0))+INDEX('HY &amp; Segments'!$A:$AA,MATCH($A67,'HY &amp; Segments'!$A:$A,0),MATCH("2H"&amp;RIGHT(O$1,2),'HY &amp; Segments'!$3:$3,0))</f>
        <v>#N/A</v>
      </c>
      <c r="P67" s="63" t="e">
        <f>INDEX('HY &amp; Segments'!$A:$AA,MATCH($A67,'HY &amp; Segments'!$A:$A,0),MATCH("1H"&amp;RIGHT(P$1,2),'HY &amp; Segments'!$3:$3,0))+INDEX('HY &amp; Segments'!$A:$AA,MATCH($A67,'HY &amp; Segments'!$A:$A,0),MATCH("2H"&amp;RIGHT(P$1,2),'HY &amp; Segments'!$3:$3,0))</f>
        <v>#N/A</v>
      </c>
      <c r="Q67" s="63" t="e">
        <f>INDEX('HY &amp; Segments'!$A:$AA,MATCH($A67,'HY &amp; Segments'!$A:$A,0),MATCH("1H"&amp;RIGHT(Q$1,2),'HY &amp; Segments'!$3:$3,0))+INDEX('HY &amp; Segments'!$A:$AA,MATCH($A67,'HY &amp; Segments'!$A:$A,0),MATCH("2H"&amp;RIGHT(Q$1,2),'HY &amp; Segments'!$3:$3,0))</f>
        <v>#N/A</v>
      </c>
    </row>
    <row r="68" spans="1:17" x14ac:dyDescent="0.35">
      <c r="A68" t="s">
        <v>110</v>
      </c>
      <c r="B68" t="s">
        <v>111</v>
      </c>
      <c r="C68" t="s">
        <v>23</v>
      </c>
      <c r="D68" s="51">
        <v>-6</v>
      </c>
      <c r="E68" s="51">
        <v>-8.1999999999999993</v>
      </c>
      <c r="F68" s="51">
        <v>-13.4</v>
      </c>
      <c r="G68" s="51">
        <v>-18.8</v>
      </c>
      <c r="H68" s="63" t="e">
        <f>INDEX('HY &amp; Segments'!$A:$AA,MATCH($A68,'HY &amp; Segments'!$A:$A,0),MATCH("1H"&amp;RIGHT(H$1,2),'HY &amp; Segments'!$3:$3,0))+INDEX('HY &amp; Segments'!$A:$AA,MATCH($A68,'HY &amp; Segments'!$A:$A,0),MATCH("2H"&amp;RIGHT(H$1,2),'HY &amp; Segments'!$3:$3,0))</f>
        <v>#N/A</v>
      </c>
      <c r="I68" s="63" t="e">
        <f>INDEX('HY &amp; Segments'!$A:$AA,MATCH($A68,'HY &amp; Segments'!$A:$A,0),MATCH("1H"&amp;RIGHT(I$1,2),'HY &amp; Segments'!$3:$3,0))+INDEX('HY &amp; Segments'!$A:$AA,MATCH($A68,'HY &amp; Segments'!$A:$A,0),MATCH("2H"&amp;RIGHT(I$1,2),'HY &amp; Segments'!$3:$3,0))</f>
        <v>#N/A</v>
      </c>
      <c r="J68" s="63" t="e">
        <f>INDEX('HY &amp; Segments'!$A:$AA,MATCH($A68,'HY &amp; Segments'!$A:$A,0),MATCH("1H"&amp;RIGHT(J$1,2),'HY &amp; Segments'!$3:$3,0))+INDEX('HY &amp; Segments'!$A:$AA,MATCH($A68,'HY &amp; Segments'!$A:$A,0),MATCH("2H"&amp;RIGHT(J$1,2),'HY &amp; Segments'!$3:$3,0))</f>
        <v>#N/A</v>
      </c>
      <c r="K68" s="63" t="e">
        <f>INDEX('HY &amp; Segments'!$A:$AA,MATCH($A68,'HY &amp; Segments'!$A:$A,0),MATCH("1H"&amp;RIGHT(K$1,2),'HY &amp; Segments'!$3:$3,0))+INDEX('HY &amp; Segments'!$A:$AA,MATCH($A68,'HY &amp; Segments'!$A:$A,0),MATCH("2H"&amp;RIGHT(K$1,2),'HY &amp; Segments'!$3:$3,0))</f>
        <v>#N/A</v>
      </c>
      <c r="L68" s="63" t="e">
        <f>INDEX('HY &amp; Segments'!$A:$AA,MATCH($A68,'HY &amp; Segments'!$A:$A,0),MATCH("1H"&amp;RIGHT(L$1,2),'HY &amp; Segments'!$3:$3,0))+INDEX('HY &amp; Segments'!$A:$AA,MATCH($A68,'HY &amp; Segments'!$A:$A,0),MATCH("2H"&amp;RIGHT(L$1,2),'HY &amp; Segments'!$3:$3,0))</f>
        <v>#N/A</v>
      </c>
      <c r="M68" s="63" t="e">
        <f>INDEX('HY &amp; Segments'!$A:$AA,MATCH($A68,'HY &amp; Segments'!$A:$A,0),MATCH("1H"&amp;RIGHT(M$1,2),'HY &amp; Segments'!$3:$3,0))+INDEX('HY &amp; Segments'!$A:$AA,MATCH($A68,'HY &amp; Segments'!$A:$A,0),MATCH("2H"&amp;RIGHT(M$1,2),'HY &amp; Segments'!$3:$3,0))</f>
        <v>#N/A</v>
      </c>
      <c r="N68" s="63" t="e">
        <f>INDEX('HY &amp; Segments'!$A:$AA,MATCH($A68,'HY &amp; Segments'!$A:$A,0),MATCH("1H"&amp;RIGHT(N$1,2),'HY &amp; Segments'!$3:$3,0))+INDEX('HY &amp; Segments'!$A:$AA,MATCH($A68,'HY &amp; Segments'!$A:$A,0),MATCH("2H"&amp;RIGHT(N$1,2),'HY &amp; Segments'!$3:$3,0))</f>
        <v>#N/A</v>
      </c>
      <c r="O68" s="63" t="e">
        <f>INDEX('HY &amp; Segments'!$A:$AA,MATCH($A68,'HY &amp; Segments'!$A:$A,0),MATCH("1H"&amp;RIGHT(O$1,2),'HY &amp; Segments'!$3:$3,0))+INDEX('HY &amp; Segments'!$A:$AA,MATCH($A68,'HY &amp; Segments'!$A:$A,0),MATCH("2H"&amp;RIGHT(O$1,2),'HY &amp; Segments'!$3:$3,0))</f>
        <v>#N/A</v>
      </c>
      <c r="P68" s="63" t="e">
        <f>INDEX('HY &amp; Segments'!$A:$AA,MATCH($A68,'HY &amp; Segments'!$A:$A,0),MATCH("1H"&amp;RIGHT(P$1,2),'HY &amp; Segments'!$3:$3,0))+INDEX('HY &amp; Segments'!$A:$AA,MATCH($A68,'HY &amp; Segments'!$A:$A,0),MATCH("2H"&amp;RIGHT(P$1,2),'HY &amp; Segments'!$3:$3,0))</f>
        <v>#N/A</v>
      </c>
      <c r="Q68" s="63" t="e">
        <f>INDEX('HY &amp; Segments'!$A:$AA,MATCH($A68,'HY &amp; Segments'!$A:$A,0),MATCH("1H"&amp;RIGHT(Q$1,2),'HY &amp; Segments'!$3:$3,0))+INDEX('HY &amp; Segments'!$A:$AA,MATCH($A68,'HY &amp; Segments'!$A:$A,0),MATCH("2H"&amp;RIGHT(Q$1,2),'HY &amp; Segments'!$3:$3,0))</f>
        <v>#N/A</v>
      </c>
    </row>
    <row r="69" spans="1:17" x14ac:dyDescent="0.35">
      <c r="A69" t="s">
        <v>112</v>
      </c>
      <c r="B69" t="s">
        <v>113</v>
      </c>
      <c r="C69" t="s">
        <v>23</v>
      </c>
      <c r="D69" s="18"/>
      <c r="E69" s="51">
        <v>-0.3</v>
      </c>
      <c r="F69" s="51">
        <v>-0.3</v>
      </c>
      <c r="G69" s="51">
        <v>-0.1</v>
      </c>
      <c r="H69" s="63" t="e">
        <f>INDEX('HY &amp; Segments'!$A:$AA,MATCH($A69,'HY &amp; Segments'!$A:$A,0),MATCH("1H"&amp;RIGHT(H$1,2),'HY &amp; Segments'!$3:$3,0))+INDEX('HY &amp; Segments'!$A:$AA,MATCH($A69,'HY &amp; Segments'!$A:$A,0),MATCH("2H"&amp;RIGHT(H$1,2),'HY &amp; Segments'!$3:$3,0))</f>
        <v>#N/A</v>
      </c>
      <c r="I69" s="63" t="e">
        <f>INDEX('HY &amp; Segments'!$A:$AA,MATCH($A69,'HY &amp; Segments'!$A:$A,0),MATCH("1H"&amp;RIGHT(I$1,2),'HY &amp; Segments'!$3:$3,0))+INDEX('HY &amp; Segments'!$A:$AA,MATCH($A69,'HY &amp; Segments'!$A:$A,0),MATCH("2H"&amp;RIGHT(I$1,2),'HY &amp; Segments'!$3:$3,0))</f>
        <v>#N/A</v>
      </c>
      <c r="J69" s="63" t="e">
        <f>INDEX('HY &amp; Segments'!$A:$AA,MATCH($A69,'HY &amp; Segments'!$A:$A,0),MATCH("1H"&amp;RIGHT(J$1,2),'HY &amp; Segments'!$3:$3,0))+INDEX('HY &amp; Segments'!$A:$AA,MATCH($A69,'HY &amp; Segments'!$A:$A,0),MATCH("2H"&amp;RIGHT(J$1,2),'HY &amp; Segments'!$3:$3,0))</f>
        <v>#N/A</v>
      </c>
      <c r="K69" s="63" t="e">
        <f>INDEX('HY &amp; Segments'!$A:$AA,MATCH($A69,'HY &amp; Segments'!$A:$A,0),MATCH("1H"&amp;RIGHT(K$1,2),'HY &amp; Segments'!$3:$3,0))+INDEX('HY &amp; Segments'!$A:$AA,MATCH($A69,'HY &amp; Segments'!$A:$A,0),MATCH("2H"&amp;RIGHT(K$1,2),'HY &amp; Segments'!$3:$3,0))</f>
        <v>#N/A</v>
      </c>
      <c r="L69" s="63" t="e">
        <f>INDEX('HY &amp; Segments'!$A:$AA,MATCH($A69,'HY &amp; Segments'!$A:$A,0),MATCH("1H"&amp;RIGHT(L$1,2),'HY &amp; Segments'!$3:$3,0))+INDEX('HY &amp; Segments'!$A:$AA,MATCH($A69,'HY &amp; Segments'!$A:$A,0),MATCH("2H"&amp;RIGHT(L$1,2),'HY &amp; Segments'!$3:$3,0))</f>
        <v>#N/A</v>
      </c>
      <c r="M69" s="63" t="e">
        <f>INDEX('HY &amp; Segments'!$A:$AA,MATCH($A69,'HY &amp; Segments'!$A:$A,0),MATCH("1H"&amp;RIGHT(M$1,2),'HY &amp; Segments'!$3:$3,0))+INDEX('HY &amp; Segments'!$A:$AA,MATCH($A69,'HY &amp; Segments'!$A:$A,0),MATCH("2H"&amp;RIGHT(M$1,2),'HY &amp; Segments'!$3:$3,0))</f>
        <v>#N/A</v>
      </c>
      <c r="N69" s="63" t="e">
        <f>INDEX('HY &amp; Segments'!$A:$AA,MATCH($A69,'HY &amp; Segments'!$A:$A,0),MATCH("1H"&amp;RIGHT(N$1,2),'HY &amp; Segments'!$3:$3,0))+INDEX('HY &amp; Segments'!$A:$AA,MATCH($A69,'HY &amp; Segments'!$A:$A,0),MATCH("2H"&amp;RIGHT(N$1,2),'HY &amp; Segments'!$3:$3,0))</f>
        <v>#N/A</v>
      </c>
      <c r="O69" s="63" t="e">
        <f>INDEX('HY &amp; Segments'!$A:$AA,MATCH($A69,'HY &amp; Segments'!$A:$A,0),MATCH("1H"&amp;RIGHT(O$1,2),'HY &amp; Segments'!$3:$3,0))+INDEX('HY &amp; Segments'!$A:$AA,MATCH($A69,'HY &amp; Segments'!$A:$A,0),MATCH("2H"&amp;RIGHT(O$1,2),'HY &amp; Segments'!$3:$3,0))</f>
        <v>#N/A</v>
      </c>
      <c r="P69" s="63" t="e">
        <f>INDEX('HY &amp; Segments'!$A:$AA,MATCH($A69,'HY &amp; Segments'!$A:$A,0),MATCH("1H"&amp;RIGHT(P$1,2),'HY &amp; Segments'!$3:$3,0))+INDEX('HY &amp; Segments'!$A:$AA,MATCH($A69,'HY &amp; Segments'!$A:$A,0),MATCH("2H"&amp;RIGHT(P$1,2),'HY &amp; Segments'!$3:$3,0))</f>
        <v>#N/A</v>
      </c>
      <c r="Q69" s="63" t="e">
        <f>INDEX('HY &amp; Segments'!$A:$AA,MATCH($A69,'HY &amp; Segments'!$A:$A,0),MATCH("1H"&amp;RIGHT(Q$1,2),'HY &amp; Segments'!$3:$3,0))+INDEX('HY &amp; Segments'!$A:$AA,MATCH($A69,'HY &amp; Segments'!$A:$A,0),MATCH("2H"&amp;RIGHT(Q$1,2),'HY &amp; Segments'!$3:$3,0))</f>
        <v>#N/A</v>
      </c>
    </row>
    <row r="70" spans="1:17" x14ac:dyDescent="0.35">
      <c r="A70" t="s">
        <v>114</v>
      </c>
      <c r="B70" s="19" t="s">
        <v>115</v>
      </c>
      <c r="C70" s="19" t="s">
        <v>23</v>
      </c>
      <c r="D70" s="20">
        <f t="shared" ref="D70:Q70" si="20">SUM(D65:D69)</f>
        <v>-1.5999999999999996</v>
      </c>
      <c r="E70" s="20">
        <f t="shared" si="20"/>
        <v>-3.8999999999999995</v>
      </c>
      <c r="F70" s="20">
        <f t="shared" si="20"/>
        <v>-6.7</v>
      </c>
      <c r="G70" s="20">
        <f t="shared" si="20"/>
        <v>3.7000000000000006</v>
      </c>
      <c r="H70" s="73" t="e">
        <f t="shared" si="20"/>
        <v>#N/A</v>
      </c>
      <c r="I70" s="73" t="e">
        <f t="shared" si="20"/>
        <v>#N/A</v>
      </c>
      <c r="J70" s="73" t="e">
        <f t="shared" si="20"/>
        <v>#N/A</v>
      </c>
      <c r="K70" s="73" t="e">
        <f t="shared" si="20"/>
        <v>#N/A</v>
      </c>
      <c r="L70" s="73" t="e">
        <f t="shared" si="20"/>
        <v>#N/A</v>
      </c>
      <c r="M70" s="73" t="e">
        <f t="shared" si="20"/>
        <v>#N/A</v>
      </c>
      <c r="N70" s="73" t="e">
        <f t="shared" si="20"/>
        <v>#N/A</v>
      </c>
      <c r="O70" s="73" t="e">
        <f t="shared" si="20"/>
        <v>#N/A</v>
      </c>
      <c r="P70" s="73" t="e">
        <f t="shared" si="20"/>
        <v>#N/A</v>
      </c>
      <c r="Q70" s="73" t="e">
        <f t="shared" si="20"/>
        <v>#N/A</v>
      </c>
    </row>
    <row r="71" spans="1:17" x14ac:dyDescent="0.35">
      <c r="B71" t="s">
        <v>116</v>
      </c>
      <c r="C71" t="s">
        <v>52</v>
      </c>
      <c r="D71" s="6"/>
      <c r="E71" s="6"/>
      <c r="F71" s="6"/>
      <c r="G71" s="6"/>
      <c r="H71" s="65">
        <v>4.8000000000000001E-2</v>
      </c>
      <c r="I71" s="65">
        <f t="shared" ref="I71:Q71" si="21">H71</f>
        <v>4.8000000000000001E-2</v>
      </c>
      <c r="J71" s="65">
        <f t="shared" si="21"/>
        <v>4.8000000000000001E-2</v>
      </c>
      <c r="K71" s="65">
        <f t="shared" si="21"/>
        <v>4.8000000000000001E-2</v>
      </c>
      <c r="L71" s="65">
        <f t="shared" si="21"/>
        <v>4.8000000000000001E-2</v>
      </c>
      <c r="M71" s="65">
        <f t="shared" si="21"/>
        <v>4.8000000000000001E-2</v>
      </c>
      <c r="N71" s="65">
        <f t="shared" si="21"/>
        <v>4.8000000000000001E-2</v>
      </c>
      <c r="O71" s="65">
        <f t="shared" si="21"/>
        <v>4.8000000000000001E-2</v>
      </c>
      <c r="P71" s="65">
        <f t="shared" si="21"/>
        <v>4.8000000000000001E-2</v>
      </c>
      <c r="Q71" s="65">
        <f t="shared" si="21"/>
        <v>4.8000000000000001E-2</v>
      </c>
    </row>
    <row r="72" spans="1:17" x14ac:dyDescent="0.35">
      <c r="B72" s="42" t="s">
        <v>117</v>
      </c>
      <c r="C72" s="42" t="s">
        <v>52</v>
      </c>
      <c r="D72" s="44"/>
      <c r="E72" s="44"/>
      <c r="F72" s="44"/>
      <c r="G72" s="44"/>
      <c r="H72" s="65">
        <v>6.6000000000000003E-2</v>
      </c>
      <c r="I72" s="65">
        <f t="shared" ref="I72:Q72" si="22">H72</f>
        <v>6.6000000000000003E-2</v>
      </c>
      <c r="J72" s="65">
        <f t="shared" si="22"/>
        <v>6.6000000000000003E-2</v>
      </c>
      <c r="K72" s="65">
        <f t="shared" si="22"/>
        <v>6.6000000000000003E-2</v>
      </c>
      <c r="L72" s="65">
        <f t="shared" si="22"/>
        <v>6.6000000000000003E-2</v>
      </c>
      <c r="M72" s="65">
        <f t="shared" si="22"/>
        <v>6.6000000000000003E-2</v>
      </c>
      <c r="N72" s="65">
        <f t="shared" si="22"/>
        <v>6.6000000000000003E-2</v>
      </c>
      <c r="O72" s="65">
        <f t="shared" si="22"/>
        <v>6.6000000000000003E-2</v>
      </c>
      <c r="P72" s="65">
        <f t="shared" si="22"/>
        <v>6.6000000000000003E-2</v>
      </c>
      <c r="Q72" s="65">
        <f t="shared" si="22"/>
        <v>6.6000000000000003E-2</v>
      </c>
    </row>
    <row r="73" spans="1:17" x14ac:dyDescent="0.35">
      <c r="B73" t="s">
        <v>118</v>
      </c>
      <c r="C73" t="s">
        <v>52</v>
      </c>
      <c r="D73" s="6"/>
      <c r="E73" s="6"/>
      <c r="F73" s="6"/>
      <c r="G73" s="6"/>
      <c r="H73" s="65">
        <v>6.6000000000000003E-2</v>
      </c>
      <c r="I73" s="65">
        <f t="shared" ref="I73:Q73" si="23">H73</f>
        <v>6.6000000000000003E-2</v>
      </c>
      <c r="J73" s="65">
        <f t="shared" si="23"/>
        <v>6.6000000000000003E-2</v>
      </c>
      <c r="K73" s="65">
        <f t="shared" si="23"/>
        <v>6.6000000000000003E-2</v>
      </c>
      <c r="L73" s="65">
        <f t="shared" si="23"/>
        <v>6.6000000000000003E-2</v>
      </c>
      <c r="M73" s="65">
        <f t="shared" si="23"/>
        <v>6.6000000000000003E-2</v>
      </c>
      <c r="N73" s="65">
        <f t="shared" si="23"/>
        <v>6.6000000000000003E-2</v>
      </c>
      <c r="O73" s="65">
        <f t="shared" si="23"/>
        <v>6.6000000000000003E-2</v>
      </c>
      <c r="P73" s="65">
        <f t="shared" si="23"/>
        <v>6.6000000000000003E-2</v>
      </c>
      <c r="Q73" s="65">
        <f t="shared" si="23"/>
        <v>6.6000000000000003E-2</v>
      </c>
    </row>
    <row r="74" spans="1:17" x14ac:dyDescent="0.35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5">
      <c r="B75" s="5" t="s">
        <v>119</v>
      </c>
    </row>
    <row r="76" spans="1:17" x14ac:dyDescent="0.35">
      <c r="A76" t="s">
        <v>120</v>
      </c>
      <c r="B76" s="19" t="s">
        <v>121</v>
      </c>
      <c r="C76" s="19" t="s">
        <v>23</v>
      </c>
      <c r="D76" s="20">
        <f t="shared" ref="D76:Q76" si="24">D60+D70</f>
        <v>5.5999999999999801</v>
      </c>
      <c r="E76" s="20">
        <f t="shared" si="24"/>
        <v>0.40000000000004032</v>
      </c>
      <c r="F76" s="20">
        <f t="shared" si="24"/>
        <v>-10.500000000000014</v>
      </c>
      <c r="G76" s="20">
        <f t="shared" si="24"/>
        <v>29.100000000000076</v>
      </c>
      <c r="H76" s="73" t="e">
        <f t="shared" si="24"/>
        <v>#N/A</v>
      </c>
      <c r="I76" s="73" t="e">
        <f t="shared" si="24"/>
        <v>#N/A</v>
      </c>
      <c r="J76" s="73" t="e">
        <f t="shared" si="24"/>
        <v>#N/A</v>
      </c>
      <c r="K76" s="73" t="e">
        <f t="shared" si="24"/>
        <v>#N/A</v>
      </c>
      <c r="L76" s="73" t="e">
        <f t="shared" si="24"/>
        <v>#N/A</v>
      </c>
      <c r="M76" s="73" t="e">
        <f t="shared" si="24"/>
        <v>#N/A</v>
      </c>
      <c r="N76" s="73" t="e">
        <f t="shared" si="24"/>
        <v>#N/A</v>
      </c>
      <c r="O76" s="73" t="e">
        <f t="shared" si="24"/>
        <v>#N/A</v>
      </c>
      <c r="P76" s="73" t="e">
        <f t="shared" si="24"/>
        <v>#N/A</v>
      </c>
      <c r="Q76" s="73" t="e">
        <f t="shared" si="24"/>
        <v>#N/A</v>
      </c>
    </row>
    <row r="77" spans="1:17" x14ac:dyDescent="0.35">
      <c r="A77" t="s">
        <v>122</v>
      </c>
      <c r="B77" t="s">
        <v>123</v>
      </c>
      <c r="C77" t="s">
        <v>23</v>
      </c>
      <c r="D77" s="51">
        <v>-2.4</v>
      </c>
      <c r="E77" s="51">
        <v>-2.4</v>
      </c>
      <c r="F77" s="51">
        <v>-2.2000000000000002</v>
      </c>
      <c r="G77" s="51">
        <v>-14.7</v>
      </c>
      <c r="H77" s="63" t="e">
        <f>INDEX('HY &amp; Segments'!$A:$AA,MATCH($A77,'HY &amp; Segments'!$A:$A,0),MATCH("1H"&amp;RIGHT(H$1,2),'HY &amp; Segments'!$3:$3,0))+INDEX('HY &amp; Segments'!$A:$AA,MATCH($A77,'HY &amp; Segments'!$A:$A,0),MATCH("2H"&amp;RIGHT(H$1,2),'HY &amp; Segments'!$3:$3,0))</f>
        <v>#N/A</v>
      </c>
      <c r="I77" s="63" t="e">
        <f>INDEX('HY &amp; Segments'!$A:$AA,MATCH($A77,'HY &amp; Segments'!$A:$A,0),MATCH("1H"&amp;RIGHT(I$1,2),'HY &amp; Segments'!$3:$3,0))+INDEX('HY &amp; Segments'!$A:$AA,MATCH($A77,'HY &amp; Segments'!$A:$A,0),MATCH("2H"&amp;RIGHT(I$1,2),'HY &amp; Segments'!$3:$3,0))</f>
        <v>#N/A</v>
      </c>
      <c r="J77" s="63" t="e">
        <f>INDEX('HY &amp; Segments'!$A:$AA,MATCH($A77,'HY &amp; Segments'!$A:$A,0),MATCH("1H"&amp;RIGHT(J$1,2),'HY &amp; Segments'!$3:$3,0))+INDEX('HY &amp; Segments'!$A:$AA,MATCH($A77,'HY &amp; Segments'!$A:$A,0),MATCH("2H"&amp;RIGHT(J$1,2),'HY &amp; Segments'!$3:$3,0))</f>
        <v>#N/A</v>
      </c>
      <c r="K77" s="63" t="e">
        <f>INDEX('HY &amp; Segments'!$A:$AA,MATCH($A77,'HY &amp; Segments'!$A:$A,0),MATCH("1H"&amp;RIGHT(K$1,2),'HY &amp; Segments'!$3:$3,0))+INDEX('HY &amp; Segments'!$A:$AA,MATCH($A77,'HY &amp; Segments'!$A:$A,0),MATCH("2H"&amp;RIGHT(K$1,2),'HY &amp; Segments'!$3:$3,0))</f>
        <v>#N/A</v>
      </c>
      <c r="L77" s="63" t="e">
        <f>INDEX('HY &amp; Segments'!$A:$AA,MATCH($A77,'HY &amp; Segments'!$A:$A,0),MATCH("1H"&amp;RIGHT(L$1,2),'HY &amp; Segments'!$3:$3,0))+INDEX('HY &amp; Segments'!$A:$AA,MATCH($A77,'HY &amp; Segments'!$A:$A,0),MATCH("2H"&amp;RIGHT(L$1,2),'HY &amp; Segments'!$3:$3,0))</f>
        <v>#N/A</v>
      </c>
      <c r="M77" s="63" t="e">
        <f>INDEX('HY &amp; Segments'!$A:$AA,MATCH($A77,'HY &amp; Segments'!$A:$A,0),MATCH("1H"&amp;RIGHT(M$1,2),'HY &amp; Segments'!$3:$3,0))+INDEX('HY &amp; Segments'!$A:$AA,MATCH($A77,'HY &amp; Segments'!$A:$A,0),MATCH("2H"&amp;RIGHT(M$1,2),'HY &amp; Segments'!$3:$3,0))</f>
        <v>#N/A</v>
      </c>
      <c r="N77" s="63" t="e">
        <f>INDEX('HY &amp; Segments'!$A:$AA,MATCH($A77,'HY &amp; Segments'!$A:$A,0),MATCH("1H"&amp;RIGHT(N$1,2),'HY &amp; Segments'!$3:$3,0))+INDEX('HY &amp; Segments'!$A:$AA,MATCH($A77,'HY &amp; Segments'!$A:$A,0),MATCH("2H"&amp;RIGHT(N$1,2),'HY &amp; Segments'!$3:$3,0))</f>
        <v>#N/A</v>
      </c>
      <c r="O77" s="63" t="e">
        <f>INDEX('HY &amp; Segments'!$A:$AA,MATCH($A77,'HY &amp; Segments'!$A:$A,0),MATCH("1H"&amp;RIGHT(O$1,2),'HY &amp; Segments'!$3:$3,0))+INDEX('HY &amp; Segments'!$A:$AA,MATCH($A77,'HY &amp; Segments'!$A:$A,0),MATCH("2H"&amp;RIGHT(O$1,2),'HY &amp; Segments'!$3:$3,0))</f>
        <v>#N/A</v>
      </c>
      <c r="P77" s="63" t="e">
        <f>INDEX('HY &amp; Segments'!$A:$AA,MATCH($A77,'HY &amp; Segments'!$A:$A,0),MATCH("1H"&amp;RIGHT(P$1,2),'HY &amp; Segments'!$3:$3,0))+INDEX('HY &amp; Segments'!$A:$AA,MATCH($A77,'HY &amp; Segments'!$A:$A,0),MATCH("2H"&amp;RIGHT(P$1,2),'HY &amp; Segments'!$3:$3,0))</f>
        <v>#N/A</v>
      </c>
      <c r="Q77" s="63" t="e">
        <f>INDEX('HY &amp; Segments'!$A:$AA,MATCH($A77,'HY &amp; Segments'!$A:$A,0),MATCH("1H"&amp;RIGHT(Q$1,2),'HY &amp; Segments'!$3:$3,0))+INDEX('HY &amp; Segments'!$A:$AA,MATCH($A77,'HY &amp; Segments'!$A:$A,0),MATCH("2H"&amp;RIGHT(Q$1,2),'HY &amp; Segments'!$3:$3,0))</f>
        <v>#N/A</v>
      </c>
    </row>
    <row r="78" spans="1:17" x14ac:dyDescent="0.35">
      <c r="B78" t="s">
        <v>124</v>
      </c>
      <c r="C78" t="s">
        <v>52</v>
      </c>
      <c r="D78" s="6">
        <f t="shared" ref="D78:Q78" si="25">IF(D76=0,"",-D77/D76)</f>
        <v>0.4285714285714301</v>
      </c>
      <c r="E78" s="6">
        <f t="shared" si="25"/>
        <v>5.9999999999993952</v>
      </c>
      <c r="F78" s="6">
        <f t="shared" si="25"/>
        <v>-0.20952380952380925</v>
      </c>
      <c r="G78" s="6">
        <f t="shared" si="25"/>
        <v>0.50515463917525638</v>
      </c>
      <c r="H78" s="74" t="e">
        <f t="shared" si="25"/>
        <v>#N/A</v>
      </c>
      <c r="I78" s="74" t="e">
        <f t="shared" si="25"/>
        <v>#N/A</v>
      </c>
      <c r="J78" s="74" t="e">
        <f t="shared" si="25"/>
        <v>#N/A</v>
      </c>
      <c r="K78" s="74" t="e">
        <f t="shared" si="25"/>
        <v>#N/A</v>
      </c>
      <c r="L78" s="74" t="e">
        <f t="shared" si="25"/>
        <v>#N/A</v>
      </c>
      <c r="M78" s="74" t="e">
        <f t="shared" si="25"/>
        <v>#N/A</v>
      </c>
      <c r="N78" s="74" t="e">
        <f t="shared" si="25"/>
        <v>#N/A</v>
      </c>
      <c r="O78" s="74" t="e">
        <f t="shared" si="25"/>
        <v>#N/A</v>
      </c>
      <c r="P78" s="74" t="e">
        <f t="shared" si="25"/>
        <v>#N/A</v>
      </c>
      <c r="Q78" s="74" t="e">
        <f t="shared" si="25"/>
        <v>#N/A</v>
      </c>
    </row>
    <row r="79" spans="1:17" x14ac:dyDescent="0.35">
      <c r="A79" t="s">
        <v>125</v>
      </c>
      <c r="B79" t="s">
        <v>126</v>
      </c>
      <c r="C79" t="s">
        <v>23</v>
      </c>
      <c r="D79" s="51">
        <v>0</v>
      </c>
      <c r="E79" s="51">
        <v>0</v>
      </c>
      <c r="F79" s="51">
        <v>0</v>
      </c>
      <c r="G79" s="51">
        <v>0</v>
      </c>
      <c r="H79" s="63" t="e">
        <f>INDEX('HY &amp; Segments'!$A:$AA,MATCH($A79,'HY &amp; Segments'!$A:$A,0),MATCH("1H"&amp;RIGHT(H$1,2),'HY &amp; Segments'!$3:$3,0))+INDEX('HY &amp; Segments'!$A:$AA,MATCH($A79,'HY &amp; Segments'!$A:$A,0),MATCH("2H"&amp;RIGHT(H$1,2),'HY &amp; Segments'!$3:$3,0))</f>
        <v>#N/A</v>
      </c>
      <c r="I79" s="63" t="e">
        <f>INDEX('HY &amp; Segments'!$A:$AA,MATCH($A79,'HY &amp; Segments'!$A:$A,0),MATCH("1H"&amp;RIGHT(I$1,2),'HY &amp; Segments'!$3:$3,0))+INDEX('HY &amp; Segments'!$A:$AA,MATCH($A79,'HY &amp; Segments'!$A:$A,0),MATCH("2H"&amp;RIGHT(I$1,2),'HY &amp; Segments'!$3:$3,0))</f>
        <v>#N/A</v>
      </c>
      <c r="J79" s="63" t="e">
        <f>INDEX('HY &amp; Segments'!$A:$AA,MATCH($A79,'HY &amp; Segments'!$A:$A,0),MATCH("1H"&amp;RIGHT(J$1,2),'HY &amp; Segments'!$3:$3,0))+INDEX('HY &amp; Segments'!$A:$AA,MATCH($A79,'HY &amp; Segments'!$A:$A,0),MATCH("2H"&amp;RIGHT(J$1,2),'HY &amp; Segments'!$3:$3,0))</f>
        <v>#N/A</v>
      </c>
      <c r="K79" s="63" t="e">
        <f>INDEX('HY &amp; Segments'!$A:$AA,MATCH($A79,'HY &amp; Segments'!$A:$A,0),MATCH("1H"&amp;RIGHT(K$1,2),'HY &amp; Segments'!$3:$3,0))+INDEX('HY &amp; Segments'!$A:$AA,MATCH($A79,'HY &amp; Segments'!$A:$A,0),MATCH("2H"&amp;RIGHT(K$1,2),'HY &amp; Segments'!$3:$3,0))</f>
        <v>#N/A</v>
      </c>
      <c r="L79" s="63" t="e">
        <f>INDEX('HY &amp; Segments'!$A:$AA,MATCH($A79,'HY &amp; Segments'!$A:$A,0),MATCH("1H"&amp;RIGHT(L$1,2),'HY &amp; Segments'!$3:$3,0))+INDEX('HY &amp; Segments'!$A:$AA,MATCH($A79,'HY &amp; Segments'!$A:$A,0),MATCH("2H"&amp;RIGHT(L$1,2),'HY &amp; Segments'!$3:$3,0))</f>
        <v>#N/A</v>
      </c>
      <c r="M79" s="63" t="e">
        <f>INDEX('HY &amp; Segments'!$A:$AA,MATCH($A79,'HY &amp; Segments'!$A:$A,0),MATCH("1H"&amp;RIGHT(M$1,2),'HY &amp; Segments'!$3:$3,0))+INDEX('HY &amp; Segments'!$A:$AA,MATCH($A79,'HY &amp; Segments'!$A:$A,0),MATCH("2H"&amp;RIGHT(M$1,2),'HY &amp; Segments'!$3:$3,0))</f>
        <v>#N/A</v>
      </c>
      <c r="N79" s="63" t="e">
        <f>INDEX('HY &amp; Segments'!$A:$AA,MATCH($A79,'HY &amp; Segments'!$A:$A,0),MATCH("1H"&amp;RIGHT(N$1,2),'HY &amp; Segments'!$3:$3,0))+INDEX('HY &amp; Segments'!$A:$AA,MATCH($A79,'HY &amp; Segments'!$A:$A,0),MATCH("2H"&amp;RIGHT(N$1,2),'HY &amp; Segments'!$3:$3,0))</f>
        <v>#N/A</v>
      </c>
      <c r="O79" s="63" t="e">
        <f>INDEX('HY &amp; Segments'!$A:$AA,MATCH($A79,'HY &amp; Segments'!$A:$A,0),MATCH("1H"&amp;RIGHT(O$1,2),'HY &amp; Segments'!$3:$3,0))+INDEX('HY &amp; Segments'!$A:$AA,MATCH($A79,'HY &amp; Segments'!$A:$A,0),MATCH("2H"&amp;RIGHT(O$1,2),'HY &amp; Segments'!$3:$3,0))</f>
        <v>#N/A</v>
      </c>
      <c r="P79" s="63" t="e">
        <f>INDEX('HY &amp; Segments'!$A:$AA,MATCH($A79,'HY &amp; Segments'!$A:$A,0),MATCH("1H"&amp;RIGHT(P$1,2),'HY &amp; Segments'!$3:$3,0))+INDEX('HY &amp; Segments'!$A:$AA,MATCH($A79,'HY &amp; Segments'!$A:$A,0),MATCH("2H"&amp;RIGHT(P$1,2),'HY &amp; Segments'!$3:$3,0))</f>
        <v>#N/A</v>
      </c>
      <c r="Q79" s="63" t="e">
        <f>INDEX('HY &amp; Segments'!$A:$AA,MATCH($A79,'HY &amp; Segments'!$A:$A,0),MATCH("1H"&amp;RIGHT(Q$1,2),'HY &amp; Segments'!$3:$3,0))+INDEX('HY &amp; Segments'!$A:$AA,MATCH($A79,'HY &amp; Segments'!$A:$A,0),MATCH("2H"&amp;RIGHT(Q$1,2),'HY &amp; Segments'!$3:$3,0))</f>
        <v>#N/A</v>
      </c>
    </row>
    <row r="80" spans="1:17" x14ac:dyDescent="0.35">
      <c r="A80" t="s">
        <v>127</v>
      </c>
      <c r="B80" s="19" t="s">
        <v>128</v>
      </c>
      <c r="C80" s="19" t="s">
        <v>23</v>
      </c>
      <c r="D80" s="20">
        <f t="shared" ref="D80:Q80" si="26">D76+D77+D79</f>
        <v>3.1999999999999802</v>
      </c>
      <c r="E80" s="20">
        <f t="shared" si="26"/>
        <v>-1.9999999999999596</v>
      </c>
      <c r="F80" s="20">
        <f t="shared" si="26"/>
        <v>-12.700000000000014</v>
      </c>
      <c r="G80" s="20">
        <f t="shared" si="26"/>
        <v>14.400000000000077</v>
      </c>
      <c r="H80" s="73" t="e">
        <f t="shared" si="26"/>
        <v>#N/A</v>
      </c>
      <c r="I80" s="73" t="e">
        <f t="shared" si="26"/>
        <v>#N/A</v>
      </c>
      <c r="J80" s="73" t="e">
        <f t="shared" si="26"/>
        <v>#N/A</v>
      </c>
      <c r="K80" s="73" t="e">
        <f t="shared" si="26"/>
        <v>#N/A</v>
      </c>
      <c r="L80" s="73" t="e">
        <f t="shared" si="26"/>
        <v>#N/A</v>
      </c>
      <c r="M80" s="73" t="e">
        <f t="shared" si="26"/>
        <v>#N/A</v>
      </c>
      <c r="N80" s="73" t="e">
        <f t="shared" si="26"/>
        <v>#N/A</v>
      </c>
      <c r="O80" s="73" t="e">
        <f t="shared" si="26"/>
        <v>#N/A</v>
      </c>
      <c r="P80" s="73" t="e">
        <f t="shared" si="26"/>
        <v>#N/A</v>
      </c>
      <c r="Q80" s="73" t="e">
        <f t="shared" si="26"/>
        <v>#N/A</v>
      </c>
    </row>
    <row r="81" spans="1:17" x14ac:dyDescent="0.35">
      <c r="A81" t="s">
        <v>129</v>
      </c>
      <c r="B81" t="s">
        <v>130</v>
      </c>
      <c r="C81" t="s">
        <v>23</v>
      </c>
      <c r="D81" s="51">
        <v>0</v>
      </c>
      <c r="E81" s="51">
        <v>0</v>
      </c>
      <c r="F81" s="51">
        <v>0</v>
      </c>
      <c r="G81" s="51">
        <v>0</v>
      </c>
      <c r="H81" s="63" t="e">
        <f>INDEX('HY &amp; Segments'!$A:$AA,MATCH($A81,'HY &amp; Segments'!$A:$A,0),MATCH("1H"&amp;RIGHT(H$1,2),'HY &amp; Segments'!$3:$3,0))+INDEX('HY &amp; Segments'!$A:$AA,MATCH($A81,'HY &amp; Segments'!$A:$A,0),MATCH("2H"&amp;RIGHT(H$1,2),'HY &amp; Segments'!$3:$3,0))</f>
        <v>#N/A</v>
      </c>
      <c r="I81" s="63" t="e">
        <f>INDEX('HY &amp; Segments'!$A:$AA,MATCH($A81,'HY &amp; Segments'!$A:$A,0),MATCH("1H"&amp;RIGHT(I$1,2),'HY &amp; Segments'!$3:$3,0))+INDEX('HY &amp; Segments'!$A:$AA,MATCH($A81,'HY &amp; Segments'!$A:$A,0),MATCH("2H"&amp;RIGHT(I$1,2),'HY &amp; Segments'!$3:$3,0))</f>
        <v>#N/A</v>
      </c>
      <c r="J81" s="63" t="e">
        <f>INDEX('HY &amp; Segments'!$A:$AA,MATCH($A81,'HY &amp; Segments'!$A:$A,0),MATCH("1H"&amp;RIGHT(J$1,2),'HY &amp; Segments'!$3:$3,0))+INDEX('HY &amp; Segments'!$A:$AA,MATCH($A81,'HY &amp; Segments'!$A:$A,0),MATCH("2H"&amp;RIGHT(J$1,2),'HY &amp; Segments'!$3:$3,0))</f>
        <v>#N/A</v>
      </c>
      <c r="K81" s="63" t="e">
        <f>INDEX('HY &amp; Segments'!$A:$AA,MATCH($A81,'HY &amp; Segments'!$A:$A,0),MATCH("1H"&amp;RIGHT(K$1,2),'HY &amp; Segments'!$3:$3,0))+INDEX('HY &amp; Segments'!$A:$AA,MATCH($A81,'HY &amp; Segments'!$A:$A,0),MATCH("2H"&amp;RIGHT(K$1,2),'HY &amp; Segments'!$3:$3,0))</f>
        <v>#N/A</v>
      </c>
      <c r="L81" s="63" t="e">
        <f>INDEX('HY &amp; Segments'!$A:$AA,MATCH($A81,'HY &amp; Segments'!$A:$A,0),MATCH("1H"&amp;RIGHT(L$1,2),'HY &amp; Segments'!$3:$3,0))+INDEX('HY &amp; Segments'!$A:$AA,MATCH($A81,'HY &amp; Segments'!$A:$A,0),MATCH("2H"&amp;RIGHT(L$1,2),'HY &amp; Segments'!$3:$3,0))</f>
        <v>#N/A</v>
      </c>
      <c r="M81" s="63" t="e">
        <f>INDEX('HY &amp; Segments'!$A:$AA,MATCH($A81,'HY &amp; Segments'!$A:$A,0),MATCH("1H"&amp;RIGHT(M$1,2),'HY &amp; Segments'!$3:$3,0))+INDEX('HY &amp; Segments'!$A:$AA,MATCH($A81,'HY &amp; Segments'!$A:$A,0),MATCH("2H"&amp;RIGHT(M$1,2),'HY &amp; Segments'!$3:$3,0))</f>
        <v>#N/A</v>
      </c>
      <c r="N81" s="63" t="e">
        <f>INDEX('HY &amp; Segments'!$A:$AA,MATCH($A81,'HY &amp; Segments'!$A:$A,0),MATCH("1H"&amp;RIGHT(N$1,2),'HY &amp; Segments'!$3:$3,0))+INDEX('HY &amp; Segments'!$A:$AA,MATCH($A81,'HY &amp; Segments'!$A:$A,0),MATCH("2H"&amp;RIGHT(N$1,2),'HY &amp; Segments'!$3:$3,0))</f>
        <v>#N/A</v>
      </c>
      <c r="O81" s="63" t="e">
        <f>INDEX('HY &amp; Segments'!$A:$AA,MATCH($A81,'HY &amp; Segments'!$A:$A,0),MATCH("1H"&amp;RIGHT(O$1,2),'HY &amp; Segments'!$3:$3,0))+INDEX('HY &amp; Segments'!$A:$AA,MATCH($A81,'HY &amp; Segments'!$A:$A,0),MATCH("2H"&amp;RIGHT(O$1,2),'HY &amp; Segments'!$3:$3,0))</f>
        <v>#N/A</v>
      </c>
      <c r="P81" s="63" t="e">
        <f>INDEX('HY &amp; Segments'!$A:$AA,MATCH($A81,'HY &amp; Segments'!$A:$A,0),MATCH("1H"&amp;RIGHT(P$1,2),'HY &amp; Segments'!$3:$3,0))+INDEX('HY &amp; Segments'!$A:$AA,MATCH($A81,'HY &amp; Segments'!$A:$A,0),MATCH("2H"&amp;RIGHT(P$1,2),'HY &amp; Segments'!$3:$3,0))</f>
        <v>#N/A</v>
      </c>
      <c r="Q81" s="63" t="e">
        <f>INDEX('HY &amp; Segments'!$A:$AA,MATCH($A81,'HY &amp; Segments'!$A:$A,0),MATCH("1H"&amp;RIGHT(Q$1,2),'HY &amp; Segments'!$3:$3,0))+INDEX('HY &amp; Segments'!$A:$AA,MATCH($A81,'HY &amp; Segments'!$A:$A,0),MATCH("2H"&amp;RIGHT(Q$1,2),'HY &amp; Segments'!$3:$3,0))</f>
        <v>#N/A</v>
      </c>
    </row>
    <row r="82" spans="1:17" x14ac:dyDescent="0.35">
      <c r="A82" t="s">
        <v>131</v>
      </c>
      <c r="B82" s="19" t="s">
        <v>132</v>
      </c>
      <c r="C82" s="19" t="s">
        <v>23</v>
      </c>
      <c r="D82" s="20">
        <f t="shared" ref="D82:Q82" si="27">D80+D81</f>
        <v>3.1999999999999802</v>
      </c>
      <c r="E82" s="20">
        <f t="shared" si="27"/>
        <v>-1.9999999999999596</v>
      </c>
      <c r="F82" s="20">
        <f t="shared" si="27"/>
        <v>-12.700000000000014</v>
      </c>
      <c r="G82" s="20">
        <f t="shared" si="27"/>
        <v>14.400000000000077</v>
      </c>
      <c r="H82" s="73" t="e">
        <f t="shared" si="27"/>
        <v>#N/A</v>
      </c>
      <c r="I82" s="73" t="e">
        <f t="shared" si="27"/>
        <v>#N/A</v>
      </c>
      <c r="J82" s="73" t="e">
        <f t="shared" si="27"/>
        <v>#N/A</v>
      </c>
      <c r="K82" s="73" t="e">
        <f t="shared" si="27"/>
        <v>#N/A</v>
      </c>
      <c r="L82" s="73" t="e">
        <f t="shared" si="27"/>
        <v>#N/A</v>
      </c>
      <c r="M82" s="73" t="e">
        <f t="shared" si="27"/>
        <v>#N/A</v>
      </c>
      <c r="N82" s="73" t="e">
        <f t="shared" si="27"/>
        <v>#N/A</v>
      </c>
      <c r="O82" s="73" t="e">
        <f t="shared" si="27"/>
        <v>#N/A</v>
      </c>
      <c r="P82" s="73" t="e">
        <f t="shared" si="27"/>
        <v>#N/A</v>
      </c>
      <c r="Q82" s="73" t="e">
        <f t="shared" si="27"/>
        <v>#N/A</v>
      </c>
    </row>
    <row r="83" spans="1:17" x14ac:dyDescent="0.35">
      <c r="B83" t="s">
        <v>133</v>
      </c>
      <c r="C83" t="s">
        <v>33</v>
      </c>
      <c r="D83" s="6"/>
      <c r="E83" s="6">
        <f t="shared" ref="E83:Q83" si="28">IF(D80=0,"",E80/D80-1)</f>
        <v>-1.6249999999999911</v>
      </c>
      <c r="F83" s="6">
        <f t="shared" si="28"/>
        <v>5.3500000000001346</v>
      </c>
      <c r="G83" s="6">
        <f t="shared" si="28"/>
        <v>-2.1338582677165405</v>
      </c>
      <c r="H83" s="74" t="e">
        <f t="shared" si="28"/>
        <v>#N/A</v>
      </c>
      <c r="I83" s="74" t="e">
        <f t="shared" si="28"/>
        <v>#N/A</v>
      </c>
      <c r="J83" s="74" t="e">
        <f t="shared" si="28"/>
        <v>#N/A</v>
      </c>
      <c r="K83" s="74" t="e">
        <f t="shared" si="28"/>
        <v>#N/A</v>
      </c>
      <c r="L83" s="74" t="e">
        <f t="shared" si="28"/>
        <v>#N/A</v>
      </c>
      <c r="M83" s="74" t="e">
        <f t="shared" si="28"/>
        <v>#N/A</v>
      </c>
      <c r="N83" s="74" t="e">
        <f t="shared" si="28"/>
        <v>#N/A</v>
      </c>
      <c r="O83" s="74" t="e">
        <f t="shared" si="28"/>
        <v>#N/A</v>
      </c>
      <c r="P83" s="74" t="e">
        <f t="shared" si="28"/>
        <v>#N/A</v>
      </c>
      <c r="Q83" s="74" t="e">
        <f t="shared" si="28"/>
        <v>#N/A</v>
      </c>
    </row>
    <row r="84" spans="1:17" x14ac:dyDescent="0.35">
      <c r="B84" t="s">
        <v>134</v>
      </c>
      <c r="C84" t="s">
        <v>52</v>
      </c>
      <c r="D84" s="6">
        <f t="shared" ref="D84:Q84" si="29">IF(D11+D18=0,"",D80/(D11+D18))</f>
        <v>1.7287952458130633E-2</v>
      </c>
      <c r="E84" s="6">
        <f t="shared" si="29"/>
        <v>-7.2228241242324282E-3</v>
      </c>
      <c r="F84" s="6">
        <f t="shared" si="29"/>
        <v>-3.479452054794524E-2</v>
      </c>
      <c r="G84" s="6">
        <f t="shared" si="29"/>
        <v>3.0769230769230934E-2</v>
      </c>
      <c r="H84" s="74" t="e">
        <f t="shared" si="29"/>
        <v>#N/A</v>
      </c>
      <c r="I84" s="74" t="e">
        <f t="shared" si="29"/>
        <v>#N/A</v>
      </c>
      <c r="J84" s="74" t="e">
        <f t="shared" si="29"/>
        <v>#N/A</v>
      </c>
      <c r="K84" s="74" t="e">
        <f t="shared" si="29"/>
        <v>#N/A</v>
      </c>
      <c r="L84" s="74" t="e">
        <f t="shared" si="29"/>
        <v>#N/A</v>
      </c>
      <c r="M84" s="74" t="e">
        <f t="shared" si="29"/>
        <v>#N/A</v>
      </c>
      <c r="N84" s="74" t="e">
        <f t="shared" si="29"/>
        <v>#N/A</v>
      </c>
      <c r="O84" s="74" t="e">
        <f t="shared" si="29"/>
        <v>#N/A</v>
      </c>
      <c r="P84" s="74" t="e">
        <f t="shared" si="29"/>
        <v>#N/A</v>
      </c>
      <c r="Q84" s="74" t="e">
        <f t="shared" si="29"/>
        <v>#N/A</v>
      </c>
    </row>
    <row r="86" spans="1:17" x14ac:dyDescent="0.35">
      <c r="B86" s="5" t="s">
        <v>135</v>
      </c>
    </row>
    <row r="87" spans="1:17" x14ac:dyDescent="0.35">
      <c r="A87" t="s">
        <v>136</v>
      </c>
      <c r="B87" t="s">
        <v>137</v>
      </c>
      <c r="C87" t="s">
        <v>138</v>
      </c>
      <c r="D87" s="21"/>
      <c r="E87" s="51">
        <v>85</v>
      </c>
      <c r="F87" s="51">
        <v>103</v>
      </c>
      <c r="G87" s="51">
        <v>103</v>
      </c>
      <c r="H87" s="76">
        <f t="shared" ref="H87:Q87" si="30">G87</f>
        <v>103</v>
      </c>
      <c r="I87" s="76">
        <f t="shared" si="30"/>
        <v>103</v>
      </c>
      <c r="J87" s="76">
        <f t="shared" si="30"/>
        <v>103</v>
      </c>
      <c r="K87" s="76">
        <f t="shared" si="30"/>
        <v>103</v>
      </c>
      <c r="L87" s="76">
        <f t="shared" si="30"/>
        <v>103</v>
      </c>
      <c r="M87" s="76">
        <f t="shared" si="30"/>
        <v>103</v>
      </c>
      <c r="N87" s="76">
        <f t="shared" si="30"/>
        <v>103</v>
      </c>
      <c r="O87" s="76">
        <f t="shared" si="30"/>
        <v>103</v>
      </c>
      <c r="P87" s="76">
        <f t="shared" si="30"/>
        <v>103</v>
      </c>
      <c r="Q87" s="76">
        <f t="shared" si="30"/>
        <v>103</v>
      </c>
    </row>
    <row r="88" spans="1:17" x14ac:dyDescent="0.35">
      <c r="A88" t="s">
        <v>139</v>
      </c>
      <c r="B88" t="s">
        <v>140</v>
      </c>
      <c r="C88" t="s">
        <v>138</v>
      </c>
      <c r="D88" s="21"/>
      <c r="E88" s="51">
        <v>84</v>
      </c>
      <c r="F88" s="51">
        <v>85.4</v>
      </c>
      <c r="G88" s="51">
        <v>101.2</v>
      </c>
      <c r="H88" s="62">
        <f t="shared" ref="H88:Q88" si="31">(G87+H87)/2</f>
        <v>103</v>
      </c>
      <c r="I88" s="62">
        <f t="shared" si="31"/>
        <v>103</v>
      </c>
      <c r="J88" s="62">
        <f t="shared" si="31"/>
        <v>103</v>
      </c>
      <c r="K88" s="62">
        <f t="shared" si="31"/>
        <v>103</v>
      </c>
      <c r="L88" s="62">
        <f t="shared" si="31"/>
        <v>103</v>
      </c>
      <c r="M88" s="62">
        <f t="shared" si="31"/>
        <v>103</v>
      </c>
      <c r="N88" s="62">
        <f t="shared" si="31"/>
        <v>103</v>
      </c>
      <c r="O88" s="62">
        <f t="shared" si="31"/>
        <v>103</v>
      </c>
      <c r="P88" s="62">
        <f t="shared" si="31"/>
        <v>103</v>
      </c>
      <c r="Q88" s="62">
        <f t="shared" si="31"/>
        <v>103</v>
      </c>
    </row>
    <row r="89" spans="1:17" x14ac:dyDescent="0.35">
      <c r="A89" t="s">
        <v>141</v>
      </c>
      <c r="B89" s="8" t="s">
        <v>142</v>
      </c>
      <c r="C89" t="s">
        <v>138</v>
      </c>
      <c r="D89" s="3">
        <f t="shared" ref="D89:Q89" si="32">D90-D88</f>
        <v>0</v>
      </c>
      <c r="E89" s="3">
        <f t="shared" si="32"/>
        <v>0</v>
      </c>
      <c r="F89" s="3">
        <f t="shared" si="32"/>
        <v>0</v>
      </c>
      <c r="G89" s="3">
        <f t="shared" si="32"/>
        <v>4.5</v>
      </c>
      <c r="H89" s="62">
        <f t="shared" si="32"/>
        <v>4.5800395256917028</v>
      </c>
      <c r="I89" s="62">
        <f t="shared" si="32"/>
        <v>4.5800395256917028</v>
      </c>
      <c r="J89" s="62">
        <f t="shared" si="32"/>
        <v>4.5800395256917028</v>
      </c>
      <c r="K89" s="62">
        <f t="shared" si="32"/>
        <v>4.5800395256917028</v>
      </c>
      <c r="L89" s="62">
        <f t="shared" si="32"/>
        <v>4.5800395256917028</v>
      </c>
      <c r="M89" s="62">
        <f t="shared" si="32"/>
        <v>4.5800395256917028</v>
      </c>
      <c r="N89" s="62">
        <f t="shared" si="32"/>
        <v>4.5800395256917028</v>
      </c>
      <c r="O89" s="62">
        <f t="shared" si="32"/>
        <v>4.5800395256917028</v>
      </c>
      <c r="P89" s="62">
        <f t="shared" si="32"/>
        <v>4.5800395256917028</v>
      </c>
      <c r="Q89" s="62">
        <f t="shared" si="32"/>
        <v>4.5800395256917028</v>
      </c>
    </row>
    <row r="90" spans="1:17" x14ac:dyDescent="0.35">
      <c r="A90" t="s">
        <v>143</v>
      </c>
      <c r="B90" t="s">
        <v>144</v>
      </c>
      <c r="C90" t="s">
        <v>138</v>
      </c>
      <c r="D90" s="21"/>
      <c r="E90" s="51">
        <v>84</v>
      </c>
      <c r="F90" s="51">
        <v>85.4</v>
      </c>
      <c r="G90" s="51">
        <v>105.7</v>
      </c>
      <c r="H90" s="62">
        <f t="shared" ref="H90:Q90" si="33">H88*(G90/G88)</f>
        <v>107.5800395256917</v>
      </c>
      <c r="I90" s="62">
        <f t="shared" si="33"/>
        <v>107.5800395256917</v>
      </c>
      <c r="J90" s="62">
        <f t="shared" si="33"/>
        <v>107.5800395256917</v>
      </c>
      <c r="K90" s="62">
        <f t="shared" si="33"/>
        <v>107.5800395256917</v>
      </c>
      <c r="L90" s="62">
        <f t="shared" si="33"/>
        <v>107.5800395256917</v>
      </c>
      <c r="M90" s="62">
        <f t="shared" si="33"/>
        <v>107.5800395256917</v>
      </c>
      <c r="N90" s="62">
        <f t="shared" si="33"/>
        <v>107.5800395256917</v>
      </c>
      <c r="O90" s="62">
        <f t="shared" si="33"/>
        <v>107.5800395256917</v>
      </c>
      <c r="P90" s="62">
        <f t="shared" si="33"/>
        <v>107.5800395256917</v>
      </c>
      <c r="Q90" s="62">
        <f t="shared" si="33"/>
        <v>107.5800395256917</v>
      </c>
    </row>
    <row r="92" spans="1:17" x14ac:dyDescent="0.35">
      <c r="A92" t="s">
        <v>145</v>
      </c>
      <c r="B92" s="19" t="s">
        <v>146</v>
      </c>
      <c r="C92" s="19" t="s">
        <v>147</v>
      </c>
      <c r="D92" s="22" t="str">
        <f t="shared" ref="D92:Q92" si="34">IF(D90=0,"",D80/D90)</f>
        <v/>
      </c>
      <c r="E92" s="22">
        <f t="shared" si="34"/>
        <v>-2.3809523809523329E-2</v>
      </c>
      <c r="F92" s="22">
        <f t="shared" si="34"/>
        <v>-0.14871194379391114</v>
      </c>
      <c r="G92" s="22">
        <f t="shared" si="34"/>
        <v>0.1362346263008522</v>
      </c>
      <c r="H92" s="77" t="e">
        <f t="shared" si="34"/>
        <v>#N/A</v>
      </c>
      <c r="I92" s="77" t="e">
        <f t="shared" si="34"/>
        <v>#N/A</v>
      </c>
      <c r="J92" s="77" t="e">
        <f t="shared" si="34"/>
        <v>#N/A</v>
      </c>
      <c r="K92" s="77" t="e">
        <f t="shared" si="34"/>
        <v>#N/A</v>
      </c>
      <c r="L92" s="77" t="e">
        <f t="shared" si="34"/>
        <v>#N/A</v>
      </c>
      <c r="M92" s="77" t="e">
        <f t="shared" si="34"/>
        <v>#N/A</v>
      </c>
      <c r="N92" s="77" t="e">
        <f t="shared" si="34"/>
        <v>#N/A</v>
      </c>
      <c r="O92" s="77" t="e">
        <f t="shared" si="34"/>
        <v>#N/A</v>
      </c>
      <c r="P92" s="77" t="e">
        <f t="shared" si="34"/>
        <v>#N/A</v>
      </c>
      <c r="Q92" s="77" t="e">
        <f t="shared" si="34"/>
        <v>#N/A</v>
      </c>
    </row>
    <row r="93" spans="1:17" x14ac:dyDescent="0.35">
      <c r="A93" t="s">
        <v>148</v>
      </c>
      <c r="B93" s="8" t="s">
        <v>149</v>
      </c>
      <c r="C93" t="s">
        <v>147</v>
      </c>
      <c r="D93" s="9" t="str">
        <f t="shared" ref="D93:Q93" si="35">IF(D90=0,"",D82/D90)</f>
        <v/>
      </c>
      <c r="E93" s="9">
        <f t="shared" si="35"/>
        <v>-2.3809523809523329E-2</v>
      </c>
      <c r="F93" s="9">
        <f t="shared" si="35"/>
        <v>-0.14871194379391114</v>
      </c>
      <c r="G93" s="9">
        <f t="shared" si="35"/>
        <v>0.1362346263008522</v>
      </c>
      <c r="H93" s="78" t="e">
        <f t="shared" si="35"/>
        <v>#N/A</v>
      </c>
      <c r="I93" s="78" t="e">
        <f t="shared" si="35"/>
        <v>#N/A</v>
      </c>
      <c r="J93" s="78" t="e">
        <f t="shared" si="35"/>
        <v>#N/A</v>
      </c>
      <c r="K93" s="78" t="e">
        <f t="shared" si="35"/>
        <v>#N/A</v>
      </c>
      <c r="L93" s="78" t="e">
        <f t="shared" si="35"/>
        <v>#N/A</v>
      </c>
      <c r="M93" s="78" t="e">
        <f t="shared" si="35"/>
        <v>#N/A</v>
      </c>
      <c r="N93" s="78" t="e">
        <f t="shared" si="35"/>
        <v>#N/A</v>
      </c>
      <c r="O93" s="78" t="e">
        <f t="shared" si="35"/>
        <v>#N/A</v>
      </c>
      <c r="P93" s="78" t="e">
        <f t="shared" si="35"/>
        <v>#N/A</v>
      </c>
      <c r="Q93" s="78" t="e">
        <f t="shared" si="35"/>
        <v>#N/A</v>
      </c>
    </row>
    <row r="94" spans="1:17" x14ac:dyDescent="0.35">
      <c r="B94" t="s">
        <v>150</v>
      </c>
      <c r="C94" t="s">
        <v>33</v>
      </c>
      <c r="D94" s="6"/>
      <c r="E94" s="6" t="e">
        <f t="shared" ref="E94:Q94" si="36">IF(D92=0,"",E92/D92-1)</f>
        <v>#VALUE!</v>
      </c>
      <c r="F94" s="6">
        <f t="shared" si="36"/>
        <v>5.2459016393443942</v>
      </c>
      <c r="G94" s="6">
        <f t="shared" si="36"/>
        <v>-1.9160974083537612</v>
      </c>
      <c r="H94" s="74" t="e">
        <f t="shared" si="36"/>
        <v>#N/A</v>
      </c>
      <c r="I94" s="74" t="e">
        <f t="shared" si="36"/>
        <v>#N/A</v>
      </c>
      <c r="J94" s="74" t="e">
        <f t="shared" si="36"/>
        <v>#N/A</v>
      </c>
      <c r="K94" s="74" t="e">
        <f t="shared" si="36"/>
        <v>#N/A</v>
      </c>
      <c r="L94" s="74" t="e">
        <f t="shared" si="36"/>
        <v>#N/A</v>
      </c>
      <c r="M94" s="74" t="e">
        <f t="shared" si="36"/>
        <v>#N/A</v>
      </c>
      <c r="N94" s="74" t="e">
        <f t="shared" si="36"/>
        <v>#N/A</v>
      </c>
      <c r="O94" s="74" t="e">
        <f t="shared" si="36"/>
        <v>#N/A</v>
      </c>
      <c r="P94" s="74" t="e">
        <f t="shared" si="36"/>
        <v>#N/A</v>
      </c>
      <c r="Q94" s="74" t="e">
        <f t="shared" si="36"/>
        <v>#N/A</v>
      </c>
    </row>
    <row r="96" spans="1:17" x14ac:dyDescent="0.35">
      <c r="A96" t="s">
        <v>151</v>
      </c>
      <c r="B96" t="s">
        <v>152</v>
      </c>
      <c r="C96" t="s">
        <v>147</v>
      </c>
      <c r="D96" s="54">
        <v>0</v>
      </c>
      <c r="E96" s="54">
        <v>0</v>
      </c>
      <c r="F96" s="54">
        <v>0</v>
      </c>
      <c r="G96" s="54">
        <v>0.126</v>
      </c>
      <c r="H96" s="79">
        <f t="shared" ref="H96:Q96" si="37">G96</f>
        <v>0.126</v>
      </c>
      <c r="I96" s="79">
        <f t="shared" si="37"/>
        <v>0.126</v>
      </c>
      <c r="J96" s="79">
        <f t="shared" si="37"/>
        <v>0.126</v>
      </c>
      <c r="K96" s="79">
        <f t="shared" si="37"/>
        <v>0.126</v>
      </c>
      <c r="L96" s="79">
        <f t="shared" si="37"/>
        <v>0.126</v>
      </c>
      <c r="M96" s="79">
        <f t="shared" si="37"/>
        <v>0.126</v>
      </c>
      <c r="N96" s="79">
        <f t="shared" si="37"/>
        <v>0.126</v>
      </c>
      <c r="O96" s="79">
        <f t="shared" si="37"/>
        <v>0.126</v>
      </c>
      <c r="P96" s="79">
        <f t="shared" si="37"/>
        <v>0.126</v>
      </c>
      <c r="Q96" s="79">
        <f t="shared" si="37"/>
        <v>0.126</v>
      </c>
    </row>
    <row r="97" spans="1:17" x14ac:dyDescent="0.35">
      <c r="A97" t="s">
        <v>153</v>
      </c>
      <c r="B97" s="8" t="s">
        <v>154</v>
      </c>
      <c r="C97" t="s">
        <v>23</v>
      </c>
      <c r="D97" s="4">
        <f t="shared" ref="D97:Q97" si="38">D96*D88</f>
        <v>0</v>
      </c>
      <c r="E97" s="4">
        <f t="shared" si="38"/>
        <v>0</v>
      </c>
      <c r="F97" s="4">
        <f t="shared" si="38"/>
        <v>0</v>
      </c>
      <c r="G97" s="4">
        <f t="shared" si="38"/>
        <v>12.751200000000001</v>
      </c>
      <c r="H97" s="63">
        <f t="shared" si="38"/>
        <v>12.978</v>
      </c>
      <c r="I97" s="63">
        <f t="shared" si="38"/>
        <v>12.978</v>
      </c>
      <c r="J97" s="63">
        <f t="shared" si="38"/>
        <v>12.978</v>
      </c>
      <c r="K97" s="63">
        <f t="shared" si="38"/>
        <v>12.978</v>
      </c>
      <c r="L97" s="63">
        <f t="shared" si="38"/>
        <v>12.978</v>
      </c>
      <c r="M97" s="63">
        <f t="shared" si="38"/>
        <v>12.978</v>
      </c>
      <c r="N97" s="63">
        <f t="shared" si="38"/>
        <v>12.978</v>
      </c>
      <c r="O97" s="63">
        <f t="shared" si="38"/>
        <v>12.978</v>
      </c>
      <c r="P97" s="63">
        <f t="shared" si="38"/>
        <v>12.978</v>
      </c>
      <c r="Q97" s="63">
        <f t="shared" si="38"/>
        <v>12.978</v>
      </c>
    </row>
    <row r="98" spans="1:17" x14ac:dyDescent="0.35">
      <c r="B98" s="23" t="s">
        <v>155</v>
      </c>
      <c r="C98" t="s">
        <v>52</v>
      </c>
      <c r="D98" s="6" t="e">
        <f t="shared" ref="D98:Q98" si="39">IF(D92=0,"",D96/D92)</f>
        <v>#VALUE!</v>
      </c>
      <c r="E98" s="6">
        <f t="shared" si="39"/>
        <v>0</v>
      </c>
      <c r="F98" s="6">
        <f t="shared" si="39"/>
        <v>0</v>
      </c>
      <c r="G98" s="6">
        <f t="shared" si="39"/>
        <v>0.92487499999999501</v>
      </c>
      <c r="H98" s="74" t="e">
        <f t="shared" si="39"/>
        <v>#N/A</v>
      </c>
      <c r="I98" s="74" t="e">
        <f t="shared" si="39"/>
        <v>#N/A</v>
      </c>
      <c r="J98" s="74" t="e">
        <f t="shared" si="39"/>
        <v>#N/A</v>
      </c>
      <c r="K98" s="74" t="e">
        <f t="shared" si="39"/>
        <v>#N/A</v>
      </c>
      <c r="L98" s="74" t="e">
        <f t="shared" si="39"/>
        <v>#N/A</v>
      </c>
      <c r="M98" s="74" t="e">
        <f t="shared" si="39"/>
        <v>#N/A</v>
      </c>
      <c r="N98" s="74" t="e">
        <f t="shared" si="39"/>
        <v>#N/A</v>
      </c>
      <c r="O98" s="74" t="e">
        <f t="shared" si="39"/>
        <v>#N/A</v>
      </c>
      <c r="P98" s="74" t="e">
        <f t="shared" si="39"/>
        <v>#N/A</v>
      </c>
      <c r="Q98" s="74" t="e">
        <f t="shared" si="39"/>
        <v>#N/A</v>
      </c>
    </row>
    <row r="99" spans="1:17" x14ac:dyDescent="0.35">
      <c r="B99" t="s">
        <v>156</v>
      </c>
      <c r="C99" t="s">
        <v>52</v>
      </c>
      <c r="D99" s="6">
        <f>IF(Value!$C$4=0,"",D96/Value!$C$4)</f>
        <v>0</v>
      </c>
      <c r="E99" s="6">
        <f>IF(Value!$C$4=0,"",E96/Value!$C$4)</f>
        <v>0</v>
      </c>
      <c r="F99" s="6">
        <f>IF(Value!$C$4=0,"",F96/Value!$C$4)</f>
        <v>0</v>
      </c>
      <c r="G99" s="6">
        <f>IF(Value!$C$4=0,"",G96/Value!$C$4)</f>
        <v>3.5999999999999999E-3</v>
      </c>
      <c r="H99" s="74">
        <f>IF(Value!$C$4=0,"",H96/Value!$C$4)</f>
        <v>3.5999999999999999E-3</v>
      </c>
      <c r="I99" s="74">
        <f>IF(Value!$C$4=0,"",I96/Value!$C$4)</f>
        <v>3.5999999999999999E-3</v>
      </c>
      <c r="J99" s="74">
        <f>IF(Value!$C$4=0,"",J96/Value!$C$4)</f>
        <v>3.5999999999999999E-3</v>
      </c>
      <c r="K99" s="74">
        <f>IF(Value!$C$4=0,"",K96/Value!$C$4)</f>
        <v>3.5999999999999999E-3</v>
      </c>
      <c r="L99" s="74">
        <f>IF(Value!$C$4=0,"",L96/Value!$C$4)</f>
        <v>3.5999999999999999E-3</v>
      </c>
      <c r="M99" s="74">
        <f>IF(Value!$C$4=0,"",M96/Value!$C$4)</f>
        <v>3.5999999999999999E-3</v>
      </c>
      <c r="N99" s="74">
        <f>IF(Value!$C$4=0,"",N96/Value!$C$4)</f>
        <v>3.5999999999999999E-3</v>
      </c>
      <c r="O99" s="74">
        <f>IF(Value!$C$4=0,"",O96/Value!$C$4)</f>
        <v>3.5999999999999999E-3</v>
      </c>
      <c r="P99" s="74">
        <f>IF(Value!$C$4=0,"",P96/Value!$C$4)</f>
        <v>3.5999999999999999E-3</v>
      </c>
      <c r="Q99" s="74">
        <f>IF(Value!$C$4=0,"",Q96/Value!$C$4)</f>
        <v>3.5999999999999999E-3</v>
      </c>
    </row>
    <row r="100" spans="1:17" x14ac:dyDescent="0.35">
      <c r="B100" t="s">
        <v>157</v>
      </c>
      <c r="C100" t="s">
        <v>33</v>
      </c>
      <c r="D100" s="6"/>
      <c r="E100" s="6" t="str">
        <f t="shared" ref="E100:Q100" si="40">IF(D96=0,"",E96/D96-1)</f>
        <v/>
      </c>
      <c r="F100" s="6" t="str">
        <f t="shared" si="40"/>
        <v/>
      </c>
      <c r="G100" s="6" t="str">
        <f t="shared" si="40"/>
        <v/>
      </c>
      <c r="H100" s="74">
        <f t="shared" si="40"/>
        <v>0</v>
      </c>
      <c r="I100" s="74">
        <f t="shared" si="40"/>
        <v>0</v>
      </c>
      <c r="J100" s="74">
        <f t="shared" si="40"/>
        <v>0</v>
      </c>
      <c r="K100" s="74">
        <f t="shared" si="40"/>
        <v>0</v>
      </c>
      <c r="L100" s="74">
        <f t="shared" si="40"/>
        <v>0</v>
      </c>
      <c r="M100" s="74">
        <f t="shared" si="40"/>
        <v>0</v>
      </c>
      <c r="N100" s="74">
        <f t="shared" si="40"/>
        <v>0</v>
      </c>
      <c r="O100" s="74">
        <f t="shared" si="40"/>
        <v>0</v>
      </c>
      <c r="P100" s="74">
        <f t="shared" si="40"/>
        <v>0</v>
      </c>
      <c r="Q100" s="74">
        <f t="shared" si="40"/>
        <v>0</v>
      </c>
    </row>
    <row r="102" spans="1:17" x14ac:dyDescent="0.35">
      <c r="A102" s="25"/>
      <c r="B102" s="26" t="s">
        <v>158</v>
      </c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</row>
    <row r="103" spans="1:17" x14ac:dyDescent="0.35">
      <c r="A103" s="48"/>
      <c r="B103" s="49" t="s">
        <v>159</v>
      </c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</row>
    <row r="104" spans="1:17" x14ac:dyDescent="0.35">
      <c r="A104" t="s">
        <v>160</v>
      </c>
      <c r="B104" t="s">
        <v>161</v>
      </c>
      <c r="C104" t="s">
        <v>23</v>
      </c>
      <c r="D104" s="51">
        <v>535.4</v>
      </c>
      <c r="E104" s="51">
        <v>702.9</v>
      </c>
      <c r="F104" s="51">
        <v>894.6</v>
      </c>
      <c r="G104" s="51">
        <v>1094.5999999999999</v>
      </c>
      <c r="H104" s="63" t="e">
        <f>INDEX('HY &amp; Segments'!$107:$107,1,MATCH("1H"&amp;RIGHT(H$1,2),'HY &amp; Segments'!$3:$3,0))+INDEX('HY &amp; Segments'!$107:$107,1,MATCH("2H"&amp;RIGHT(H$1,2),'HY &amp; Segments'!$3:$3,0))</f>
        <v>#N/A</v>
      </c>
      <c r="I104" s="63" t="e">
        <f>INDEX('HY &amp; Segments'!$107:$107,1,MATCH("1H"&amp;RIGHT(I$1,2),'HY &amp; Segments'!$3:$3,0))+INDEX('HY &amp; Segments'!$107:$107,1,MATCH("2H"&amp;RIGHT(I$1,2),'HY &amp; Segments'!$3:$3,0))</f>
        <v>#N/A</v>
      </c>
      <c r="J104" s="63" t="e">
        <f>INDEX('HY &amp; Segments'!$107:$107,1,MATCH("1H"&amp;RIGHT(J$1,2),'HY &amp; Segments'!$3:$3,0))+INDEX('HY &amp; Segments'!$107:$107,1,MATCH("2H"&amp;RIGHT(J$1,2),'HY &amp; Segments'!$3:$3,0))</f>
        <v>#N/A</v>
      </c>
      <c r="K104" s="63" t="e">
        <f>INDEX('HY &amp; Segments'!$107:$107,1,MATCH("1H"&amp;RIGHT(K$1,2),'HY &amp; Segments'!$3:$3,0))+INDEX('HY &amp; Segments'!$107:$107,1,MATCH("2H"&amp;RIGHT(K$1,2),'HY &amp; Segments'!$3:$3,0))</f>
        <v>#N/A</v>
      </c>
      <c r="L104" s="63" t="e">
        <f>INDEX('HY &amp; Segments'!$107:$107,1,MATCH("1H"&amp;RIGHT(L$1,2),'HY &amp; Segments'!$3:$3,0))+INDEX('HY &amp; Segments'!$107:$107,1,MATCH("2H"&amp;RIGHT(L$1,2),'HY &amp; Segments'!$3:$3,0))</f>
        <v>#N/A</v>
      </c>
      <c r="M104" s="63" t="e">
        <f>INDEX('HY &amp; Segments'!$107:$107,1,MATCH("1H"&amp;RIGHT(M$1,2),'HY &amp; Segments'!$3:$3,0))+INDEX('HY &amp; Segments'!$107:$107,1,MATCH("2H"&amp;RIGHT(M$1,2),'HY &amp; Segments'!$3:$3,0))</f>
        <v>#N/A</v>
      </c>
      <c r="N104" s="63" t="e">
        <f>INDEX('HY &amp; Segments'!$107:$107,1,MATCH("1H"&amp;RIGHT(N$1,2),'HY &amp; Segments'!$3:$3,0))+INDEX('HY &amp; Segments'!$107:$107,1,MATCH("2H"&amp;RIGHT(N$1,2),'HY &amp; Segments'!$3:$3,0))</f>
        <v>#N/A</v>
      </c>
      <c r="O104" s="63" t="e">
        <f>INDEX('HY &amp; Segments'!$107:$107,1,MATCH("1H"&amp;RIGHT(O$1,2),'HY &amp; Segments'!$3:$3,0))+INDEX('HY &amp; Segments'!$107:$107,1,MATCH("2H"&amp;RIGHT(O$1,2),'HY &amp; Segments'!$3:$3,0))</f>
        <v>#N/A</v>
      </c>
      <c r="P104" s="63" t="e">
        <f>INDEX('HY &amp; Segments'!$107:$107,1,MATCH("1H"&amp;RIGHT(P$1,2),'HY &amp; Segments'!$3:$3,0))+INDEX('HY &amp; Segments'!$107:$107,1,MATCH("2H"&amp;RIGHT(P$1,2),'HY &amp; Segments'!$3:$3,0))</f>
        <v>#N/A</v>
      </c>
      <c r="Q104" s="63" t="e">
        <f>INDEX('HY &amp; Segments'!$107:$107,1,MATCH("1H"&amp;RIGHT(Q$1,2),'HY &amp; Segments'!$3:$3,0))+INDEX('HY &amp; Segments'!$107:$107,1,MATCH("2H"&amp;RIGHT(Q$1,2),'HY &amp; Segments'!$3:$3,0))</f>
        <v>#N/A</v>
      </c>
    </row>
    <row r="105" spans="1:17" x14ac:dyDescent="0.35">
      <c r="A105" t="s">
        <v>162</v>
      </c>
      <c r="B105" t="s">
        <v>163</v>
      </c>
      <c r="C105" t="s">
        <v>23</v>
      </c>
      <c r="D105" s="51">
        <v>31.4</v>
      </c>
      <c r="E105" s="51">
        <v>43.1</v>
      </c>
      <c r="F105" s="51">
        <v>46.4</v>
      </c>
      <c r="G105" s="51">
        <v>64.7</v>
      </c>
      <c r="H105" s="63" t="e">
        <f>INDEX('HY &amp; Segments'!$108:$108,1,MATCH("1H"&amp;RIGHT(H$1,2),'HY &amp; Segments'!$3:$3,0))+INDEX('HY &amp; Segments'!$108:$108,1,MATCH("2H"&amp;RIGHT(H$1,2),'HY &amp; Segments'!$3:$3,0))</f>
        <v>#N/A</v>
      </c>
      <c r="I105" s="63" t="e">
        <f>INDEX('HY &amp; Segments'!$108:$108,1,MATCH("1H"&amp;RIGHT(I$1,2),'HY &amp; Segments'!$3:$3,0))+INDEX('HY &amp; Segments'!$108:$108,1,MATCH("2H"&amp;RIGHT(I$1,2),'HY &amp; Segments'!$3:$3,0))</f>
        <v>#N/A</v>
      </c>
      <c r="J105" s="63" t="e">
        <f>INDEX('HY &amp; Segments'!$108:$108,1,MATCH("1H"&amp;RIGHT(J$1,2),'HY &amp; Segments'!$3:$3,0))+INDEX('HY &amp; Segments'!$108:$108,1,MATCH("2H"&amp;RIGHT(J$1,2),'HY &amp; Segments'!$3:$3,0))</f>
        <v>#N/A</v>
      </c>
      <c r="K105" s="63" t="e">
        <f>INDEX('HY &amp; Segments'!$108:$108,1,MATCH("1H"&amp;RIGHT(K$1,2),'HY &amp; Segments'!$3:$3,0))+INDEX('HY &amp; Segments'!$108:$108,1,MATCH("2H"&amp;RIGHT(K$1,2),'HY &amp; Segments'!$3:$3,0))</f>
        <v>#N/A</v>
      </c>
      <c r="L105" s="63" t="e">
        <f>INDEX('HY &amp; Segments'!$108:$108,1,MATCH("1H"&amp;RIGHT(L$1,2),'HY &amp; Segments'!$3:$3,0))+INDEX('HY &amp; Segments'!$108:$108,1,MATCH("2H"&amp;RIGHT(L$1,2),'HY &amp; Segments'!$3:$3,0))</f>
        <v>#N/A</v>
      </c>
      <c r="M105" s="63" t="e">
        <f>INDEX('HY &amp; Segments'!$108:$108,1,MATCH("1H"&amp;RIGHT(M$1,2),'HY &amp; Segments'!$3:$3,0))+INDEX('HY &amp; Segments'!$108:$108,1,MATCH("2H"&amp;RIGHT(M$1,2),'HY &amp; Segments'!$3:$3,0))</f>
        <v>#N/A</v>
      </c>
      <c r="N105" s="63" t="e">
        <f>INDEX('HY &amp; Segments'!$108:$108,1,MATCH("1H"&amp;RIGHT(N$1,2),'HY &amp; Segments'!$3:$3,0))+INDEX('HY &amp; Segments'!$108:$108,1,MATCH("2H"&amp;RIGHT(N$1,2),'HY &amp; Segments'!$3:$3,0))</f>
        <v>#N/A</v>
      </c>
      <c r="O105" s="63" t="e">
        <f>INDEX('HY &amp; Segments'!$108:$108,1,MATCH("1H"&amp;RIGHT(O$1,2),'HY &amp; Segments'!$3:$3,0))+INDEX('HY &amp; Segments'!$108:$108,1,MATCH("2H"&amp;RIGHT(O$1,2),'HY &amp; Segments'!$3:$3,0))</f>
        <v>#N/A</v>
      </c>
      <c r="P105" s="63" t="e">
        <f>INDEX('HY &amp; Segments'!$108:$108,1,MATCH("1H"&amp;RIGHT(P$1,2),'HY &amp; Segments'!$3:$3,0))+INDEX('HY &amp; Segments'!$108:$108,1,MATCH("2H"&amp;RIGHT(P$1,2),'HY &amp; Segments'!$3:$3,0))</f>
        <v>#N/A</v>
      </c>
      <c r="Q105" s="63" t="e">
        <f>INDEX('HY &amp; Segments'!$108:$108,1,MATCH("1H"&amp;RIGHT(Q$1,2),'HY &amp; Segments'!$3:$3,0))+INDEX('HY &amp; Segments'!$108:$108,1,MATCH("2H"&amp;RIGHT(Q$1,2),'HY &amp; Segments'!$3:$3,0))</f>
        <v>#N/A</v>
      </c>
    </row>
    <row r="106" spans="1:17" x14ac:dyDescent="0.35">
      <c r="A106" t="s">
        <v>164</v>
      </c>
      <c r="B106" t="s">
        <v>165</v>
      </c>
      <c r="C106" t="s">
        <v>23</v>
      </c>
      <c r="D106" s="51">
        <v>5.8</v>
      </c>
      <c r="E106" s="51">
        <v>7</v>
      </c>
      <c r="F106" s="51">
        <v>7.9</v>
      </c>
      <c r="G106" s="51">
        <v>9.1</v>
      </c>
      <c r="H106" s="63" t="e">
        <f>INDEX('HY &amp; Segments'!$110:$110,1,MATCH("1H"&amp;RIGHT(H$1,2),'HY &amp; Segments'!$3:$3,0))+INDEX('HY &amp; Segments'!$110:$110,1,MATCH("2H"&amp;RIGHT(H$1,2),'HY &amp; Segments'!$3:$3,0))</f>
        <v>#N/A</v>
      </c>
      <c r="I106" s="63" t="e">
        <f>INDEX('HY &amp; Segments'!$110:$110,1,MATCH("1H"&amp;RIGHT(I$1,2),'HY &amp; Segments'!$3:$3,0))+INDEX('HY &amp; Segments'!$110:$110,1,MATCH("2H"&amp;RIGHT(I$1,2),'HY &amp; Segments'!$3:$3,0))</f>
        <v>#N/A</v>
      </c>
      <c r="J106" s="63" t="e">
        <f>INDEX('HY &amp; Segments'!$110:$110,1,MATCH("1H"&amp;RIGHT(J$1,2),'HY &amp; Segments'!$3:$3,0))+INDEX('HY &amp; Segments'!$110:$110,1,MATCH("2H"&amp;RIGHT(J$1,2),'HY &amp; Segments'!$3:$3,0))</f>
        <v>#N/A</v>
      </c>
      <c r="K106" s="63" t="e">
        <f>INDEX('HY &amp; Segments'!$110:$110,1,MATCH("1H"&amp;RIGHT(K$1,2),'HY &amp; Segments'!$3:$3,0))+INDEX('HY &amp; Segments'!$110:$110,1,MATCH("2H"&amp;RIGHT(K$1,2),'HY &amp; Segments'!$3:$3,0))</f>
        <v>#N/A</v>
      </c>
      <c r="L106" s="63" t="e">
        <f>INDEX('HY &amp; Segments'!$110:$110,1,MATCH("1H"&amp;RIGHT(L$1,2),'HY &amp; Segments'!$3:$3,0))+INDEX('HY &amp; Segments'!$110:$110,1,MATCH("2H"&amp;RIGHT(L$1,2),'HY &amp; Segments'!$3:$3,0))</f>
        <v>#N/A</v>
      </c>
      <c r="M106" s="63" t="e">
        <f>INDEX('HY &amp; Segments'!$110:$110,1,MATCH("1H"&amp;RIGHT(M$1,2),'HY &amp; Segments'!$3:$3,0))+INDEX('HY &amp; Segments'!$110:$110,1,MATCH("2H"&amp;RIGHT(M$1,2),'HY &amp; Segments'!$3:$3,0))</f>
        <v>#N/A</v>
      </c>
      <c r="N106" s="63" t="e">
        <f>INDEX('HY &amp; Segments'!$110:$110,1,MATCH("1H"&amp;RIGHT(N$1,2),'HY &amp; Segments'!$3:$3,0))+INDEX('HY &amp; Segments'!$110:$110,1,MATCH("2H"&amp;RIGHT(N$1,2),'HY &amp; Segments'!$3:$3,0))</f>
        <v>#N/A</v>
      </c>
      <c r="O106" s="63" t="e">
        <f>INDEX('HY &amp; Segments'!$110:$110,1,MATCH("1H"&amp;RIGHT(O$1,2),'HY &amp; Segments'!$3:$3,0))+INDEX('HY &amp; Segments'!$110:$110,1,MATCH("2H"&amp;RIGHT(O$1,2),'HY &amp; Segments'!$3:$3,0))</f>
        <v>#N/A</v>
      </c>
      <c r="P106" s="63" t="e">
        <f>INDEX('HY &amp; Segments'!$110:$110,1,MATCH("1H"&amp;RIGHT(P$1,2),'HY &amp; Segments'!$3:$3,0))+INDEX('HY &amp; Segments'!$110:$110,1,MATCH("2H"&amp;RIGHT(P$1,2),'HY &amp; Segments'!$3:$3,0))</f>
        <v>#N/A</v>
      </c>
      <c r="Q106" s="63" t="e">
        <f>INDEX('HY &amp; Segments'!$110:$110,1,MATCH("1H"&amp;RIGHT(Q$1,2),'HY &amp; Segments'!$3:$3,0))+INDEX('HY &amp; Segments'!$110:$110,1,MATCH("2H"&amp;RIGHT(Q$1,2),'HY &amp; Segments'!$3:$3,0))</f>
        <v>#N/A</v>
      </c>
    </row>
    <row r="107" spans="1:17" x14ac:dyDescent="0.35">
      <c r="A107" t="s">
        <v>166</v>
      </c>
      <c r="B107" t="s">
        <v>167</v>
      </c>
      <c r="C107" t="s">
        <v>23</v>
      </c>
      <c r="D107" s="51">
        <v>2.5</v>
      </c>
      <c r="E107" s="51">
        <v>6</v>
      </c>
      <c r="F107" s="51">
        <v>10.8</v>
      </c>
      <c r="G107" s="51">
        <v>12.2</v>
      </c>
      <c r="H107" s="63" t="e">
        <f>INDEX('HY &amp; Segments'!$142:$142,1,MATCH("1H"&amp;RIGHT(H$1,2),'HY &amp; Segments'!$3:$3,0))+INDEX('HY &amp; Segments'!$142:$142,1,MATCH("2H"&amp;RIGHT(H$1,2),'HY &amp; Segments'!$3:$3,0))</f>
        <v>#N/A</v>
      </c>
      <c r="I107" s="63" t="e">
        <f>INDEX('HY &amp; Segments'!$142:$142,1,MATCH("1H"&amp;RIGHT(I$1,2),'HY &amp; Segments'!$3:$3,0))+INDEX('HY &amp; Segments'!$142:$142,1,MATCH("2H"&amp;RIGHT(I$1,2),'HY &amp; Segments'!$3:$3,0))</f>
        <v>#N/A</v>
      </c>
      <c r="J107" s="63" t="e">
        <f>INDEX('HY &amp; Segments'!$142:$142,1,MATCH("1H"&amp;RIGHT(J$1,2),'HY &amp; Segments'!$3:$3,0))+INDEX('HY &amp; Segments'!$142:$142,1,MATCH("2H"&amp;RIGHT(J$1,2),'HY &amp; Segments'!$3:$3,0))</f>
        <v>#N/A</v>
      </c>
      <c r="K107" s="63" t="e">
        <f>INDEX('HY &amp; Segments'!$142:$142,1,MATCH("1H"&amp;RIGHT(K$1,2),'HY &amp; Segments'!$3:$3,0))+INDEX('HY &amp; Segments'!$142:$142,1,MATCH("2H"&amp;RIGHT(K$1,2),'HY &amp; Segments'!$3:$3,0))</f>
        <v>#N/A</v>
      </c>
      <c r="L107" s="63" t="e">
        <f>INDEX('HY &amp; Segments'!$142:$142,1,MATCH("1H"&amp;RIGHT(L$1,2),'HY &amp; Segments'!$3:$3,0))+INDEX('HY &amp; Segments'!$142:$142,1,MATCH("2H"&amp;RIGHT(L$1,2),'HY &amp; Segments'!$3:$3,0))</f>
        <v>#N/A</v>
      </c>
      <c r="M107" s="63" t="e">
        <f>INDEX('HY &amp; Segments'!$142:$142,1,MATCH("1H"&amp;RIGHT(M$1,2),'HY &amp; Segments'!$3:$3,0))+INDEX('HY &amp; Segments'!$142:$142,1,MATCH("2H"&amp;RIGHT(M$1,2),'HY &amp; Segments'!$3:$3,0))</f>
        <v>#N/A</v>
      </c>
      <c r="N107" s="63" t="e">
        <f>INDEX('HY &amp; Segments'!$142:$142,1,MATCH("1H"&amp;RIGHT(N$1,2),'HY &amp; Segments'!$3:$3,0))+INDEX('HY &amp; Segments'!$142:$142,1,MATCH("2H"&amp;RIGHT(N$1,2),'HY &amp; Segments'!$3:$3,0))</f>
        <v>#N/A</v>
      </c>
      <c r="O107" s="63" t="e">
        <f>INDEX('HY &amp; Segments'!$142:$142,1,MATCH("1H"&amp;RIGHT(O$1,2),'HY &amp; Segments'!$3:$3,0))+INDEX('HY &amp; Segments'!$142:$142,1,MATCH("2H"&amp;RIGHT(O$1,2),'HY &amp; Segments'!$3:$3,0))</f>
        <v>#N/A</v>
      </c>
      <c r="P107" s="63" t="e">
        <f>INDEX('HY &amp; Segments'!$142:$142,1,MATCH("1H"&amp;RIGHT(P$1,2),'HY &amp; Segments'!$3:$3,0))+INDEX('HY &amp; Segments'!$142:$142,1,MATCH("2H"&amp;RIGHT(P$1,2),'HY &amp; Segments'!$3:$3,0))</f>
        <v>#N/A</v>
      </c>
      <c r="Q107" s="63" t="e">
        <f>INDEX('HY &amp; Segments'!$142:$142,1,MATCH("1H"&amp;RIGHT(Q$1,2),'HY &amp; Segments'!$3:$3,0))+INDEX('HY &amp; Segments'!$142:$142,1,MATCH("2H"&amp;RIGHT(Q$1,2),'HY &amp; Segments'!$3:$3,0))</f>
        <v>#N/A</v>
      </c>
    </row>
    <row r="108" spans="1:17" x14ac:dyDescent="0.35">
      <c r="A108" t="s">
        <v>168</v>
      </c>
      <c r="B108" s="19" t="s">
        <v>169</v>
      </c>
      <c r="C108" s="19" t="s">
        <v>23</v>
      </c>
      <c r="D108" s="47">
        <f t="shared" ref="D108:Q108" si="41">SUM(D104:D107)</f>
        <v>575.09999999999991</v>
      </c>
      <c r="E108" s="47">
        <f t="shared" si="41"/>
        <v>759</v>
      </c>
      <c r="F108" s="47">
        <f t="shared" si="41"/>
        <v>959.69999999999993</v>
      </c>
      <c r="G108" s="47">
        <f t="shared" si="41"/>
        <v>1180.5999999999999</v>
      </c>
      <c r="H108" s="75" t="e">
        <f t="shared" si="41"/>
        <v>#N/A</v>
      </c>
      <c r="I108" s="75" t="e">
        <f t="shared" si="41"/>
        <v>#N/A</v>
      </c>
      <c r="J108" s="75" t="e">
        <f t="shared" si="41"/>
        <v>#N/A</v>
      </c>
      <c r="K108" s="75" t="e">
        <f t="shared" si="41"/>
        <v>#N/A</v>
      </c>
      <c r="L108" s="75" t="e">
        <f t="shared" si="41"/>
        <v>#N/A</v>
      </c>
      <c r="M108" s="75" t="e">
        <f t="shared" si="41"/>
        <v>#N/A</v>
      </c>
      <c r="N108" s="75" t="e">
        <f t="shared" si="41"/>
        <v>#N/A</v>
      </c>
      <c r="O108" s="75" t="e">
        <f t="shared" si="41"/>
        <v>#N/A</v>
      </c>
      <c r="P108" s="75" t="e">
        <f t="shared" si="41"/>
        <v>#N/A</v>
      </c>
      <c r="Q108" s="75" t="e">
        <f t="shared" si="41"/>
        <v>#N/A</v>
      </c>
    </row>
    <row r="109" spans="1:17" x14ac:dyDescent="0.35">
      <c r="B109" t="s">
        <v>170</v>
      </c>
      <c r="C109" t="s">
        <v>33</v>
      </c>
      <c r="D109" s="29"/>
      <c r="E109" s="29">
        <f t="shared" ref="E109:Q109" si="42">IF(D108=0,"",E108/D108-1)</f>
        <v>0.31977047470005227</v>
      </c>
      <c r="F109" s="29">
        <f t="shared" si="42"/>
        <v>0.26442687747035554</v>
      </c>
      <c r="G109" s="29">
        <f t="shared" si="42"/>
        <v>0.23017609669688444</v>
      </c>
      <c r="H109" s="74" t="e">
        <f t="shared" si="42"/>
        <v>#N/A</v>
      </c>
      <c r="I109" s="74" t="e">
        <f t="shared" si="42"/>
        <v>#N/A</v>
      </c>
      <c r="J109" s="74" t="e">
        <f t="shared" si="42"/>
        <v>#N/A</v>
      </c>
      <c r="K109" s="74" t="e">
        <f t="shared" si="42"/>
        <v>#N/A</v>
      </c>
      <c r="L109" s="74" t="e">
        <f t="shared" si="42"/>
        <v>#N/A</v>
      </c>
      <c r="M109" s="74" t="e">
        <f t="shared" si="42"/>
        <v>#N/A</v>
      </c>
      <c r="N109" s="74" t="e">
        <f t="shared" si="42"/>
        <v>#N/A</v>
      </c>
      <c r="O109" s="74" t="e">
        <f t="shared" si="42"/>
        <v>#N/A</v>
      </c>
      <c r="P109" s="74" t="e">
        <f t="shared" si="42"/>
        <v>#N/A</v>
      </c>
      <c r="Q109" s="74" t="e">
        <f t="shared" si="42"/>
        <v>#N/A</v>
      </c>
    </row>
    <row r="111" spans="1:17" x14ac:dyDescent="0.35">
      <c r="A111" s="48"/>
      <c r="B111" s="49" t="s">
        <v>171</v>
      </c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</row>
    <row r="112" spans="1:17" x14ac:dyDescent="0.35">
      <c r="A112" t="s">
        <v>172</v>
      </c>
      <c r="B112" t="s">
        <v>173</v>
      </c>
      <c r="C112" t="s">
        <v>174</v>
      </c>
      <c r="D112" s="55">
        <v>46</v>
      </c>
      <c r="E112" s="55">
        <v>55</v>
      </c>
      <c r="F112" s="55">
        <v>64</v>
      </c>
      <c r="G112" s="55">
        <v>81</v>
      </c>
      <c r="H112" s="80" t="e">
        <f>INDEX('HY &amp; Segments'!$117:$117,1,MATCH("2H"&amp;RIGHT(H$1,2),'HY &amp; Segments'!$3:$3,0))</f>
        <v>#N/A</v>
      </c>
      <c r="I112" s="80" t="e">
        <f>INDEX('HY &amp; Segments'!$117:$117,1,MATCH("2H"&amp;RIGHT(I$1,2),'HY &amp; Segments'!$3:$3,0))</f>
        <v>#N/A</v>
      </c>
      <c r="J112" s="80" t="e">
        <f>INDEX('HY &amp; Segments'!$117:$117,1,MATCH("2H"&amp;RIGHT(J$1,2),'HY &amp; Segments'!$3:$3,0))</f>
        <v>#N/A</v>
      </c>
      <c r="K112" s="80" t="e">
        <f>INDEX('HY &amp; Segments'!$117:$117,1,MATCH("2H"&amp;RIGHT(K$1,2),'HY &amp; Segments'!$3:$3,0))</f>
        <v>#N/A</v>
      </c>
      <c r="L112" s="80" t="e">
        <f>INDEX('HY &amp; Segments'!$117:$117,1,MATCH("2H"&amp;RIGHT(L$1,2),'HY &amp; Segments'!$3:$3,0))</f>
        <v>#N/A</v>
      </c>
      <c r="M112" s="80" t="e">
        <f>INDEX('HY &amp; Segments'!$117:$117,1,MATCH("2H"&amp;RIGHT(M$1,2),'HY &amp; Segments'!$3:$3,0))</f>
        <v>#N/A</v>
      </c>
      <c r="N112" s="80" t="e">
        <f>INDEX('HY &amp; Segments'!$117:$117,1,MATCH("2H"&amp;RIGHT(N$1,2),'HY &amp; Segments'!$3:$3,0))</f>
        <v>#N/A</v>
      </c>
      <c r="O112" s="80" t="e">
        <f>INDEX('HY &amp; Segments'!$117:$117,1,MATCH("2H"&amp;RIGHT(O$1,2),'HY &amp; Segments'!$3:$3,0))</f>
        <v>#N/A</v>
      </c>
      <c r="P112" s="80" t="e">
        <f>INDEX('HY &amp; Segments'!$117:$117,1,MATCH("2H"&amp;RIGHT(P$1,2),'HY &amp; Segments'!$3:$3,0))</f>
        <v>#N/A</v>
      </c>
      <c r="Q112" s="80" t="e">
        <f>INDEX('HY &amp; Segments'!$117:$117,1,MATCH("2H"&amp;RIGHT(Q$1,2),'HY &amp; Segments'!$3:$3,0))</f>
        <v>#N/A</v>
      </c>
    </row>
    <row r="113" spans="1:17" x14ac:dyDescent="0.35">
      <c r="A113" t="s">
        <v>175</v>
      </c>
      <c r="B113" t="s">
        <v>176</v>
      </c>
      <c r="C113" t="s">
        <v>174</v>
      </c>
      <c r="D113" s="55">
        <v>104</v>
      </c>
      <c r="E113" s="55">
        <v>116</v>
      </c>
      <c r="F113" s="55">
        <v>130</v>
      </c>
      <c r="G113" s="55">
        <v>143</v>
      </c>
      <c r="H113" s="80" t="e">
        <f>INDEX('HY &amp; Segments'!$124:$124,1,MATCH("2H"&amp;RIGHT(H$1,2),'HY &amp; Segments'!$3:$3,0))</f>
        <v>#N/A</v>
      </c>
      <c r="I113" s="80" t="e">
        <f>INDEX('HY &amp; Segments'!$124:$124,1,MATCH("2H"&amp;RIGHT(I$1,2),'HY &amp; Segments'!$3:$3,0))</f>
        <v>#N/A</v>
      </c>
      <c r="J113" s="80" t="e">
        <f>INDEX('HY &amp; Segments'!$124:$124,1,MATCH("2H"&amp;RIGHT(J$1,2),'HY &amp; Segments'!$3:$3,0))</f>
        <v>#N/A</v>
      </c>
      <c r="K113" s="80" t="e">
        <f>INDEX('HY &amp; Segments'!$124:$124,1,MATCH("2H"&amp;RIGHT(K$1,2),'HY &amp; Segments'!$3:$3,0))</f>
        <v>#N/A</v>
      </c>
      <c r="L113" s="80" t="e">
        <f>INDEX('HY &amp; Segments'!$124:$124,1,MATCH("2H"&amp;RIGHT(L$1,2),'HY &amp; Segments'!$3:$3,0))</f>
        <v>#N/A</v>
      </c>
      <c r="M113" s="80" t="e">
        <f>INDEX('HY &amp; Segments'!$124:$124,1,MATCH("2H"&amp;RIGHT(M$1,2),'HY &amp; Segments'!$3:$3,0))</f>
        <v>#N/A</v>
      </c>
      <c r="N113" s="80" t="e">
        <f>INDEX('HY &amp; Segments'!$124:$124,1,MATCH("2H"&amp;RIGHT(N$1,2),'HY &amp; Segments'!$3:$3,0))</f>
        <v>#N/A</v>
      </c>
      <c r="O113" s="80" t="e">
        <f>INDEX('HY &amp; Segments'!$124:$124,1,MATCH("2H"&amp;RIGHT(O$1,2),'HY &amp; Segments'!$3:$3,0))</f>
        <v>#N/A</v>
      </c>
      <c r="P113" s="80" t="e">
        <f>INDEX('HY &amp; Segments'!$124:$124,1,MATCH("2H"&amp;RIGHT(P$1,2),'HY &amp; Segments'!$3:$3,0))</f>
        <v>#N/A</v>
      </c>
      <c r="Q113" s="80" t="e">
        <f>INDEX('HY &amp; Segments'!$124:$124,1,MATCH("2H"&amp;RIGHT(Q$1,2),'HY &amp; Segments'!$3:$3,0))</f>
        <v>#N/A</v>
      </c>
    </row>
    <row r="114" spans="1:17" x14ac:dyDescent="0.35">
      <c r="A114" t="s">
        <v>177</v>
      </c>
      <c r="B114" t="s">
        <v>178</v>
      </c>
      <c r="C114" t="s">
        <v>174</v>
      </c>
      <c r="D114" s="28"/>
      <c r="E114" s="55">
        <v>16</v>
      </c>
      <c r="F114" s="55">
        <v>17</v>
      </c>
      <c r="G114" s="55">
        <v>21</v>
      </c>
      <c r="H114" s="81">
        <f t="shared" ref="H114:Q114" si="43">G114</f>
        <v>21</v>
      </c>
      <c r="I114" s="81">
        <f t="shared" si="43"/>
        <v>21</v>
      </c>
      <c r="J114" s="81">
        <f t="shared" si="43"/>
        <v>21</v>
      </c>
      <c r="K114" s="81">
        <f t="shared" si="43"/>
        <v>21</v>
      </c>
      <c r="L114" s="81">
        <f t="shared" si="43"/>
        <v>21</v>
      </c>
      <c r="M114" s="81">
        <f t="shared" si="43"/>
        <v>21</v>
      </c>
      <c r="N114" s="81">
        <f t="shared" si="43"/>
        <v>21</v>
      </c>
      <c r="O114" s="81">
        <f t="shared" si="43"/>
        <v>21</v>
      </c>
      <c r="P114" s="81">
        <f t="shared" si="43"/>
        <v>21</v>
      </c>
      <c r="Q114" s="81">
        <f t="shared" si="43"/>
        <v>21</v>
      </c>
    </row>
    <row r="115" spans="1:17" x14ac:dyDescent="0.35">
      <c r="A115" t="s">
        <v>179</v>
      </c>
      <c r="B115" t="s">
        <v>180</v>
      </c>
      <c r="C115" t="s">
        <v>174</v>
      </c>
      <c r="D115" s="28"/>
      <c r="E115" s="55">
        <v>4</v>
      </c>
      <c r="F115" s="55">
        <v>5</v>
      </c>
      <c r="G115" s="55">
        <v>5</v>
      </c>
      <c r="H115" s="81">
        <f t="shared" ref="H115:Q115" si="44">G115</f>
        <v>5</v>
      </c>
      <c r="I115" s="81">
        <f t="shared" si="44"/>
        <v>5</v>
      </c>
      <c r="J115" s="81">
        <f t="shared" si="44"/>
        <v>5</v>
      </c>
      <c r="K115" s="81">
        <f t="shared" si="44"/>
        <v>5</v>
      </c>
      <c r="L115" s="81">
        <f t="shared" si="44"/>
        <v>5</v>
      </c>
      <c r="M115" s="81">
        <f t="shared" si="44"/>
        <v>5</v>
      </c>
      <c r="N115" s="81">
        <f t="shared" si="44"/>
        <v>5</v>
      </c>
      <c r="O115" s="81">
        <f t="shared" si="44"/>
        <v>5</v>
      </c>
      <c r="P115" s="81">
        <f t="shared" si="44"/>
        <v>5</v>
      </c>
      <c r="Q115" s="81">
        <f t="shared" si="44"/>
        <v>5</v>
      </c>
    </row>
    <row r="116" spans="1:17" x14ac:dyDescent="0.35">
      <c r="A116" t="s">
        <v>181</v>
      </c>
      <c r="B116" t="s">
        <v>182</v>
      </c>
      <c r="C116" t="s">
        <v>174</v>
      </c>
      <c r="D116" s="55">
        <v>1</v>
      </c>
      <c r="E116" s="55">
        <v>3</v>
      </c>
      <c r="F116" s="55">
        <v>4</v>
      </c>
      <c r="G116" s="55">
        <v>6</v>
      </c>
      <c r="H116" s="80" t="e">
        <f>INDEX('HY &amp; Segments'!$140:$140,1,MATCH("2H"&amp;RIGHT(H$1,2),'HY &amp; Segments'!$3:$3,0))</f>
        <v>#N/A</v>
      </c>
      <c r="I116" s="80" t="e">
        <f>INDEX('HY &amp; Segments'!$140:$140,1,MATCH("2H"&amp;RIGHT(I$1,2),'HY &amp; Segments'!$3:$3,0))</f>
        <v>#N/A</v>
      </c>
      <c r="J116" s="80" t="e">
        <f>INDEX('HY &amp; Segments'!$140:$140,1,MATCH("2H"&amp;RIGHT(J$1,2),'HY &amp; Segments'!$3:$3,0))</f>
        <v>#N/A</v>
      </c>
      <c r="K116" s="80" t="e">
        <f>INDEX('HY &amp; Segments'!$140:$140,1,MATCH("2H"&amp;RIGHT(K$1,2),'HY &amp; Segments'!$3:$3,0))</f>
        <v>#N/A</v>
      </c>
      <c r="L116" s="80" t="e">
        <f>INDEX('HY &amp; Segments'!$140:$140,1,MATCH("2H"&amp;RIGHT(L$1,2),'HY &amp; Segments'!$3:$3,0))</f>
        <v>#N/A</v>
      </c>
      <c r="M116" s="80" t="e">
        <f>INDEX('HY &amp; Segments'!$140:$140,1,MATCH("2H"&amp;RIGHT(M$1,2),'HY &amp; Segments'!$3:$3,0))</f>
        <v>#N/A</v>
      </c>
      <c r="N116" s="80" t="e">
        <f>INDEX('HY &amp; Segments'!$140:$140,1,MATCH("2H"&amp;RIGHT(N$1,2),'HY &amp; Segments'!$3:$3,0))</f>
        <v>#N/A</v>
      </c>
      <c r="O116" s="80" t="e">
        <f>INDEX('HY &amp; Segments'!$140:$140,1,MATCH("2H"&amp;RIGHT(O$1,2),'HY &amp; Segments'!$3:$3,0))</f>
        <v>#N/A</v>
      </c>
      <c r="P116" s="80" t="e">
        <f>INDEX('HY &amp; Segments'!$140:$140,1,MATCH("2H"&amp;RIGHT(P$1,2),'HY &amp; Segments'!$3:$3,0))</f>
        <v>#N/A</v>
      </c>
      <c r="Q116" s="80" t="e">
        <f>INDEX('HY &amp; Segments'!$140:$140,1,MATCH("2H"&amp;RIGHT(Q$1,2),'HY &amp; Segments'!$3:$3,0))</f>
        <v>#N/A</v>
      </c>
    </row>
    <row r="117" spans="1:17" x14ac:dyDescent="0.35">
      <c r="A117" t="s">
        <v>183</v>
      </c>
      <c r="B117" s="19" t="s">
        <v>184</v>
      </c>
      <c r="C117" s="19" t="s">
        <v>174</v>
      </c>
      <c r="D117" s="50">
        <f t="shared" ref="D117:Q117" si="45">SUM(D112:D116)</f>
        <v>151</v>
      </c>
      <c r="E117" s="50">
        <f t="shared" si="45"/>
        <v>194</v>
      </c>
      <c r="F117" s="50">
        <f t="shared" si="45"/>
        <v>220</v>
      </c>
      <c r="G117" s="50">
        <f t="shared" si="45"/>
        <v>256</v>
      </c>
      <c r="H117" s="82" t="e">
        <f t="shared" si="45"/>
        <v>#N/A</v>
      </c>
      <c r="I117" s="82" t="e">
        <f t="shared" si="45"/>
        <v>#N/A</v>
      </c>
      <c r="J117" s="82" t="e">
        <f t="shared" si="45"/>
        <v>#N/A</v>
      </c>
      <c r="K117" s="82" t="e">
        <f t="shared" si="45"/>
        <v>#N/A</v>
      </c>
      <c r="L117" s="82" t="e">
        <f t="shared" si="45"/>
        <v>#N/A</v>
      </c>
      <c r="M117" s="82" t="e">
        <f t="shared" si="45"/>
        <v>#N/A</v>
      </c>
      <c r="N117" s="82" t="e">
        <f t="shared" si="45"/>
        <v>#N/A</v>
      </c>
      <c r="O117" s="82" t="e">
        <f t="shared" si="45"/>
        <v>#N/A</v>
      </c>
      <c r="P117" s="82" t="e">
        <f t="shared" si="45"/>
        <v>#N/A</v>
      </c>
      <c r="Q117" s="82" t="e">
        <f t="shared" si="45"/>
        <v>#N/A</v>
      </c>
    </row>
    <row r="119" spans="1:17" x14ac:dyDescent="0.35">
      <c r="A119" s="48"/>
      <c r="B119" s="49" t="s">
        <v>185</v>
      </c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</row>
    <row r="120" spans="1:17" x14ac:dyDescent="0.35">
      <c r="A120" t="s">
        <v>186</v>
      </c>
      <c r="B120" t="s">
        <v>187</v>
      </c>
      <c r="C120" t="s">
        <v>174</v>
      </c>
      <c r="D120" s="28"/>
      <c r="E120" s="28"/>
      <c r="F120" s="28"/>
      <c r="G120" s="55">
        <v>117</v>
      </c>
      <c r="H120" s="80" t="e">
        <f>INDEX('HY &amp; Segments'!$98:$98,1,MATCH("2H"&amp;RIGHT(H$1,2),'HY &amp; Segments'!$3:$3,0))</f>
        <v>#N/A</v>
      </c>
      <c r="I120" s="80" t="e">
        <f>INDEX('HY &amp; Segments'!$98:$98,1,MATCH("2H"&amp;RIGHT(I$1,2),'HY &amp; Segments'!$3:$3,0))</f>
        <v>#N/A</v>
      </c>
      <c r="J120" s="80" t="e">
        <f>INDEX('HY &amp; Segments'!$98:$98,1,MATCH("2H"&amp;RIGHT(J$1,2),'HY &amp; Segments'!$3:$3,0))</f>
        <v>#N/A</v>
      </c>
      <c r="K120" s="80" t="e">
        <f>INDEX('HY &amp; Segments'!$98:$98,1,MATCH("2H"&amp;RIGHT(K$1,2),'HY &amp; Segments'!$3:$3,0))</f>
        <v>#N/A</v>
      </c>
      <c r="L120" s="80" t="e">
        <f>INDEX('HY &amp; Segments'!$98:$98,1,MATCH("2H"&amp;RIGHT(L$1,2),'HY &amp; Segments'!$3:$3,0))</f>
        <v>#N/A</v>
      </c>
      <c r="M120" s="80" t="e">
        <f>INDEX('HY &amp; Segments'!$98:$98,1,MATCH("2H"&amp;RIGHT(M$1,2),'HY &amp; Segments'!$3:$3,0))</f>
        <v>#N/A</v>
      </c>
      <c r="N120" s="80" t="e">
        <f>INDEX('HY &amp; Segments'!$98:$98,1,MATCH("2H"&amp;RIGHT(N$1,2),'HY &amp; Segments'!$3:$3,0))</f>
        <v>#N/A</v>
      </c>
      <c r="O120" s="80" t="e">
        <f>INDEX('HY &amp; Segments'!$98:$98,1,MATCH("2H"&amp;RIGHT(O$1,2),'HY &amp; Segments'!$3:$3,0))</f>
        <v>#N/A</v>
      </c>
      <c r="P120" s="80" t="e">
        <f>INDEX('HY &amp; Segments'!$98:$98,1,MATCH("2H"&amp;RIGHT(P$1,2),'HY &amp; Segments'!$3:$3,0))</f>
        <v>#N/A</v>
      </c>
      <c r="Q120" s="80" t="e">
        <f>INDEX('HY &amp; Segments'!$98:$98,1,MATCH("2H"&amp;RIGHT(Q$1,2),'HY &amp; Segments'!$3:$3,0))</f>
        <v>#N/A</v>
      </c>
    </row>
    <row r="121" spans="1:17" x14ac:dyDescent="0.35">
      <c r="A121" t="s">
        <v>188</v>
      </c>
      <c r="B121" t="s">
        <v>189</v>
      </c>
      <c r="C121" t="s">
        <v>174</v>
      </c>
      <c r="D121" s="28"/>
      <c r="E121" s="28"/>
      <c r="F121" s="28"/>
      <c r="G121" s="55">
        <v>68</v>
      </c>
      <c r="H121" s="80" t="e">
        <f>INDEX('HY &amp; Segments'!$99:$99,1,MATCH("2H"&amp;RIGHT(H$1,2),'HY &amp; Segments'!$3:$3,0))</f>
        <v>#N/A</v>
      </c>
      <c r="I121" s="80" t="e">
        <f>INDEX('HY &amp; Segments'!$99:$99,1,MATCH("2H"&amp;RIGHT(I$1,2),'HY &amp; Segments'!$3:$3,0))</f>
        <v>#N/A</v>
      </c>
      <c r="J121" s="80" t="e">
        <f>INDEX('HY &amp; Segments'!$99:$99,1,MATCH("2H"&amp;RIGHT(J$1,2),'HY &amp; Segments'!$3:$3,0))</f>
        <v>#N/A</v>
      </c>
      <c r="K121" s="80" t="e">
        <f>INDEX('HY &amp; Segments'!$99:$99,1,MATCH("2H"&amp;RIGHT(K$1,2),'HY &amp; Segments'!$3:$3,0))</f>
        <v>#N/A</v>
      </c>
      <c r="L121" s="80" t="e">
        <f>INDEX('HY &amp; Segments'!$99:$99,1,MATCH("2H"&amp;RIGHT(L$1,2),'HY &amp; Segments'!$3:$3,0))</f>
        <v>#N/A</v>
      </c>
      <c r="M121" s="80" t="e">
        <f>INDEX('HY &amp; Segments'!$99:$99,1,MATCH("2H"&amp;RIGHT(M$1,2),'HY &amp; Segments'!$3:$3,0))</f>
        <v>#N/A</v>
      </c>
      <c r="N121" s="80" t="e">
        <f>INDEX('HY &amp; Segments'!$99:$99,1,MATCH("2H"&amp;RIGHT(N$1,2),'HY &amp; Segments'!$3:$3,0))</f>
        <v>#N/A</v>
      </c>
      <c r="O121" s="80" t="e">
        <f>INDEX('HY &amp; Segments'!$99:$99,1,MATCH("2H"&amp;RIGHT(O$1,2),'HY &amp; Segments'!$3:$3,0))</f>
        <v>#N/A</v>
      </c>
      <c r="P121" s="80" t="e">
        <f>INDEX('HY &amp; Segments'!$99:$99,1,MATCH("2H"&amp;RIGHT(P$1,2),'HY &amp; Segments'!$3:$3,0))</f>
        <v>#N/A</v>
      </c>
      <c r="Q121" s="80" t="e">
        <f>INDEX('HY &amp; Segments'!$99:$99,1,MATCH("2H"&amp;RIGHT(Q$1,2),'HY &amp; Segments'!$3:$3,0))</f>
        <v>#N/A</v>
      </c>
    </row>
    <row r="122" spans="1:17" x14ac:dyDescent="0.35">
      <c r="A122" t="s">
        <v>190</v>
      </c>
      <c r="B122" t="s">
        <v>191</v>
      </c>
      <c r="C122" t="s">
        <v>174</v>
      </c>
      <c r="D122" s="28"/>
      <c r="E122" s="28"/>
      <c r="F122" s="28"/>
      <c r="G122" s="55">
        <v>39</v>
      </c>
      <c r="H122" s="80" t="e">
        <f>INDEX('HY &amp; Segments'!$100:$100,1,MATCH("2H"&amp;RIGHT(H$1,2),'HY &amp; Segments'!$3:$3,0))</f>
        <v>#N/A</v>
      </c>
      <c r="I122" s="80" t="e">
        <f>INDEX('HY &amp; Segments'!$100:$100,1,MATCH("2H"&amp;RIGHT(I$1,2),'HY &amp; Segments'!$3:$3,0))</f>
        <v>#N/A</v>
      </c>
      <c r="J122" s="80" t="e">
        <f>INDEX('HY &amp; Segments'!$100:$100,1,MATCH("2H"&amp;RIGHT(J$1,2),'HY &amp; Segments'!$3:$3,0))</f>
        <v>#N/A</v>
      </c>
      <c r="K122" s="80" t="e">
        <f>INDEX('HY &amp; Segments'!$100:$100,1,MATCH("2H"&amp;RIGHT(K$1,2),'HY &amp; Segments'!$3:$3,0))</f>
        <v>#N/A</v>
      </c>
      <c r="L122" s="80" t="e">
        <f>INDEX('HY &amp; Segments'!$100:$100,1,MATCH("2H"&amp;RIGHT(L$1,2),'HY &amp; Segments'!$3:$3,0))</f>
        <v>#N/A</v>
      </c>
      <c r="M122" s="80" t="e">
        <f>INDEX('HY &amp; Segments'!$100:$100,1,MATCH("2H"&amp;RIGHT(M$1,2),'HY &amp; Segments'!$3:$3,0))</f>
        <v>#N/A</v>
      </c>
      <c r="N122" s="80" t="e">
        <f>INDEX('HY &amp; Segments'!$100:$100,1,MATCH("2H"&amp;RIGHT(N$1,2),'HY &amp; Segments'!$3:$3,0))</f>
        <v>#N/A</v>
      </c>
      <c r="O122" s="80" t="e">
        <f>INDEX('HY &amp; Segments'!$100:$100,1,MATCH("2H"&amp;RIGHT(O$1,2),'HY &amp; Segments'!$3:$3,0))</f>
        <v>#N/A</v>
      </c>
      <c r="P122" s="80" t="e">
        <f>INDEX('HY &amp; Segments'!$100:$100,1,MATCH("2H"&amp;RIGHT(P$1,2),'HY &amp; Segments'!$3:$3,0))</f>
        <v>#N/A</v>
      </c>
      <c r="Q122" s="80" t="e">
        <f>INDEX('HY &amp; Segments'!$100:$100,1,MATCH("2H"&amp;RIGHT(Q$1,2),'HY &amp; Segments'!$3:$3,0))</f>
        <v>#N/A</v>
      </c>
    </row>
    <row r="123" spans="1:17" x14ac:dyDescent="0.35">
      <c r="A123" t="s">
        <v>192</v>
      </c>
      <c r="B123" t="s">
        <v>193</v>
      </c>
      <c r="C123" t="s">
        <v>23</v>
      </c>
      <c r="D123" s="18"/>
      <c r="E123" s="51">
        <v>5.7</v>
      </c>
      <c r="F123" s="51">
        <v>6.2</v>
      </c>
      <c r="G123" s="51">
        <v>6.7</v>
      </c>
      <c r="H123" s="63" t="e">
        <f>INDEX('HY &amp; Segments'!$102:$102,1,MATCH("2H"&amp;RIGHT(H$1,2),'HY &amp; Segments'!$3:$3,0))</f>
        <v>#N/A</v>
      </c>
      <c r="I123" s="63" t="e">
        <f>INDEX('HY &amp; Segments'!$102:$102,1,MATCH("2H"&amp;RIGHT(I$1,2),'HY &amp; Segments'!$3:$3,0))</f>
        <v>#N/A</v>
      </c>
      <c r="J123" s="63" t="e">
        <f>INDEX('HY &amp; Segments'!$102:$102,1,MATCH("2H"&amp;RIGHT(J$1,2),'HY &amp; Segments'!$3:$3,0))</f>
        <v>#N/A</v>
      </c>
      <c r="K123" s="63" t="e">
        <f>INDEX('HY &amp; Segments'!$102:$102,1,MATCH("2H"&amp;RIGHT(K$1,2),'HY &amp; Segments'!$3:$3,0))</f>
        <v>#N/A</v>
      </c>
      <c r="L123" s="63" t="e">
        <f>INDEX('HY &amp; Segments'!$102:$102,1,MATCH("2H"&amp;RIGHT(L$1,2),'HY &amp; Segments'!$3:$3,0))</f>
        <v>#N/A</v>
      </c>
      <c r="M123" s="63" t="e">
        <f>INDEX('HY &amp; Segments'!$102:$102,1,MATCH("2H"&amp;RIGHT(M$1,2),'HY &amp; Segments'!$3:$3,0))</f>
        <v>#N/A</v>
      </c>
      <c r="N123" s="63" t="e">
        <f>INDEX('HY &amp; Segments'!$102:$102,1,MATCH("2H"&amp;RIGHT(N$1,2),'HY &amp; Segments'!$3:$3,0))</f>
        <v>#N/A</v>
      </c>
      <c r="O123" s="63" t="e">
        <f>INDEX('HY &amp; Segments'!$102:$102,1,MATCH("2H"&amp;RIGHT(O$1,2),'HY &amp; Segments'!$3:$3,0))</f>
        <v>#N/A</v>
      </c>
      <c r="P123" s="63" t="e">
        <f>INDEX('HY &amp; Segments'!$102:$102,1,MATCH("2H"&amp;RIGHT(P$1,2),'HY &amp; Segments'!$3:$3,0))</f>
        <v>#N/A</v>
      </c>
      <c r="Q123" s="63" t="e">
        <f>INDEX('HY &amp; Segments'!$102:$102,1,MATCH("2H"&amp;RIGHT(Q$1,2),'HY &amp; Segments'!$3:$3,0))</f>
        <v>#N/A</v>
      </c>
    </row>
    <row r="124" spans="1:17" x14ac:dyDescent="0.35">
      <c r="A124" t="s">
        <v>194</v>
      </c>
      <c r="B124" t="s">
        <v>195</v>
      </c>
      <c r="C124" t="s">
        <v>23</v>
      </c>
      <c r="D124" s="18"/>
      <c r="E124" s="51">
        <v>4.5</v>
      </c>
      <c r="F124" s="51">
        <v>4.5999999999999996</v>
      </c>
      <c r="G124" s="51">
        <v>5</v>
      </c>
      <c r="H124" s="63" t="e">
        <f>INDEX('HY &amp; Segments'!$104:$104,1,MATCH("2H"&amp;RIGHT(H$1,2),'HY &amp; Segments'!$3:$3,0))</f>
        <v>#N/A</v>
      </c>
      <c r="I124" s="63" t="e">
        <f>INDEX('HY &amp; Segments'!$104:$104,1,MATCH("2H"&amp;RIGHT(I$1,2),'HY &amp; Segments'!$3:$3,0))</f>
        <v>#N/A</v>
      </c>
      <c r="J124" s="63" t="e">
        <f>INDEX('HY &amp; Segments'!$104:$104,1,MATCH("2H"&amp;RIGHT(J$1,2),'HY &amp; Segments'!$3:$3,0))</f>
        <v>#N/A</v>
      </c>
      <c r="K124" s="63" t="e">
        <f>INDEX('HY &amp; Segments'!$104:$104,1,MATCH("2H"&amp;RIGHT(K$1,2),'HY &amp; Segments'!$3:$3,0))</f>
        <v>#N/A</v>
      </c>
      <c r="L124" s="63" t="e">
        <f>INDEX('HY &amp; Segments'!$104:$104,1,MATCH("2H"&amp;RIGHT(L$1,2),'HY &amp; Segments'!$3:$3,0))</f>
        <v>#N/A</v>
      </c>
      <c r="M124" s="63" t="e">
        <f>INDEX('HY &amp; Segments'!$104:$104,1,MATCH("2H"&amp;RIGHT(M$1,2),'HY &amp; Segments'!$3:$3,0))</f>
        <v>#N/A</v>
      </c>
      <c r="N124" s="63" t="e">
        <f>INDEX('HY &amp; Segments'!$104:$104,1,MATCH("2H"&amp;RIGHT(N$1,2),'HY &amp; Segments'!$3:$3,0))</f>
        <v>#N/A</v>
      </c>
      <c r="O124" s="63" t="e">
        <f>INDEX('HY &amp; Segments'!$104:$104,1,MATCH("2H"&amp;RIGHT(O$1,2),'HY &amp; Segments'!$3:$3,0))</f>
        <v>#N/A</v>
      </c>
      <c r="P124" s="63" t="e">
        <f>INDEX('HY &amp; Segments'!$104:$104,1,MATCH("2H"&amp;RIGHT(P$1,2),'HY &amp; Segments'!$3:$3,0))</f>
        <v>#N/A</v>
      </c>
      <c r="Q124" s="63" t="e">
        <f>INDEX('HY &amp; Segments'!$104:$104,1,MATCH("2H"&amp;RIGHT(Q$1,2),'HY &amp; Segments'!$3:$3,0))</f>
        <v>#N/A</v>
      </c>
    </row>
    <row r="125" spans="1:17" x14ac:dyDescent="0.35">
      <c r="A125" t="s">
        <v>196</v>
      </c>
      <c r="B125" t="s">
        <v>197</v>
      </c>
      <c r="C125" t="s">
        <v>23</v>
      </c>
      <c r="D125" s="18"/>
      <c r="E125" s="18"/>
      <c r="F125" s="18"/>
      <c r="G125" s="51">
        <v>4</v>
      </c>
      <c r="H125" s="63" t="e">
        <f>INDEX('HY &amp; Segments'!$106:$106,1,MATCH("2H"&amp;RIGHT(H$1,2),'HY &amp; Segments'!$3:$3,0))</f>
        <v>#N/A</v>
      </c>
      <c r="I125" s="63" t="e">
        <f>INDEX('HY &amp; Segments'!$106:$106,1,MATCH("2H"&amp;RIGHT(I$1,2),'HY &amp; Segments'!$3:$3,0))</f>
        <v>#N/A</v>
      </c>
      <c r="J125" s="63" t="e">
        <f>INDEX('HY &amp; Segments'!$106:$106,1,MATCH("2H"&amp;RIGHT(J$1,2),'HY &amp; Segments'!$3:$3,0))</f>
        <v>#N/A</v>
      </c>
      <c r="K125" s="63" t="e">
        <f>INDEX('HY &amp; Segments'!$106:$106,1,MATCH("2H"&amp;RIGHT(K$1,2),'HY &amp; Segments'!$3:$3,0))</f>
        <v>#N/A</v>
      </c>
      <c r="L125" s="63" t="e">
        <f>INDEX('HY &amp; Segments'!$106:$106,1,MATCH("2H"&amp;RIGHT(L$1,2),'HY &amp; Segments'!$3:$3,0))</f>
        <v>#N/A</v>
      </c>
      <c r="M125" s="63" t="e">
        <f>INDEX('HY &amp; Segments'!$106:$106,1,MATCH("2H"&amp;RIGHT(M$1,2),'HY &amp; Segments'!$3:$3,0))</f>
        <v>#N/A</v>
      </c>
      <c r="N125" s="63" t="e">
        <f>INDEX('HY &amp; Segments'!$106:$106,1,MATCH("2H"&amp;RIGHT(N$1,2),'HY &amp; Segments'!$3:$3,0))</f>
        <v>#N/A</v>
      </c>
      <c r="O125" s="63" t="e">
        <f>INDEX('HY &amp; Segments'!$106:$106,1,MATCH("2H"&amp;RIGHT(O$1,2),'HY &amp; Segments'!$3:$3,0))</f>
        <v>#N/A</v>
      </c>
      <c r="P125" s="63" t="e">
        <f>INDEX('HY &amp; Segments'!$106:$106,1,MATCH("2H"&amp;RIGHT(P$1,2),'HY &amp; Segments'!$3:$3,0))</f>
        <v>#N/A</v>
      </c>
      <c r="Q125" s="63" t="e">
        <f>INDEX('HY &amp; Segments'!$106:$106,1,MATCH("2H"&amp;RIGHT(Q$1,2),'HY &amp; Segments'!$3:$3,0))</f>
        <v>#N/A</v>
      </c>
    </row>
    <row r="127" spans="1:17" x14ac:dyDescent="0.35">
      <c r="A127" s="48"/>
      <c r="B127" s="49" t="s">
        <v>198</v>
      </c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</row>
    <row r="128" spans="1:17" x14ac:dyDescent="0.35">
      <c r="B128" t="s">
        <v>199</v>
      </c>
      <c r="C128" t="s">
        <v>33</v>
      </c>
      <c r="D128" s="56">
        <v>0.182</v>
      </c>
      <c r="E128" s="56">
        <v>0.15</v>
      </c>
      <c r="F128" s="56">
        <v>8.1000000000000003E-2</v>
      </c>
      <c r="G128" s="56">
        <v>9.6000000000000002E-2</v>
      </c>
      <c r="H128" s="65">
        <v>0.05</v>
      </c>
      <c r="I128" s="65">
        <f t="shared" ref="I128:Q128" si="46">H128</f>
        <v>0.05</v>
      </c>
      <c r="J128" s="65">
        <f t="shared" si="46"/>
        <v>0.05</v>
      </c>
      <c r="K128" s="65">
        <f t="shared" si="46"/>
        <v>0.05</v>
      </c>
      <c r="L128" s="65">
        <f t="shared" si="46"/>
        <v>0.05</v>
      </c>
      <c r="M128" s="65">
        <f t="shared" si="46"/>
        <v>0.05</v>
      </c>
      <c r="N128" s="65">
        <f t="shared" si="46"/>
        <v>0.05</v>
      </c>
      <c r="O128" s="65">
        <f t="shared" si="46"/>
        <v>0.05</v>
      </c>
      <c r="P128" s="65">
        <f t="shared" si="46"/>
        <v>0.05</v>
      </c>
      <c r="Q128" s="65">
        <f t="shared" si="46"/>
        <v>0.05</v>
      </c>
    </row>
    <row r="129" spans="1:17" x14ac:dyDescent="0.35">
      <c r="B129" t="s">
        <v>200</v>
      </c>
      <c r="C129" t="s">
        <v>52</v>
      </c>
      <c r="D129" s="56">
        <v>0.14099999999999999</v>
      </c>
      <c r="E129" s="56">
        <v>0.14399999999999999</v>
      </c>
      <c r="F129" s="56">
        <v>0.17399999999999999</v>
      </c>
      <c r="G129" s="56">
        <v>0.17899999999999999</v>
      </c>
      <c r="H129" s="74" t="e">
        <f>INDEX('HY &amp; Segments'!$120:$120,1,MATCH("2H"&amp;RIGHT(H$1,2),'HY &amp; Segments'!$3:$3,0))</f>
        <v>#N/A</v>
      </c>
      <c r="I129" s="74" t="e">
        <f>INDEX('HY &amp; Segments'!$120:$120,1,MATCH("2H"&amp;RIGHT(I$1,2),'HY &amp; Segments'!$3:$3,0))</f>
        <v>#N/A</v>
      </c>
      <c r="J129" s="74" t="e">
        <f>INDEX('HY &amp; Segments'!$120:$120,1,MATCH("2H"&amp;RIGHT(J$1,2),'HY &amp; Segments'!$3:$3,0))</f>
        <v>#N/A</v>
      </c>
      <c r="K129" s="74" t="e">
        <f>INDEX('HY &amp; Segments'!$120:$120,1,MATCH("2H"&amp;RIGHT(K$1,2),'HY &amp; Segments'!$3:$3,0))</f>
        <v>#N/A</v>
      </c>
      <c r="L129" s="74" t="e">
        <f>INDEX('HY &amp; Segments'!$120:$120,1,MATCH("2H"&amp;RIGHT(L$1,2),'HY &amp; Segments'!$3:$3,0))</f>
        <v>#N/A</v>
      </c>
      <c r="M129" s="74" t="e">
        <f>INDEX('HY &amp; Segments'!$120:$120,1,MATCH("2H"&amp;RIGHT(M$1,2),'HY &amp; Segments'!$3:$3,0))</f>
        <v>#N/A</v>
      </c>
      <c r="N129" s="74" t="e">
        <f>INDEX('HY &amp; Segments'!$120:$120,1,MATCH("2H"&amp;RIGHT(N$1,2),'HY &amp; Segments'!$3:$3,0))</f>
        <v>#N/A</v>
      </c>
      <c r="O129" s="74" t="e">
        <f>INDEX('HY &amp; Segments'!$120:$120,1,MATCH("2H"&amp;RIGHT(O$1,2),'HY &amp; Segments'!$3:$3,0))</f>
        <v>#N/A</v>
      </c>
      <c r="P129" s="74" t="e">
        <f>INDEX('HY &amp; Segments'!$120:$120,1,MATCH("2H"&amp;RIGHT(P$1,2),'HY &amp; Segments'!$3:$3,0))</f>
        <v>#N/A</v>
      </c>
      <c r="Q129" s="74" t="e">
        <f>INDEX('HY &amp; Segments'!$120:$120,1,MATCH("2H"&amp;RIGHT(Q$1,2),'HY &amp; Segments'!$3:$3,0))</f>
        <v>#N/A</v>
      </c>
    </row>
    <row r="130" spans="1:17" x14ac:dyDescent="0.35">
      <c r="B130" t="s">
        <v>201</v>
      </c>
      <c r="C130" t="s">
        <v>52</v>
      </c>
      <c r="D130" s="29"/>
      <c r="E130" s="56">
        <v>7.5999999999999998E-2</v>
      </c>
      <c r="F130" s="56">
        <v>7.8E-2</v>
      </c>
      <c r="G130" s="56">
        <v>8.3000000000000004E-2</v>
      </c>
      <c r="H130" s="74" t="e">
        <f>INDEX('HY &amp; Segments'!$126:$126,1,MATCH("2H"&amp;RIGHT(H$1,2),'HY &amp; Segments'!$3:$3,0))</f>
        <v>#N/A</v>
      </c>
      <c r="I130" s="74" t="e">
        <f>INDEX('HY &amp; Segments'!$126:$126,1,MATCH("2H"&amp;RIGHT(I$1,2),'HY &amp; Segments'!$3:$3,0))</f>
        <v>#N/A</v>
      </c>
      <c r="J130" s="74" t="e">
        <f>INDEX('HY &amp; Segments'!$126:$126,1,MATCH("2H"&amp;RIGHT(J$1,2),'HY &amp; Segments'!$3:$3,0))</f>
        <v>#N/A</v>
      </c>
      <c r="K130" s="74" t="e">
        <f>INDEX('HY &amp; Segments'!$126:$126,1,MATCH("2H"&amp;RIGHT(K$1,2),'HY &amp; Segments'!$3:$3,0))</f>
        <v>#N/A</v>
      </c>
      <c r="L130" s="74" t="e">
        <f>INDEX('HY &amp; Segments'!$126:$126,1,MATCH("2H"&amp;RIGHT(L$1,2),'HY &amp; Segments'!$3:$3,0))</f>
        <v>#N/A</v>
      </c>
      <c r="M130" s="74" t="e">
        <f>INDEX('HY &amp; Segments'!$126:$126,1,MATCH("2H"&amp;RIGHT(M$1,2),'HY &amp; Segments'!$3:$3,0))</f>
        <v>#N/A</v>
      </c>
      <c r="N130" s="74" t="e">
        <f>INDEX('HY &amp; Segments'!$126:$126,1,MATCH("2H"&amp;RIGHT(N$1,2),'HY &amp; Segments'!$3:$3,0))</f>
        <v>#N/A</v>
      </c>
      <c r="O130" s="74" t="e">
        <f>INDEX('HY &amp; Segments'!$126:$126,1,MATCH("2H"&amp;RIGHT(O$1,2),'HY &amp; Segments'!$3:$3,0))</f>
        <v>#N/A</v>
      </c>
      <c r="P130" s="74" t="e">
        <f>INDEX('HY &amp; Segments'!$126:$126,1,MATCH("2H"&amp;RIGHT(P$1,2),'HY &amp; Segments'!$3:$3,0))</f>
        <v>#N/A</v>
      </c>
      <c r="Q130" s="74" t="e">
        <f>INDEX('HY &amp; Segments'!$126:$126,1,MATCH("2H"&amp;RIGHT(Q$1,2),'HY &amp; Segments'!$3:$3,0))</f>
        <v>#N/A</v>
      </c>
    </row>
    <row r="131" spans="1:17" x14ac:dyDescent="0.35">
      <c r="B131" t="s">
        <v>202</v>
      </c>
      <c r="C131" t="s">
        <v>52</v>
      </c>
      <c r="D131" s="29"/>
      <c r="E131" s="56">
        <v>6.2E-2</v>
      </c>
      <c r="F131" s="56">
        <v>6.7000000000000004E-2</v>
      </c>
      <c r="G131" s="56">
        <v>6.6000000000000003E-2</v>
      </c>
      <c r="H131" s="74" t="e">
        <f>INDEX('HY &amp; Segments'!$132:$132,1,MATCH("2H"&amp;RIGHT(H$1,2),'HY &amp; Segments'!$3:$3,0))</f>
        <v>#N/A</v>
      </c>
      <c r="I131" s="74" t="e">
        <f>INDEX('HY &amp; Segments'!$132:$132,1,MATCH("2H"&amp;RIGHT(I$1,2),'HY &amp; Segments'!$3:$3,0))</f>
        <v>#N/A</v>
      </c>
      <c r="J131" s="74" t="e">
        <f>INDEX('HY &amp; Segments'!$132:$132,1,MATCH("2H"&amp;RIGHT(J$1,2),'HY &amp; Segments'!$3:$3,0))</f>
        <v>#N/A</v>
      </c>
      <c r="K131" s="74" t="e">
        <f>INDEX('HY &amp; Segments'!$132:$132,1,MATCH("2H"&amp;RIGHT(K$1,2),'HY &amp; Segments'!$3:$3,0))</f>
        <v>#N/A</v>
      </c>
      <c r="L131" s="74" t="e">
        <f>INDEX('HY &amp; Segments'!$132:$132,1,MATCH("2H"&amp;RIGHT(L$1,2),'HY &amp; Segments'!$3:$3,0))</f>
        <v>#N/A</v>
      </c>
      <c r="M131" s="74" t="e">
        <f>INDEX('HY &amp; Segments'!$132:$132,1,MATCH("2H"&amp;RIGHT(M$1,2),'HY &amp; Segments'!$3:$3,0))</f>
        <v>#N/A</v>
      </c>
      <c r="N131" s="74" t="e">
        <f>INDEX('HY &amp; Segments'!$132:$132,1,MATCH("2H"&amp;RIGHT(N$1,2),'HY &amp; Segments'!$3:$3,0))</f>
        <v>#N/A</v>
      </c>
      <c r="O131" s="74" t="e">
        <f>INDEX('HY &amp; Segments'!$132:$132,1,MATCH("2H"&amp;RIGHT(O$1,2),'HY &amp; Segments'!$3:$3,0))</f>
        <v>#N/A</v>
      </c>
      <c r="P131" s="74" t="e">
        <f>INDEX('HY &amp; Segments'!$132:$132,1,MATCH("2H"&amp;RIGHT(P$1,2),'HY &amp; Segments'!$3:$3,0))</f>
        <v>#N/A</v>
      </c>
      <c r="Q131" s="74" t="e">
        <f>INDEX('HY &amp; Segments'!$132:$132,1,MATCH("2H"&amp;RIGHT(Q$1,2),'HY &amp; Segments'!$3:$3,0))</f>
        <v>#N/A</v>
      </c>
    </row>
    <row r="132" spans="1:17" x14ac:dyDescent="0.35">
      <c r="B132" t="s">
        <v>203</v>
      </c>
      <c r="C132" t="s">
        <v>52</v>
      </c>
      <c r="D132" s="29"/>
      <c r="E132" s="56">
        <v>4.1000000000000002E-2</v>
      </c>
      <c r="F132" s="56">
        <v>4.8000000000000001E-2</v>
      </c>
      <c r="G132" s="56">
        <v>5.7000000000000002E-2</v>
      </c>
      <c r="H132" s="74" t="e">
        <f t="shared" ref="H132:Q132" si="47">IF(H108=0,"",H48/H108)</f>
        <v>#N/A</v>
      </c>
      <c r="I132" s="74" t="e">
        <f t="shared" si="47"/>
        <v>#N/A</v>
      </c>
      <c r="J132" s="74" t="e">
        <f t="shared" si="47"/>
        <v>#N/A</v>
      </c>
      <c r="K132" s="74" t="e">
        <f t="shared" si="47"/>
        <v>#N/A</v>
      </c>
      <c r="L132" s="74" t="e">
        <f t="shared" si="47"/>
        <v>#N/A</v>
      </c>
      <c r="M132" s="74" t="e">
        <f t="shared" si="47"/>
        <v>#N/A</v>
      </c>
      <c r="N132" s="74" t="e">
        <f t="shared" si="47"/>
        <v>#N/A</v>
      </c>
      <c r="O132" s="74" t="e">
        <f t="shared" si="47"/>
        <v>#N/A</v>
      </c>
      <c r="P132" s="74" t="e">
        <f t="shared" si="47"/>
        <v>#N/A</v>
      </c>
      <c r="Q132" s="74" t="e">
        <f t="shared" si="47"/>
        <v>#N/A</v>
      </c>
    </row>
    <row r="134" spans="1:17" x14ac:dyDescent="0.35">
      <c r="A134" s="2"/>
      <c r="B134" s="17" t="s">
        <v>204</v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35">
      <c r="B135" s="5" t="s">
        <v>205</v>
      </c>
    </row>
    <row r="136" spans="1:17" x14ac:dyDescent="0.35">
      <c r="A136" t="s">
        <v>206</v>
      </c>
      <c r="B136" t="s">
        <v>207</v>
      </c>
      <c r="C136" t="s">
        <v>23</v>
      </c>
      <c r="D136" s="18"/>
      <c r="E136" s="51">
        <v>36.5</v>
      </c>
      <c r="F136" s="51">
        <v>16.399999999999999</v>
      </c>
      <c r="G136" s="51">
        <v>39.700000000000003</v>
      </c>
      <c r="H136" s="63" t="e">
        <f t="shared" ref="H136:Q136" si="48">G136+H207</f>
        <v>#N/A</v>
      </c>
      <c r="I136" s="63" t="e">
        <f t="shared" si="48"/>
        <v>#N/A</v>
      </c>
      <c r="J136" s="63" t="e">
        <f t="shared" si="48"/>
        <v>#N/A</v>
      </c>
      <c r="K136" s="63" t="e">
        <f t="shared" si="48"/>
        <v>#N/A</v>
      </c>
      <c r="L136" s="63" t="e">
        <f t="shared" si="48"/>
        <v>#N/A</v>
      </c>
      <c r="M136" s="63" t="e">
        <f t="shared" si="48"/>
        <v>#N/A</v>
      </c>
      <c r="N136" s="63" t="e">
        <f t="shared" si="48"/>
        <v>#N/A</v>
      </c>
      <c r="O136" s="63" t="e">
        <f t="shared" si="48"/>
        <v>#N/A</v>
      </c>
      <c r="P136" s="63" t="e">
        <f t="shared" si="48"/>
        <v>#N/A</v>
      </c>
      <c r="Q136" s="63" t="e">
        <f t="shared" si="48"/>
        <v>#N/A</v>
      </c>
    </row>
    <row r="137" spans="1:17" x14ac:dyDescent="0.35">
      <c r="A137" t="s">
        <v>208</v>
      </c>
      <c r="B137" t="s">
        <v>209</v>
      </c>
      <c r="C137" t="s">
        <v>23</v>
      </c>
      <c r="D137" s="18"/>
      <c r="E137" s="51">
        <v>0</v>
      </c>
      <c r="F137" s="51">
        <v>278.10000000000002</v>
      </c>
      <c r="G137" s="51">
        <v>242.1</v>
      </c>
      <c r="H137" s="38">
        <f t="shared" ref="H137:Q137" si="49">G137</f>
        <v>242.1</v>
      </c>
      <c r="I137" s="38">
        <f t="shared" si="49"/>
        <v>242.1</v>
      </c>
      <c r="J137" s="38">
        <f t="shared" si="49"/>
        <v>242.1</v>
      </c>
      <c r="K137" s="38">
        <f t="shared" si="49"/>
        <v>242.1</v>
      </c>
      <c r="L137" s="38">
        <f t="shared" si="49"/>
        <v>242.1</v>
      </c>
      <c r="M137" s="38">
        <f t="shared" si="49"/>
        <v>242.1</v>
      </c>
      <c r="N137" s="38">
        <f t="shared" si="49"/>
        <v>242.1</v>
      </c>
      <c r="O137" s="38">
        <f t="shared" si="49"/>
        <v>242.1</v>
      </c>
      <c r="P137" s="38">
        <f t="shared" si="49"/>
        <v>242.1</v>
      </c>
      <c r="Q137" s="38">
        <f t="shared" si="49"/>
        <v>242.1</v>
      </c>
    </row>
    <row r="138" spans="1:17" x14ac:dyDescent="0.35">
      <c r="A138" t="s">
        <v>210</v>
      </c>
      <c r="B138" t="s">
        <v>211</v>
      </c>
      <c r="C138" t="s">
        <v>23</v>
      </c>
      <c r="D138" s="18"/>
      <c r="E138" s="51">
        <v>25.1</v>
      </c>
      <c r="F138" s="51">
        <v>26.5</v>
      </c>
      <c r="G138" s="51">
        <v>24.8</v>
      </c>
      <c r="H138" s="63" t="e">
        <f t="shared" ref="H138:Q138" si="50">(H11+H18)*H147</f>
        <v>#N/A</v>
      </c>
      <c r="I138" s="63" t="e">
        <f t="shared" si="50"/>
        <v>#N/A</v>
      </c>
      <c r="J138" s="63" t="e">
        <f t="shared" si="50"/>
        <v>#N/A</v>
      </c>
      <c r="K138" s="63" t="e">
        <f t="shared" si="50"/>
        <v>#N/A</v>
      </c>
      <c r="L138" s="63" t="e">
        <f t="shared" si="50"/>
        <v>#N/A</v>
      </c>
      <c r="M138" s="63" t="e">
        <f t="shared" si="50"/>
        <v>#N/A</v>
      </c>
      <c r="N138" s="63" t="e">
        <f t="shared" si="50"/>
        <v>#N/A</v>
      </c>
      <c r="O138" s="63" t="e">
        <f t="shared" si="50"/>
        <v>#N/A</v>
      </c>
      <c r="P138" s="63" t="e">
        <f t="shared" si="50"/>
        <v>#N/A</v>
      </c>
      <c r="Q138" s="63" t="e">
        <f t="shared" si="50"/>
        <v>#N/A</v>
      </c>
    </row>
    <row r="139" spans="1:17" x14ac:dyDescent="0.35">
      <c r="A139" t="s">
        <v>212</v>
      </c>
      <c r="B139" t="s">
        <v>213</v>
      </c>
      <c r="C139" t="s">
        <v>23</v>
      </c>
      <c r="D139" s="18"/>
      <c r="E139" s="51">
        <v>2.2000000000000002</v>
      </c>
      <c r="F139" s="51">
        <v>2.8</v>
      </c>
      <c r="G139" s="51">
        <v>3.8</v>
      </c>
      <c r="H139" s="63" t="e">
        <f t="shared" ref="H139:Q139" si="51">(H11+H18)*H148</f>
        <v>#N/A</v>
      </c>
      <c r="I139" s="63" t="e">
        <f t="shared" si="51"/>
        <v>#N/A</v>
      </c>
      <c r="J139" s="63" t="e">
        <f t="shared" si="51"/>
        <v>#N/A</v>
      </c>
      <c r="K139" s="63" t="e">
        <f t="shared" si="51"/>
        <v>#N/A</v>
      </c>
      <c r="L139" s="63" t="e">
        <f t="shared" si="51"/>
        <v>#N/A</v>
      </c>
      <c r="M139" s="63" t="e">
        <f t="shared" si="51"/>
        <v>#N/A</v>
      </c>
      <c r="N139" s="63" t="e">
        <f t="shared" si="51"/>
        <v>#N/A</v>
      </c>
      <c r="O139" s="63" t="e">
        <f t="shared" si="51"/>
        <v>#N/A</v>
      </c>
      <c r="P139" s="63" t="e">
        <f t="shared" si="51"/>
        <v>#N/A</v>
      </c>
      <c r="Q139" s="63" t="e">
        <f t="shared" si="51"/>
        <v>#N/A</v>
      </c>
    </row>
    <row r="140" spans="1:17" x14ac:dyDescent="0.35">
      <c r="A140" t="s">
        <v>214</v>
      </c>
      <c r="B140" t="s">
        <v>215</v>
      </c>
      <c r="C140" t="s">
        <v>23</v>
      </c>
      <c r="D140" s="18"/>
      <c r="E140" s="51">
        <v>69.3</v>
      </c>
      <c r="F140" s="51">
        <v>126.4</v>
      </c>
      <c r="G140" s="51">
        <v>174.8</v>
      </c>
      <c r="H140" s="38">
        <f t="shared" ref="H140:Q140" si="52">G140</f>
        <v>174.8</v>
      </c>
      <c r="I140" s="38">
        <f t="shared" si="52"/>
        <v>174.8</v>
      </c>
      <c r="J140" s="38">
        <f t="shared" si="52"/>
        <v>174.8</v>
      </c>
      <c r="K140" s="38">
        <f t="shared" si="52"/>
        <v>174.8</v>
      </c>
      <c r="L140" s="38">
        <f t="shared" si="52"/>
        <v>174.8</v>
      </c>
      <c r="M140" s="38">
        <f t="shared" si="52"/>
        <v>174.8</v>
      </c>
      <c r="N140" s="38">
        <f t="shared" si="52"/>
        <v>174.8</v>
      </c>
      <c r="O140" s="38">
        <f t="shared" si="52"/>
        <v>174.8</v>
      </c>
      <c r="P140" s="38">
        <f t="shared" si="52"/>
        <v>174.8</v>
      </c>
      <c r="Q140" s="38">
        <f t="shared" si="52"/>
        <v>174.8</v>
      </c>
    </row>
    <row r="141" spans="1:17" x14ac:dyDescent="0.35">
      <c r="A141" t="s">
        <v>216</v>
      </c>
      <c r="B141" t="s">
        <v>217</v>
      </c>
      <c r="C141" t="s">
        <v>23</v>
      </c>
      <c r="D141" s="18"/>
      <c r="E141" s="51">
        <v>69.5</v>
      </c>
      <c r="F141" s="51">
        <v>87.6</v>
      </c>
      <c r="G141" s="51">
        <v>130.1</v>
      </c>
      <c r="H141" s="63" t="e">
        <f t="shared" ref="H141:Q141" si="53">G141-H191+H52</f>
        <v>#N/A</v>
      </c>
      <c r="I141" s="63" t="e">
        <f t="shared" si="53"/>
        <v>#N/A</v>
      </c>
      <c r="J141" s="63" t="e">
        <f t="shared" si="53"/>
        <v>#N/A</v>
      </c>
      <c r="K141" s="63" t="e">
        <f t="shared" si="53"/>
        <v>#N/A</v>
      </c>
      <c r="L141" s="63" t="e">
        <f t="shared" si="53"/>
        <v>#N/A</v>
      </c>
      <c r="M141" s="63" t="e">
        <f t="shared" si="53"/>
        <v>#N/A</v>
      </c>
      <c r="N141" s="63" t="e">
        <f t="shared" si="53"/>
        <v>#N/A</v>
      </c>
      <c r="O141" s="63" t="e">
        <f t="shared" si="53"/>
        <v>#N/A</v>
      </c>
      <c r="P141" s="63" t="e">
        <f t="shared" si="53"/>
        <v>#N/A</v>
      </c>
      <c r="Q141" s="63" t="e">
        <f t="shared" si="53"/>
        <v>#N/A</v>
      </c>
    </row>
    <row r="142" spans="1:17" x14ac:dyDescent="0.35">
      <c r="A142" t="s">
        <v>218</v>
      </c>
      <c r="B142" t="s">
        <v>219</v>
      </c>
      <c r="C142" t="s">
        <v>23</v>
      </c>
      <c r="D142" s="18"/>
      <c r="E142" s="51">
        <v>15.2</v>
      </c>
      <c r="F142" s="51">
        <v>10.6</v>
      </c>
      <c r="G142" s="51">
        <v>18.3</v>
      </c>
      <c r="H142" s="38">
        <f t="shared" ref="H142:Q142" si="54">G142</f>
        <v>18.3</v>
      </c>
      <c r="I142" s="38">
        <f t="shared" si="54"/>
        <v>18.3</v>
      </c>
      <c r="J142" s="38">
        <f t="shared" si="54"/>
        <v>18.3</v>
      </c>
      <c r="K142" s="38">
        <f t="shared" si="54"/>
        <v>18.3</v>
      </c>
      <c r="L142" s="38">
        <f t="shared" si="54"/>
        <v>18.3</v>
      </c>
      <c r="M142" s="38">
        <f t="shared" si="54"/>
        <v>18.3</v>
      </c>
      <c r="N142" s="38">
        <f t="shared" si="54"/>
        <v>18.3</v>
      </c>
      <c r="O142" s="38">
        <f t="shared" si="54"/>
        <v>18.3</v>
      </c>
      <c r="P142" s="38">
        <f t="shared" si="54"/>
        <v>18.3</v>
      </c>
      <c r="Q142" s="38">
        <f t="shared" si="54"/>
        <v>18.3</v>
      </c>
    </row>
    <row r="143" spans="1:17" x14ac:dyDescent="0.35">
      <c r="A143" t="s">
        <v>220</v>
      </c>
      <c r="B143" t="s">
        <v>221</v>
      </c>
      <c r="C143" t="s">
        <v>23</v>
      </c>
      <c r="D143" s="18"/>
      <c r="E143" s="51">
        <v>4.2</v>
      </c>
      <c r="F143" s="51">
        <v>16.3</v>
      </c>
      <c r="G143" s="51">
        <v>19.7</v>
      </c>
      <c r="H143" s="38">
        <f t="shared" ref="H143:Q143" si="55">G143</f>
        <v>19.7</v>
      </c>
      <c r="I143" s="38">
        <f t="shared" si="55"/>
        <v>19.7</v>
      </c>
      <c r="J143" s="38">
        <f t="shared" si="55"/>
        <v>19.7</v>
      </c>
      <c r="K143" s="38">
        <f t="shared" si="55"/>
        <v>19.7</v>
      </c>
      <c r="L143" s="38">
        <f t="shared" si="55"/>
        <v>19.7</v>
      </c>
      <c r="M143" s="38">
        <f t="shared" si="55"/>
        <v>19.7</v>
      </c>
      <c r="N143" s="38">
        <f t="shared" si="55"/>
        <v>19.7</v>
      </c>
      <c r="O143" s="38">
        <f t="shared" si="55"/>
        <v>19.7</v>
      </c>
      <c r="P143" s="38">
        <f t="shared" si="55"/>
        <v>19.7</v>
      </c>
      <c r="Q143" s="38">
        <f t="shared" si="55"/>
        <v>19.7</v>
      </c>
    </row>
    <row r="144" spans="1:17" x14ac:dyDescent="0.35">
      <c r="A144" t="s">
        <v>222</v>
      </c>
      <c r="B144" t="s">
        <v>223</v>
      </c>
      <c r="C144" t="s">
        <v>23</v>
      </c>
      <c r="D144" s="18"/>
      <c r="E144" s="51">
        <v>98.9</v>
      </c>
      <c r="F144" s="51">
        <v>93.8</v>
      </c>
      <c r="G144" s="51">
        <v>125.4</v>
      </c>
      <c r="H144" s="63" t="e">
        <f t="shared" ref="H144:Q144" si="56">G144+H151+H53</f>
        <v>#N/A</v>
      </c>
      <c r="I144" s="63" t="e">
        <f t="shared" si="56"/>
        <v>#N/A</v>
      </c>
      <c r="J144" s="63" t="e">
        <f t="shared" si="56"/>
        <v>#N/A</v>
      </c>
      <c r="K144" s="63" t="e">
        <f t="shared" si="56"/>
        <v>#N/A</v>
      </c>
      <c r="L144" s="63" t="e">
        <f t="shared" si="56"/>
        <v>#N/A</v>
      </c>
      <c r="M144" s="63" t="e">
        <f t="shared" si="56"/>
        <v>#N/A</v>
      </c>
      <c r="N144" s="63" t="e">
        <f t="shared" si="56"/>
        <v>#N/A</v>
      </c>
      <c r="O144" s="63" t="e">
        <f t="shared" si="56"/>
        <v>#N/A</v>
      </c>
      <c r="P144" s="63" t="e">
        <f t="shared" si="56"/>
        <v>#N/A</v>
      </c>
      <c r="Q144" s="63" t="e">
        <f t="shared" si="56"/>
        <v>#N/A</v>
      </c>
    </row>
    <row r="145" spans="1:17" x14ac:dyDescent="0.35">
      <c r="A145" t="s">
        <v>224</v>
      </c>
      <c r="B145" t="s">
        <v>225</v>
      </c>
      <c r="C145" t="s">
        <v>23</v>
      </c>
      <c r="D145" s="18"/>
      <c r="E145" s="51">
        <v>3.6</v>
      </c>
      <c r="F145" s="51">
        <v>3.3</v>
      </c>
      <c r="G145" s="51">
        <v>4.5</v>
      </c>
      <c r="H145" s="38">
        <f t="shared" ref="H145:Q145" si="57">G145</f>
        <v>4.5</v>
      </c>
      <c r="I145" s="38">
        <f t="shared" si="57"/>
        <v>4.5</v>
      </c>
      <c r="J145" s="38">
        <f t="shared" si="57"/>
        <v>4.5</v>
      </c>
      <c r="K145" s="38">
        <f t="shared" si="57"/>
        <v>4.5</v>
      </c>
      <c r="L145" s="38">
        <f t="shared" si="57"/>
        <v>4.5</v>
      </c>
      <c r="M145" s="38">
        <f t="shared" si="57"/>
        <v>4.5</v>
      </c>
      <c r="N145" s="38">
        <f t="shared" si="57"/>
        <v>4.5</v>
      </c>
      <c r="O145" s="38">
        <f t="shared" si="57"/>
        <v>4.5</v>
      </c>
      <c r="P145" s="38">
        <f t="shared" si="57"/>
        <v>4.5</v>
      </c>
      <c r="Q145" s="38">
        <f t="shared" si="57"/>
        <v>4.5</v>
      </c>
    </row>
    <row r="146" spans="1:17" x14ac:dyDescent="0.35">
      <c r="B146" s="19" t="s">
        <v>226</v>
      </c>
      <c r="C146" s="19" t="s">
        <v>23</v>
      </c>
      <c r="D146" s="20">
        <f t="shared" ref="D146:Q146" si="58">SUM(D136:D145)</f>
        <v>0</v>
      </c>
      <c r="E146" s="20">
        <f t="shared" si="58"/>
        <v>324.5</v>
      </c>
      <c r="F146" s="20">
        <f t="shared" si="58"/>
        <v>661.8</v>
      </c>
      <c r="G146" s="20">
        <f t="shared" si="58"/>
        <v>783.2</v>
      </c>
      <c r="H146" s="73" t="e">
        <f t="shared" si="58"/>
        <v>#N/A</v>
      </c>
      <c r="I146" s="73" t="e">
        <f t="shared" si="58"/>
        <v>#N/A</v>
      </c>
      <c r="J146" s="73" t="e">
        <f t="shared" si="58"/>
        <v>#N/A</v>
      </c>
      <c r="K146" s="73" t="e">
        <f t="shared" si="58"/>
        <v>#N/A</v>
      </c>
      <c r="L146" s="73" t="e">
        <f t="shared" si="58"/>
        <v>#N/A</v>
      </c>
      <c r="M146" s="73" t="e">
        <f t="shared" si="58"/>
        <v>#N/A</v>
      </c>
      <c r="N146" s="73" t="e">
        <f t="shared" si="58"/>
        <v>#N/A</v>
      </c>
      <c r="O146" s="73" t="e">
        <f t="shared" si="58"/>
        <v>#N/A</v>
      </c>
      <c r="P146" s="73" t="e">
        <f t="shared" si="58"/>
        <v>#N/A</v>
      </c>
      <c r="Q146" s="73" t="e">
        <f t="shared" si="58"/>
        <v>#N/A</v>
      </c>
    </row>
    <row r="147" spans="1:17" x14ac:dyDescent="0.35">
      <c r="B147" s="23" t="s">
        <v>227</v>
      </c>
      <c r="C147" t="s">
        <v>52</v>
      </c>
      <c r="D147" s="6">
        <f>IF(D11+D18=0,"",D138/(D11+D18))</f>
        <v>0</v>
      </c>
      <c r="E147" s="6">
        <f>IF(E11+E18=0,"",E138/(E11+E18))</f>
        <v>9.0646442759118803E-2</v>
      </c>
      <c r="F147" s="6">
        <f>IF(F11+F18=0,"",F138/(F11+F18))</f>
        <v>7.260273972602739E-2</v>
      </c>
      <c r="G147" s="6">
        <f>IF(G11+G18=0,"",G138/(G11+G18))</f>
        <v>5.2991452991452991E-2</v>
      </c>
      <c r="H147" s="65">
        <f t="shared" ref="H147:Q147" si="59">G147</f>
        <v>5.2991452991452991E-2</v>
      </c>
      <c r="I147" s="65">
        <f t="shared" si="59"/>
        <v>5.2991452991452991E-2</v>
      </c>
      <c r="J147" s="65">
        <f t="shared" si="59"/>
        <v>5.2991452991452991E-2</v>
      </c>
      <c r="K147" s="65">
        <f t="shared" si="59"/>
        <v>5.2991452991452991E-2</v>
      </c>
      <c r="L147" s="65">
        <f t="shared" si="59"/>
        <v>5.2991452991452991E-2</v>
      </c>
      <c r="M147" s="65">
        <f t="shared" si="59"/>
        <v>5.2991452991452991E-2</v>
      </c>
      <c r="N147" s="65">
        <f t="shared" si="59"/>
        <v>5.2991452991452991E-2</v>
      </c>
      <c r="O147" s="65">
        <f t="shared" si="59"/>
        <v>5.2991452991452991E-2</v>
      </c>
      <c r="P147" s="65">
        <f t="shared" si="59"/>
        <v>5.2991452991452991E-2</v>
      </c>
      <c r="Q147" s="65">
        <f t="shared" si="59"/>
        <v>5.2991452991452991E-2</v>
      </c>
    </row>
    <row r="148" spans="1:17" x14ac:dyDescent="0.35">
      <c r="B148" s="23" t="s">
        <v>228</v>
      </c>
      <c r="C148" t="s">
        <v>52</v>
      </c>
      <c r="D148" s="6">
        <f>IF(D11+D18=0,"",D139/(D11+D18))</f>
        <v>0</v>
      </c>
      <c r="E148" s="6">
        <f>IF(E11+E18=0,"",E139/(E11+E18))</f>
        <v>7.9451065366558313E-3</v>
      </c>
      <c r="F148" s="6">
        <f>IF(F11+F18=0,"",F139/(F11+F18))</f>
        <v>7.6712328767123287E-3</v>
      </c>
      <c r="G148" s="6">
        <f>IF(G11+G18=0,"",G139/(G11+G18))</f>
        <v>8.1196581196581186E-3</v>
      </c>
      <c r="H148" s="65">
        <f t="shared" ref="H148:Q148" si="60">G148</f>
        <v>8.1196581196581186E-3</v>
      </c>
      <c r="I148" s="65">
        <f t="shared" si="60"/>
        <v>8.1196581196581186E-3</v>
      </c>
      <c r="J148" s="65">
        <f t="shared" si="60"/>
        <v>8.1196581196581186E-3</v>
      </c>
      <c r="K148" s="65">
        <f t="shared" si="60"/>
        <v>8.1196581196581186E-3</v>
      </c>
      <c r="L148" s="65">
        <f t="shared" si="60"/>
        <v>8.1196581196581186E-3</v>
      </c>
      <c r="M148" s="65">
        <f t="shared" si="60"/>
        <v>8.1196581196581186E-3</v>
      </c>
      <c r="N148" s="65">
        <f t="shared" si="60"/>
        <v>8.1196581196581186E-3</v>
      </c>
      <c r="O148" s="65">
        <f t="shared" si="60"/>
        <v>8.1196581196581186E-3</v>
      </c>
      <c r="P148" s="65">
        <f t="shared" si="60"/>
        <v>8.1196581196581186E-3</v>
      </c>
      <c r="Q148" s="65">
        <f t="shared" si="60"/>
        <v>8.1196581196581186E-3</v>
      </c>
    </row>
    <row r="149" spans="1:17" x14ac:dyDescent="0.35">
      <c r="B149" s="19" t="s">
        <v>229</v>
      </c>
      <c r="C149" s="19" t="s">
        <v>23</v>
      </c>
      <c r="D149" s="20">
        <f t="shared" ref="D149:Q149" si="61">D138+D139-D154</f>
        <v>0</v>
      </c>
      <c r="E149" s="20">
        <f t="shared" si="61"/>
        <v>-5.3000000000000007</v>
      </c>
      <c r="F149" s="20">
        <f t="shared" si="61"/>
        <v>-10.099999999999998</v>
      </c>
      <c r="G149" s="20">
        <f t="shared" si="61"/>
        <v>-11.799999999999997</v>
      </c>
      <c r="H149" s="73" t="e">
        <f t="shared" si="61"/>
        <v>#N/A</v>
      </c>
      <c r="I149" s="73" t="e">
        <f t="shared" si="61"/>
        <v>#N/A</v>
      </c>
      <c r="J149" s="73" t="e">
        <f t="shared" si="61"/>
        <v>#N/A</v>
      </c>
      <c r="K149" s="73" t="e">
        <f t="shared" si="61"/>
        <v>#N/A</v>
      </c>
      <c r="L149" s="73" t="e">
        <f t="shared" si="61"/>
        <v>#N/A</v>
      </c>
      <c r="M149" s="73" t="e">
        <f t="shared" si="61"/>
        <v>#N/A</v>
      </c>
      <c r="N149" s="73" t="e">
        <f t="shared" si="61"/>
        <v>#N/A</v>
      </c>
      <c r="O149" s="73" t="e">
        <f t="shared" si="61"/>
        <v>#N/A</v>
      </c>
      <c r="P149" s="73" t="e">
        <f t="shared" si="61"/>
        <v>#N/A</v>
      </c>
      <c r="Q149" s="73" t="e">
        <f t="shared" si="61"/>
        <v>#N/A</v>
      </c>
    </row>
    <row r="150" spans="1:17" x14ac:dyDescent="0.35">
      <c r="B150" s="23" t="s">
        <v>230</v>
      </c>
      <c r="C150" t="s">
        <v>52</v>
      </c>
      <c r="D150" s="6">
        <f>IF(D11+D18=0,"",D154/(D11+D18))</f>
        <v>0</v>
      </c>
      <c r="E150" s="6">
        <f>IF(E11+E18=0,"",E154/(E11+E18))</f>
        <v>0.11773203322499096</v>
      </c>
      <c r="F150" s="6">
        <f>IF(F11+F18=0,"",F154/(F11+F18))</f>
        <v>0.10794520547945205</v>
      </c>
      <c r="G150" s="6">
        <f>IF(G11+G18=0,"",G154/(G11+G18))</f>
        <v>8.6324786324786323E-2</v>
      </c>
      <c r="H150" s="65">
        <f t="shared" ref="H150:Q150" si="62">G150</f>
        <v>8.6324786324786323E-2</v>
      </c>
      <c r="I150" s="65">
        <f t="shared" si="62"/>
        <v>8.6324786324786323E-2</v>
      </c>
      <c r="J150" s="65">
        <f t="shared" si="62"/>
        <v>8.6324786324786323E-2</v>
      </c>
      <c r="K150" s="65">
        <f t="shared" si="62"/>
        <v>8.6324786324786323E-2</v>
      </c>
      <c r="L150" s="65">
        <f t="shared" si="62"/>
        <v>8.6324786324786323E-2</v>
      </c>
      <c r="M150" s="65">
        <f t="shared" si="62"/>
        <v>8.6324786324786323E-2</v>
      </c>
      <c r="N150" s="65">
        <f t="shared" si="62"/>
        <v>8.6324786324786323E-2</v>
      </c>
      <c r="O150" s="65">
        <f t="shared" si="62"/>
        <v>8.6324786324786323E-2</v>
      </c>
      <c r="P150" s="65">
        <f t="shared" si="62"/>
        <v>8.6324786324786323E-2</v>
      </c>
      <c r="Q150" s="65">
        <f t="shared" si="62"/>
        <v>8.6324786324786323E-2</v>
      </c>
    </row>
    <row r="151" spans="1:17" x14ac:dyDescent="0.35">
      <c r="B151" s="23" t="s">
        <v>231</v>
      </c>
      <c r="C151" t="s">
        <v>23</v>
      </c>
      <c r="H151" s="76">
        <v>45.5</v>
      </c>
      <c r="I151" s="76">
        <f t="shared" ref="I151:Q151" si="63">H151</f>
        <v>45.5</v>
      </c>
      <c r="J151" s="76">
        <f t="shared" si="63"/>
        <v>45.5</v>
      </c>
      <c r="K151" s="76">
        <f t="shared" si="63"/>
        <v>45.5</v>
      </c>
      <c r="L151" s="76">
        <f t="shared" si="63"/>
        <v>45.5</v>
      </c>
      <c r="M151" s="76">
        <f t="shared" si="63"/>
        <v>45.5</v>
      </c>
      <c r="N151" s="76">
        <f t="shared" si="63"/>
        <v>45.5</v>
      </c>
      <c r="O151" s="76">
        <f t="shared" si="63"/>
        <v>45.5</v>
      </c>
      <c r="P151" s="76">
        <f t="shared" si="63"/>
        <v>45.5</v>
      </c>
      <c r="Q151" s="76">
        <f t="shared" si="63"/>
        <v>45.5</v>
      </c>
    </row>
    <row r="152" spans="1:17" x14ac:dyDescent="0.35">
      <c r="B152" s="23"/>
      <c r="H152" s="41"/>
      <c r="I152" s="41"/>
      <c r="J152" s="41"/>
      <c r="K152" s="41"/>
      <c r="L152" s="41"/>
      <c r="M152" s="41"/>
      <c r="N152" s="41"/>
      <c r="O152" s="41"/>
      <c r="P152" s="41"/>
      <c r="Q152" s="41"/>
    </row>
    <row r="153" spans="1:17" x14ac:dyDescent="0.35">
      <c r="B153" s="5" t="s">
        <v>232</v>
      </c>
    </row>
    <row r="154" spans="1:17" x14ac:dyDescent="0.35">
      <c r="A154" t="s">
        <v>233</v>
      </c>
      <c r="B154" t="s">
        <v>234</v>
      </c>
      <c r="C154" t="s">
        <v>23</v>
      </c>
      <c r="D154" s="18"/>
      <c r="E154" s="51">
        <v>32.6</v>
      </c>
      <c r="F154" s="51">
        <v>39.4</v>
      </c>
      <c r="G154" s="51">
        <v>40.4</v>
      </c>
      <c r="H154" s="63" t="e">
        <f t="shared" ref="H154:Q154" si="64">(H11+H18)*H150</f>
        <v>#N/A</v>
      </c>
      <c r="I154" s="63" t="e">
        <f t="shared" si="64"/>
        <v>#N/A</v>
      </c>
      <c r="J154" s="63" t="e">
        <f t="shared" si="64"/>
        <v>#N/A</v>
      </c>
      <c r="K154" s="63" t="e">
        <f t="shared" si="64"/>
        <v>#N/A</v>
      </c>
      <c r="L154" s="63" t="e">
        <f t="shared" si="64"/>
        <v>#N/A</v>
      </c>
      <c r="M154" s="63" t="e">
        <f t="shared" si="64"/>
        <v>#N/A</v>
      </c>
      <c r="N154" s="63" t="e">
        <f t="shared" si="64"/>
        <v>#N/A</v>
      </c>
      <c r="O154" s="63" t="e">
        <f t="shared" si="64"/>
        <v>#N/A</v>
      </c>
      <c r="P154" s="63" t="e">
        <f t="shared" si="64"/>
        <v>#N/A</v>
      </c>
      <c r="Q154" s="63" t="e">
        <f t="shared" si="64"/>
        <v>#N/A</v>
      </c>
    </row>
    <row r="155" spans="1:17" x14ac:dyDescent="0.35">
      <c r="A155" t="s">
        <v>235</v>
      </c>
      <c r="B155" t="s">
        <v>236</v>
      </c>
      <c r="C155" t="s">
        <v>23</v>
      </c>
      <c r="D155" s="18"/>
      <c r="E155" s="51">
        <v>3.9</v>
      </c>
      <c r="F155" s="51">
        <v>4.5</v>
      </c>
      <c r="G155" s="51">
        <v>5.2</v>
      </c>
      <c r="H155" s="38">
        <f t="shared" ref="H155:Q155" si="65">G155</f>
        <v>5.2</v>
      </c>
      <c r="I155" s="38">
        <f t="shared" si="65"/>
        <v>5.2</v>
      </c>
      <c r="J155" s="38">
        <f t="shared" si="65"/>
        <v>5.2</v>
      </c>
      <c r="K155" s="38">
        <f t="shared" si="65"/>
        <v>5.2</v>
      </c>
      <c r="L155" s="38">
        <f t="shared" si="65"/>
        <v>5.2</v>
      </c>
      <c r="M155" s="38">
        <f t="shared" si="65"/>
        <v>5.2</v>
      </c>
      <c r="N155" s="38">
        <f t="shared" si="65"/>
        <v>5.2</v>
      </c>
      <c r="O155" s="38">
        <f t="shared" si="65"/>
        <v>5.2</v>
      </c>
      <c r="P155" s="38">
        <f t="shared" si="65"/>
        <v>5.2</v>
      </c>
      <c r="Q155" s="38">
        <f t="shared" si="65"/>
        <v>5.2</v>
      </c>
    </row>
    <row r="156" spans="1:17" x14ac:dyDescent="0.35">
      <c r="A156" t="s">
        <v>237</v>
      </c>
      <c r="B156" t="s">
        <v>238</v>
      </c>
      <c r="C156" t="s">
        <v>23</v>
      </c>
      <c r="D156" s="18"/>
      <c r="E156" s="51">
        <v>11.7</v>
      </c>
      <c r="F156" s="51">
        <v>14.3</v>
      </c>
      <c r="G156" s="51">
        <v>17.2</v>
      </c>
      <c r="H156" s="38">
        <f t="shared" ref="H156:Q156" si="66">G156</f>
        <v>17.2</v>
      </c>
      <c r="I156" s="38">
        <f t="shared" si="66"/>
        <v>17.2</v>
      </c>
      <c r="J156" s="38">
        <f t="shared" si="66"/>
        <v>17.2</v>
      </c>
      <c r="K156" s="38">
        <f t="shared" si="66"/>
        <v>17.2</v>
      </c>
      <c r="L156" s="38">
        <f t="shared" si="66"/>
        <v>17.2</v>
      </c>
      <c r="M156" s="38">
        <f t="shared" si="66"/>
        <v>17.2</v>
      </c>
      <c r="N156" s="38">
        <f t="shared" si="66"/>
        <v>17.2</v>
      </c>
      <c r="O156" s="38">
        <f t="shared" si="66"/>
        <v>17.2</v>
      </c>
      <c r="P156" s="38">
        <f t="shared" si="66"/>
        <v>17.2</v>
      </c>
      <c r="Q156" s="38">
        <f t="shared" si="66"/>
        <v>17.2</v>
      </c>
    </row>
    <row r="157" spans="1:17" x14ac:dyDescent="0.35">
      <c r="A157" t="s">
        <v>239</v>
      </c>
      <c r="B157" t="s">
        <v>240</v>
      </c>
      <c r="C157" t="s">
        <v>23</v>
      </c>
      <c r="D157" s="18"/>
      <c r="E157" s="51">
        <v>181.7</v>
      </c>
      <c r="F157" s="51">
        <v>239.5</v>
      </c>
      <c r="G157" s="51">
        <v>331.3</v>
      </c>
      <c r="H157" s="63">
        <f t="shared" ref="H157:Q157" si="67">G157+H151+H202</f>
        <v>339.98888888888888</v>
      </c>
      <c r="I157" s="63">
        <f t="shared" si="67"/>
        <v>347.71234567901234</v>
      </c>
      <c r="J157" s="63">
        <f t="shared" si="67"/>
        <v>354.57764060356652</v>
      </c>
      <c r="K157" s="63">
        <f t="shared" si="67"/>
        <v>360.68012498094799</v>
      </c>
      <c r="L157" s="63">
        <f t="shared" si="67"/>
        <v>366.10455553862045</v>
      </c>
      <c r="M157" s="63">
        <f t="shared" si="67"/>
        <v>370.92627158988483</v>
      </c>
      <c r="N157" s="63">
        <f t="shared" si="67"/>
        <v>375.21224141323097</v>
      </c>
      <c r="O157" s="63">
        <f t="shared" si="67"/>
        <v>379.02199236731644</v>
      </c>
      <c r="P157" s="63">
        <f t="shared" si="67"/>
        <v>382.40843765983686</v>
      </c>
      <c r="Q157" s="63">
        <f t="shared" si="67"/>
        <v>385.41861125318832</v>
      </c>
    </row>
    <row r="158" spans="1:17" x14ac:dyDescent="0.35">
      <c r="A158" t="s">
        <v>241</v>
      </c>
      <c r="B158" t="s">
        <v>242</v>
      </c>
      <c r="C158" t="s">
        <v>23</v>
      </c>
      <c r="D158" s="18"/>
      <c r="E158" s="51">
        <v>3</v>
      </c>
      <c r="F158" s="51">
        <v>0</v>
      </c>
      <c r="G158" s="51">
        <v>0</v>
      </c>
      <c r="H158" s="38">
        <f t="shared" ref="H158:Q158" si="68">G158</f>
        <v>0</v>
      </c>
      <c r="I158" s="38">
        <f t="shared" si="68"/>
        <v>0</v>
      </c>
      <c r="J158" s="38">
        <f t="shared" si="68"/>
        <v>0</v>
      </c>
      <c r="K158" s="38">
        <f t="shared" si="68"/>
        <v>0</v>
      </c>
      <c r="L158" s="38">
        <f t="shared" si="68"/>
        <v>0</v>
      </c>
      <c r="M158" s="38">
        <f t="shared" si="68"/>
        <v>0</v>
      </c>
      <c r="N158" s="38">
        <f t="shared" si="68"/>
        <v>0</v>
      </c>
      <c r="O158" s="38">
        <f t="shared" si="68"/>
        <v>0</v>
      </c>
      <c r="P158" s="38">
        <f t="shared" si="68"/>
        <v>0</v>
      </c>
      <c r="Q158" s="38">
        <f t="shared" si="68"/>
        <v>0</v>
      </c>
    </row>
    <row r="159" spans="1:17" x14ac:dyDescent="0.35">
      <c r="B159" s="19" t="s">
        <v>243</v>
      </c>
      <c r="C159" s="19" t="s">
        <v>23</v>
      </c>
      <c r="D159" s="20">
        <f t="shared" ref="D159:Q159" si="69">SUM(D154:D158)</f>
        <v>0</v>
      </c>
      <c r="E159" s="20">
        <f t="shared" si="69"/>
        <v>232.89999999999998</v>
      </c>
      <c r="F159" s="20">
        <f t="shared" si="69"/>
        <v>297.7</v>
      </c>
      <c r="G159" s="20">
        <f t="shared" si="69"/>
        <v>394.1</v>
      </c>
      <c r="H159" s="73" t="e">
        <f t="shared" si="69"/>
        <v>#N/A</v>
      </c>
      <c r="I159" s="73" t="e">
        <f t="shared" si="69"/>
        <v>#N/A</v>
      </c>
      <c r="J159" s="73" t="e">
        <f t="shared" si="69"/>
        <v>#N/A</v>
      </c>
      <c r="K159" s="73" t="e">
        <f t="shared" si="69"/>
        <v>#N/A</v>
      </c>
      <c r="L159" s="73" t="e">
        <f t="shared" si="69"/>
        <v>#N/A</v>
      </c>
      <c r="M159" s="73" t="e">
        <f t="shared" si="69"/>
        <v>#N/A</v>
      </c>
      <c r="N159" s="73" t="e">
        <f t="shared" si="69"/>
        <v>#N/A</v>
      </c>
      <c r="O159" s="73" t="e">
        <f t="shared" si="69"/>
        <v>#N/A</v>
      </c>
      <c r="P159" s="73" t="e">
        <f t="shared" si="69"/>
        <v>#N/A</v>
      </c>
      <c r="Q159" s="73" t="e">
        <f t="shared" si="69"/>
        <v>#N/A</v>
      </c>
    </row>
    <row r="161" spans="1:17" x14ac:dyDescent="0.35">
      <c r="B161" s="19" t="s">
        <v>244</v>
      </c>
      <c r="C161" s="19" t="s">
        <v>23</v>
      </c>
      <c r="D161" s="20">
        <f t="shared" ref="D161:Q161" si="70">D158-D136</f>
        <v>0</v>
      </c>
      <c r="E161" s="20">
        <f t="shared" si="70"/>
        <v>-33.5</v>
      </c>
      <c r="F161" s="20">
        <f t="shared" si="70"/>
        <v>-16.399999999999999</v>
      </c>
      <c r="G161" s="20">
        <f t="shared" si="70"/>
        <v>-39.700000000000003</v>
      </c>
      <c r="H161" s="73" t="e">
        <f t="shared" si="70"/>
        <v>#N/A</v>
      </c>
      <c r="I161" s="73" t="e">
        <f t="shared" si="70"/>
        <v>#N/A</v>
      </c>
      <c r="J161" s="73" t="e">
        <f t="shared" si="70"/>
        <v>#N/A</v>
      </c>
      <c r="K161" s="73" t="e">
        <f t="shared" si="70"/>
        <v>#N/A</v>
      </c>
      <c r="L161" s="73" t="e">
        <f t="shared" si="70"/>
        <v>#N/A</v>
      </c>
      <c r="M161" s="73" t="e">
        <f t="shared" si="70"/>
        <v>#N/A</v>
      </c>
      <c r="N161" s="73" t="e">
        <f t="shared" si="70"/>
        <v>#N/A</v>
      </c>
      <c r="O161" s="73" t="e">
        <f t="shared" si="70"/>
        <v>#N/A</v>
      </c>
      <c r="P161" s="73" t="e">
        <f t="shared" si="70"/>
        <v>#N/A</v>
      </c>
      <c r="Q161" s="73" t="e">
        <f t="shared" si="70"/>
        <v>#N/A</v>
      </c>
    </row>
    <row r="162" spans="1:17" x14ac:dyDescent="0.35">
      <c r="B162" s="19" t="s">
        <v>245</v>
      </c>
      <c r="C162" s="19" t="s">
        <v>23</v>
      </c>
      <c r="D162" s="20">
        <f t="shared" ref="D162:Q162" si="71">D161+D157</f>
        <v>0</v>
      </c>
      <c r="E162" s="20">
        <f t="shared" si="71"/>
        <v>148.19999999999999</v>
      </c>
      <c r="F162" s="20">
        <f t="shared" si="71"/>
        <v>223.1</v>
      </c>
      <c r="G162" s="20">
        <f t="shared" si="71"/>
        <v>291.60000000000002</v>
      </c>
      <c r="H162" s="73" t="e">
        <f t="shared" si="71"/>
        <v>#N/A</v>
      </c>
      <c r="I162" s="73" t="e">
        <f t="shared" si="71"/>
        <v>#N/A</v>
      </c>
      <c r="J162" s="73" t="e">
        <f t="shared" si="71"/>
        <v>#N/A</v>
      </c>
      <c r="K162" s="73" t="e">
        <f t="shared" si="71"/>
        <v>#N/A</v>
      </c>
      <c r="L162" s="73" t="e">
        <f t="shared" si="71"/>
        <v>#N/A</v>
      </c>
      <c r="M162" s="73" t="e">
        <f t="shared" si="71"/>
        <v>#N/A</v>
      </c>
      <c r="N162" s="73" t="e">
        <f t="shared" si="71"/>
        <v>#N/A</v>
      </c>
      <c r="O162" s="73" t="e">
        <f t="shared" si="71"/>
        <v>#N/A</v>
      </c>
      <c r="P162" s="73" t="e">
        <f t="shared" si="71"/>
        <v>#N/A</v>
      </c>
      <c r="Q162" s="73" t="e">
        <f t="shared" si="71"/>
        <v>#N/A</v>
      </c>
    </row>
    <row r="163" spans="1:17" x14ac:dyDescent="0.35">
      <c r="B163" s="8" t="s">
        <v>246</v>
      </c>
      <c r="C163" t="s">
        <v>247</v>
      </c>
      <c r="D163" s="12">
        <f t="shared" ref="D163:Q163" si="72">IF(D38=0,"",D161/D38)</f>
        <v>0</v>
      </c>
      <c r="E163" s="12">
        <f t="shared" si="72"/>
        <v>-1.1241610738255019</v>
      </c>
      <c r="F163" s="12">
        <f t="shared" si="72"/>
        <v>-0.60073260073260104</v>
      </c>
      <c r="G163" s="12">
        <f t="shared" si="72"/>
        <v>-0.60983102918586718</v>
      </c>
      <c r="H163" s="72" t="e">
        <f t="shared" si="72"/>
        <v>#N/A</v>
      </c>
      <c r="I163" s="72" t="e">
        <f t="shared" si="72"/>
        <v>#N/A</v>
      </c>
      <c r="J163" s="72" t="e">
        <f t="shared" si="72"/>
        <v>#N/A</v>
      </c>
      <c r="K163" s="72" t="e">
        <f t="shared" si="72"/>
        <v>#N/A</v>
      </c>
      <c r="L163" s="72" t="e">
        <f t="shared" si="72"/>
        <v>#N/A</v>
      </c>
      <c r="M163" s="72" t="e">
        <f t="shared" si="72"/>
        <v>#N/A</v>
      </c>
      <c r="N163" s="72" t="e">
        <f t="shared" si="72"/>
        <v>#N/A</v>
      </c>
      <c r="O163" s="72" t="e">
        <f t="shared" si="72"/>
        <v>#N/A</v>
      </c>
      <c r="P163" s="72" t="e">
        <f t="shared" si="72"/>
        <v>#N/A</v>
      </c>
      <c r="Q163" s="72" t="e">
        <f t="shared" si="72"/>
        <v>#N/A</v>
      </c>
    </row>
    <row r="164" spans="1:17" x14ac:dyDescent="0.35">
      <c r="B164" s="8" t="s">
        <v>248</v>
      </c>
      <c r="C164" t="s">
        <v>52</v>
      </c>
      <c r="D164" s="6" t="str">
        <f t="shared" ref="D164:Q164" si="73">IF((D161+D171)=0,"",D161/(D161+D171))</f>
        <v/>
      </c>
      <c r="E164" s="6">
        <f t="shared" si="73"/>
        <v>-0.61580882352941191</v>
      </c>
      <c r="F164" s="6">
        <f t="shared" si="73"/>
        <v>-4.8578199052132703E-2</v>
      </c>
      <c r="G164" s="6">
        <f t="shared" si="73"/>
        <v>-0.11662749706227966</v>
      </c>
      <c r="H164" s="74" t="e">
        <f t="shared" si="73"/>
        <v>#N/A</v>
      </c>
      <c r="I164" s="74" t="e">
        <f t="shared" si="73"/>
        <v>#N/A</v>
      </c>
      <c r="J164" s="74" t="e">
        <f t="shared" si="73"/>
        <v>#N/A</v>
      </c>
      <c r="K164" s="74" t="e">
        <f t="shared" si="73"/>
        <v>#N/A</v>
      </c>
      <c r="L164" s="74" t="e">
        <f t="shared" si="73"/>
        <v>#N/A</v>
      </c>
      <c r="M164" s="74" t="e">
        <f t="shared" si="73"/>
        <v>#N/A</v>
      </c>
      <c r="N164" s="74" t="e">
        <f t="shared" si="73"/>
        <v>#N/A</v>
      </c>
      <c r="O164" s="74" t="e">
        <f t="shared" si="73"/>
        <v>#N/A</v>
      </c>
      <c r="P164" s="74" t="e">
        <f t="shared" si="73"/>
        <v>#N/A</v>
      </c>
      <c r="Q164" s="74" t="e">
        <f t="shared" si="73"/>
        <v>#N/A</v>
      </c>
    </row>
    <row r="166" spans="1:17" x14ac:dyDescent="0.35">
      <c r="B166" s="5" t="s">
        <v>249</v>
      </c>
    </row>
    <row r="167" spans="1:17" x14ac:dyDescent="0.35">
      <c r="A167" t="s">
        <v>250</v>
      </c>
      <c r="B167" t="s">
        <v>251</v>
      </c>
      <c r="C167" t="s">
        <v>23</v>
      </c>
      <c r="D167" s="18"/>
      <c r="E167" s="51">
        <v>104</v>
      </c>
      <c r="F167" s="51">
        <v>372.7</v>
      </c>
      <c r="G167" s="51">
        <v>375</v>
      </c>
      <c r="H167" s="63">
        <f t="shared" ref="H167:Q167" si="74">G167+H201</f>
        <v>375</v>
      </c>
      <c r="I167" s="63">
        <f t="shared" si="74"/>
        <v>375</v>
      </c>
      <c r="J167" s="63">
        <f t="shared" si="74"/>
        <v>375</v>
      </c>
      <c r="K167" s="63">
        <f t="shared" si="74"/>
        <v>375</v>
      </c>
      <c r="L167" s="63">
        <f t="shared" si="74"/>
        <v>375</v>
      </c>
      <c r="M167" s="63">
        <f t="shared" si="74"/>
        <v>375</v>
      </c>
      <c r="N167" s="63">
        <f t="shared" si="74"/>
        <v>375</v>
      </c>
      <c r="O167" s="63">
        <f t="shared" si="74"/>
        <v>375</v>
      </c>
      <c r="P167" s="63">
        <f t="shared" si="74"/>
        <v>375</v>
      </c>
      <c r="Q167" s="63">
        <f t="shared" si="74"/>
        <v>375</v>
      </c>
    </row>
    <row r="168" spans="1:17" x14ac:dyDescent="0.35">
      <c r="A168" t="s">
        <v>252</v>
      </c>
      <c r="B168" t="s">
        <v>253</v>
      </c>
      <c r="C168" t="s">
        <v>23</v>
      </c>
      <c r="D168" s="18"/>
      <c r="E168" s="51">
        <v>-26.9</v>
      </c>
      <c r="F168" s="51">
        <v>-36.1</v>
      </c>
      <c r="G168" s="51">
        <v>-21.7</v>
      </c>
      <c r="H168" s="63" t="e">
        <f t="shared" ref="H168:Q168" si="75">G168+H82-H97</f>
        <v>#N/A</v>
      </c>
      <c r="I168" s="63" t="e">
        <f t="shared" si="75"/>
        <v>#N/A</v>
      </c>
      <c r="J168" s="63" t="e">
        <f t="shared" si="75"/>
        <v>#N/A</v>
      </c>
      <c r="K168" s="63" t="e">
        <f t="shared" si="75"/>
        <v>#N/A</v>
      </c>
      <c r="L168" s="63" t="e">
        <f t="shared" si="75"/>
        <v>#N/A</v>
      </c>
      <c r="M168" s="63" t="e">
        <f t="shared" si="75"/>
        <v>#N/A</v>
      </c>
      <c r="N168" s="63" t="e">
        <f t="shared" si="75"/>
        <v>#N/A</v>
      </c>
      <c r="O168" s="63" t="e">
        <f t="shared" si="75"/>
        <v>#N/A</v>
      </c>
      <c r="P168" s="63" t="e">
        <f t="shared" si="75"/>
        <v>#N/A</v>
      </c>
      <c r="Q168" s="63" t="e">
        <f t="shared" si="75"/>
        <v>#N/A</v>
      </c>
    </row>
    <row r="169" spans="1:17" x14ac:dyDescent="0.35">
      <c r="A169" t="s">
        <v>254</v>
      </c>
      <c r="B169" t="s">
        <v>255</v>
      </c>
      <c r="C169" t="s">
        <v>23</v>
      </c>
      <c r="D169" s="18"/>
      <c r="E169" s="51">
        <v>10.8</v>
      </c>
      <c r="F169" s="51">
        <v>17.399999999999999</v>
      </c>
      <c r="G169" s="51">
        <v>26.8</v>
      </c>
      <c r="H169" s="38">
        <f t="shared" ref="H169:Q169" si="76">G169</f>
        <v>26.8</v>
      </c>
      <c r="I169" s="38">
        <f t="shared" si="76"/>
        <v>26.8</v>
      </c>
      <c r="J169" s="38">
        <f t="shared" si="76"/>
        <v>26.8</v>
      </c>
      <c r="K169" s="38">
        <f t="shared" si="76"/>
        <v>26.8</v>
      </c>
      <c r="L169" s="38">
        <f t="shared" si="76"/>
        <v>26.8</v>
      </c>
      <c r="M169" s="38">
        <f t="shared" si="76"/>
        <v>26.8</v>
      </c>
      <c r="N169" s="38">
        <f t="shared" si="76"/>
        <v>26.8</v>
      </c>
      <c r="O169" s="38">
        <f t="shared" si="76"/>
        <v>26.8</v>
      </c>
      <c r="P169" s="38">
        <f t="shared" si="76"/>
        <v>26.8</v>
      </c>
      <c r="Q169" s="38">
        <f t="shared" si="76"/>
        <v>26.8</v>
      </c>
    </row>
    <row r="170" spans="1:17" x14ac:dyDescent="0.35">
      <c r="A170" t="s">
        <v>256</v>
      </c>
      <c r="B170" t="s">
        <v>257</v>
      </c>
      <c r="C170" t="s">
        <v>23</v>
      </c>
      <c r="D170" s="18"/>
      <c r="E170" s="51">
        <v>0</v>
      </c>
      <c r="F170" s="51">
        <v>0</v>
      </c>
      <c r="G170" s="51">
        <v>0</v>
      </c>
      <c r="H170" s="63" t="e">
        <f t="shared" ref="H170:Q170" si="77">G170-H79</f>
        <v>#N/A</v>
      </c>
      <c r="I170" s="63" t="e">
        <f t="shared" si="77"/>
        <v>#N/A</v>
      </c>
      <c r="J170" s="63" t="e">
        <f t="shared" si="77"/>
        <v>#N/A</v>
      </c>
      <c r="K170" s="63" t="e">
        <f t="shared" si="77"/>
        <v>#N/A</v>
      </c>
      <c r="L170" s="63" t="e">
        <f t="shared" si="77"/>
        <v>#N/A</v>
      </c>
      <c r="M170" s="63" t="e">
        <f t="shared" si="77"/>
        <v>#N/A</v>
      </c>
      <c r="N170" s="63" t="e">
        <f t="shared" si="77"/>
        <v>#N/A</v>
      </c>
      <c r="O170" s="63" t="e">
        <f t="shared" si="77"/>
        <v>#N/A</v>
      </c>
      <c r="P170" s="63" t="e">
        <f t="shared" si="77"/>
        <v>#N/A</v>
      </c>
      <c r="Q170" s="63" t="e">
        <f t="shared" si="77"/>
        <v>#N/A</v>
      </c>
    </row>
    <row r="171" spans="1:17" x14ac:dyDescent="0.35">
      <c r="B171" s="19" t="s">
        <v>258</v>
      </c>
      <c r="C171" s="19" t="s">
        <v>23</v>
      </c>
      <c r="D171" s="20">
        <f t="shared" ref="D171:Q171" si="78">SUM(D167:D170)</f>
        <v>0</v>
      </c>
      <c r="E171" s="20">
        <f t="shared" si="78"/>
        <v>87.899999999999991</v>
      </c>
      <c r="F171" s="20">
        <f t="shared" si="78"/>
        <v>353.99999999999994</v>
      </c>
      <c r="G171" s="20">
        <f t="shared" si="78"/>
        <v>380.1</v>
      </c>
      <c r="H171" s="73" t="e">
        <f t="shared" si="78"/>
        <v>#N/A</v>
      </c>
      <c r="I171" s="73" t="e">
        <f t="shared" si="78"/>
        <v>#N/A</v>
      </c>
      <c r="J171" s="73" t="e">
        <f t="shared" si="78"/>
        <v>#N/A</v>
      </c>
      <c r="K171" s="73" t="e">
        <f t="shared" si="78"/>
        <v>#N/A</v>
      </c>
      <c r="L171" s="73" t="e">
        <f t="shared" si="78"/>
        <v>#N/A</v>
      </c>
      <c r="M171" s="73" t="e">
        <f t="shared" si="78"/>
        <v>#N/A</v>
      </c>
      <c r="N171" s="73" t="e">
        <f t="shared" si="78"/>
        <v>#N/A</v>
      </c>
      <c r="O171" s="73" t="e">
        <f t="shared" si="78"/>
        <v>#N/A</v>
      </c>
      <c r="P171" s="73" t="e">
        <f t="shared" si="78"/>
        <v>#N/A</v>
      </c>
      <c r="Q171" s="73" t="e">
        <f t="shared" si="78"/>
        <v>#N/A</v>
      </c>
    </row>
    <row r="172" spans="1:17" x14ac:dyDescent="0.35">
      <c r="B172" s="8" t="s">
        <v>259</v>
      </c>
      <c r="C172" t="s">
        <v>52</v>
      </c>
      <c r="D172" s="6" t="str">
        <f t="shared" ref="D172:Q172" si="79">IF(D171=0,"",D80/D171)</f>
        <v/>
      </c>
      <c r="E172" s="6">
        <f t="shared" si="79"/>
        <v>-2.2753128555175878E-2</v>
      </c>
      <c r="F172" s="6">
        <f t="shared" si="79"/>
        <v>-3.5875706214689308E-2</v>
      </c>
      <c r="G172" s="6">
        <f t="shared" si="79"/>
        <v>3.788476716653532E-2</v>
      </c>
      <c r="H172" s="74" t="e">
        <f t="shared" si="79"/>
        <v>#N/A</v>
      </c>
      <c r="I172" s="74" t="e">
        <f t="shared" si="79"/>
        <v>#N/A</v>
      </c>
      <c r="J172" s="74" t="e">
        <f t="shared" si="79"/>
        <v>#N/A</v>
      </c>
      <c r="K172" s="74" t="e">
        <f t="shared" si="79"/>
        <v>#N/A</v>
      </c>
      <c r="L172" s="74" t="e">
        <f t="shared" si="79"/>
        <v>#N/A</v>
      </c>
      <c r="M172" s="74" t="e">
        <f t="shared" si="79"/>
        <v>#N/A</v>
      </c>
      <c r="N172" s="74" t="e">
        <f t="shared" si="79"/>
        <v>#N/A</v>
      </c>
      <c r="O172" s="74" t="e">
        <f t="shared" si="79"/>
        <v>#N/A</v>
      </c>
      <c r="P172" s="74" t="e">
        <f t="shared" si="79"/>
        <v>#N/A</v>
      </c>
      <c r="Q172" s="74" t="e">
        <f t="shared" si="79"/>
        <v>#N/A</v>
      </c>
    </row>
    <row r="173" spans="1:17" x14ac:dyDescent="0.35">
      <c r="B173" s="8" t="s">
        <v>260</v>
      </c>
      <c r="C173" t="s">
        <v>247</v>
      </c>
      <c r="D173" s="12" t="str">
        <f>IF(OR(D171=0,Value!$C$4=0),"",Value!$C$4*D87/D171)</f>
        <v/>
      </c>
      <c r="E173" s="12">
        <f>IF(OR(E171=0,Value!$C$4=0),"",Value!$C$4*E87/E171)</f>
        <v>33.845278725824805</v>
      </c>
      <c r="F173" s="12">
        <f>IF(OR(F171=0,Value!$C$4=0),"",Value!$C$4*F87/F171)</f>
        <v>10.183615819209042</v>
      </c>
      <c r="G173" s="12">
        <f>IF(OR(G171=0,Value!$C$4=0),"",Value!$C$4*G87/G171)</f>
        <v>9.484346224677715</v>
      </c>
      <c r="H173" s="72" t="e">
        <f>IF(OR(H171=0,Value!$C$4=0),"",Value!$C$4*H87/H171)</f>
        <v>#N/A</v>
      </c>
      <c r="I173" s="72" t="e">
        <f>IF(OR(I171=0,Value!$C$4=0),"",Value!$C$4*I87/I171)</f>
        <v>#N/A</v>
      </c>
      <c r="J173" s="72" t="e">
        <f>IF(OR(J171=0,Value!$C$4=0),"",Value!$C$4*J87/J171)</f>
        <v>#N/A</v>
      </c>
      <c r="K173" s="72" t="e">
        <f>IF(OR(K171=0,Value!$C$4=0),"",Value!$C$4*K87/K171)</f>
        <v>#N/A</v>
      </c>
      <c r="L173" s="72" t="e">
        <f>IF(OR(L171=0,Value!$C$4=0),"",Value!$C$4*L87/L171)</f>
        <v>#N/A</v>
      </c>
      <c r="M173" s="72" t="e">
        <f>IF(OR(M171=0,Value!$C$4=0),"",Value!$C$4*M87/M171)</f>
        <v>#N/A</v>
      </c>
      <c r="N173" s="72" t="e">
        <f>IF(OR(N171=0,Value!$C$4=0),"",Value!$C$4*N87/N171)</f>
        <v>#N/A</v>
      </c>
      <c r="O173" s="72" t="e">
        <f>IF(OR(O171=0,Value!$C$4=0),"",Value!$C$4*O87/O171)</f>
        <v>#N/A</v>
      </c>
      <c r="P173" s="72" t="e">
        <f>IF(OR(P171=0,Value!$C$4=0),"",Value!$C$4*P87/P171)</f>
        <v>#N/A</v>
      </c>
      <c r="Q173" s="72" t="e">
        <f>IF(OR(Q171=0,Value!$C$4=0),"",Value!$C$4*Q87/Q171)</f>
        <v>#N/A</v>
      </c>
    </row>
    <row r="174" spans="1:17" x14ac:dyDescent="0.35">
      <c r="B174" s="8" t="s">
        <v>261</v>
      </c>
      <c r="C174" t="s">
        <v>23</v>
      </c>
      <c r="D174" s="4">
        <f t="shared" ref="D174:Q174" si="80">D146-D159-D171</f>
        <v>0</v>
      </c>
      <c r="E174" s="4">
        <f t="shared" si="80"/>
        <v>3.7000000000000313</v>
      </c>
      <c r="F174" s="4">
        <f t="shared" si="80"/>
        <v>10.100000000000023</v>
      </c>
      <c r="G174" s="4">
        <f t="shared" si="80"/>
        <v>9</v>
      </c>
      <c r="H174" s="63" t="e">
        <f t="shared" si="80"/>
        <v>#N/A</v>
      </c>
      <c r="I174" s="63" t="e">
        <f t="shared" si="80"/>
        <v>#N/A</v>
      </c>
      <c r="J174" s="63" t="e">
        <f t="shared" si="80"/>
        <v>#N/A</v>
      </c>
      <c r="K174" s="63" t="e">
        <f t="shared" si="80"/>
        <v>#N/A</v>
      </c>
      <c r="L174" s="63" t="e">
        <f t="shared" si="80"/>
        <v>#N/A</v>
      </c>
      <c r="M174" s="63" t="e">
        <f t="shared" si="80"/>
        <v>#N/A</v>
      </c>
      <c r="N174" s="63" t="e">
        <f t="shared" si="80"/>
        <v>#N/A</v>
      </c>
      <c r="O174" s="63" t="e">
        <f t="shared" si="80"/>
        <v>#N/A</v>
      </c>
      <c r="P174" s="63" t="e">
        <f t="shared" si="80"/>
        <v>#N/A</v>
      </c>
      <c r="Q174" s="63" t="e">
        <f t="shared" si="80"/>
        <v>#N/A</v>
      </c>
    </row>
    <row r="175" spans="1:17" x14ac:dyDescent="0.35">
      <c r="B175" s="8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 spans="1:17" x14ac:dyDescent="0.35">
      <c r="A176" s="2"/>
      <c r="B176" s="17" t="s">
        <v>262</v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35">
      <c r="B177" s="5" t="s">
        <v>263</v>
      </c>
    </row>
    <row r="178" spans="1:17" x14ac:dyDescent="0.35">
      <c r="A178" t="s">
        <v>264</v>
      </c>
      <c r="B178" s="8" t="s">
        <v>67</v>
      </c>
      <c r="C178" t="s">
        <v>23</v>
      </c>
      <c r="D178" s="4">
        <f t="shared" ref="D178:Q178" si="81">D38</f>
        <v>21.59999999999998</v>
      </c>
      <c r="E178" s="4">
        <f t="shared" si="81"/>
        <v>29.80000000000004</v>
      </c>
      <c r="F178" s="4">
        <f t="shared" si="81"/>
        <v>27.299999999999983</v>
      </c>
      <c r="G178" s="4">
        <f t="shared" si="81"/>
        <v>65.10000000000008</v>
      </c>
      <c r="H178" s="63" t="e">
        <f t="shared" si="81"/>
        <v>#N/A</v>
      </c>
      <c r="I178" s="63" t="e">
        <f t="shared" si="81"/>
        <v>#N/A</v>
      </c>
      <c r="J178" s="63" t="e">
        <f t="shared" si="81"/>
        <v>#N/A</v>
      </c>
      <c r="K178" s="63" t="e">
        <f t="shared" si="81"/>
        <v>#N/A</v>
      </c>
      <c r="L178" s="63" t="e">
        <f t="shared" si="81"/>
        <v>#N/A</v>
      </c>
      <c r="M178" s="63" t="e">
        <f t="shared" si="81"/>
        <v>#N/A</v>
      </c>
      <c r="N178" s="63" t="e">
        <f t="shared" si="81"/>
        <v>#N/A</v>
      </c>
      <c r="O178" s="63" t="e">
        <f t="shared" si="81"/>
        <v>#N/A</v>
      </c>
      <c r="P178" s="63" t="e">
        <f t="shared" si="81"/>
        <v>#N/A</v>
      </c>
      <c r="Q178" s="63" t="e">
        <f t="shared" si="81"/>
        <v>#N/A</v>
      </c>
    </row>
    <row r="179" spans="1:17" x14ac:dyDescent="0.35">
      <c r="A179" t="s">
        <v>265</v>
      </c>
      <c r="B179" t="s">
        <v>266</v>
      </c>
      <c r="C179" t="s">
        <v>23</v>
      </c>
      <c r="D179" s="4"/>
      <c r="E179" s="51">
        <v>5.3</v>
      </c>
      <c r="F179" s="51">
        <v>3.4</v>
      </c>
      <c r="G179" s="51">
        <v>-1.9</v>
      </c>
      <c r="H179" s="63" t="e">
        <f t="shared" ref="H179:Q179" si="82">-(H138-G138)-(H139-G139)+(H154-G154)</f>
        <v>#N/A</v>
      </c>
      <c r="I179" s="63" t="e">
        <f t="shared" si="82"/>
        <v>#N/A</v>
      </c>
      <c r="J179" s="63" t="e">
        <f t="shared" si="82"/>
        <v>#N/A</v>
      </c>
      <c r="K179" s="63" t="e">
        <f t="shared" si="82"/>
        <v>#N/A</v>
      </c>
      <c r="L179" s="63" t="e">
        <f t="shared" si="82"/>
        <v>#N/A</v>
      </c>
      <c r="M179" s="63" t="e">
        <f t="shared" si="82"/>
        <v>#N/A</v>
      </c>
      <c r="N179" s="63" t="e">
        <f t="shared" si="82"/>
        <v>#N/A</v>
      </c>
      <c r="O179" s="63" t="e">
        <f t="shared" si="82"/>
        <v>#N/A</v>
      </c>
      <c r="P179" s="63" t="e">
        <f t="shared" si="82"/>
        <v>#N/A</v>
      </c>
      <c r="Q179" s="63" t="e">
        <f t="shared" si="82"/>
        <v>#N/A</v>
      </c>
    </row>
    <row r="180" spans="1:17" x14ac:dyDescent="0.35">
      <c r="A180" t="s">
        <v>267</v>
      </c>
      <c r="B180" t="s">
        <v>268</v>
      </c>
      <c r="C180" t="s">
        <v>23</v>
      </c>
      <c r="D180" s="4"/>
      <c r="E180" s="51">
        <v>4.2</v>
      </c>
      <c r="F180" s="51">
        <v>11.1</v>
      </c>
      <c r="G180" s="51">
        <v>12</v>
      </c>
      <c r="H180" s="63" t="e">
        <f t="shared" ref="H180:Q180" si="83">-H43-H44</f>
        <v>#N/A</v>
      </c>
      <c r="I180" s="63" t="e">
        <f t="shared" si="83"/>
        <v>#N/A</v>
      </c>
      <c r="J180" s="63" t="e">
        <f t="shared" si="83"/>
        <v>#N/A</v>
      </c>
      <c r="K180" s="63" t="e">
        <f t="shared" si="83"/>
        <v>#N/A</v>
      </c>
      <c r="L180" s="63" t="e">
        <f t="shared" si="83"/>
        <v>#N/A</v>
      </c>
      <c r="M180" s="63" t="e">
        <f t="shared" si="83"/>
        <v>#N/A</v>
      </c>
      <c r="N180" s="63" t="e">
        <f t="shared" si="83"/>
        <v>#N/A</v>
      </c>
      <c r="O180" s="63" t="e">
        <f t="shared" si="83"/>
        <v>#N/A</v>
      </c>
      <c r="P180" s="63" t="e">
        <f t="shared" si="83"/>
        <v>#N/A</v>
      </c>
      <c r="Q180" s="63" t="e">
        <f t="shared" si="83"/>
        <v>#N/A</v>
      </c>
    </row>
    <row r="181" spans="1:17" x14ac:dyDescent="0.35">
      <c r="B181" s="19" t="s">
        <v>269</v>
      </c>
      <c r="C181" s="19" t="s">
        <v>23</v>
      </c>
      <c r="D181" s="20">
        <f t="shared" ref="D181:Q181" si="84">SUM(D178:D180)</f>
        <v>21.59999999999998</v>
      </c>
      <c r="E181" s="20">
        <f t="shared" si="84"/>
        <v>39.30000000000004</v>
      </c>
      <c r="F181" s="20">
        <f t="shared" si="84"/>
        <v>41.799999999999983</v>
      </c>
      <c r="G181" s="20">
        <f t="shared" si="84"/>
        <v>75.200000000000074</v>
      </c>
      <c r="H181" s="73" t="e">
        <f t="shared" si="84"/>
        <v>#N/A</v>
      </c>
      <c r="I181" s="73" t="e">
        <f t="shared" si="84"/>
        <v>#N/A</v>
      </c>
      <c r="J181" s="73" t="e">
        <f t="shared" si="84"/>
        <v>#N/A</v>
      </c>
      <c r="K181" s="73" t="e">
        <f t="shared" si="84"/>
        <v>#N/A</v>
      </c>
      <c r="L181" s="73" t="e">
        <f t="shared" si="84"/>
        <v>#N/A</v>
      </c>
      <c r="M181" s="73" t="e">
        <f t="shared" si="84"/>
        <v>#N/A</v>
      </c>
      <c r="N181" s="73" t="e">
        <f t="shared" si="84"/>
        <v>#N/A</v>
      </c>
      <c r="O181" s="73" t="e">
        <f t="shared" si="84"/>
        <v>#N/A</v>
      </c>
      <c r="P181" s="73" t="e">
        <f t="shared" si="84"/>
        <v>#N/A</v>
      </c>
      <c r="Q181" s="73" t="e">
        <f t="shared" si="84"/>
        <v>#N/A</v>
      </c>
    </row>
    <row r="182" spans="1:17" x14ac:dyDescent="0.35">
      <c r="A182" t="s">
        <v>270</v>
      </c>
      <c r="B182" t="s">
        <v>271</v>
      </c>
      <c r="C182" t="s">
        <v>23</v>
      </c>
      <c r="D182" s="18"/>
      <c r="E182" s="51">
        <v>1</v>
      </c>
      <c r="F182" s="51">
        <v>6.1</v>
      </c>
      <c r="G182" s="51">
        <v>10.199999999999999</v>
      </c>
      <c r="H182" s="63" t="e">
        <f t="shared" ref="H182:Q182" si="85">H65+H66+H67</f>
        <v>#N/A</v>
      </c>
      <c r="I182" s="63" t="e">
        <f t="shared" si="85"/>
        <v>#N/A</v>
      </c>
      <c r="J182" s="63" t="e">
        <f t="shared" si="85"/>
        <v>#N/A</v>
      </c>
      <c r="K182" s="63" t="e">
        <f t="shared" si="85"/>
        <v>#N/A</v>
      </c>
      <c r="L182" s="63" t="e">
        <f t="shared" si="85"/>
        <v>#N/A</v>
      </c>
      <c r="M182" s="63" t="e">
        <f t="shared" si="85"/>
        <v>#N/A</v>
      </c>
      <c r="N182" s="63" t="e">
        <f t="shared" si="85"/>
        <v>#N/A</v>
      </c>
      <c r="O182" s="63" t="e">
        <f t="shared" si="85"/>
        <v>#N/A</v>
      </c>
      <c r="P182" s="63" t="e">
        <f t="shared" si="85"/>
        <v>#N/A</v>
      </c>
      <c r="Q182" s="63" t="e">
        <f t="shared" si="85"/>
        <v>#N/A</v>
      </c>
    </row>
    <row r="183" spans="1:17" x14ac:dyDescent="0.35">
      <c r="A183" t="s">
        <v>272</v>
      </c>
      <c r="B183" t="s">
        <v>273</v>
      </c>
      <c r="C183" t="s">
        <v>23</v>
      </c>
      <c r="D183" s="18"/>
      <c r="E183" s="51">
        <v>-0.3</v>
      </c>
      <c r="F183" s="51">
        <v>-0.3</v>
      </c>
      <c r="G183" s="51">
        <v>-0.1</v>
      </c>
      <c r="H183" s="63" t="e">
        <f t="shared" ref="H183:Q183" si="86">H69</f>
        <v>#N/A</v>
      </c>
      <c r="I183" s="63" t="e">
        <f t="shared" si="86"/>
        <v>#N/A</v>
      </c>
      <c r="J183" s="63" t="e">
        <f t="shared" si="86"/>
        <v>#N/A</v>
      </c>
      <c r="K183" s="63" t="e">
        <f t="shared" si="86"/>
        <v>#N/A</v>
      </c>
      <c r="L183" s="63" t="e">
        <f t="shared" si="86"/>
        <v>#N/A</v>
      </c>
      <c r="M183" s="63" t="e">
        <f t="shared" si="86"/>
        <v>#N/A</v>
      </c>
      <c r="N183" s="63" t="e">
        <f t="shared" si="86"/>
        <v>#N/A</v>
      </c>
      <c r="O183" s="63" t="e">
        <f t="shared" si="86"/>
        <v>#N/A</v>
      </c>
      <c r="P183" s="63" t="e">
        <f t="shared" si="86"/>
        <v>#N/A</v>
      </c>
      <c r="Q183" s="63" t="e">
        <f t="shared" si="86"/>
        <v>#N/A</v>
      </c>
    </row>
    <row r="184" spans="1:17" x14ac:dyDescent="0.35">
      <c r="A184" t="s">
        <v>274</v>
      </c>
      <c r="B184" t="s">
        <v>275</v>
      </c>
      <c r="C184" t="s">
        <v>23</v>
      </c>
      <c r="D184" s="18"/>
      <c r="E184" s="51">
        <v>-4.5999999999999996</v>
      </c>
      <c r="F184" s="51">
        <v>-6.3</v>
      </c>
      <c r="G184" s="51">
        <v>-8.6</v>
      </c>
      <c r="H184" s="63" t="e">
        <f t="shared" ref="H184:Q184" si="87">H68</f>
        <v>#N/A</v>
      </c>
      <c r="I184" s="63" t="e">
        <f t="shared" si="87"/>
        <v>#N/A</v>
      </c>
      <c r="J184" s="63" t="e">
        <f t="shared" si="87"/>
        <v>#N/A</v>
      </c>
      <c r="K184" s="63" t="e">
        <f t="shared" si="87"/>
        <v>#N/A</v>
      </c>
      <c r="L184" s="63" t="e">
        <f t="shared" si="87"/>
        <v>#N/A</v>
      </c>
      <c r="M184" s="63" t="e">
        <f t="shared" si="87"/>
        <v>#N/A</v>
      </c>
      <c r="N184" s="63" t="e">
        <f t="shared" si="87"/>
        <v>#N/A</v>
      </c>
      <c r="O184" s="63" t="e">
        <f t="shared" si="87"/>
        <v>#N/A</v>
      </c>
      <c r="P184" s="63" t="e">
        <f t="shared" si="87"/>
        <v>#N/A</v>
      </c>
      <c r="Q184" s="63" t="e">
        <f t="shared" si="87"/>
        <v>#N/A</v>
      </c>
    </row>
    <row r="185" spans="1:17" x14ac:dyDescent="0.35">
      <c r="A185" t="s">
        <v>276</v>
      </c>
      <c r="B185" t="s">
        <v>277</v>
      </c>
      <c r="C185" t="s">
        <v>23</v>
      </c>
      <c r="D185" s="18"/>
      <c r="E185" s="51">
        <v>-0.3</v>
      </c>
      <c r="F185" s="51">
        <v>-4.5</v>
      </c>
      <c r="G185" s="51">
        <v>-19.399999999999999</v>
      </c>
      <c r="H185" s="63" t="e">
        <f t="shared" ref="H185:Q185" si="88">H77</f>
        <v>#N/A</v>
      </c>
      <c r="I185" s="63" t="e">
        <f t="shared" si="88"/>
        <v>#N/A</v>
      </c>
      <c r="J185" s="63" t="e">
        <f t="shared" si="88"/>
        <v>#N/A</v>
      </c>
      <c r="K185" s="63" t="e">
        <f t="shared" si="88"/>
        <v>#N/A</v>
      </c>
      <c r="L185" s="63" t="e">
        <f t="shared" si="88"/>
        <v>#N/A</v>
      </c>
      <c r="M185" s="63" t="e">
        <f t="shared" si="88"/>
        <v>#N/A</v>
      </c>
      <c r="N185" s="63" t="e">
        <f t="shared" si="88"/>
        <v>#N/A</v>
      </c>
      <c r="O185" s="63" t="e">
        <f t="shared" si="88"/>
        <v>#N/A</v>
      </c>
      <c r="P185" s="63" t="e">
        <f t="shared" si="88"/>
        <v>#N/A</v>
      </c>
      <c r="Q185" s="63" t="e">
        <f t="shared" si="88"/>
        <v>#N/A</v>
      </c>
    </row>
    <row r="186" spans="1:17" x14ac:dyDescent="0.35">
      <c r="A186" t="s">
        <v>278</v>
      </c>
      <c r="B186" s="19" t="s">
        <v>279</v>
      </c>
      <c r="C186" s="19" t="s">
        <v>23</v>
      </c>
      <c r="D186" s="30">
        <f t="shared" ref="D186:Q186" si="89">D181+D182+D183+D184+D185</f>
        <v>21.59999999999998</v>
      </c>
      <c r="E186" s="30">
        <f t="shared" si="89"/>
        <v>35.100000000000044</v>
      </c>
      <c r="F186" s="30">
        <f t="shared" si="89"/>
        <v>36.79999999999999</v>
      </c>
      <c r="G186" s="30">
        <f t="shared" si="89"/>
        <v>57.30000000000009</v>
      </c>
      <c r="H186" s="73" t="e">
        <f t="shared" si="89"/>
        <v>#N/A</v>
      </c>
      <c r="I186" s="73" t="e">
        <f t="shared" si="89"/>
        <v>#N/A</v>
      </c>
      <c r="J186" s="73" t="e">
        <f t="shared" si="89"/>
        <v>#N/A</v>
      </c>
      <c r="K186" s="73" t="e">
        <f t="shared" si="89"/>
        <v>#N/A</v>
      </c>
      <c r="L186" s="73" t="e">
        <f t="shared" si="89"/>
        <v>#N/A</v>
      </c>
      <c r="M186" s="73" t="e">
        <f t="shared" si="89"/>
        <v>#N/A</v>
      </c>
      <c r="N186" s="73" t="e">
        <f t="shared" si="89"/>
        <v>#N/A</v>
      </c>
      <c r="O186" s="73" t="e">
        <f t="shared" si="89"/>
        <v>#N/A</v>
      </c>
      <c r="P186" s="73" t="e">
        <f t="shared" si="89"/>
        <v>#N/A</v>
      </c>
      <c r="Q186" s="73" t="e">
        <f t="shared" si="89"/>
        <v>#N/A</v>
      </c>
    </row>
    <row r="187" spans="1:17" x14ac:dyDescent="0.35">
      <c r="B187" t="s">
        <v>280</v>
      </c>
      <c r="C187" t="s">
        <v>33</v>
      </c>
      <c r="D187" s="6"/>
      <c r="E187" s="6">
        <f t="shared" ref="E187:Q187" si="90">IF(D186=0,"",E186/D186-1)</f>
        <v>0.62500000000000355</v>
      </c>
      <c r="F187" s="6">
        <f t="shared" si="90"/>
        <v>4.8433048433046855E-2</v>
      </c>
      <c r="G187" s="6">
        <f t="shared" si="90"/>
        <v>0.5570652173913071</v>
      </c>
      <c r="H187" s="74" t="e">
        <f t="shared" si="90"/>
        <v>#N/A</v>
      </c>
      <c r="I187" s="74" t="e">
        <f t="shared" si="90"/>
        <v>#N/A</v>
      </c>
      <c r="J187" s="74" t="e">
        <f t="shared" si="90"/>
        <v>#N/A</v>
      </c>
      <c r="K187" s="74" t="e">
        <f t="shared" si="90"/>
        <v>#N/A</v>
      </c>
      <c r="L187" s="74" t="e">
        <f t="shared" si="90"/>
        <v>#N/A</v>
      </c>
      <c r="M187" s="74" t="e">
        <f t="shared" si="90"/>
        <v>#N/A</v>
      </c>
      <c r="N187" s="74" t="e">
        <f t="shared" si="90"/>
        <v>#N/A</v>
      </c>
      <c r="O187" s="74" t="e">
        <f t="shared" si="90"/>
        <v>#N/A</v>
      </c>
      <c r="P187" s="74" t="e">
        <f t="shared" si="90"/>
        <v>#N/A</v>
      </c>
      <c r="Q187" s="74" t="e">
        <f t="shared" si="90"/>
        <v>#N/A</v>
      </c>
    </row>
    <row r="188" spans="1:17" x14ac:dyDescent="0.35">
      <c r="B188" t="s">
        <v>281</v>
      </c>
      <c r="C188" t="s">
        <v>52</v>
      </c>
      <c r="D188" s="6">
        <f t="shared" ref="D188:Q188" si="91">IF(D178=0,"",D181/D178)</f>
        <v>1</v>
      </c>
      <c r="E188" s="6">
        <f t="shared" si="91"/>
        <v>1.3187919463087243</v>
      </c>
      <c r="F188" s="6">
        <f t="shared" si="91"/>
        <v>1.5311355311355315</v>
      </c>
      <c r="G188" s="6">
        <f t="shared" si="91"/>
        <v>1.1551459293394775</v>
      </c>
      <c r="H188" s="74" t="e">
        <f t="shared" si="91"/>
        <v>#N/A</v>
      </c>
      <c r="I188" s="74" t="e">
        <f t="shared" si="91"/>
        <v>#N/A</v>
      </c>
      <c r="J188" s="74" t="e">
        <f t="shared" si="91"/>
        <v>#N/A</v>
      </c>
      <c r="K188" s="74" t="e">
        <f t="shared" si="91"/>
        <v>#N/A</v>
      </c>
      <c r="L188" s="74" t="e">
        <f t="shared" si="91"/>
        <v>#N/A</v>
      </c>
      <c r="M188" s="74" t="e">
        <f t="shared" si="91"/>
        <v>#N/A</v>
      </c>
      <c r="N188" s="74" t="e">
        <f t="shared" si="91"/>
        <v>#N/A</v>
      </c>
      <c r="O188" s="74" t="e">
        <f t="shared" si="91"/>
        <v>#N/A</v>
      </c>
      <c r="P188" s="74" t="e">
        <f t="shared" si="91"/>
        <v>#N/A</v>
      </c>
      <c r="Q188" s="74" t="e">
        <f t="shared" si="91"/>
        <v>#N/A</v>
      </c>
    </row>
    <row r="190" spans="1:17" x14ac:dyDescent="0.35">
      <c r="B190" s="5" t="s">
        <v>282</v>
      </c>
    </row>
    <row r="191" spans="1:17" x14ac:dyDescent="0.35">
      <c r="A191" t="s">
        <v>283</v>
      </c>
      <c r="B191" t="s">
        <v>284</v>
      </c>
      <c r="C191" t="s">
        <v>23</v>
      </c>
      <c r="D191" s="18"/>
      <c r="E191" s="51">
        <v>-39.700000000000003</v>
      </c>
      <c r="F191" s="51">
        <v>-33.5</v>
      </c>
      <c r="G191" s="51">
        <v>-61.3</v>
      </c>
      <c r="H191" s="63" t="e">
        <f t="shared" ref="H191:Q191" si="92">H192*(H11+H18)</f>
        <v>#N/A</v>
      </c>
      <c r="I191" s="63" t="e">
        <f t="shared" si="92"/>
        <v>#N/A</v>
      </c>
      <c r="J191" s="63" t="e">
        <f t="shared" si="92"/>
        <v>#N/A</v>
      </c>
      <c r="K191" s="63" t="e">
        <f t="shared" si="92"/>
        <v>#N/A</v>
      </c>
      <c r="L191" s="63" t="e">
        <f t="shared" si="92"/>
        <v>#N/A</v>
      </c>
      <c r="M191" s="63" t="e">
        <f t="shared" si="92"/>
        <v>#N/A</v>
      </c>
      <c r="N191" s="63" t="e">
        <f t="shared" si="92"/>
        <v>#N/A</v>
      </c>
      <c r="O191" s="63" t="e">
        <f t="shared" si="92"/>
        <v>#N/A</v>
      </c>
      <c r="P191" s="63" t="e">
        <f t="shared" si="92"/>
        <v>#N/A</v>
      </c>
      <c r="Q191" s="63" t="e">
        <f t="shared" si="92"/>
        <v>#N/A</v>
      </c>
    </row>
    <row r="192" spans="1:17" x14ac:dyDescent="0.35">
      <c r="B192" s="23" t="s">
        <v>285</v>
      </c>
      <c r="C192" t="s">
        <v>52</v>
      </c>
      <c r="D192" s="6">
        <f>IF(D11+D18=0,"",(D191+D193)/(D11+D18))</f>
        <v>0</v>
      </c>
      <c r="E192" s="6">
        <f>IF(E11+E18=0,"",(E191+E193)/(E11+E18))</f>
        <v>-0.15384615384615383</v>
      </c>
      <c r="F192" s="6">
        <f>IF(F11+F18=0,"",(F191+F193)/(F11+F18))</f>
        <v>-9.2054794520547947E-2</v>
      </c>
      <c r="G192" s="6">
        <f>IF(G11+G18=0,"",(G191+G193)/(G11+G18))</f>
        <v>-0.13098290598290599</v>
      </c>
      <c r="H192" s="65">
        <v>-0.13100000000000001</v>
      </c>
      <c r="I192" s="65">
        <f t="shared" ref="I192:Q192" si="93">H192</f>
        <v>-0.13100000000000001</v>
      </c>
      <c r="J192" s="65">
        <f t="shared" si="93"/>
        <v>-0.13100000000000001</v>
      </c>
      <c r="K192" s="65">
        <f t="shared" si="93"/>
        <v>-0.13100000000000001</v>
      </c>
      <c r="L192" s="65">
        <f t="shared" si="93"/>
        <v>-0.13100000000000001</v>
      </c>
      <c r="M192" s="65">
        <f t="shared" si="93"/>
        <v>-0.13100000000000001</v>
      </c>
      <c r="N192" s="65">
        <f t="shared" si="93"/>
        <v>-0.13100000000000001</v>
      </c>
      <c r="O192" s="65">
        <f t="shared" si="93"/>
        <v>-0.13100000000000001</v>
      </c>
      <c r="P192" s="65">
        <f t="shared" si="93"/>
        <v>-0.13100000000000001</v>
      </c>
      <c r="Q192" s="65">
        <f t="shared" si="93"/>
        <v>-0.13100000000000001</v>
      </c>
    </row>
    <row r="193" spans="1:17" x14ac:dyDescent="0.35">
      <c r="A193" t="s">
        <v>286</v>
      </c>
      <c r="B193" t="s">
        <v>287</v>
      </c>
      <c r="C193" t="s">
        <v>23</v>
      </c>
      <c r="D193" s="40"/>
      <c r="E193" s="51">
        <v>-2.9</v>
      </c>
      <c r="F193" s="51">
        <v>-0.1</v>
      </c>
      <c r="G193" s="51">
        <v>0</v>
      </c>
      <c r="H193" s="38">
        <v>0</v>
      </c>
      <c r="I193" s="38">
        <v>0</v>
      </c>
      <c r="J193" s="38">
        <v>0</v>
      </c>
      <c r="K193" s="38">
        <v>0</v>
      </c>
      <c r="L193" s="38">
        <v>0</v>
      </c>
      <c r="M193" s="38">
        <v>0</v>
      </c>
      <c r="N193" s="38">
        <v>0</v>
      </c>
      <c r="O193" s="38">
        <v>0</v>
      </c>
      <c r="P193" s="38">
        <v>0</v>
      </c>
      <c r="Q193" s="38">
        <v>0</v>
      </c>
    </row>
    <row r="194" spans="1:17" x14ac:dyDescent="0.35">
      <c r="A194" t="s">
        <v>288</v>
      </c>
      <c r="B194" t="s">
        <v>289</v>
      </c>
      <c r="C194" t="s">
        <v>23</v>
      </c>
      <c r="D194" s="18"/>
      <c r="E194" s="51">
        <v>-5.7</v>
      </c>
      <c r="F194" s="51">
        <v>-0.2</v>
      </c>
      <c r="G194" s="51">
        <v>-11.6</v>
      </c>
      <c r="H194" s="38">
        <v>0</v>
      </c>
      <c r="I194" s="38">
        <v>0</v>
      </c>
      <c r="J194" s="38">
        <v>0</v>
      </c>
      <c r="K194" s="38">
        <v>0</v>
      </c>
      <c r="L194" s="38">
        <v>0</v>
      </c>
      <c r="M194" s="38">
        <v>0</v>
      </c>
      <c r="N194" s="38">
        <v>0</v>
      </c>
      <c r="O194" s="38">
        <v>0</v>
      </c>
      <c r="P194" s="38">
        <v>0</v>
      </c>
      <c r="Q194" s="38">
        <v>0</v>
      </c>
    </row>
    <row r="195" spans="1:17" x14ac:dyDescent="0.35">
      <c r="A195" t="s">
        <v>290</v>
      </c>
      <c r="B195" t="s">
        <v>291</v>
      </c>
      <c r="C195" t="s">
        <v>23</v>
      </c>
      <c r="D195" s="18"/>
      <c r="E195" s="51">
        <v>0.7</v>
      </c>
      <c r="F195" s="51">
        <v>3</v>
      </c>
      <c r="G195" s="51">
        <v>3.9</v>
      </c>
      <c r="H195" s="38">
        <v>0</v>
      </c>
      <c r="I195" s="38">
        <v>0</v>
      </c>
      <c r="J195" s="38">
        <v>0</v>
      </c>
      <c r="K195" s="38">
        <v>0</v>
      </c>
      <c r="L195" s="38">
        <v>0</v>
      </c>
      <c r="M195" s="38">
        <v>0</v>
      </c>
      <c r="N195" s="38">
        <v>0</v>
      </c>
      <c r="O195" s="38">
        <v>0</v>
      </c>
      <c r="P195" s="38">
        <v>0</v>
      </c>
      <c r="Q195" s="38">
        <v>0</v>
      </c>
    </row>
    <row r="196" spans="1:17" x14ac:dyDescent="0.35">
      <c r="A196" t="s">
        <v>292</v>
      </c>
      <c r="B196" t="s">
        <v>293</v>
      </c>
      <c r="C196" t="s">
        <v>23</v>
      </c>
      <c r="D196" s="4"/>
      <c r="E196" s="51">
        <v>0</v>
      </c>
      <c r="F196" s="51">
        <v>-278.10000000000002</v>
      </c>
      <c r="G196" s="51">
        <v>38.4</v>
      </c>
      <c r="H196" s="63">
        <f t="shared" ref="H196:Q196" si="94">G137-H137</f>
        <v>0</v>
      </c>
      <c r="I196" s="63">
        <f t="shared" si="94"/>
        <v>0</v>
      </c>
      <c r="J196" s="63">
        <f t="shared" si="94"/>
        <v>0</v>
      </c>
      <c r="K196" s="63">
        <f t="shared" si="94"/>
        <v>0</v>
      </c>
      <c r="L196" s="63">
        <f t="shared" si="94"/>
        <v>0</v>
      </c>
      <c r="M196" s="63">
        <f t="shared" si="94"/>
        <v>0</v>
      </c>
      <c r="N196" s="63">
        <f t="shared" si="94"/>
        <v>0</v>
      </c>
      <c r="O196" s="63">
        <f t="shared" si="94"/>
        <v>0</v>
      </c>
      <c r="P196" s="63">
        <f t="shared" si="94"/>
        <v>0</v>
      </c>
      <c r="Q196" s="63">
        <f t="shared" si="94"/>
        <v>0</v>
      </c>
    </row>
    <row r="197" spans="1:17" x14ac:dyDescent="0.35">
      <c r="B197" s="19" t="s">
        <v>294</v>
      </c>
      <c r="C197" s="19" t="s">
        <v>23</v>
      </c>
      <c r="D197" s="30">
        <f t="shared" ref="D197:Q197" si="95">SUM(D191,D193:D196)</f>
        <v>0</v>
      </c>
      <c r="E197" s="30">
        <f t="shared" si="95"/>
        <v>-47.6</v>
      </c>
      <c r="F197" s="30">
        <f t="shared" si="95"/>
        <v>-308.90000000000003</v>
      </c>
      <c r="G197" s="30">
        <f t="shared" si="95"/>
        <v>-30.599999999999987</v>
      </c>
      <c r="H197" s="73" t="e">
        <f t="shared" si="95"/>
        <v>#N/A</v>
      </c>
      <c r="I197" s="73" t="e">
        <f t="shared" si="95"/>
        <v>#N/A</v>
      </c>
      <c r="J197" s="73" t="e">
        <f t="shared" si="95"/>
        <v>#N/A</v>
      </c>
      <c r="K197" s="73" t="e">
        <f t="shared" si="95"/>
        <v>#N/A</v>
      </c>
      <c r="L197" s="73" t="e">
        <f t="shared" si="95"/>
        <v>#N/A</v>
      </c>
      <c r="M197" s="73" t="e">
        <f t="shared" si="95"/>
        <v>#N/A</v>
      </c>
      <c r="N197" s="73" t="e">
        <f t="shared" si="95"/>
        <v>#N/A</v>
      </c>
      <c r="O197" s="73" t="e">
        <f t="shared" si="95"/>
        <v>#N/A</v>
      </c>
      <c r="P197" s="73" t="e">
        <f t="shared" si="95"/>
        <v>#N/A</v>
      </c>
      <c r="Q197" s="73" t="e">
        <f t="shared" si="95"/>
        <v>#N/A</v>
      </c>
    </row>
    <row r="199" spans="1:17" x14ac:dyDescent="0.35">
      <c r="B199" s="5" t="s">
        <v>295</v>
      </c>
    </row>
    <row r="200" spans="1:17" x14ac:dyDescent="0.35">
      <c r="A200" t="s">
        <v>296</v>
      </c>
      <c r="B200" t="s">
        <v>297</v>
      </c>
      <c r="C200" t="s">
        <v>23</v>
      </c>
      <c r="D200" s="18"/>
      <c r="E200" s="51">
        <v>0</v>
      </c>
      <c r="F200" s="51">
        <v>0</v>
      </c>
      <c r="G200" s="51">
        <v>0</v>
      </c>
      <c r="H200" s="63">
        <f t="shared" ref="H200:Q200" si="96">-H97</f>
        <v>-12.978</v>
      </c>
      <c r="I200" s="63">
        <f t="shared" si="96"/>
        <v>-12.978</v>
      </c>
      <c r="J200" s="63">
        <f t="shared" si="96"/>
        <v>-12.978</v>
      </c>
      <c r="K200" s="63">
        <f t="shared" si="96"/>
        <v>-12.978</v>
      </c>
      <c r="L200" s="63">
        <f t="shared" si="96"/>
        <v>-12.978</v>
      </c>
      <c r="M200" s="63">
        <f t="shared" si="96"/>
        <v>-12.978</v>
      </c>
      <c r="N200" s="63">
        <f t="shared" si="96"/>
        <v>-12.978</v>
      </c>
      <c r="O200" s="63">
        <f t="shared" si="96"/>
        <v>-12.978</v>
      </c>
      <c r="P200" s="63">
        <f t="shared" si="96"/>
        <v>-12.978</v>
      </c>
      <c r="Q200" s="63">
        <f t="shared" si="96"/>
        <v>-12.978</v>
      </c>
    </row>
    <row r="201" spans="1:17" x14ac:dyDescent="0.35">
      <c r="A201" t="s">
        <v>298</v>
      </c>
      <c r="B201" t="s">
        <v>299</v>
      </c>
      <c r="C201" t="s">
        <v>23</v>
      </c>
      <c r="D201" s="4"/>
      <c r="E201" s="51">
        <v>5.0999999999999996</v>
      </c>
      <c r="F201" s="51">
        <v>283.10000000000002</v>
      </c>
      <c r="G201" s="51">
        <v>2.2999999999999998</v>
      </c>
      <c r="H201" s="38">
        <v>0</v>
      </c>
      <c r="I201" s="38">
        <v>0</v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38">
        <v>0</v>
      </c>
      <c r="P201" s="38">
        <v>0</v>
      </c>
      <c r="Q201" s="38">
        <v>0</v>
      </c>
    </row>
    <row r="202" spans="1:17" x14ac:dyDescent="0.35">
      <c r="A202" t="s">
        <v>300</v>
      </c>
      <c r="B202" t="s">
        <v>301</v>
      </c>
      <c r="C202" t="s">
        <v>23</v>
      </c>
      <c r="D202" s="18"/>
      <c r="E202" s="51">
        <v>-6.7</v>
      </c>
      <c r="F202" s="51">
        <v>-9.9</v>
      </c>
      <c r="G202" s="51">
        <v>-10.8</v>
      </c>
      <c r="H202" s="63">
        <f t="shared" ref="H202:Q202" si="97">-G157/H58</f>
        <v>-36.81111111111111</v>
      </c>
      <c r="I202" s="63">
        <f t="shared" si="97"/>
        <v>-37.776543209876543</v>
      </c>
      <c r="J202" s="63">
        <f t="shared" si="97"/>
        <v>-38.634705075445815</v>
      </c>
      <c r="K202" s="63">
        <f t="shared" si="97"/>
        <v>-39.397515622618499</v>
      </c>
      <c r="L202" s="63">
        <f t="shared" si="97"/>
        <v>-40.075569442327556</v>
      </c>
      <c r="M202" s="63">
        <f t="shared" si="97"/>
        <v>-40.678283948735604</v>
      </c>
      <c r="N202" s="63">
        <f t="shared" si="97"/>
        <v>-41.214030176653871</v>
      </c>
      <c r="O202" s="63">
        <f t="shared" si="97"/>
        <v>-41.690249045914555</v>
      </c>
      <c r="P202" s="63">
        <f t="shared" si="97"/>
        <v>-42.113554707479608</v>
      </c>
      <c r="Q202" s="63">
        <f t="shared" si="97"/>
        <v>-42.48982640664854</v>
      </c>
    </row>
    <row r="203" spans="1:17" x14ac:dyDescent="0.35">
      <c r="A203" t="s">
        <v>302</v>
      </c>
      <c r="B203" t="s">
        <v>303</v>
      </c>
      <c r="C203" t="s">
        <v>23</v>
      </c>
      <c r="D203" s="4"/>
      <c r="E203" s="51">
        <v>-0.4</v>
      </c>
      <c r="F203" s="51">
        <v>-3</v>
      </c>
      <c r="G203" s="51">
        <v>0</v>
      </c>
      <c r="H203" s="38">
        <v>0</v>
      </c>
      <c r="I203" s="38">
        <v>0</v>
      </c>
      <c r="J203" s="38">
        <v>0</v>
      </c>
      <c r="K203" s="38">
        <v>0</v>
      </c>
      <c r="L203" s="38">
        <v>0</v>
      </c>
      <c r="M203" s="38">
        <v>0</v>
      </c>
      <c r="N203" s="38">
        <v>0</v>
      </c>
      <c r="O203" s="38">
        <v>0</v>
      </c>
      <c r="P203" s="38">
        <v>0</v>
      </c>
      <c r="Q203" s="38">
        <v>0</v>
      </c>
    </row>
    <row r="204" spans="1:17" x14ac:dyDescent="0.35">
      <c r="A204" t="s">
        <v>304</v>
      </c>
      <c r="B204" t="s">
        <v>293</v>
      </c>
      <c r="C204" t="s">
        <v>23</v>
      </c>
      <c r="D204" s="4"/>
      <c r="E204" s="51">
        <v>1.4</v>
      </c>
      <c r="F204" s="51">
        <v>-7.8</v>
      </c>
      <c r="G204" s="51">
        <v>7.5</v>
      </c>
      <c r="H204" s="38">
        <v>0</v>
      </c>
      <c r="I204" s="38">
        <v>0</v>
      </c>
      <c r="J204" s="38">
        <v>0</v>
      </c>
      <c r="K204" s="38">
        <v>0</v>
      </c>
      <c r="L204" s="38">
        <v>0</v>
      </c>
      <c r="M204" s="38">
        <v>0</v>
      </c>
      <c r="N204" s="38">
        <v>0</v>
      </c>
      <c r="O204" s="38">
        <v>0</v>
      </c>
      <c r="P204" s="38">
        <v>0</v>
      </c>
      <c r="Q204" s="38">
        <v>0</v>
      </c>
    </row>
    <row r="205" spans="1:17" x14ac:dyDescent="0.35">
      <c r="B205" s="19" t="s">
        <v>305</v>
      </c>
      <c r="C205" s="19" t="s">
        <v>23</v>
      </c>
      <c r="D205" s="30">
        <f t="shared" ref="D205:Q205" si="98">SUM(D200:D204)</f>
        <v>0</v>
      </c>
      <c r="E205" s="30">
        <f t="shared" si="98"/>
        <v>-0.60000000000000053</v>
      </c>
      <c r="F205" s="30">
        <f t="shared" si="98"/>
        <v>262.40000000000003</v>
      </c>
      <c r="G205" s="30">
        <f t="shared" si="98"/>
        <v>-1</v>
      </c>
      <c r="H205" s="73">
        <f t="shared" si="98"/>
        <v>-49.789111111111112</v>
      </c>
      <c r="I205" s="73">
        <f t="shared" si="98"/>
        <v>-50.754543209876545</v>
      </c>
      <c r="J205" s="73">
        <f t="shared" si="98"/>
        <v>-51.612705075445817</v>
      </c>
      <c r="K205" s="73">
        <f t="shared" si="98"/>
        <v>-52.375515622618501</v>
      </c>
      <c r="L205" s="73">
        <f t="shared" si="98"/>
        <v>-53.053569442327557</v>
      </c>
      <c r="M205" s="73">
        <f t="shared" si="98"/>
        <v>-53.656283948735606</v>
      </c>
      <c r="N205" s="73">
        <f t="shared" si="98"/>
        <v>-54.192030176653873</v>
      </c>
      <c r="O205" s="73">
        <f t="shared" si="98"/>
        <v>-54.668249045914557</v>
      </c>
      <c r="P205" s="73">
        <f t="shared" si="98"/>
        <v>-55.091554707479609</v>
      </c>
      <c r="Q205" s="73">
        <f t="shared" si="98"/>
        <v>-55.467826406648541</v>
      </c>
    </row>
    <row r="207" spans="1:17" x14ac:dyDescent="0.35">
      <c r="B207" s="19" t="s">
        <v>306</v>
      </c>
      <c r="C207" s="19" t="s">
        <v>23</v>
      </c>
      <c r="D207" s="20">
        <f t="shared" ref="D207:Q207" si="99">D186+D197+D205</f>
        <v>21.59999999999998</v>
      </c>
      <c r="E207" s="20">
        <f t="shared" si="99"/>
        <v>-13.099999999999959</v>
      </c>
      <c r="F207" s="20">
        <f t="shared" si="99"/>
        <v>-9.6999999999999886</v>
      </c>
      <c r="G207" s="20">
        <f t="shared" si="99"/>
        <v>25.700000000000102</v>
      </c>
      <c r="H207" s="73" t="e">
        <f t="shared" si="99"/>
        <v>#N/A</v>
      </c>
      <c r="I207" s="73" t="e">
        <f t="shared" si="99"/>
        <v>#N/A</v>
      </c>
      <c r="J207" s="73" t="e">
        <f t="shared" si="99"/>
        <v>#N/A</v>
      </c>
      <c r="K207" s="73" t="e">
        <f t="shared" si="99"/>
        <v>#N/A</v>
      </c>
      <c r="L207" s="73" t="e">
        <f t="shared" si="99"/>
        <v>#N/A</v>
      </c>
      <c r="M207" s="73" t="e">
        <f t="shared" si="99"/>
        <v>#N/A</v>
      </c>
      <c r="N207" s="73" t="e">
        <f t="shared" si="99"/>
        <v>#N/A</v>
      </c>
      <c r="O207" s="73" t="e">
        <f t="shared" si="99"/>
        <v>#N/A</v>
      </c>
      <c r="P207" s="73" t="e">
        <f t="shared" si="99"/>
        <v>#N/A</v>
      </c>
      <c r="Q207" s="73" t="e">
        <f t="shared" si="99"/>
        <v>#N/A</v>
      </c>
    </row>
    <row r="209" spans="1:17" x14ac:dyDescent="0.35">
      <c r="A209" s="2"/>
      <c r="B209" s="17" t="s">
        <v>307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x14ac:dyDescent="0.35">
      <c r="B210" s="8" t="s">
        <v>308</v>
      </c>
      <c r="C210" t="s">
        <v>23</v>
      </c>
      <c r="D210" s="4">
        <f t="shared" ref="D210:Q210" si="100">D186</f>
        <v>21.59999999999998</v>
      </c>
      <c r="E210" s="4">
        <f t="shared" si="100"/>
        <v>35.100000000000044</v>
      </c>
      <c r="F210" s="4">
        <f t="shared" si="100"/>
        <v>36.79999999999999</v>
      </c>
      <c r="G210" s="4">
        <f t="shared" si="100"/>
        <v>57.30000000000009</v>
      </c>
      <c r="H210" s="63" t="e">
        <f t="shared" si="100"/>
        <v>#N/A</v>
      </c>
      <c r="I210" s="63" t="e">
        <f t="shared" si="100"/>
        <v>#N/A</v>
      </c>
      <c r="J210" s="63" t="e">
        <f t="shared" si="100"/>
        <v>#N/A</v>
      </c>
      <c r="K210" s="63" t="e">
        <f t="shared" si="100"/>
        <v>#N/A</v>
      </c>
      <c r="L210" s="63" t="e">
        <f t="shared" si="100"/>
        <v>#N/A</v>
      </c>
      <c r="M210" s="63" t="e">
        <f t="shared" si="100"/>
        <v>#N/A</v>
      </c>
      <c r="N210" s="63" t="e">
        <f t="shared" si="100"/>
        <v>#N/A</v>
      </c>
      <c r="O210" s="63" t="e">
        <f t="shared" si="100"/>
        <v>#N/A</v>
      </c>
      <c r="P210" s="63" t="e">
        <f t="shared" si="100"/>
        <v>#N/A</v>
      </c>
      <c r="Q210" s="63" t="e">
        <f t="shared" si="100"/>
        <v>#N/A</v>
      </c>
    </row>
    <row r="211" spans="1:17" x14ac:dyDescent="0.35">
      <c r="B211" s="8" t="s">
        <v>309</v>
      </c>
      <c r="C211" t="s">
        <v>23</v>
      </c>
      <c r="D211" s="4">
        <f t="shared" ref="D211:Q211" si="101">D191+D193</f>
        <v>0</v>
      </c>
      <c r="E211" s="4">
        <f t="shared" si="101"/>
        <v>-42.6</v>
      </c>
      <c r="F211" s="4">
        <f t="shared" si="101"/>
        <v>-33.6</v>
      </c>
      <c r="G211" s="4">
        <f t="shared" si="101"/>
        <v>-61.3</v>
      </c>
      <c r="H211" s="63" t="e">
        <f t="shared" si="101"/>
        <v>#N/A</v>
      </c>
      <c r="I211" s="63" t="e">
        <f t="shared" si="101"/>
        <v>#N/A</v>
      </c>
      <c r="J211" s="63" t="e">
        <f t="shared" si="101"/>
        <v>#N/A</v>
      </c>
      <c r="K211" s="63" t="e">
        <f t="shared" si="101"/>
        <v>#N/A</v>
      </c>
      <c r="L211" s="63" t="e">
        <f t="shared" si="101"/>
        <v>#N/A</v>
      </c>
      <c r="M211" s="63" t="e">
        <f t="shared" si="101"/>
        <v>#N/A</v>
      </c>
      <c r="N211" s="63" t="e">
        <f t="shared" si="101"/>
        <v>#N/A</v>
      </c>
      <c r="O211" s="63" t="e">
        <f t="shared" si="101"/>
        <v>#N/A</v>
      </c>
      <c r="P211" s="63" t="e">
        <f t="shared" si="101"/>
        <v>#N/A</v>
      </c>
      <c r="Q211" s="63" t="e">
        <f t="shared" si="101"/>
        <v>#N/A</v>
      </c>
    </row>
    <row r="212" spans="1:17" x14ac:dyDescent="0.35">
      <c r="B212" s="8" t="s">
        <v>310</v>
      </c>
      <c r="C212" t="s">
        <v>23</v>
      </c>
      <c r="D212" s="4">
        <f t="shared" ref="D212:Q212" si="102">D202</f>
        <v>0</v>
      </c>
      <c r="E212" s="4">
        <f t="shared" si="102"/>
        <v>-6.7</v>
      </c>
      <c r="F212" s="4">
        <f t="shared" si="102"/>
        <v>-9.9</v>
      </c>
      <c r="G212" s="4">
        <f t="shared" si="102"/>
        <v>-10.8</v>
      </c>
      <c r="H212" s="63">
        <f t="shared" si="102"/>
        <v>-36.81111111111111</v>
      </c>
      <c r="I212" s="63">
        <f t="shared" si="102"/>
        <v>-37.776543209876543</v>
      </c>
      <c r="J212" s="63">
        <f t="shared" si="102"/>
        <v>-38.634705075445815</v>
      </c>
      <c r="K212" s="63">
        <f t="shared" si="102"/>
        <v>-39.397515622618499</v>
      </c>
      <c r="L212" s="63">
        <f t="shared" si="102"/>
        <v>-40.075569442327556</v>
      </c>
      <c r="M212" s="63">
        <f t="shared" si="102"/>
        <v>-40.678283948735604</v>
      </c>
      <c r="N212" s="63">
        <f t="shared" si="102"/>
        <v>-41.214030176653871</v>
      </c>
      <c r="O212" s="63">
        <f t="shared" si="102"/>
        <v>-41.690249045914555</v>
      </c>
      <c r="P212" s="63">
        <f t="shared" si="102"/>
        <v>-42.113554707479608</v>
      </c>
      <c r="Q212" s="63">
        <f t="shared" si="102"/>
        <v>-42.48982640664854</v>
      </c>
    </row>
    <row r="213" spans="1:17" x14ac:dyDescent="0.35">
      <c r="B213" s="19" t="s">
        <v>307</v>
      </c>
      <c r="C213" s="19" t="s">
        <v>23</v>
      </c>
      <c r="D213" s="20">
        <f t="shared" ref="D213:Q213" si="103">D210+D211+D212</f>
        <v>21.59999999999998</v>
      </c>
      <c r="E213" s="20">
        <f t="shared" si="103"/>
        <v>-14.199999999999957</v>
      </c>
      <c r="F213" s="20">
        <f t="shared" si="103"/>
        <v>-6.7000000000000117</v>
      </c>
      <c r="G213" s="20">
        <f t="shared" si="103"/>
        <v>-14.799999999999908</v>
      </c>
      <c r="H213" s="73" t="e">
        <f t="shared" si="103"/>
        <v>#N/A</v>
      </c>
      <c r="I213" s="73" t="e">
        <f t="shared" si="103"/>
        <v>#N/A</v>
      </c>
      <c r="J213" s="73" t="e">
        <f t="shared" si="103"/>
        <v>#N/A</v>
      </c>
      <c r="K213" s="73" t="e">
        <f t="shared" si="103"/>
        <v>#N/A</v>
      </c>
      <c r="L213" s="73" t="e">
        <f t="shared" si="103"/>
        <v>#N/A</v>
      </c>
      <c r="M213" s="73" t="e">
        <f t="shared" si="103"/>
        <v>#N/A</v>
      </c>
      <c r="N213" s="73" t="e">
        <f t="shared" si="103"/>
        <v>#N/A</v>
      </c>
      <c r="O213" s="73" t="e">
        <f t="shared" si="103"/>
        <v>#N/A</v>
      </c>
      <c r="P213" s="73" t="e">
        <f t="shared" si="103"/>
        <v>#N/A</v>
      </c>
      <c r="Q213" s="73" t="e">
        <f t="shared" si="103"/>
        <v>#N/A</v>
      </c>
    </row>
    <row r="214" spans="1:17" x14ac:dyDescent="0.35">
      <c r="B214" s="8" t="s">
        <v>311</v>
      </c>
      <c r="C214" t="s">
        <v>147</v>
      </c>
      <c r="D214" s="9" t="str">
        <f t="shared" ref="D214:Q214" si="104">IF(D90=0,"",D213/D90)</f>
        <v/>
      </c>
      <c r="E214" s="9">
        <f t="shared" si="104"/>
        <v>-0.16904761904761853</v>
      </c>
      <c r="F214" s="9">
        <f t="shared" si="104"/>
        <v>-7.8454332552693337E-2</v>
      </c>
      <c r="G214" s="9">
        <f t="shared" si="104"/>
        <v>-0.14001892147587425</v>
      </c>
      <c r="H214" s="78" t="e">
        <f t="shared" si="104"/>
        <v>#N/A</v>
      </c>
      <c r="I214" s="78" t="e">
        <f t="shared" si="104"/>
        <v>#N/A</v>
      </c>
      <c r="J214" s="78" t="e">
        <f t="shared" si="104"/>
        <v>#N/A</v>
      </c>
      <c r="K214" s="78" t="e">
        <f t="shared" si="104"/>
        <v>#N/A</v>
      </c>
      <c r="L214" s="78" t="e">
        <f t="shared" si="104"/>
        <v>#N/A</v>
      </c>
      <c r="M214" s="78" t="e">
        <f t="shared" si="104"/>
        <v>#N/A</v>
      </c>
      <c r="N214" s="78" t="e">
        <f t="shared" si="104"/>
        <v>#N/A</v>
      </c>
      <c r="O214" s="78" t="e">
        <f t="shared" si="104"/>
        <v>#N/A</v>
      </c>
      <c r="P214" s="78" t="e">
        <f t="shared" si="104"/>
        <v>#N/A</v>
      </c>
      <c r="Q214" s="78" t="e">
        <f t="shared" si="104"/>
        <v>#N/A</v>
      </c>
    </row>
    <row r="215" spans="1:17" x14ac:dyDescent="0.35">
      <c r="B215" s="8" t="s">
        <v>312</v>
      </c>
      <c r="C215" t="s">
        <v>52</v>
      </c>
      <c r="D215" s="6" t="e">
        <f>IF(Value!$C$4=0,"",D214/Value!$C$4)</f>
        <v>#VALUE!</v>
      </c>
      <c r="E215" s="6">
        <f>IF(Value!$C$4=0,"",E214/Value!$C$4)</f>
        <v>-4.829931972789101E-3</v>
      </c>
      <c r="F215" s="6">
        <f>IF(Value!$C$4=0,"",F214/Value!$C$4)</f>
        <v>-2.2415523586483809E-3</v>
      </c>
      <c r="G215" s="6">
        <f>IF(Value!$C$4=0,"",G214/Value!$C$4)</f>
        <v>-4.0005406135964067E-3</v>
      </c>
      <c r="H215" s="74" t="e">
        <f>IF(Value!$C$4=0,"",H214/Value!$C$4)</f>
        <v>#N/A</v>
      </c>
      <c r="I215" s="74" t="e">
        <f>IF(Value!$C$4=0,"",I214/Value!$C$4)</f>
        <v>#N/A</v>
      </c>
      <c r="J215" s="74" t="e">
        <f>IF(Value!$C$4=0,"",J214/Value!$C$4)</f>
        <v>#N/A</v>
      </c>
      <c r="K215" s="74" t="e">
        <f>IF(Value!$C$4=0,"",K214/Value!$C$4)</f>
        <v>#N/A</v>
      </c>
      <c r="L215" s="74" t="e">
        <f>IF(Value!$C$4=0,"",L214/Value!$C$4)</f>
        <v>#N/A</v>
      </c>
      <c r="M215" s="74" t="e">
        <f>IF(Value!$C$4=0,"",M214/Value!$C$4)</f>
        <v>#N/A</v>
      </c>
      <c r="N215" s="74" t="e">
        <f>IF(Value!$C$4=0,"",N214/Value!$C$4)</f>
        <v>#N/A</v>
      </c>
      <c r="O215" s="74" t="e">
        <f>IF(Value!$C$4=0,"",O214/Value!$C$4)</f>
        <v>#N/A</v>
      </c>
      <c r="P215" s="74" t="e">
        <f>IF(Value!$C$4=0,"",P214/Value!$C$4)</f>
        <v>#N/A</v>
      </c>
      <c r="Q215" s="74" t="e">
        <f>IF(Value!$C$4=0,"",Q214/Value!$C$4)</f>
        <v>#N/A</v>
      </c>
    </row>
    <row r="216" spans="1:17" x14ac:dyDescent="0.35">
      <c r="B216" s="8" t="s">
        <v>313</v>
      </c>
      <c r="C216" t="s">
        <v>52</v>
      </c>
      <c r="D216" s="6">
        <f t="shared" ref="D216:Q216" si="105">IF(D11+D18=0,"",D213/(D11+D18))</f>
        <v>0.11669367909238239</v>
      </c>
      <c r="E216" s="6">
        <f t="shared" si="105"/>
        <v>-5.1282051282051121E-2</v>
      </c>
      <c r="F216" s="6">
        <f t="shared" si="105"/>
        <v>-1.8356164383561677E-2</v>
      </c>
      <c r="G216" s="6">
        <f t="shared" si="105"/>
        <v>-3.1623931623931428E-2</v>
      </c>
      <c r="H216" s="74" t="e">
        <f t="shared" si="105"/>
        <v>#N/A</v>
      </c>
      <c r="I216" s="74" t="e">
        <f t="shared" si="105"/>
        <v>#N/A</v>
      </c>
      <c r="J216" s="74" t="e">
        <f t="shared" si="105"/>
        <v>#N/A</v>
      </c>
      <c r="K216" s="74" t="e">
        <f t="shared" si="105"/>
        <v>#N/A</v>
      </c>
      <c r="L216" s="74" t="e">
        <f t="shared" si="105"/>
        <v>#N/A</v>
      </c>
      <c r="M216" s="74" t="e">
        <f t="shared" si="105"/>
        <v>#N/A</v>
      </c>
      <c r="N216" s="74" t="e">
        <f t="shared" si="105"/>
        <v>#N/A</v>
      </c>
      <c r="O216" s="74" t="e">
        <f t="shared" si="105"/>
        <v>#N/A</v>
      </c>
      <c r="P216" s="74" t="e">
        <f t="shared" si="105"/>
        <v>#N/A</v>
      </c>
      <c r="Q216" s="74" t="e">
        <f t="shared" si="105"/>
        <v>#N/A</v>
      </c>
    </row>
    <row r="219" spans="1:17" x14ac:dyDescent="0.35">
      <c r="A219" s="2"/>
      <c r="B219" s="17" t="s">
        <v>314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x14ac:dyDescent="0.35">
      <c r="B220" s="8" t="s">
        <v>315</v>
      </c>
      <c r="C220" t="s">
        <v>23</v>
      </c>
      <c r="D220" s="4">
        <f t="shared" ref="D220:Q220" si="106">D171+D161</f>
        <v>0</v>
      </c>
      <c r="E220" s="4">
        <f t="shared" si="106"/>
        <v>54.399999999999991</v>
      </c>
      <c r="F220" s="4">
        <f t="shared" si="106"/>
        <v>337.59999999999997</v>
      </c>
      <c r="G220" s="4">
        <f t="shared" si="106"/>
        <v>340.40000000000003</v>
      </c>
      <c r="H220" s="63" t="e">
        <f t="shared" si="106"/>
        <v>#N/A</v>
      </c>
      <c r="I220" s="63" t="e">
        <f t="shared" si="106"/>
        <v>#N/A</v>
      </c>
      <c r="J220" s="63" t="e">
        <f t="shared" si="106"/>
        <v>#N/A</v>
      </c>
      <c r="K220" s="63" t="e">
        <f t="shared" si="106"/>
        <v>#N/A</v>
      </c>
      <c r="L220" s="63" t="e">
        <f t="shared" si="106"/>
        <v>#N/A</v>
      </c>
      <c r="M220" s="63" t="e">
        <f t="shared" si="106"/>
        <v>#N/A</v>
      </c>
      <c r="N220" s="63" t="e">
        <f t="shared" si="106"/>
        <v>#N/A</v>
      </c>
      <c r="O220" s="63" t="e">
        <f t="shared" si="106"/>
        <v>#N/A</v>
      </c>
      <c r="P220" s="63" t="e">
        <f t="shared" si="106"/>
        <v>#N/A</v>
      </c>
      <c r="Q220" s="63" t="e">
        <f t="shared" si="106"/>
        <v>#N/A</v>
      </c>
    </row>
    <row r="221" spans="1:17" x14ac:dyDescent="0.35">
      <c r="B221" s="8" t="s">
        <v>100</v>
      </c>
      <c r="C221" t="s">
        <v>23</v>
      </c>
      <c r="D221" s="4">
        <f t="shared" ref="D221:Q221" si="107">D60</f>
        <v>7.1999999999999797</v>
      </c>
      <c r="E221" s="4">
        <f t="shared" si="107"/>
        <v>4.3000000000000398</v>
      </c>
      <c r="F221" s="4">
        <f t="shared" si="107"/>
        <v>-3.8000000000000149</v>
      </c>
      <c r="G221" s="4">
        <f t="shared" si="107"/>
        <v>25.400000000000077</v>
      </c>
      <c r="H221" s="63" t="e">
        <f t="shared" si="107"/>
        <v>#N/A</v>
      </c>
      <c r="I221" s="63" t="e">
        <f t="shared" si="107"/>
        <v>#N/A</v>
      </c>
      <c r="J221" s="63" t="e">
        <f t="shared" si="107"/>
        <v>#N/A</v>
      </c>
      <c r="K221" s="63" t="e">
        <f t="shared" si="107"/>
        <v>#N/A</v>
      </c>
      <c r="L221" s="63" t="e">
        <f t="shared" si="107"/>
        <v>#N/A</v>
      </c>
      <c r="M221" s="63" t="e">
        <f t="shared" si="107"/>
        <v>#N/A</v>
      </c>
      <c r="N221" s="63" t="e">
        <f t="shared" si="107"/>
        <v>#N/A</v>
      </c>
      <c r="O221" s="63" t="e">
        <f t="shared" si="107"/>
        <v>#N/A</v>
      </c>
      <c r="P221" s="63" t="e">
        <f t="shared" si="107"/>
        <v>#N/A</v>
      </c>
      <c r="Q221" s="63" t="e">
        <f t="shared" si="107"/>
        <v>#N/A</v>
      </c>
    </row>
    <row r="222" spans="1:17" x14ac:dyDescent="0.35">
      <c r="B222" s="8" t="s">
        <v>316</v>
      </c>
      <c r="C222" t="s">
        <v>52</v>
      </c>
      <c r="D222" s="6" t="str">
        <f t="shared" ref="D222:Q222" si="108">IF(D220=0,"",D221/D220)</f>
        <v/>
      </c>
      <c r="E222" s="6">
        <f t="shared" si="108"/>
        <v>7.904411764705957E-2</v>
      </c>
      <c r="F222" s="6">
        <f t="shared" si="108"/>
        <v>-1.1255924170616159E-2</v>
      </c>
      <c r="G222" s="6">
        <f t="shared" si="108"/>
        <v>7.4618096357227007E-2</v>
      </c>
      <c r="H222" s="74" t="e">
        <f t="shared" si="108"/>
        <v>#N/A</v>
      </c>
      <c r="I222" s="74" t="e">
        <f t="shared" si="108"/>
        <v>#N/A</v>
      </c>
      <c r="J222" s="74" t="e">
        <f t="shared" si="108"/>
        <v>#N/A</v>
      </c>
      <c r="K222" s="74" t="e">
        <f t="shared" si="108"/>
        <v>#N/A</v>
      </c>
      <c r="L222" s="74" t="e">
        <f t="shared" si="108"/>
        <v>#N/A</v>
      </c>
      <c r="M222" s="74" t="e">
        <f t="shared" si="108"/>
        <v>#N/A</v>
      </c>
      <c r="N222" s="74" t="e">
        <f t="shared" si="108"/>
        <v>#N/A</v>
      </c>
      <c r="O222" s="74" t="e">
        <f t="shared" si="108"/>
        <v>#N/A</v>
      </c>
      <c r="P222" s="74" t="e">
        <f t="shared" si="108"/>
        <v>#N/A</v>
      </c>
      <c r="Q222" s="74" t="e">
        <f t="shared" si="108"/>
        <v>#N/A</v>
      </c>
    </row>
    <row r="223" spans="1:17" x14ac:dyDescent="0.35">
      <c r="B223" s="8" t="s">
        <v>317</v>
      </c>
      <c r="C223" t="s">
        <v>23</v>
      </c>
      <c r="D223" s="4">
        <f t="shared" ref="D223:Q223" si="109">D221*(1-D78)</f>
        <v>4.1142857142856917</v>
      </c>
      <c r="E223" s="4">
        <f t="shared" si="109"/>
        <v>-21.499999999997598</v>
      </c>
      <c r="F223" s="4">
        <f t="shared" si="109"/>
        <v>-4.5961904761904933</v>
      </c>
      <c r="G223" s="4">
        <f t="shared" si="109"/>
        <v>12.569072164948526</v>
      </c>
      <c r="H223" s="63" t="e">
        <f t="shared" si="109"/>
        <v>#N/A</v>
      </c>
      <c r="I223" s="63" t="e">
        <f t="shared" si="109"/>
        <v>#N/A</v>
      </c>
      <c r="J223" s="63" t="e">
        <f t="shared" si="109"/>
        <v>#N/A</v>
      </c>
      <c r="K223" s="63" t="e">
        <f t="shared" si="109"/>
        <v>#N/A</v>
      </c>
      <c r="L223" s="63" t="e">
        <f t="shared" si="109"/>
        <v>#N/A</v>
      </c>
      <c r="M223" s="63" t="e">
        <f t="shared" si="109"/>
        <v>#N/A</v>
      </c>
      <c r="N223" s="63" t="e">
        <f t="shared" si="109"/>
        <v>#N/A</v>
      </c>
      <c r="O223" s="63" t="e">
        <f t="shared" si="109"/>
        <v>#N/A</v>
      </c>
      <c r="P223" s="63" t="e">
        <f t="shared" si="109"/>
        <v>#N/A</v>
      </c>
      <c r="Q223" s="63" t="e">
        <f t="shared" si="109"/>
        <v>#N/A</v>
      </c>
    </row>
    <row r="224" spans="1:17" x14ac:dyDescent="0.35">
      <c r="B224" s="8" t="s">
        <v>314</v>
      </c>
      <c r="C224" t="s">
        <v>52</v>
      </c>
      <c r="D224" s="6" t="str">
        <f t="shared" ref="D224:Q224" si="110">IF(D220=0,"",D223/D220)</f>
        <v/>
      </c>
      <c r="E224" s="6">
        <f t="shared" si="110"/>
        <v>-0.39522058823525003</v>
      </c>
      <c r="F224" s="6">
        <f t="shared" si="110"/>
        <v>-1.361430828255478E-2</v>
      </c>
      <c r="G224" s="6">
        <f t="shared" si="110"/>
        <v>3.6924418815947491E-2</v>
      </c>
      <c r="H224" s="74" t="e">
        <f t="shared" si="110"/>
        <v>#N/A</v>
      </c>
      <c r="I224" s="74" t="e">
        <f t="shared" si="110"/>
        <v>#N/A</v>
      </c>
      <c r="J224" s="74" t="e">
        <f t="shared" si="110"/>
        <v>#N/A</v>
      </c>
      <c r="K224" s="74" t="e">
        <f t="shared" si="110"/>
        <v>#N/A</v>
      </c>
      <c r="L224" s="74" t="e">
        <f t="shared" si="110"/>
        <v>#N/A</v>
      </c>
      <c r="M224" s="74" t="e">
        <f t="shared" si="110"/>
        <v>#N/A</v>
      </c>
      <c r="N224" s="74" t="e">
        <f t="shared" si="110"/>
        <v>#N/A</v>
      </c>
      <c r="O224" s="74" t="e">
        <f t="shared" si="110"/>
        <v>#N/A</v>
      </c>
      <c r="P224" s="74" t="e">
        <f t="shared" si="110"/>
        <v>#N/A</v>
      </c>
      <c r="Q224" s="74" t="e">
        <f t="shared" si="110"/>
        <v>#N/A</v>
      </c>
    </row>
    <row r="227" spans="2:17" x14ac:dyDescent="0.35">
      <c r="B227" s="17"/>
    </row>
    <row r="228" spans="2:17" x14ac:dyDescent="0.35">
      <c r="B228" s="23"/>
      <c r="D228" s="6"/>
      <c r="E228" s="6"/>
      <c r="F228" s="6"/>
      <c r="G228" s="6"/>
      <c r="H228" s="24"/>
      <c r="I228" s="24"/>
      <c r="J228" s="24"/>
      <c r="K228" s="24"/>
      <c r="L228" s="24"/>
      <c r="M228" s="24"/>
      <c r="N228" s="24"/>
      <c r="O228" s="24"/>
      <c r="P228" s="24"/>
      <c r="Q228" s="24"/>
    </row>
    <row r="229" spans="2:17" x14ac:dyDescent="0.35">
      <c r="B229" s="23"/>
      <c r="D229" s="3"/>
      <c r="E229" s="3"/>
      <c r="F229" s="3"/>
      <c r="G229" s="3"/>
      <c r="H229" s="41"/>
      <c r="I229" s="41"/>
      <c r="J229" s="41"/>
      <c r="K229" s="41"/>
      <c r="L229" s="41"/>
      <c r="M229" s="41"/>
      <c r="N229" s="41"/>
      <c r="O229" s="41"/>
      <c r="P229" s="41"/>
      <c r="Q229" s="41"/>
    </row>
    <row r="230" spans="2:17" x14ac:dyDescent="0.35">
      <c r="B230" s="23"/>
      <c r="D230" s="3"/>
      <c r="E230" s="3"/>
      <c r="F230" s="3"/>
      <c r="G230" s="3"/>
      <c r="H230" s="41"/>
      <c r="I230" s="41"/>
      <c r="J230" s="41"/>
      <c r="K230" s="41"/>
      <c r="L230" s="41"/>
      <c r="M230" s="41"/>
      <c r="N230" s="41"/>
      <c r="O230" s="41"/>
      <c r="P230" s="41"/>
      <c r="Q230" s="41"/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48"/>
  <sheetViews>
    <sheetView workbookViewId="0">
      <pane xSplit="3" ySplit="4" topLeftCell="D35" activePane="bottomRight" state="frozen"/>
      <selection pane="topRight"/>
      <selection pane="bottomLeft"/>
      <selection pane="bottomRight" activeCell="I127" sqref="I127"/>
    </sheetView>
  </sheetViews>
  <sheetFormatPr defaultRowHeight="14.5" x14ac:dyDescent="0.35"/>
  <cols>
    <col min="1" max="1" width="30" hidden="1" customWidth="1"/>
    <col min="2" max="2" width="32" customWidth="1"/>
    <col min="3" max="3" width="8" customWidth="1"/>
    <col min="4" max="33" width="11" customWidth="1"/>
  </cols>
  <sheetData>
    <row r="1" spans="1:29" x14ac:dyDescent="0.35">
      <c r="D1">
        <v>2023</v>
      </c>
      <c r="E1">
        <v>2023</v>
      </c>
      <c r="F1">
        <v>2024</v>
      </c>
      <c r="G1">
        <v>2024</v>
      </c>
      <c r="H1">
        <v>2025</v>
      </c>
      <c r="I1">
        <v>2025</v>
      </c>
      <c r="J1">
        <v>2026</v>
      </c>
      <c r="K1">
        <v>2026</v>
      </c>
      <c r="L1">
        <v>2027</v>
      </c>
      <c r="M1">
        <v>2027</v>
      </c>
      <c r="N1">
        <v>2028</v>
      </c>
      <c r="O1">
        <v>2028</v>
      </c>
      <c r="P1">
        <v>2029</v>
      </c>
      <c r="Q1">
        <v>2029</v>
      </c>
      <c r="R1">
        <v>2030</v>
      </c>
      <c r="S1">
        <v>2030</v>
      </c>
      <c r="T1">
        <v>2031</v>
      </c>
      <c r="U1">
        <v>2031</v>
      </c>
      <c r="V1">
        <v>2032</v>
      </c>
      <c r="W1">
        <v>2032</v>
      </c>
      <c r="X1">
        <v>2033</v>
      </c>
      <c r="Y1">
        <v>2033</v>
      </c>
      <c r="Z1">
        <v>2034</v>
      </c>
      <c r="AA1">
        <v>2034</v>
      </c>
    </row>
    <row r="2" spans="1:29" ht="18.5" customHeight="1" x14ac:dyDescent="0.45">
      <c r="B2" s="13" t="s">
        <v>366</v>
      </c>
      <c r="D2" s="14" t="s">
        <v>1</v>
      </c>
      <c r="E2" s="14"/>
      <c r="F2" s="14"/>
      <c r="G2" s="14"/>
      <c r="H2" s="14"/>
      <c r="I2" s="14"/>
      <c r="J2" s="14"/>
      <c r="K2" s="15" t="s">
        <v>2</v>
      </c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</row>
    <row r="3" spans="1:29" x14ac:dyDescent="0.35">
      <c r="B3" t="s">
        <v>3</v>
      </c>
      <c r="C3" t="s">
        <v>4</v>
      </c>
      <c r="D3" s="7" t="s">
        <v>367</v>
      </c>
      <c r="E3" s="7" t="s">
        <v>368</v>
      </c>
      <c r="F3" s="7" t="s">
        <v>369</v>
      </c>
      <c r="G3" s="7" t="s">
        <v>370</v>
      </c>
      <c r="H3" s="7" t="s">
        <v>371</v>
      </c>
      <c r="I3" s="7" t="s">
        <v>372</v>
      </c>
      <c r="J3" s="7" t="s">
        <v>373</v>
      </c>
      <c r="K3" s="7" t="s">
        <v>374</v>
      </c>
      <c r="L3" s="7" t="s">
        <v>375</v>
      </c>
      <c r="M3" s="7" t="s">
        <v>376</v>
      </c>
      <c r="N3" s="7" t="s">
        <v>377</v>
      </c>
      <c r="O3" s="7" t="s">
        <v>378</v>
      </c>
      <c r="P3" s="7" t="s">
        <v>379</v>
      </c>
      <c r="Q3" s="7" t="s">
        <v>380</v>
      </c>
      <c r="R3" s="7" t="s">
        <v>381</v>
      </c>
      <c r="S3" s="7" t="s">
        <v>382</v>
      </c>
      <c r="T3" s="7" t="s">
        <v>383</v>
      </c>
      <c r="U3" s="7" t="s">
        <v>384</v>
      </c>
      <c r="V3" s="7" t="s">
        <v>385</v>
      </c>
      <c r="W3" s="7" t="s">
        <v>386</v>
      </c>
      <c r="X3" s="7" t="s">
        <v>387</v>
      </c>
      <c r="Y3" s="7" t="s">
        <v>388</v>
      </c>
      <c r="Z3" s="7" t="s">
        <v>389</v>
      </c>
      <c r="AA3" s="7" t="s">
        <v>390</v>
      </c>
      <c r="AB3" s="7"/>
      <c r="AC3" s="7"/>
    </row>
    <row r="4" spans="1:29" x14ac:dyDescent="0.35">
      <c r="D4" s="16">
        <v>45291</v>
      </c>
      <c r="E4" s="16">
        <v>45473</v>
      </c>
      <c r="F4" s="16">
        <v>45657</v>
      </c>
      <c r="G4" s="16">
        <v>45838</v>
      </c>
      <c r="H4" s="16">
        <v>46022</v>
      </c>
      <c r="I4" s="16">
        <v>46203</v>
      </c>
      <c r="J4" s="16">
        <v>46022</v>
      </c>
      <c r="K4" s="16">
        <v>46203</v>
      </c>
      <c r="L4" s="16">
        <v>46387</v>
      </c>
      <c r="M4" s="16">
        <v>46568</v>
      </c>
      <c r="N4" s="16">
        <v>46752</v>
      </c>
      <c r="O4" s="16">
        <v>46934</v>
      </c>
      <c r="P4" s="16">
        <v>47118</v>
      </c>
      <c r="Q4" s="16">
        <v>47299</v>
      </c>
      <c r="R4" s="16">
        <v>47483</v>
      </c>
      <c r="S4" s="16">
        <v>47664</v>
      </c>
      <c r="T4" s="16">
        <v>47848</v>
      </c>
      <c r="U4" s="16">
        <v>48029</v>
      </c>
      <c r="V4" s="16">
        <v>48213</v>
      </c>
      <c r="W4" s="16">
        <v>48395</v>
      </c>
      <c r="X4" s="16">
        <v>48579</v>
      </c>
      <c r="Y4" s="16">
        <v>48760</v>
      </c>
      <c r="Z4" s="16">
        <v>48944</v>
      </c>
      <c r="AA4" s="16">
        <v>49125</v>
      </c>
      <c r="AB4" s="16"/>
      <c r="AC4" s="16"/>
    </row>
    <row r="5" spans="1:29" x14ac:dyDescent="0.35">
      <c r="A5" s="2"/>
      <c r="B5" s="17" t="s">
        <v>19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x14ac:dyDescent="0.35">
      <c r="B6" s="5" t="s">
        <v>20</v>
      </c>
    </row>
    <row r="7" spans="1:29" x14ac:dyDescent="0.35">
      <c r="A7" t="s">
        <v>21</v>
      </c>
      <c r="B7" t="s">
        <v>22</v>
      </c>
      <c r="C7" t="s">
        <v>23</v>
      </c>
      <c r="D7" s="51">
        <v>136.155</v>
      </c>
      <c r="E7" s="51">
        <v>142.745</v>
      </c>
      <c r="F7" s="51">
        <v>176.05099999999999</v>
      </c>
      <c r="G7" s="51">
        <v>183.649</v>
      </c>
      <c r="H7" s="51">
        <v>215.11600000000001</v>
      </c>
      <c r="I7" s="63">
        <f t="shared" ref="I7:AA7" si="0">I119</f>
        <v>252.05900000000003</v>
      </c>
      <c r="J7" s="63">
        <f t="shared" si="0"/>
        <v>232.10589859437755</v>
      </c>
      <c r="K7" s="63" t="s">
        <v>478</v>
      </c>
      <c r="L7" s="63">
        <f t="shared" si="0"/>
        <v>240.26304358237542</v>
      </c>
      <c r="M7" s="63">
        <f t="shared" si="0"/>
        <v>290.73213880018244</v>
      </c>
      <c r="N7" s="63">
        <f t="shared" si="0"/>
        <v>248.47081612007781</v>
      </c>
      <c r="O7" s="63">
        <f t="shared" si="0"/>
        <v>311.30454142810311</v>
      </c>
      <c r="P7" s="63">
        <f t="shared" si="0"/>
        <v>256.74881487321807</v>
      </c>
      <c r="Q7" s="63">
        <f t="shared" si="0"/>
        <v>332.73968867154724</v>
      </c>
      <c r="R7" s="63">
        <f t="shared" si="0"/>
        <v>265.11427715776728</v>
      </c>
      <c r="S7" s="63">
        <f t="shared" si="0"/>
        <v>355.06789275604825</v>
      </c>
      <c r="T7" s="63">
        <f t="shared" si="0"/>
        <v>273.58256121050761</v>
      </c>
      <c r="U7" s="63">
        <f t="shared" si="0"/>
        <v>378.32043775933863</v>
      </c>
      <c r="V7" s="63">
        <f t="shared" si="0"/>
        <v>282.16752096401513</v>
      </c>
      <c r="W7" s="63">
        <f t="shared" si="0"/>
        <v>402.52961003252796</v>
      </c>
      <c r="X7" s="63">
        <f t="shared" si="0"/>
        <v>290.88180046092248</v>
      </c>
      <c r="Y7" s="63">
        <f t="shared" si="0"/>
        <v>427.72872937944072</v>
      </c>
      <c r="Z7" s="63">
        <f t="shared" si="0"/>
        <v>299.73706749227262</v>
      </c>
      <c r="AA7" s="63">
        <f t="shared" si="0"/>
        <v>453.95218104858986</v>
      </c>
      <c r="AB7" s="4"/>
      <c r="AC7" s="4"/>
    </row>
    <row r="8" spans="1:29" x14ac:dyDescent="0.35">
      <c r="A8" t="s">
        <v>24</v>
      </c>
      <c r="B8" t="s">
        <v>25</v>
      </c>
      <c r="C8" t="s">
        <v>23</v>
      </c>
      <c r="D8" s="51">
        <v>5.6180000000000003</v>
      </c>
      <c r="E8" s="51">
        <v>5.1820000000000004</v>
      </c>
      <c r="F8" s="51">
        <v>3.2320000000000002</v>
      </c>
      <c r="G8" s="51">
        <v>5.6680000000000001</v>
      </c>
      <c r="H8" s="51">
        <v>6.46</v>
      </c>
      <c r="I8" s="63">
        <f t="shared" ref="I8:AA8" si="1">I143</f>
        <v>8.5084999999999997</v>
      </c>
      <c r="J8" s="63">
        <f t="shared" si="1"/>
        <v>8.1929999999999996</v>
      </c>
      <c r="K8" s="63">
        <f t="shared" si="1"/>
        <v>9.7239999999999984</v>
      </c>
      <c r="L8" s="63">
        <f t="shared" si="1"/>
        <v>8.1929999999999996</v>
      </c>
      <c r="M8" s="63">
        <f t="shared" si="1"/>
        <v>10.939499999999999</v>
      </c>
      <c r="N8" s="63">
        <f t="shared" si="1"/>
        <v>8.1929999999999996</v>
      </c>
      <c r="O8" s="63">
        <f t="shared" si="1"/>
        <v>12.154999999999999</v>
      </c>
      <c r="P8" s="63">
        <f t="shared" si="1"/>
        <v>8.1929999999999996</v>
      </c>
      <c r="Q8" s="63">
        <f t="shared" si="1"/>
        <v>13.3705</v>
      </c>
      <c r="R8" s="63">
        <f t="shared" si="1"/>
        <v>8.1929999999999996</v>
      </c>
      <c r="S8" s="63">
        <f t="shared" si="1"/>
        <v>14.585999999999999</v>
      </c>
      <c r="T8" s="63">
        <f t="shared" si="1"/>
        <v>8.1929999999999996</v>
      </c>
      <c r="U8" s="63">
        <f t="shared" si="1"/>
        <v>15.801499999999997</v>
      </c>
      <c r="V8" s="63">
        <f t="shared" si="1"/>
        <v>8.1929999999999996</v>
      </c>
      <c r="W8" s="63">
        <f t="shared" si="1"/>
        <v>17.016999999999996</v>
      </c>
      <c r="X8" s="63">
        <f t="shared" si="1"/>
        <v>8.1929999999999996</v>
      </c>
      <c r="Y8" s="63">
        <f t="shared" si="1"/>
        <v>18.232499999999995</v>
      </c>
      <c r="Z8" s="63">
        <f t="shared" si="1"/>
        <v>8.1929999999999996</v>
      </c>
      <c r="AA8" s="63">
        <f t="shared" si="1"/>
        <v>19.447999999999993</v>
      </c>
      <c r="AB8" s="4"/>
      <c r="AC8" s="4"/>
    </row>
    <row r="9" spans="1:29" x14ac:dyDescent="0.35">
      <c r="A9" t="s">
        <v>26</v>
      </c>
      <c r="B9" s="19" t="s">
        <v>27</v>
      </c>
      <c r="C9" s="19" t="s">
        <v>23</v>
      </c>
      <c r="D9" s="53">
        <v>25.062999999999999</v>
      </c>
      <c r="E9" s="53">
        <v>26.837</v>
      </c>
      <c r="F9" s="53">
        <v>32.186999999999998</v>
      </c>
      <c r="G9" s="53">
        <v>34.613</v>
      </c>
      <c r="H9" s="53">
        <v>39.325000000000003</v>
      </c>
      <c r="I9" s="73">
        <f t="shared" ref="I9:AA9" si="2">I127</f>
        <v>42.079025999999999</v>
      </c>
      <c r="J9" s="73">
        <f t="shared" si="2"/>
        <v>38.513195220883532</v>
      </c>
      <c r="K9" s="73">
        <f t="shared" si="2"/>
        <v>45.301522480916027</v>
      </c>
      <c r="L9" s="73">
        <f t="shared" si="2"/>
        <v>42.783781501915698</v>
      </c>
      <c r="M9" s="73">
        <f t="shared" si="2"/>
        <v>48.6616825006843</v>
      </c>
      <c r="N9" s="73">
        <f t="shared" si="2"/>
        <v>47.26207241211079</v>
      </c>
      <c r="O9" s="73">
        <f t="shared" si="2"/>
        <v>52.164371302808121</v>
      </c>
      <c r="P9" s="73">
        <f t="shared" si="2"/>
        <v>51.953877833168832</v>
      </c>
      <c r="Q9" s="73">
        <f t="shared" si="2"/>
        <v>55.81461193537973</v>
      </c>
      <c r="R9" s="73">
        <f t="shared" si="2"/>
        <v>56.865452954593103</v>
      </c>
      <c r="S9" s="73">
        <f t="shared" si="2"/>
        <v>59.617589993229814</v>
      </c>
      <c r="T9" s="73">
        <f t="shared" si="2"/>
        <v>62.003464225402574</v>
      </c>
      <c r="U9" s="73">
        <f t="shared" si="2"/>
        <v>63.578658521794175</v>
      </c>
      <c r="V9" s="73">
        <f t="shared" si="2"/>
        <v>67.374964770419425</v>
      </c>
      <c r="W9" s="73">
        <f t="shared" si="2"/>
        <v>67.703343082108191</v>
      </c>
      <c r="X9" s="73">
        <f t="shared" si="2"/>
        <v>72.987376943888876</v>
      </c>
      <c r="Y9" s="73">
        <f t="shared" si="2"/>
        <v>71.997346977766696</v>
      </c>
      <c r="Z9" s="73">
        <f t="shared" si="2"/>
        <v>78.848480342673113</v>
      </c>
      <c r="AA9" s="73">
        <f t="shared" si="2"/>
        <v>76.466556645721965</v>
      </c>
      <c r="AB9" s="20"/>
      <c r="AC9" s="20"/>
    </row>
    <row r="10" spans="1:29" x14ac:dyDescent="0.35">
      <c r="A10" t="s">
        <v>28</v>
      </c>
      <c r="B10" t="s">
        <v>29</v>
      </c>
      <c r="C10" t="s">
        <v>23</v>
      </c>
      <c r="D10" s="51">
        <v>0.45100000000000001</v>
      </c>
      <c r="E10" s="51">
        <v>0.14899999999999999</v>
      </c>
      <c r="F10" s="51">
        <v>0.94899999999999995</v>
      </c>
      <c r="G10" s="51">
        <v>-0.34899999999999998</v>
      </c>
      <c r="H10" s="51">
        <v>0.3</v>
      </c>
      <c r="I10" s="65">
        <f t="shared" ref="I10:AA10" si="3">G10</f>
        <v>-0.34899999999999998</v>
      </c>
      <c r="J10" s="65">
        <f t="shared" si="3"/>
        <v>0.3</v>
      </c>
      <c r="K10" s="65">
        <f t="shared" si="3"/>
        <v>-0.34899999999999998</v>
      </c>
      <c r="L10" s="65">
        <f t="shared" si="3"/>
        <v>0.3</v>
      </c>
      <c r="M10" s="65">
        <f t="shared" si="3"/>
        <v>-0.34899999999999998</v>
      </c>
      <c r="N10" s="65">
        <f t="shared" si="3"/>
        <v>0.3</v>
      </c>
      <c r="O10" s="65">
        <f t="shared" si="3"/>
        <v>-0.34899999999999998</v>
      </c>
      <c r="P10" s="65">
        <f t="shared" si="3"/>
        <v>0.3</v>
      </c>
      <c r="Q10" s="65">
        <f t="shared" si="3"/>
        <v>-0.34899999999999998</v>
      </c>
      <c r="R10" s="65">
        <f t="shared" si="3"/>
        <v>0.3</v>
      </c>
      <c r="S10" s="65">
        <f t="shared" si="3"/>
        <v>-0.34899999999999998</v>
      </c>
      <c r="T10" s="65">
        <f t="shared" si="3"/>
        <v>0.3</v>
      </c>
      <c r="U10" s="65">
        <f t="shared" si="3"/>
        <v>-0.34899999999999998</v>
      </c>
      <c r="V10" s="65">
        <f t="shared" si="3"/>
        <v>0.3</v>
      </c>
      <c r="W10" s="65">
        <f t="shared" si="3"/>
        <v>-0.34899999999999998</v>
      </c>
      <c r="X10" s="65">
        <f t="shared" si="3"/>
        <v>0.3</v>
      </c>
      <c r="Y10" s="65">
        <f t="shared" si="3"/>
        <v>-0.34899999999999998</v>
      </c>
      <c r="Z10" s="65">
        <f t="shared" si="3"/>
        <v>0.3</v>
      </c>
      <c r="AA10" s="65">
        <f t="shared" si="3"/>
        <v>-0.34899999999999998</v>
      </c>
      <c r="AB10" s="6"/>
      <c r="AC10" s="6"/>
    </row>
    <row r="11" spans="1:29" x14ac:dyDescent="0.35">
      <c r="A11" t="s">
        <v>30</v>
      </c>
      <c r="B11" t="s">
        <v>31</v>
      </c>
      <c r="C11" t="s">
        <v>23</v>
      </c>
      <c r="D11">
        <f t="shared" ref="D11:AA11" si="4">SUM(D7:D10)</f>
        <v>167.28699999999998</v>
      </c>
      <c r="E11">
        <f t="shared" si="4"/>
        <v>174.91299999999998</v>
      </c>
      <c r="F11">
        <f t="shared" si="4"/>
        <v>212.41899999999998</v>
      </c>
      <c r="G11">
        <f t="shared" si="4"/>
        <v>223.58100000000002</v>
      </c>
      <c r="H11">
        <f t="shared" si="4"/>
        <v>261.20100000000002</v>
      </c>
      <c r="I11" s="83">
        <f t="shared" si="4"/>
        <v>302.29752600000006</v>
      </c>
      <c r="J11" s="83">
        <f t="shared" si="4"/>
        <v>279.11209381526112</v>
      </c>
      <c r="K11" s="83">
        <f t="shared" si="4"/>
        <v>54.676522480916027</v>
      </c>
      <c r="L11" s="83">
        <f t="shared" si="4"/>
        <v>291.53982508429112</v>
      </c>
      <c r="M11" s="83">
        <f t="shared" si="4"/>
        <v>349.98432130086678</v>
      </c>
      <c r="N11" s="83">
        <f t="shared" si="4"/>
        <v>304.22588853218861</v>
      </c>
      <c r="O11" s="83">
        <f t="shared" si="4"/>
        <v>375.27491273091124</v>
      </c>
      <c r="P11" s="83">
        <f t="shared" si="4"/>
        <v>317.19569270638686</v>
      </c>
      <c r="Q11" s="83">
        <f t="shared" si="4"/>
        <v>401.57580060692698</v>
      </c>
      <c r="R11" s="83">
        <f t="shared" si="4"/>
        <v>330.47273011236035</v>
      </c>
      <c r="S11" s="83">
        <f t="shared" si="4"/>
        <v>428.92248274927812</v>
      </c>
      <c r="T11" s="83">
        <f t="shared" si="4"/>
        <v>344.07902543591018</v>
      </c>
      <c r="U11" s="83">
        <f t="shared" si="4"/>
        <v>457.3515962811328</v>
      </c>
      <c r="V11" s="83">
        <f t="shared" si="4"/>
        <v>358.03548573443453</v>
      </c>
      <c r="W11" s="83">
        <f t="shared" si="4"/>
        <v>486.90095311463614</v>
      </c>
      <c r="X11" s="83">
        <f t="shared" si="4"/>
        <v>372.36217740481135</v>
      </c>
      <c r="Y11" s="83">
        <f t="shared" si="4"/>
        <v>517.6095763572074</v>
      </c>
      <c r="Z11" s="83">
        <f t="shared" si="4"/>
        <v>387.07854783494571</v>
      </c>
      <c r="AA11" s="83">
        <f t="shared" si="4"/>
        <v>549.51773769431179</v>
      </c>
    </row>
    <row r="12" spans="1:29" x14ac:dyDescent="0.35">
      <c r="B12" s="5"/>
    </row>
    <row r="13" spans="1:29" x14ac:dyDescent="0.35">
      <c r="D13" s="45"/>
      <c r="E13" s="4"/>
      <c r="F13" s="45"/>
      <c r="G13" s="4"/>
      <c r="H13" s="45"/>
      <c r="I13" s="4"/>
      <c r="J13" s="45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x14ac:dyDescent="0.35">
      <c r="D14" s="45"/>
      <c r="E14" s="4"/>
      <c r="F14" s="45"/>
      <c r="G14" s="4"/>
      <c r="H14" s="45"/>
      <c r="I14" s="4"/>
      <c r="J14" s="4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x14ac:dyDescent="0.35">
      <c r="A15" t="s">
        <v>35</v>
      </c>
      <c r="B15" t="s">
        <v>36</v>
      </c>
      <c r="C15" t="s">
        <v>23</v>
      </c>
      <c r="D15" s="51">
        <v>7.6580000000000004</v>
      </c>
      <c r="E15" s="51">
        <v>8.7419999999999973</v>
      </c>
      <c r="F15" s="51">
        <v>10.976000000000001</v>
      </c>
      <c r="G15" s="51">
        <v>8.7239999999999984</v>
      </c>
      <c r="H15" s="51">
        <v>11.893000000000001</v>
      </c>
      <c r="I15" s="38">
        <f t="shared" ref="I15:AA15" si="5">G15</f>
        <v>8.7239999999999984</v>
      </c>
      <c r="J15" s="38">
        <f t="shared" si="5"/>
        <v>11.893000000000001</v>
      </c>
      <c r="K15" s="38">
        <f t="shared" si="5"/>
        <v>8.7239999999999984</v>
      </c>
      <c r="L15" s="38">
        <f t="shared" si="5"/>
        <v>11.893000000000001</v>
      </c>
      <c r="M15" s="38">
        <f t="shared" si="5"/>
        <v>8.7239999999999984</v>
      </c>
      <c r="N15" s="38">
        <f t="shared" si="5"/>
        <v>11.893000000000001</v>
      </c>
      <c r="O15" s="38">
        <f t="shared" si="5"/>
        <v>8.7239999999999984</v>
      </c>
      <c r="P15" s="38">
        <f t="shared" si="5"/>
        <v>11.893000000000001</v>
      </c>
      <c r="Q15" s="38">
        <f t="shared" si="5"/>
        <v>8.7239999999999984</v>
      </c>
      <c r="R15" s="38">
        <f t="shared" si="5"/>
        <v>11.893000000000001</v>
      </c>
      <c r="S15" s="38">
        <f t="shared" si="5"/>
        <v>8.7239999999999984</v>
      </c>
      <c r="T15" s="38">
        <f t="shared" si="5"/>
        <v>11.893000000000001</v>
      </c>
      <c r="U15" s="38">
        <f t="shared" si="5"/>
        <v>8.7239999999999984</v>
      </c>
      <c r="V15" s="38">
        <f t="shared" si="5"/>
        <v>11.893000000000001</v>
      </c>
      <c r="W15" s="38">
        <f t="shared" si="5"/>
        <v>8.7239999999999984</v>
      </c>
      <c r="X15" s="38">
        <f t="shared" si="5"/>
        <v>11.893000000000001</v>
      </c>
      <c r="Y15" s="38">
        <f t="shared" si="5"/>
        <v>8.7239999999999984</v>
      </c>
      <c r="Z15" s="38">
        <f t="shared" si="5"/>
        <v>11.893000000000001</v>
      </c>
      <c r="AA15" s="38">
        <f t="shared" si="5"/>
        <v>8.7239999999999984</v>
      </c>
      <c r="AB15" s="4"/>
      <c r="AC15" s="4"/>
    </row>
    <row r="16" spans="1:29" x14ac:dyDescent="0.35">
      <c r="A16" t="s">
        <v>37</v>
      </c>
      <c r="B16" s="19" t="s">
        <v>38</v>
      </c>
      <c r="C16" s="19" t="s">
        <v>23</v>
      </c>
      <c r="D16" s="53">
        <v>2.573</v>
      </c>
      <c r="E16" s="53">
        <v>3.6269999999999998</v>
      </c>
      <c r="F16" s="53">
        <v>3.423</v>
      </c>
      <c r="G16" s="53">
        <v>5.4770000000000003</v>
      </c>
      <c r="H16" s="53">
        <v>3.343</v>
      </c>
      <c r="I16" s="73">
        <f t="shared" ref="I16:AA16" si="6">I128</f>
        <v>5.1280000000000001</v>
      </c>
      <c r="J16" s="73">
        <f t="shared" si="6"/>
        <v>3.6429999999999998</v>
      </c>
      <c r="K16" s="73">
        <f t="shared" si="6"/>
        <v>5.1280000000000001</v>
      </c>
      <c r="L16" s="73">
        <f t="shared" si="6"/>
        <v>3.6429999999999998</v>
      </c>
      <c r="M16" s="73">
        <f t="shared" si="6"/>
        <v>5.1280000000000001</v>
      </c>
      <c r="N16" s="73">
        <f t="shared" si="6"/>
        <v>3.6429999999999998</v>
      </c>
      <c r="O16" s="73">
        <f t="shared" si="6"/>
        <v>5.1280000000000001</v>
      </c>
      <c r="P16" s="73">
        <f t="shared" si="6"/>
        <v>3.6429999999999998</v>
      </c>
      <c r="Q16" s="73">
        <f t="shared" si="6"/>
        <v>5.1280000000000001</v>
      </c>
      <c r="R16" s="73">
        <f t="shared" si="6"/>
        <v>3.6429999999999998</v>
      </c>
      <c r="S16" s="73">
        <f t="shared" si="6"/>
        <v>5.1280000000000001</v>
      </c>
      <c r="T16" s="73">
        <f t="shared" si="6"/>
        <v>3.6429999999999998</v>
      </c>
      <c r="U16" s="73">
        <f t="shared" si="6"/>
        <v>5.1280000000000001</v>
      </c>
      <c r="V16" s="73">
        <f t="shared" si="6"/>
        <v>3.6429999999999998</v>
      </c>
      <c r="W16" s="73">
        <f t="shared" si="6"/>
        <v>5.1280000000000001</v>
      </c>
      <c r="X16" s="73">
        <f t="shared" si="6"/>
        <v>3.6429999999999998</v>
      </c>
      <c r="Y16" s="73">
        <f t="shared" si="6"/>
        <v>5.1280000000000001</v>
      </c>
      <c r="Z16" s="73">
        <f t="shared" si="6"/>
        <v>3.6429999999999998</v>
      </c>
      <c r="AA16" s="73">
        <f t="shared" si="6"/>
        <v>5.1280000000000001</v>
      </c>
      <c r="AB16" s="20"/>
      <c r="AC16" s="20"/>
    </row>
    <row r="17" spans="1:29" x14ac:dyDescent="0.35">
      <c r="A17" t="s">
        <v>39</v>
      </c>
      <c r="B17" t="s">
        <v>40</v>
      </c>
      <c r="C17" t="s">
        <v>23</v>
      </c>
      <c r="D17" s="51">
        <v>1.337</v>
      </c>
      <c r="E17" s="51">
        <v>-1.137</v>
      </c>
      <c r="F17" s="51">
        <v>0.312</v>
      </c>
      <c r="G17" s="51">
        <v>3.0880000000000001</v>
      </c>
      <c r="H17" s="51">
        <v>2.1269999999999998</v>
      </c>
      <c r="I17" s="84">
        <f t="shared" ref="I17:AA17" si="7">G17</f>
        <v>3.0880000000000001</v>
      </c>
      <c r="J17" s="84">
        <f t="shared" si="7"/>
        <v>2.1269999999999998</v>
      </c>
      <c r="K17" s="84">
        <f t="shared" si="7"/>
        <v>3.0880000000000001</v>
      </c>
      <c r="L17" s="84">
        <f t="shared" si="7"/>
        <v>2.1269999999999998</v>
      </c>
      <c r="M17" s="84">
        <f t="shared" si="7"/>
        <v>3.0880000000000001</v>
      </c>
      <c r="N17" s="84">
        <f t="shared" si="7"/>
        <v>2.1269999999999998</v>
      </c>
      <c r="O17" s="84">
        <f t="shared" si="7"/>
        <v>3.0880000000000001</v>
      </c>
      <c r="P17" s="84">
        <f t="shared" si="7"/>
        <v>2.1269999999999998</v>
      </c>
      <c r="Q17" s="84">
        <f t="shared" si="7"/>
        <v>3.0880000000000001</v>
      </c>
      <c r="R17" s="84">
        <f t="shared" si="7"/>
        <v>2.1269999999999998</v>
      </c>
      <c r="S17" s="84">
        <f t="shared" si="7"/>
        <v>3.0880000000000001</v>
      </c>
      <c r="T17" s="84">
        <f t="shared" si="7"/>
        <v>2.1269999999999998</v>
      </c>
      <c r="U17" s="84">
        <f t="shared" si="7"/>
        <v>3.0880000000000001</v>
      </c>
      <c r="V17" s="84">
        <f t="shared" si="7"/>
        <v>2.1269999999999998</v>
      </c>
      <c r="W17" s="84">
        <f t="shared" si="7"/>
        <v>3.0880000000000001</v>
      </c>
      <c r="X17" s="84">
        <f t="shared" si="7"/>
        <v>2.1269999999999998</v>
      </c>
      <c r="Y17" s="84">
        <f t="shared" si="7"/>
        <v>3.0880000000000001</v>
      </c>
      <c r="Z17" s="84">
        <f t="shared" si="7"/>
        <v>2.1269999999999998</v>
      </c>
      <c r="AA17" s="84">
        <f t="shared" si="7"/>
        <v>3.0880000000000001</v>
      </c>
    </row>
    <row r="18" spans="1:29" x14ac:dyDescent="0.35">
      <c r="A18" t="s">
        <v>41</v>
      </c>
      <c r="B18" s="5" t="s">
        <v>42</v>
      </c>
      <c r="C18" t="s">
        <v>23</v>
      </c>
      <c r="D18">
        <f t="shared" ref="D18:AA18" si="8">SUM(D15:D17)</f>
        <v>11.568</v>
      </c>
      <c r="E18">
        <f t="shared" si="8"/>
        <v>11.231999999999996</v>
      </c>
      <c r="F18">
        <f t="shared" si="8"/>
        <v>14.711</v>
      </c>
      <c r="G18">
        <f t="shared" si="8"/>
        <v>17.288999999999998</v>
      </c>
      <c r="H18">
        <f t="shared" si="8"/>
        <v>17.363</v>
      </c>
      <c r="I18" s="83">
        <f t="shared" si="8"/>
        <v>16.939999999999998</v>
      </c>
      <c r="J18" s="83">
        <f t="shared" si="8"/>
        <v>17.663</v>
      </c>
      <c r="K18" s="83">
        <f t="shared" si="8"/>
        <v>16.939999999999998</v>
      </c>
      <c r="L18" s="83">
        <f t="shared" si="8"/>
        <v>17.663</v>
      </c>
      <c r="M18" s="83">
        <f t="shared" si="8"/>
        <v>16.939999999999998</v>
      </c>
      <c r="N18" s="83">
        <f t="shared" si="8"/>
        <v>17.663</v>
      </c>
      <c r="O18" s="83">
        <f t="shared" si="8"/>
        <v>16.939999999999998</v>
      </c>
      <c r="P18" s="83">
        <f t="shared" si="8"/>
        <v>17.663</v>
      </c>
      <c r="Q18" s="83">
        <f t="shared" si="8"/>
        <v>16.939999999999998</v>
      </c>
      <c r="R18" s="83">
        <f t="shared" si="8"/>
        <v>17.663</v>
      </c>
      <c r="S18" s="83">
        <f t="shared" si="8"/>
        <v>16.939999999999998</v>
      </c>
      <c r="T18" s="83">
        <f t="shared" si="8"/>
        <v>17.663</v>
      </c>
      <c r="U18" s="83">
        <f t="shared" si="8"/>
        <v>16.939999999999998</v>
      </c>
      <c r="V18" s="83">
        <f t="shared" si="8"/>
        <v>17.663</v>
      </c>
      <c r="W18" s="83">
        <f t="shared" si="8"/>
        <v>16.939999999999998</v>
      </c>
      <c r="X18" s="83">
        <f t="shared" si="8"/>
        <v>17.663</v>
      </c>
      <c r="Y18" s="83">
        <f t="shared" si="8"/>
        <v>16.939999999999998</v>
      </c>
      <c r="Z18" s="83">
        <f t="shared" si="8"/>
        <v>17.663</v>
      </c>
      <c r="AA18" s="83">
        <f t="shared" si="8"/>
        <v>16.939999999999998</v>
      </c>
    </row>
    <row r="19" spans="1:29" x14ac:dyDescent="0.35"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x14ac:dyDescent="0.35"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x14ac:dyDescent="0.35">
      <c r="A21" t="s">
        <v>44</v>
      </c>
      <c r="B21" t="s">
        <v>45</v>
      </c>
      <c r="C21" t="s">
        <v>23</v>
      </c>
      <c r="D21" s="51">
        <v>-43.192</v>
      </c>
      <c r="E21" s="51">
        <v>-44.407999999999987</v>
      </c>
      <c r="F21" s="51">
        <v>-55.070999999999998</v>
      </c>
      <c r="G21" s="51">
        <v>-58.829000000000008</v>
      </c>
      <c r="H21" s="51">
        <v>-67.126000000000005</v>
      </c>
      <c r="I21" s="63">
        <f t="shared" ref="I21:AA21" si="9">(G21/(G11+G18))*(I11+I18)</f>
        <v>-77.96913030702872</v>
      </c>
      <c r="J21" s="63">
        <f t="shared" si="9"/>
        <v>-71.514355578765446</v>
      </c>
      <c r="K21" s="63">
        <f t="shared" si="9"/>
        <v>-17.491295723958192</v>
      </c>
      <c r="L21" s="63">
        <f t="shared" si="9"/>
        <v>-74.509085296765278</v>
      </c>
      <c r="M21" s="63">
        <f t="shared" si="9"/>
        <v>-89.615937633614394</v>
      </c>
      <c r="N21" s="63">
        <f t="shared" si="9"/>
        <v>-77.566065721384277</v>
      </c>
      <c r="O21" s="63">
        <f t="shared" si="9"/>
        <v>-95.792797363917401</v>
      </c>
      <c r="P21" s="63">
        <f t="shared" si="9"/>
        <v>-80.691419589785184</v>
      </c>
      <c r="Q21" s="63">
        <f t="shared" si="9"/>
        <v>-102.21640733136095</v>
      </c>
      <c r="R21" s="63">
        <f t="shared" si="9"/>
        <v>-83.890807927522204</v>
      </c>
      <c r="S21" s="63">
        <f t="shared" si="9"/>
        <v>-108.89543736313068</v>
      </c>
      <c r="T21" s="63">
        <f t="shared" si="9"/>
        <v>-87.169538057361677</v>
      </c>
      <c r="U21" s="63">
        <f t="shared" si="9"/>
        <v>-115.83883554457908</v>
      </c>
      <c r="V21" s="63">
        <f t="shared" si="9"/>
        <v>-90.532647985416801</v>
      </c>
      <c r="W21" s="63">
        <f t="shared" si="9"/>
        <v>-123.05583688620804</v>
      </c>
      <c r="X21" s="63">
        <f t="shared" si="9"/>
        <v>-93.984973142528673</v>
      </c>
      <c r="Y21" s="63">
        <f t="shared" si="9"/>
        <v>-130.55597221537823</v>
      </c>
      <c r="Z21" s="63">
        <f t="shared" si="9"/>
        <v>-97.53119979598425</v>
      </c>
      <c r="AA21" s="63">
        <f t="shared" si="9"/>
        <v>-138.34907730650841</v>
      </c>
      <c r="AB21" s="4"/>
      <c r="AC21" s="4"/>
    </row>
    <row r="22" spans="1:29" x14ac:dyDescent="0.35">
      <c r="A22" t="s">
        <v>46</v>
      </c>
      <c r="B22" s="19" t="s">
        <v>47</v>
      </c>
      <c r="C22" s="19" t="s">
        <v>23</v>
      </c>
      <c r="D22" s="20">
        <f t="shared" ref="D22:AA22" si="10">SUM(D21:D21)</f>
        <v>-43.192</v>
      </c>
      <c r="E22" s="20">
        <f t="shared" si="10"/>
        <v>-44.407999999999987</v>
      </c>
      <c r="F22" s="20">
        <f t="shared" si="10"/>
        <v>-55.070999999999998</v>
      </c>
      <c r="G22" s="20">
        <f t="shared" si="10"/>
        <v>-58.829000000000008</v>
      </c>
      <c r="H22" s="20">
        <f t="shared" si="10"/>
        <v>-67.126000000000005</v>
      </c>
      <c r="I22" s="73">
        <f t="shared" si="10"/>
        <v>-77.96913030702872</v>
      </c>
      <c r="J22" s="73">
        <f t="shared" si="10"/>
        <v>-71.514355578765446</v>
      </c>
      <c r="K22" s="73">
        <f t="shared" si="10"/>
        <v>-17.491295723958192</v>
      </c>
      <c r="L22" s="73">
        <f t="shared" si="10"/>
        <v>-74.509085296765278</v>
      </c>
      <c r="M22" s="73">
        <f t="shared" si="10"/>
        <v>-89.615937633614394</v>
      </c>
      <c r="N22" s="73">
        <f t="shared" si="10"/>
        <v>-77.566065721384277</v>
      </c>
      <c r="O22" s="73">
        <f t="shared" si="10"/>
        <v>-95.792797363917401</v>
      </c>
      <c r="P22" s="73">
        <f t="shared" si="10"/>
        <v>-80.691419589785184</v>
      </c>
      <c r="Q22" s="73">
        <f t="shared" si="10"/>
        <v>-102.21640733136095</v>
      </c>
      <c r="R22" s="73">
        <f t="shared" si="10"/>
        <v>-83.890807927522204</v>
      </c>
      <c r="S22" s="73">
        <f t="shared" si="10"/>
        <v>-108.89543736313068</v>
      </c>
      <c r="T22" s="73">
        <f t="shared" si="10"/>
        <v>-87.169538057361677</v>
      </c>
      <c r="U22" s="73">
        <f t="shared" si="10"/>
        <v>-115.83883554457908</v>
      </c>
      <c r="V22" s="73">
        <f t="shared" si="10"/>
        <v>-90.532647985416801</v>
      </c>
      <c r="W22" s="73">
        <f t="shared" si="10"/>
        <v>-123.05583688620804</v>
      </c>
      <c r="X22" s="73">
        <f t="shared" si="10"/>
        <v>-93.984973142528673</v>
      </c>
      <c r="Y22" s="73">
        <f t="shared" si="10"/>
        <v>-130.55597221537823</v>
      </c>
      <c r="Z22" s="73">
        <f t="shared" si="10"/>
        <v>-97.53119979598425</v>
      </c>
      <c r="AA22" s="73">
        <f t="shared" si="10"/>
        <v>-138.34907730650841</v>
      </c>
      <c r="AB22" s="20"/>
      <c r="AC22" s="20"/>
    </row>
    <row r="23" spans="1:29" x14ac:dyDescent="0.35"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 spans="1:29" x14ac:dyDescent="0.35"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 spans="1:29" x14ac:dyDescent="0.35">
      <c r="A25" t="s">
        <v>49</v>
      </c>
      <c r="B25" t="s">
        <v>48</v>
      </c>
      <c r="C25" t="s">
        <v>23</v>
      </c>
      <c r="D25" s="6">
        <f t="shared" ref="D25:AA25" si="11">D11+D18+D22</f>
        <v>135.66299999999998</v>
      </c>
      <c r="E25" s="6">
        <f t="shared" si="11"/>
        <v>141.73699999999999</v>
      </c>
      <c r="F25" s="6">
        <f t="shared" si="11"/>
        <v>172.059</v>
      </c>
      <c r="G25" s="6">
        <f t="shared" si="11"/>
        <v>182.041</v>
      </c>
      <c r="H25" s="6">
        <f t="shared" si="11"/>
        <v>211.43800000000002</v>
      </c>
      <c r="I25" s="74">
        <f t="shared" si="11"/>
        <v>241.26839569297135</v>
      </c>
      <c r="J25" s="74">
        <f t="shared" si="11"/>
        <v>225.26073823649568</v>
      </c>
      <c r="K25" s="74">
        <f t="shared" si="11"/>
        <v>54.125226756957829</v>
      </c>
      <c r="L25" s="74">
        <f t="shared" si="11"/>
        <v>234.69373978752586</v>
      </c>
      <c r="M25" s="74">
        <f t="shared" si="11"/>
        <v>277.30838366725237</v>
      </c>
      <c r="N25" s="74">
        <f t="shared" si="11"/>
        <v>244.32282281080433</v>
      </c>
      <c r="O25" s="74">
        <f t="shared" si="11"/>
        <v>296.42211536699381</v>
      </c>
      <c r="P25" s="74">
        <f t="shared" si="11"/>
        <v>254.16727311660168</v>
      </c>
      <c r="Q25" s="74">
        <f t="shared" si="11"/>
        <v>316.29939327556599</v>
      </c>
      <c r="R25" s="74">
        <f t="shared" si="11"/>
        <v>264.24492218483817</v>
      </c>
      <c r="S25" s="74">
        <f t="shared" si="11"/>
        <v>336.96704538614745</v>
      </c>
      <c r="T25" s="74">
        <f t="shared" si="11"/>
        <v>274.57248737854854</v>
      </c>
      <c r="U25" s="74">
        <f t="shared" si="11"/>
        <v>358.45276073655373</v>
      </c>
      <c r="V25" s="74">
        <f t="shared" si="11"/>
        <v>285.16583774901773</v>
      </c>
      <c r="W25" s="74">
        <f t="shared" si="11"/>
        <v>380.78511622842808</v>
      </c>
      <c r="X25" s="74">
        <f t="shared" si="11"/>
        <v>296.04020426228271</v>
      </c>
      <c r="Y25" s="74">
        <f t="shared" si="11"/>
        <v>403.99360414182911</v>
      </c>
      <c r="Z25" s="74">
        <f t="shared" si="11"/>
        <v>307.21034803896146</v>
      </c>
      <c r="AA25" s="74">
        <f t="shared" si="11"/>
        <v>428.10866038780341</v>
      </c>
      <c r="AB25" s="6"/>
      <c r="AC25" s="6"/>
    </row>
    <row r="26" spans="1:29" x14ac:dyDescent="0.35"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8" spans="1:29" x14ac:dyDescent="0.35">
      <c r="B28" s="5"/>
    </row>
    <row r="29" spans="1:29" x14ac:dyDescent="0.35">
      <c r="D29" s="18"/>
      <c r="E29" s="4"/>
      <c r="F29" s="18"/>
      <c r="G29" s="4"/>
      <c r="H29" s="18"/>
      <c r="I29" s="4"/>
      <c r="J29" s="18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x14ac:dyDescent="0.35">
      <c r="A30" t="s">
        <v>54</v>
      </c>
      <c r="B30" t="s">
        <v>55</v>
      </c>
      <c r="C30" t="s">
        <v>23</v>
      </c>
      <c r="D30" s="51">
        <v>-73.325999999999993</v>
      </c>
      <c r="E30" s="51">
        <v>-80.373999999999995</v>
      </c>
      <c r="F30" s="51">
        <v>-89.003</v>
      </c>
      <c r="G30" s="51">
        <v>-95.696999999999989</v>
      </c>
      <c r="H30" s="51">
        <v>-110.669</v>
      </c>
      <c r="I30" s="63">
        <f t="shared" ref="I30:AA30" si="12">(G30/(G11+G18))*(I11+I18)</f>
        <v>-126.83220627567567</v>
      </c>
      <c r="J30" s="63">
        <f t="shared" si="12"/>
        <v>-117.90397487629819</v>
      </c>
      <c r="K30" s="63">
        <f t="shared" si="12"/>
        <v>-28.453050823499062</v>
      </c>
      <c r="L30" s="63">
        <f t="shared" si="12"/>
        <v>-122.84131276566035</v>
      </c>
      <c r="M30" s="63">
        <f t="shared" si="12"/>
        <v>-145.77804116547949</v>
      </c>
      <c r="N30" s="63">
        <f t="shared" si="12"/>
        <v>-127.88128187766107</v>
      </c>
      <c r="O30" s="63">
        <f t="shared" si="12"/>
        <v>-155.82592478768635</v>
      </c>
      <c r="P30" s="63">
        <f t="shared" si="12"/>
        <v>-133.0339766198185</v>
      </c>
      <c r="Q30" s="63">
        <f t="shared" si="12"/>
        <v>-166.27519645734665</v>
      </c>
      <c r="R30" s="63">
        <f t="shared" si="12"/>
        <v>-138.30873018697605</v>
      </c>
      <c r="S30" s="63">
        <f t="shared" si="12"/>
        <v>-177.13995936255102</v>
      </c>
      <c r="T30" s="63">
        <f t="shared" si="12"/>
        <v>-143.71429263281235</v>
      </c>
      <c r="U30" s="63">
        <f t="shared" si="12"/>
        <v>-188.43476933331493</v>
      </c>
      <c r="V30" s="63">
        <f t="shared" si="12"/>
        <v>-149.25896999520444</v>
      </c>
      <c r="W30" s="63">
        <f t="shared" si="12"/>
        <v>-200.17464894013921</v>
      </c>
      <c r="X30" s="63">
        <f t="shared" si="12"/>
        <v>-154.95073433111622</v>
      </c>
      <c r="Y30" s="63">
        <f t="shared" si="12"/>
        <v>-212.37510195813371</v>
      </c>
      <c r="Z30" s="63">
        <f t="shared" si="12"/>
        <v>-160.79731177519565</v>
      </c>
      <c r="AA30" s="63">
        <f t="shared" si="12"/>
        <v>-225.05212821909146</v>
      </c>
      <c r="AB30" s="4"/>
      <c r="AC30" s="4"/>
    </row>
    <row r="31" spans="1:29" x14ac:dyDescent="0.35">
      <c r="A31" t="s">
        <v>56</v>
      </c>
      <c r="B31" t="s">
        <v>57</v>
      </c>
      <c r="C31" t="s">
        <v>23</v>
      </c>
      <c r="D31" s="51">
        <v>-25.346</v>
      </c>
      <c r="E31" s="51">
        <v>-35.253999999999998</v>
      </c>
      <c r="F31" s="51">
        <v>-25.864999999999998</v>
      </c>
      <c r="G31" s="51">
        <v>-27.734999999999999</v>
      </c>
      <c r="H31" s="51">
        <v>-28.718</v>
      </c>
      <c r="I31" s="63">
        <f t="shared" ref="I31:AA31" si="13">(G31/(G11+G18))*(I11+I18)</f>
        <v>-36.758636540914196</v>
      </c>
      <c r="J31" s="63">
        <f t="shared" si="13"/>
        <v>-30.595436395897057</v>
      </c>
      <c r="K31" s="63">
        <f t="shared" si="13"/>
        <v>-8.2462915722514474</v>
      </c>
      <c r="L31" s="63">
        <f t="shared" si="13"/>
        <v>-31.876648564676955</v>
      </c>
      <c r="M31" s="63">
        <f t="shared" si="13"/>
        <v>-42.249537307591403</v>
      </c>
      <c r="N31" s="63">
        <f t="shared" si="13"/>
        <v>-33.18449297420841</v>
      </c>
      <c r="O31" s="63">
        <f t="shared" si="13"/>
        <v>-45.16162496197876</v>
      </c>
      <c r="P31" s="63">
        <f t="shared" si="13"/>
        <v>-34.521589068013157</v>
      </c>
      <c r="Q31" s="63">
        <f t="shared" si="13"/>
        <v>-48.190043300673061</v>
      </c>
      <c r="R31" s="63">
        <f t="shared" si="13"/>
        <v>-35.890358759088627</v>
      </c>
      <c r="S31" s="63">
        <f t="shared" si="13"/>
        <v>-51.338879723714989</v>
      </c>
      <c r="T31" s="63">
        <f t="shared" si="13"/>
        <v>-37.293072638490507</v>
      </c>
      <c r="U31" s="63">
        <f t="shared" si="13"/>
        <v>-54.612352816279397</v>
      </c>
      <c r="V31" s="63">
        <f t="shared" si="13"/>
        <v>-38.73188607760332</v>
      </c>
      <c r="W31" s="63">
        <f t="shared" si="13"/>
        <v>-58.014816434734229</v>
      </c>
      <c r="X31" s="63">
        <f t="shared" si="13"/>
        <v>-40.208867781591927</v>
      </c>
      <c r="Y31" s="63">
        <f t="shared" si="13"/>
        <v>-61.550763898647176</v>
      </c>
      <c r="Z31" s="63">
        <f t="shared" si="13"/>
        <v>-41.726022640125692</v>
      </c>
      <c r="AA31" s="63">
        <f t="shared" si="13"/>
        <v>-65.224832295228708</v>
      </c>
      <c r="AB31" s="4"/>
      <c r="AC31" s="4"/>
    </row>
    <row r="32" spans="1:29" x14ac:dyDescent="0.35">
      <c r="A32" t="s">
        <v>58</v>
      </c>
      <c r="B32" t="s">
        <v>59</v>
      </c>
      <c r="C32" t="s">
        <v>23</v>
      </c>
      <c r="D32" s="51">
        <v>-8.5370000000000008</v>
      </c>
      <c r="E32" s="51">
        <v>-9.3629999999999978</v>
      </c>
      <c r="F32" s="51">
        <v>-11.302</v>
      </c>
      <c r="G32" s="51">
        <v>-9.9980000000000011</v>
      </c>
      <c r="H32" s="51">
        <v>-13.706</v>
      </c>
      <c r="I32" s="63">
        <f t="shared" ref="I32:AA32" si="14">(G32/(G11+G18))*(I11+I18)</f>
        <v>-13.250868870959442</v>
      </c>
      <c r="J32" s="63">
        <f t="shared" si="14"/>
        <v>-14.602028387846127</v>
      </c>
      <c r="K32" s="63">
        <f t="shared" si="14"/>
        <v>-2.9726491126508008</v>
      </c>
      <c r="L32" s="63">
        <f t="shared" si="14"/>
        <v>-15.213501818631602</v>
      </c>
      <c r="M32" s="63">
        <f t="shared" si="14"/>
        <v>-15.230246042952905</v>
      </c>
      <c r="N32" s="63">
        <f t="shared" si="14"/>
        <v>-15.837685796521363</v>
      </c>
      <c r="O32" s="63">
        <f t="shared" si="14"/>
        <v>-16.280004556331843</v>
      </c>
      <c r="P32" s="63">
        <f t="shared" si="14"/>
        <v>-16.475830481446771</v>
      </c>
      <c r="Q32" s="63">
        <f t="shared" si="14"/>
        <v>-17.371698320538282</v>
      </c>
      <c r="R32" s="63">
        <f t="shared" si="14"/>
        <v>-17.129091759595678</v>
      </c>
      <c r="S32" s="63">
        <f t="shared" si="14"/>
        <v>-18.506800774389848</v>
      </c>
      <c r="T32" s="63">
        <f t="shared" si="14"/>
        <v>-17.798553296996683</v>
      </c>
      <c r="U32" s="63">
        <f t="shared" si="14"/>
        <v>-19.68683264673378</v>
      </c>
      <c r="V32" s="63">
        <f t="shared" si="14"/>
        <v>-18.485243769748276</v>
      </c>
      <c r="W32" s="63">
        <f t="shared" si="14"/>
        <v>-20.913363429402303</v>
      </c>
      <c r="X32" s="63">
        <f t="shared" si="14"/>
        <v>-19.190150491486133</v>
      </c>
      <c r="Y32" s="63">
        <f t="shared" si="14"/>
        <v>-22.188012888360358</v>
      </c>
      <c r="Z32" s="63">
        <f t="shared" si="14"/>
        <v>-19.914230319157411</v>
      </c>
      <c r="AA32" s="63">
        <f t="shared" si="14"/>
        <v>-23.51245261538477</v>
      </c>
      <c r="AB32" s="4"/>
      <c r="AC32" s="4"/>
    </row>
    <row r="33" spans="1:29" x14ac:dyDescent="0.35">
      <c r="A33" t="s">
        <v>60</v>
      </c>
      <c r="B33" s="19" t="s">
        <v>61</v>
      </c>
      <c r="C33" s="19" t="s">
        <v>23</v>
      </c>
      <c r="D33" s="53">
        <v>-9.5500000000000007</v>
      </c>
      <c r="E33" s="53">
        <v>-8.3499999999999979</v>
      </c>
      <c r="F33" s="53">
        <v>-14.311</v>
      </c>
      <c r="G33" s="53">
        <v>-15.089</v>
      </c>
      <c r="H33" s="53">
        <v>-17.407</v>
      </c>
      <c r="I33" s="73">
        <f t="shared" ref="I33:AA33" si="15">(G33/(G11+G18))*(I11+I18)</f>
        <v>-19.998235686528005</v>
      </c>
      <c r="J33" s="73">
        <f t="shared" si="15"/>
        <v>-18.544980895026814</v>
      </c>
      <c r="K33" s="73">
        <f t="shared" si="15"/>
        <v>-4.4863275115811092</v>
      </c>
      <c r="L33" s="73">
        <f t="shared" si="15"/>
        <v>-19.321569105276541</v>
      </c>
      <c r="M33" s="73">
        <f t="shared" si="15"/>
        <v>-22.985515357283095</v>
      </c>
      <c r="N33" s="73">
        <f t="shared" si="15"/>
        <v>-20.114300062749695</v>
      </c>
      <c r="O33" s="73">
        <f t="shared" si="15"/>
        <v>-24.569812837616638</v>
      </c>
      <c r="P33" s="73">
        <f t="shared" si="15"/>
        <v>-20.924761505219895</v>
      </c>
      <c r="Q33" s="73">
        <f t="shared" si="15"/>
        <v>-26.217399075675349</v>
      </c>
      <c r="R33" s="73">
        <f t="shared" si="15"/>
        <v>-21.754421440192758</v>
      </c>
      <c r="S33" s="73">
        <f t="shared" si="15"/>
        <v>-27.930497788034447</v>
      </c>
      <c r="T33" s="73">
        <f t="shared" si="15"/>
        <v>-22.60465615356933</v>
      </c>
      <c r="U33" s="73">
        <f t="shared" si="15"/>
        <v>-29.711404061468894</v>
      </c>
      <c r="V33" s="73">
        <f t="shared" si="15"/>
        <v>-23.476772092514825</v>
      </c>
      <c r="W33" s="73">
        <f t="shared" si="15"/>
        <v>-31.562486575940319</v>
      </c>
      <c r="X33" s="73">
        <f t="shared" si="15"/>
        <v>-24.37202317271991</v>
      </c>
      <c r="Y33" s="73">
        <f t="shared" si="15"/>
        <v>-33.486189885223986</v>
      </c>
      <c r="Z33" s="73">
        <f t="shared" si="15"/>
        <v>-25.291624629036406</v>
      </c>
      <c r="AA33" s="73">
        <f t="shared" si="15"/>
        <v>-35.485036758705824</v>
      </c>
      <c r="AB33" s="20"/>
      <c r="AC33" s="20"/>
    </row>
    <row r="34" spans="1:29" x14ac:dyDescent="0.35">
      <c r="A34" t="s">
        <v>62</v>
      </c>
      <c r="B34" t="s">
        <v>63</v>
      </c>
      <c r="C34" t="s">
        <v>23</v>
      </c>
      <c r="D34" s="6">
        <f t="shared" ref="D34:AA34" si="16">SUM(D30:D33)</f>
        <v>-116.759</v>
      </c>
      <c r="E34" s="6">
        <f t="shared" si="16"/>
        <v>-133.34099999999998</v>
      </c>
      <c r="F34" s="6">
        <f t="shared" si="16"/>
        <v>-140.48099999999999</v>
      </c>
      <c r="G34" s="6">
        <f t="shared" si="16"/>
        <v>-148.51899999999998</v>
      </c>
      <c r="H34" s="6">
        <f t="shared" si="16"/>
        <v>-170.5</v>
      </c>
      <c r="I34" s="74">
        <f t="shared" si="16"/>
        <v>-196.83994737407733</v>
      </c>
      <c r="J34" s="74">
        <f t="shared" si="16"/>
        <v>-181.6464205550682</v>
      </c>
      <c r="K34" s="74">
        <f t="shared" si="16"/>
        <v>-44.158319019982414</v>
      </c>
      <c r="L34" s="74">
        <f t="shared" si="16"/>
        <v>-189.25303225424545</v>
      </c>
      <c r="M34" s="74">
        <f t="shared" si="16"/>
        <v>-226.24333987330689</v>
      </c>
      <c r="N34" s="74">
        <f t="shared" si="16"/>
        <v>-197.01776071114054</v>
      </c>
      <c r="O34" s="74">
        <f t="shared" si="16"/>
        <v>-241.83736714361359</v>
      </c>
      <c r="P34" s="74">
        <f t="shared" si="16"/>
        <v>-204.95615767449831</v>
      </c>
      <c r="Q34" s="74">
        <f t="shared" si="16"/>
        <v>-258.05433715423334</v>
      </c>
      <c r="R34" s="74">
        <f t="shared" si="16"/>
        <v>-213.08260214585312</v>
      </c>
      <c r="S34" s="74">
        <f t="shared" si="16"/>
        <v>-274.91613764869032</v>
      </c>
      <c r="T34" s="74">
        <f t="shared" si="16"/>
        <v>-221.41057472186887</v>
      </c>
      <c r="U34" s="74">
        <f t="shared" si="16"/>
        <v>-292.44535885779698</v>
      </c>
      <c r="V34" s="74">
        <f t="shared" si="16"/>
        <v>-229.95287193507087</v>
      </c>
      <c r="W34" s="74">
        <f t="shared" si="16"/>
        <v>-310.66531538021604</v>
      </c>
      <c r="X34" s="74">
        <f t="shared" si="16"/>
        <v>-238.72177577691417</v>
      </c>
      <c r="Y34" s="74">
        <f t="shared" si="16"/>
        <v>-329.60006863036523</v>
      </c>
      <c r="Z34" s="74">
        <f t="shared" si="16"/>
        <v>-247.72918936351516</v>
      </c>
      <c r="AA34" s="74">
        <f t="shared" si="16"/>
        <v>-349.27444988841074</v>
      </c>
      <c r="AB34" s="6"/>
      <c r="AC34" s="6"/>
    </row>
    <row r="35" spans="1:29" x14ac:dyDescent="0.35"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7" spans="1:29" x14ac:dyDescent="0.35">
      <c r="B37" s="5"/>
    </row>
    <row r="38" spans="1:29" x14ac:dyDescent="0.35">
      <c r="A38" t="s">
        <v>66</v>
      </c>
      <c r="B38" t="s">
        <v>67</v>
      </c>
      <c r="C38" t="s">
        <v>23</v>
      </c>
      <c r="D38" s="18">
        <f t="shared" ref="D38:AA38" si="17">D25+D34</f>
        <v>18.903999999999982</v>
      </c>
      <c r="E38" s="4">
        <f t="shared" si="17"/>
        <v>8.396000000000015</v>
      </c>
      <c r="F38" s="18">
        <f t="shared" si="17"/>
        <v>31.578000000000003</v>
      </c>
      <c r="G38" s="4">
        <f t="shared" si="17"/>
        <v>33.52200000000002</v>
      </c>
      <c r="H38" s="18">
        <f t="shared" si="17"/>
        <v>40.938000000000017</v>
      </c>
      <c r="I38" s="63">
        <f t="shared" si="17"/>
        <v>44.428448318894027</v>
      </c>
      <c r="J38" s="63">
        <f t="shared" si="17"/>
        <v>43.61431768142748</v>
      </c>
      <c r="K38" s="63">
        <f t="shared" si="17"/>
        <v>9.9669077369754149</v>
      </c>
      <c r="L38" s="63">
        <f t="shared" si="17"/>
        <v>45.440707533280403</v>
      </c>
      <c r="M38" s="63">
        <f t="shared" si="17"/>
        <v>51.065043793945478</v>
      </c>
      <c r="N38" s="63">
        <f t="shared" si="17"/>
        <v>47.305062099663786</v>
      </c>
      <c r="O38" s="63">
        <f t="shared" si="17"/>
        <v>54.584748223380217</v>
      </c>
      <c r="P38" s="63">
        <f t="shared" si="17"/>
        <v>49.211115442103363</v>
      </c>
      <c r="Q38" s="63">
        <f t="shared" si="17"/>
        <v>58.245056121332652</v>
      </c>
      <c r="R38" s="63">
        <f t="shared" si="17"/>
        <v>51.162320038985058</v>
      </c>
      <c r="S38" s="63">
        <f t="shared" si="17"/>
        <v>62.050907737457123</v>
      </c>
      <c r="T38" s="63">
        <f t="shared" si="17"/>
        <v>53.161912656679675</v>
      </c>
      <c r="U38" s="63">
        <f t="shared" si="17"/>
        <v>66.007401878756752</v>
      </c>
      <c r="V38" s="63">
        <f t="shared" si="17"/>
        <v>55.212965813946852</v>
      </c>
      <c r="W38" s="63">
        <f t="shared" si="17"/>
        <v>70.119800848212037</v>
      </c>
      <c r="X38" s="63">
        <f t="shared" si="17"/>
        <v>57.318428485368543</v>
      </c>
      <c r="Y38" s="63">
        <f t="shared" si="17"/>
        <v>74.393535511463881</v>
      </c>
      <c r="Z38" s="63">
        <f t="shared" si="17"/>
        <v>59.481158675446295</v>
      </c>
      <c r="AA38" s="63">
        <f t="shared" si="17"/>
        <v>78.834210499392668</v>
      </c>
      <c r="AB38" s="4"/>
      <c r="AC38" s="4"/>
    </row>
    <row r="39" spans="1:29" x14ac:dyDescent="0.35">
      <c r="D39" s="18"/>
      <c r="E39" s="4"/>
      <c r="F39" s="18"/>
      <c r="G39" s="4"/>
      <c r="H39" s="18"/>
      <c r="I39" s="4"/>
      <c r="J39" s="18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x14ac:dyDescent="0.35">
      <c r="D40" s="18"/>
      <c r="E40" s="4"/>
      <c r="F40" s="18"/>
      <c r="G40" s="4"/>
      <c r="H40" s="18"/>
      <c r="I40" s="4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x14ac:dyDescent="0.35">
      <c r="B41" s="23"/>
      <c r="D41" s="6"/>
      <c r="E41" s="6"/>
      <c r="F41" s="6"/>
      <c r="G41" s="6"/>
      <c r="H41" s="6"/>
      <c r="I41" s="6"/>
      <c r="J41" s="6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</row>
    <row r="42" spans="1:29" x14ac:dyDescent="0.35">
      <c r="B42" s="19"/>
      <c r="C42" s="19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spans="1:29" x14ac:dyDescent="0.35">
      <c r="A43" t="s">
        <v>71</v>
      </c>
      <c r="B43" t="s">
        <v>72</v>
      </c>
      <c r="C43" t="s">
        <v>23</v>
      </c>
      <c r="D43" s="51">
        <v>-3.6480000000000001</v>
      </c>
      <c r="E43" s="51">
        <v>-7.452</v>
      </c>
      <c r="F43" s="51">
        <v>-4.5869999999999997</v>
      </c>
      <c r="G43" s="51">
        <v>-4.4130000000000003</v>
      </c>
      <c r="H43" s="51">
        <v>-4.72</v>
      </c>
      <c r="I43" s="65">
        <f t="shared" ref="I43:AA43" si="18">G43</f>
        <v>-4.4130000000000003</v>
      </c>
      <c r="J43" s="65">
        <f t="shared" si="18"/>
        <v>-4.72</v>
      </c>
      <c r="K43" s="65">
        <f t="shared" si="18"/>
        <v>-4.4130000000000003</v>
      </c>
      <c r="L43" s="65">
        <f t="shared" si="18"/>
        <v>-4.72</v>
      </c>
      <c r="M43" s="65">
        <f t="shared" si="18"/>
        <v>-4.4130000000000003</v>
      </c>
      <c r="N43" s="65">
        <f t="shared" si="18"/>
        <v>-4.72</v>
      </c>
      <c r="O43" s="65">
        <f t="shared" si="18"/>
        <v>-4.4130000000000003</v>
      </c>
      <c r="P43" s="65">
        <f t="shared" si="18"/>
        <v>-4.72</v>
      </c>
      <c r="Q43" s="65">
        <f t="shared" si="18"/>
        <v>-4.4130000000000003</v>
      </c>
      <c r="R43" s="65">
        <f t="shared" si="18"/>
        <v>-4.72</v>
      </c>
      <c r="S43" s="65">
        <f t="shared" si="18"/>
        <v>-4.4130000000000003</v>
      </c>
      <c r="T43" s="65">
        <f t="shared" si="18"/>
        <v>-4.72</v>
      </c>
      <c r="U43" s="65">
        <f t="shared" si="18"/>
        <v>-4.4130000000000003</v>
      </c>
      <c r="V43" s="65">
        <f t="shared" si="18"/>
        <v>-4.72</v>
      </c>
      <c r="W43" s="65">
        <f t="shared" si="18"/>
        <v>-4.4130000000000003</v>
      </c>
      <c r="X43" s="65">
        <f t="shared" si="18"/>
        <v>-4.72</v>
      </c>
      <c r="Y43" s="65">
        <f t="shared" si="18"/>
        <v>-4.4130000000000003</v>
      </c>
      <c r="Z43" s="65">
        <f t="shared" si="18"/>
        <v>-4.72</v>
      </c>
      <c r="AA43" s="65">
        <f t="shared" si="18"/>
        <v>-4.4130000000000003</v>
      </c>
      <c r="AB43" s="6"/>
      <c r="AC43" s="6"/>
    </row>
    <row r="44" spans="1:29" x14ac:dyDescent="0.35">
      <c r="A44" t="s">
        <v>73</v>
      </c>
      <c r="B44" t="s">
        <v>74</v>
      </c>
      <c r="C44" t="s">
        <v>23</v>
      </c>
      <c r="D44" s="51">
        <v>-6.819</v>
      </c>
      <c r="E44" s="51">
        <v>-12.881</v>
      </c>
      <c r="F44" s="51">
        <v>0</v>
      </c>
      <c r="G44" s="51">
        <v>2.9</v>
      </c>
      <c r="H44" s="51">
        <v>1.885</v>
      </c>
      <c r="I44" s="65">
        <v>0</v>
      </c>
      <c r="J44" s="65">
        <v>0</v>
      </c>
      <c r="K44" s="65">
        <v>0</v>
      </c>
      <c r="L44" s="65">
        <v>0</v>
      </c>
      <c r="M44" s="65">
        <v>0</v>
      </c>
      <c r="N44" s="65">
        <v>0</v>
      </c>
      <c r="O44" s="65">
        <v>0</v>
      </c>
      <c r="P44" s="65">
        <v>0</v>
      </c>
      <c r="Q44" s="65">
        <v>0</v>
      </c>
      <c r="R44" s="65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5">
        <v>0</v>
      </c>
      <c r="Y44" s="65">
        <v>0</v>
      </c>
      <c r="Z44" s="65">
        <v>0</v>
      </c>
      <c r="AA44" s="65">
        <v>0</v>
      </c>
      <c r="AB44" s="6"/>
      <c r="AC44" s="6"/>
    </row>
    <row r="45" spans="1:29" x14ac:dyDescent="0.35">
      <c r="A45" t="s">
        <v>75</v>
      </c>
      <c r="B45" t="s">
        <v>76</v>
      </c>
      <c r="C45" t="s">
        <v>23</v>
      </c>
      <c r="D45" s="51">
        <v>8.2170000000000005</v>
      </c>
      <c r="E45" s="51">
        <v>8.8830000000000009</v>
      </c>
      <c r="F45" s="51">
        <v>9.3979999999999997</v>
      </c>
      <c r="G45" s="51">
        <v>9.1020000000000003</v>
      </c>
      <c r="H45" s="51">
        <v>10.766999999999999</v>
      </c>
      <c r="I45" s="65">
        <f t="shared" ref="I45:AA45" si="19">G45*(I101/G101)</f>
        <v>10.158482142857144</v>
      </c>
      <c r="J45" s="65">
        <f t="shared" si="19"/>
        <v>11.312164556962026</v>
      </c>
      <c r="K45" s="65">
        <f t="shared" si="19"/>
        <v>10.646089285714288</v>
      </c>
      <c r="L45" s="65">
        <f t="shared" si="19"/>
        <v>11.857329113924051</v>
      </c>
      <c r="M45" s="65">
        <f t="shared" si="19"/>
        <v>11.133696428571431</v>
      </c>
      <c r="N45" s="65">
        <f t="shared" si="19"/>
        <v>12.402493670886075</v>
      </c>
      <c r="O45" s="65">
        <f t="shared" si="19"/>
        <v>11.621303571428573</v>
      </c>
      <c r="P45" s="65">
        <f t="shared" si="19"/>
        <v>12.947658227848102</v>
      </c>
      <c r="Q45" s="65">
        <f t="shared" si="19"/>
        <v>12.108910714285715</v>
      </c>
      <c r="R45" s="65">
        <f t="shared" si="19"/>
        <v>13.492822784810127</v>
      </c>
      <c r="S45" s="65">
        <f t="shared" si="19"/>
        <v>12.596517857142857</v>
      </c>
      <c r="T45" s="65">
        <f t="shared" si="19"/>
        <v>14.037987341772153</v>
      </c>
      <c r="U45" s="65">
        <f t="shared" si="19"/>
        <v>13.084125</v>
      </c>
      <c r="V45" s="65">
        <f t="shared" si="19"/>
        <v>14.583151898734178</v>
      </c>
      <c r="W45" s="65">
        <f t="shared" si="19"/>
        <v>13.571732142857144</v>
      </c>
      <c r="X45" s="65">
        <f t="shared" si="19"/>
        <v>15.128316455696202</v>
      </c>
      <c r="Y45" s="65">
        <f t="shared" si="19"/>
        <v>14.059339285714287</v>
      </c>
      <c r="Z45" s="65">
        <f t="shared" si="19"/>
        <v>15.673481012658229</v>
      </c>
      <c r="AA45" s="65">
        <f t="shared" si="19"/>
        <v>14.546946428571431</v>
      </c>
      <c r="AB45" s="6"/>
      <c r="AC45" s="6"/>
    </row>
    <row r="46" spans="1:29" x14ac:dyDescent="0.35">
      <c r="A46" t="s">
        <v>77</v>
      </c>
      <c r="B46" t="s">
        <v>78</v>
      </c>
      <c r="C46" t="s">
        <v>23</v>
      </c>
      <c r="D46" s="51">
        <v>23.141999999999999</v>
      </c>
      <c r="E46" s="51">
        <v>24.358000000000001</v>
      </c>
      <c r="F46" s="51">
        <v>31.780999999999999</v>
      </c>
      <c r="G46" s="51">
        <v>34.219000000000001</v>
      </c>
      <c r="H46" s="51">
        <v>41.314</v>
      </c>
      <c r="I46" s="74">
        <f t="shared" ref="I46:AA46" si="20">I134</f>
        <v>48.768593024595837</v>
      </c>
      <c r="J46" s="74">
        <f t="shared" si="20"/>
        <v>43.262539416231043</v>
      </c>
      <c r="K46" s="74">
        <f t="shared" si="20"/>
        <v>52.004925513605883</v>
      </c>
      <c r="L46" s="74">
        <f t="shared" si="20"/>
        <v>45.588250821621372</v>
      </c>
      <c r="M46" s="74">
        <f t="shared" si="20"/>
        <v>55.364753323195679</v>
      </c>
      <c r="N46" s="74">
        <f t="shared" si="20"/>
        <v>47.986371553761622</v>
      </c>
      <c r="O46" s="74">
        <f t="shared" si="20"/>
        <v>58.8508334322362</v>
      </c>
      <c r="P46" s="74">
        <f t="shared" si="20"/>
        <v>50.461065422639741</v>
      </c>
      <c r="Q46" s="74">
        <f t="shared" si="20"/>
        <v>62.465842841392906</v>
      </c>
      <c r="R46" s="74">
        <f t="shared" si="20"/>
        <v>53.016361003931941</v>
      </c>
      <c r="S46" s="74">
        <f t="shared" si="20"/>
        <v>66.212358980566563</v>
      </c>
      <c r="T46" s="74">
        <f t="shared" si="20"/>
        <v>55.656197463525714</v>
      </c>
      <c r="U46" s="74">
        <f t="shared" si="20"/>
        <v>70.09283775988267</v>
      </c>
      <c r="V46" s="74">
        <f t="shared" si="20"/>
        <v>58.384460768027992</v>
      </c>
      <c r="W46" s="74">
        <f t="shared" si="20"/>
        <v>74.1095890253753</v>
      </c>
      <c r="X46" s="74">
        <f t="shared" si="20"/>
        <v>61.205012727900666</v>
      </c>
      <c r="Y46" s="74">
        <f t="shared" si="20"/>
        <v>78.264749154222955</v>
      </c>
      <c r="Z46" s="74">
        <f t="shared" si="20"/>
        <v>64.121714639730158</v>
      </c>
      <c r="AA46" s="74">
        <f t="shared" si="20"/>
        <v>82.560250496082773</v>
      </c>
      <c r="AB46" s="6"/>
      <c r="AC46" s="6"/>
    </row>
    <row r="47" spans="1:29" x14ac:dyDescent="0.35">
      <c r="A47" t="s">
        <v>79</v>
      </c>
      <c r="B47" t="s">
        <v>80</v>
      </c>
      <c r="C47" t="s">
        <v>23</v>
      </c>
      <c r="D47" s="51">
        <v>-3.0950000000000002</v>
      </c>
      <c r="E47" s="51">
        <v>-3.4049999999999998</v>
      </c>
      <c r="F47" s="51">
        <v>-5.0140000000000002</v>
      </c>
      <c r="G47" s="51">
        <v>-8.1859999999999999</v>
      </c>
      <c r="H47" s="51">
        <v>-8.3079999999999998</v>
      </c>
      <c r="I47" s="83">
        <f t="shared" ref="I47:AA47" si="21">I148</f>
        <v>-4.2542499999999999</v>
      </c>
      <c r="J47" s="83">
        <f t="shared" si="21"/>
        <v>-9.1044750773993801</v>
      </c>
      <c r="K47" s="83">
        <f t="shared" si="21"/>
        <v>-4.375799999999999</v>
      </c>
      <c r="L47" s="83">
        <f t="shared" si="21"/>
        <v>-8.6948250773993792</v>
      </c>
      <c r="M47" s="83">
        <f t="shared" si="21"/>
        <v>-4.3757999999999999</v>
      </c>
      <c r="N47" s="83">
        <f t="shared" si="21"/>
        <v>-8.28517507739938</v>
      </c>
      <c r="O47" s="83">
        <f t="shared" si="21"/>
        <v>-4.2542499999999999</v>
      </c>
      <c r="P47" s="83">
        <f t="shared" si="21"/>
        <v>-7.875525077399379</v>
      </c>
      <c r="Q47" s="83">
        <f t="shared" si="21"/>
        <v>-4.0111500000000007</v>
      </c>
      <c r="R47" s="83">
        <f t="shared" si="21"/>
        <v>-7.4658750773993798</v>
      </c>
      <c r="S47" s="83">
        <f t="shared" si="21"/>
        <v>-3.6465000000000005</v>
      </c>
      <c r="T47" s="83">
        <f t="shared" si="21"/>
        <v>-7.0562250773993789</v>
      </c>
      <c r="U47" s="83">
        <f t="shared" si="21"/>
        <v>-3.1603000000000003</v>
      </c>
      <c r="V47" s="83">
        <f t="shared" si="21"/>
        <v>-6.6465750773993797</v>
      </c>
      <c r="W47" s="83">
        <f t="shared" si="21"/>
        <v>-2.5525500000000005</v>
      </c>
      <c r="X47" s="83">
        <f t="shared" si="21"/>
        <v>-6.2369250773993796</v>
      </c>
      <c r="Y47" s="83">
        <f t="shared" si="21"/>
        <v>-1.8232500000000009</v>
      </c>
      <c r="Z47" s="83">
        <f t="shared" si="21"/>
        <v>-5.8272750773993796</v>
      </c>
      <c r="AA47" s="83">
        <f t="shared" si="21"/>
        <v>-0.97240000000000104</v>
      </c>
    </row>
    <row r="48" spans="1:29" x14ac:dyDescent="0.35">
      <c r="A48" t="s">
        <v>81</v>
      </c>
      <c r="B48" t="s">
        <v>82</v>
      </c>
      <c r="C48" t="s">
        <v>23</v>
      </c>
      <c r="D48" s="18">
        <f t="shared" ref="D48:AA48" si="22">D46+D47</f>
        <v>20.047000000000001</v>
      </c>
      <c r="E48" s="4">
        <f t="shared" si="22"/>
        <v>20.952999999999999</v>
      </c>
      <c r="F48" s="18">
        <f t="shared" si="22"/>
        <v>26.766999999999999</v>
      </c>
      <c r="G48" s="4">
        <f t="shared" si="22"/>
        <v>26.033000000000001</v>
      </c>
      <c r="H48" s="18">
        <f t="shared" si="22"/>
        <v>33.006</v>
      </c>
      <c r="I48" s="63">
        <f t="shared" si="22"/>
        <v>44.514343024595838</v>
      </c>
      <c r="J48" s="63">
        <f t="shared" si="22"/>
        <v>34.158064338831664</v>
      </c>
      <c r="K48" s="63">
        <f t="shared" si="22"/>
        <v>47.629125513605885</v>
      </c>
      <c r="L48" s="63">
        <f t="shared" si="22"/>
        <v>36.893425744221993</v>
      </c>
      <c r="M48" s="63">
        <f t="shared" si="22"/>
        <v>50.98895332319568</v>
      </c>
      <c r="N48" s="63">
        <f t="shared" si="22"/>
        <v>39.701196476362242</v>
      </c>
      <c r="O48" s="63">
        <f t="shared" si="22"/>
        <v>54.596583432236201</v>
      </c>
      <c r="P48" s="63">
        <f t="shared" si="22"/>
        <v>42.585540345240361</v>
      </c>
      <c r="Q48" s="63">
        <f t="shared" si="22"/>
        <v>58.454692841392905</v>
      </c>
      <c r="R48" s="63">
        <f t="shared" si="22"/>
        <v>45.550485926532559</v>
      </c>
      <c r="S48" s="63">
        <f t="shared" si="22"/>
        <v>62.56585898056656</v>
      </c>
      <c r="T48" s="63">
        <f t="shared" si="22"/>
        <v>48.599972386126339</v>
      </c>
      <c r="U48" s="63">
        <f t="shared" si="22"/>
        <v>66.932537759882663</v>
      </c>
      <c r="V48" s="63">
        <f t="shared" si="22"/>
        <v>51.737885690628616</v>
      </c>
      <c r="W48" s="63">
        <f t="shared" si="22"/>
        <v>71.557039025375303</v>
      </c>
      <c r="X48" s="63">
        <f t="shared" si="22"/>
        <v>54.968087650501289</v>
      </c>
      <c r="Y48" s="63">
        <f t="shared" si="22"/>
        <v>76.441499154222953</v>
      </c>
      <c r="Z48" s="63">
        <f t="shared" si="22"/>
        <v>58.29443956233078</v>
      </c>
      <c r="AA48" s="63">
        <f t="shared" si="22"/>
        <v>81.587850496082766</v>
      </c>
      <c r="AB48" s="4"/>
      <c r="AC48" s="4"/>
    </row>
    <row r="49" spans="1:29" x14ac:dyDescent="0.35">
      <c r="B49" s="19"/>
      <c r="C49" s="19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1" spans="1:29" x14ac:dyDescent="0.35">
      <c r="B51" s="5"/>
    </row>
    <row r="52" spans="1:29" x14ac:dyDescent="0.35">
      <c r="A52" t="s">
        <v>85</v>
      </c>
      <c r="B52" t="s">
        <v>86</v>
      </c>
      <c r="C52" t="s">
        <v>23</v>
      </c>
      <c r="D52" s="51">
        <v>-6.0620000000000003</v>
      </c>
      <c r="E52" s="51">
        <v>-6.9379999999999997</v>
      </c>
      <c r="F52" s="51">
        <v>-7.8319999999999999</v>
      </c>
      <c r="G52" s="51">
        <v>-11.468</v>
      </c>
      <c r="H52" s="51">
        <v>-11.468999999999999</v>
      </c>
      <c r="I52" s="63">
        <f t="shared" ref="I52:AA52" si="23">IF(G56=0,0,I56*(G52/G56))</f>
        <v>-15.19913624846598</v>
      </c>
      <c r="J52" s="63">
        <f t="shared" si="23"/>
        <v>-12.218784735167606</v>
      </c>
      <c r="K52" s="63">
        <f t="shared" si="23"/>
        <v>-3.4097159455770534</v>
      </c>
      <c r="L52" s="63">
        <f t="shared" si="23"/>
        <v>-12.730457635917542</v>
      </c>
      <c r="M52" s="63">
        <f t="shared" si="23"/>
        <v>-17.469540070072405</v>
      </c>
      <c r="N52" s="63">
        <f t="shared" si="23"/>
        <v>-13.252766554815665</v>
      </c>
      <c r="O52" s="63">
        <f t="shared" si="23"/>
        <v>-18.673643953992155</v>
      </c>
      <c r="P52" s="63">
        <f t="shared" si="23"/>
        <v>-13.786757609201297</v>
      </c>
      <c r="Q52" s="63">
        <f t="shared" si="23"/>
        <v>-19.92584880375405</v>
      </c>
      <c r="R52" s="63">
        <f t="shared" si="23"/>
        <v>-14.333398029388794</v>
      </c>
      <c r="S52" s="63">
        <f t="shared" si="23"/>
        <v>-21.227844697009679</v>
      </c>
      <c r="T52" s="63">
        <f t="shared" si="23"/>
        <v>-14.893594612815917</v>
      </c>
      <c r="U52" s="63">
        <f t="shared" si="23"/>
        <v>-22.581375954465194</v>
      </c>
      <c r="V52" s="63">
        <f t="shared" si="23"/>
        <v>-15.468208142072303</v>
      </c>
      <c r="W52" s="63">
        <f t="shared" si="23"/>
        <v>-23.988242829404438</v>
      </c>
      <c r="X52" s="63">
        <f t="shared" si="23"/>
        <v>-16.058064788184332</v>
      </c>
      <c r="Y52" s="63">
        <f t="shared" si="23"/>
        <v>-25.45030324101986</v>
      </c>
      <c r="Z52" s="63">
        <f t="shared" si="23"/>
        <v>-16.663965236423198</v>
      </c>
      <c r="AA52" s="63">
        <f t="shared" si="23"/>
        <v>-26.9694745542341</v>
      </c>
      <c r="AB52" s="4"/>
      <c r="AC52" s="4"/>
    </row>
    <row r="53" spans="1:29" x14ac:dyDescent="0.35">
      <c r="A53" t="s">
        <v>87</v>
      </c>
      <c r="B53" t="s">
        <v>88</v>
      </c>
      <c r="C53" t="s">
        <v>23</v>
      </c>
      <c r="D53" s="51">
        <v>-6.3239999999999998</v>
      </c>
      <c r="E53" s="51">
        <v>-4.8759999999999986</v>
      </c>
      <c r="F53" s="51">
        <v>-7.7430000000000003</v>
      </c>
      <c r="G53" s="51">
        <v>-6.157</v>
      </c>
      <c r="H53" s="51">
        <v>-8.0709999999999997</v>
      </c>
      <c r="I53" s="63">
        <f t="shared" ref="I53:AA53" si="24">IF(G56=0,0,I56*(G53/G56))</f>
        <v>-8.1601920022501773</v>
      </c>
      <c r="J53" s="63">
        <f t="shared" si="24"/>
        <v>-8.5986408228736391</v>
      </c>
      <c r="K53" s="63">
        <f t="shared" si="24"/>
        <v>-1.8306261838958771</v>
      </c>
      <c r="L53" s="63">
        <f t="shared" si="24"/>
        <v>-8.9587168523402649</v>
      </c>
      <c r="M53" s="63">
        <f t="shared" si="24"/>
        <v>-9.3791383163093638</v>
      </c>
      <c r="N53" s="63">
        <f t="shared" si="24"/>
        <v>-9.3262776932528766</v>
      </c>
      <c r="O53" s="63">
        <f t="shared" si="24"/>
        <v>-10.025603926118738</v>
      </c>
      <c r="P53" s="63">
        <f t="shared" si="24"/>
        <v>-9.7020595225271329</v>
      </c>
      <c r="Q53" s="63">
        <f t="shared" si="24"/>
        <v>-10.69789423480238</v>
      </c>
      <c r="R53" s="63">
        <f t="shared" si="24"/>
        <v>-10.08674300245854</v>
      </c>
      <c r="S53" s="63">
        <f t="shared" si="24"/>
        <v>-11.396916620115853</v>
      </c>
      <c r="T53" s="63">
        <f t="shared" si="24"/>
        <v>-10.480966267332576</v>
      </c>
      <c r="U53" s="63">
        <f t="shared" si="24"/>
        <v>-12.123607582110411</v>
      </c>
      <c r="V53" s="63">
        <f t="shared" si="24"/>
        <v>-10.885335069724091</v>
      </c>
      <c r="W53" s="63">
        <f t="shared" si="24"/>
        <v>-12.878933650213039</v>
      </c>
      <c r="X53" s="63">
        <f t="shared" si="24"/>
        <v>-11.300430805252054</v>
      </c>
      <c r="Y53" s="63">
        <f t="shared" si="24"/>
        <v>-13.663892313826237</v>
      </c>
      <c r="Z53" s="63">
        <f t="shared" si="24"/>
        <v>-11.726816934621299</v>
      </c>
      <c r="AA53" s="63">
        <f t="shared" si="24"/>
        <v>-14.47951297788798</v>
      </c>
      <c r="AB53" s="4"/>
      <c r="AC53" s="4"/>
    </row>
    <row r="54" spans="1:29" x14ac:dyDescent="0.35">
      <c r="A54" t="s">
        <v>89</v>
      </c>
      <c r="B54" s="19" t="s">
        <v>90</v>
      </c>
      <c r="C54" s="19" t="s">
        <v>23</v>
      </c>
      <c r="D54" s="53">
        <v>-1.4339999999999999</v>
      </c>
      <c r="E54" s="53">
        <v>-1.466</v>
      </c>
      <c r="F54" s="53">
        <v>-1.89</v>
      </c>
      <c r="G54" s="53">
        <v>-1.81</v>
      </c>
      <c r="H54" s="53">
        <v>-1.2310000000000001</v>
      </c>
      <c r="I54" s="73">
        <f t="shared" ref="I54:AA54" si="25">IF(G56=0,0,I56*(G54/G56))</f>
        <v>-2.3988870430522695</v>
      </c>
      <c r="J54" s="73">
        <f t="shared" si="25"/>
        <v>-1.3114765026585864</v>
      </c>
      <c r="K54" s="73">
        <f t="shared" si="25"/>
        <v>-0.53815712081395772</v>
      </c>
      <c r="L54" s="73">
        <f t="shared" si="25"/>
        <v>-1.3663957929910626</v>
      </c>
      <c r="M54" s="73">
        <f t="shared" si="25"/>
        <v>-2.7572259789702698</v>
      </c>
      <c r="N54" s="73">
        <f t="shared" si="25"/>
        <v>-1.4224566770405516</v>
      </c>
      <c r="O54" s="73">
        <f t="shared" si="25"/>
        <v>-2.9472702787518137</v>
      </c>
      <c r="P54" s="73">
        <f t="shared" si="25"/>
        <v>-1.479771437520865</v>
      </c>
      <c r="Q54" s="73">
        <f t="shared" si="25"/>
        <v>-3.1449063772928878</v>
      </c>
      <c r="R54" s="73">
        <f t="shared" si="25"/>
        <v>-1.5384438899797377</v>
      </c>
      <c r="S54" s="73">
        <f t="shared" si="25"/>
        <v>-3.3504010203686363</v>
      </c>
      <c r="T54" s="73">
        <f t="shared" si="25"/>
        <v>-1.5985713635344321</v>
      </c>
      <c r="U54" s="73">
        <f t="shared" si="25"/>
        <v>-3.5640295149618071</v>
      </c>
      <c r="V54" s="73">
        <f t="shared" si="25"/>
        <v>-1.6602462483992511</v>
      </c>
      <c r="W54" s="73">
        <f t="shared" si="25"/>
        <v>-3.7860759959210006</v>
      </c>
      <c r="X54" s="73">
        <f t="shared" si="25"/>
        <v>-1.7235572198321494</v>
      </c>
      <c r="Y54" s="73">
        <f t="shared" si="25"/>
        <v>-4.0168336995331311</v>
      </c>
      <c r="Z54" s="73">
        <f t="shared" si="25"/>
        <v>-1.7885902176333563</v>
      </c>
      <c r="AA54" s="73">
        <f t="shared" si="25"/>
        <v>-4.2566052444335298</v>
      </c>
      <c r="AB54" s="20"/>
      <c r="AC54" s="20"/>
    </row>
    <row r="55" spans="1:29" x14ac:dyDescent="0.35">
      <c r="A55" t="s">
        <v>91</v>
      </c>
      <c r="B55" s="23" t="s">
        <v>92</v>
      </c>
      <c r="C55" t="s">
        <v>23</v>
      </c>
      <c r="D55" s="51">
        <v>-2.08</v>
      </c>
      <c r="E55" s="51">
        <v>-1.92</v>
      </c>
      <c r="F55" s="51">
        <v>-1.615</v>
      </c>
      <c r="G55" s="51">
        <v>-1.1850000000000001</v>
      </c>
      <c r="H55" s="51">
        <v>-0.41</v>
      </c>
      <c r="I55" s="74">
        <f t="shared" ref="I55:AA55" si="26">IF(G56=0,0,I56*(G55/G56))</f>
        <v>-1.5705420696226184</v>
      </c>
      <c r="J55" s="74">
        <f t="shared" si="26"/>
        <v>-0.43680370925265666</v>
      </c>
      <c r="K55" s="74">
        <f t="shared" si="26"/>
        <v>-0.35232938572626515</v>
      </c>
      <c r="L55" s="74">
        <f t="shared" si="26"/>
        <v>-0.45509526817736445</v>
      </c>
      <c r="M55" s="74">
        <f t="shared" si="26"/>
        <v>-1.8051451851269447</v>
      </c>
      <c r="N55" s="74">
        <f t="shared" si="26"/>
        <v>-0.47376704921740542</v>
      </c>
      <c r="O55" s="74">
        <f t="shared" si="26"/>
        <v>-1.9295664532159664</v>
      </c>
      <c r="P55" s="74">
        <f t="shared" si="26"/>
        <v>-0.49285644953984936</v>
      </c>
      <c r="Q55" s="74">
        <f t="shared" si="26"/>
        <v>-2.0589580425923049</v>
      </c>
      <c r="R55" s="74">
        <f t="shared" si="26"/>
        <v>-0.51239804621583451</v>
      </c>
      <c r="S55" s="74">
        <f t="shared" si="26"/>
        <v>-2.1934945906833341</v>
      </c>
      <c r="T55" s="74">
        <f t="shared" si="26"/>
        <v>-0.53242425592942066</v>
      </c>
      <c r="U55" s="74">
        <f t="shared" si="26"/>
        <v>-2.3333563399059347</v>
      </c>
      <c r="V55" s="74">
        <f t="shared" si="26"/>
        <v>-0.55296585040105006</v>
      </c>
      <c r="W55" s="74">
        <f t="shared" si="26"/>
        <v>-2.4787293122466223</v>
      </c>
      <c r="X55" s="74">
        <f t="shared" si="26"/>
        <v>-0.57405236403832738</v>
      </c>
      <c r="Y55" s="74">
        <f t="shared" si="26"/>
        <v>-2.6298054883683766</v>
      </c>
      <c r="Z55" s="74">
        <f t="shared" si="26"/>
        <v>-0.59571242017032966</v>
      </c>
      <c r="AA55" s="74">
        <f t="shared" si="26"/>
        <v>-2.7867829915214002</v>
      </c>
      <c r="AB55" s="24"/>
      <c r="AC55" s="24"/>
    </row>
    <row r="56" spans="1:29" x14ac:dyDescent="0.35">
      <c r="A56" t="s">
        <v>93</v>
      </c>
      <c r="B56" t="s">
        <v>94</v>
      </c>
      <c r="C56" t="s">
        <v>23</v>
      </c>
      <c r="D56">
        <f>SUM(D52:D55)</f>
        <v>-15.899999999999999</v>
      </c>
      <c r="E56">
        <f>SUM(E52:E55)</f>
        <v>-15.199999999999998</v>
      </c>
      <c r="F56">
        <f>SUM(F52:F55)</f>
        <v>-19.079999999999998</v>
      </c>
      <c r="G56">
        <f>SUM(G52:G55)</f>
        <v>-20.619999999999997</v>
      </c>
      <c r="H56">
        <f>SUM(H52:H55)</f>
        <v>-21.181000000000001</v>
      </c>
      <c r="I56" s="83">
        <f t="shared" ref="I56:AA56" si="27">(G56/(G11+G18))*(I11+I18)</f>
        <v>-27.328757363391041</v>
      </c>
      <c r="J56" s="83">
        <f t="shared" si="27"/>
        <v>-22.565705769952491</v>
      </c>
      <c r="K56" s="83">
        <f t="shared" si="27"/>
        <v>-6.1308286360131525</v>
      </c>
      <c r="L56" s="83">
        <f t="shared" si="27"/>
        <v>-23.510665549426236</v>
      </c>
      <c r="M56" s="83">
        <f t="shared" si="27"/>
        <v>-31.411049550478978</v>
      </c>
      <c r="N56" s="83">
        <f t="shared" si="27"/>
        <v>-24.475267974326499</v>
      </c>
      <c r="O56" s="83">
        <f t="shared" si="27"/>
        <v>-33.576084612078667</v>
      </c>
      <c r="P56" s="83">
        <f t="shared" si="27"/>
        <v>-25.461445018789146</v>
      </c>
      <c r="Q56" s="83">
        <f t="shared" si="27"/>
        <v>-35.827607458441619</v>
      </c>
      <c r="R56" s="83">
        <f t="shared" si="27"/>
        <v>-26.470982968042907</v>
      </c>
      <c r="S56" s="83">
        <f t="shared" si="27"/>
        <v>-38.168656928177498</v>
      </c>
      <c r="T56" s="83">
        <f t="shared" si="27"/>
        <v>-27.505556499612346</v>
      </c>
      <c r="U56" s="83">
        <f t="shared" si="27"/>
        <v>-40.602369391443339</v>
      </c>
      <c r="V56" s="83">
        <f t="shared" si="27"/>
        <v>-28.566755310596694</v>
      </c>
      <c r="W56" s="83">
        <f t="shared" si="27"/>
        <v>-43.131981787785094</v>
      </c>
      <c r="X56" s="83">
        <f t="shared" si="27"/>
        <v>-29.656105177306863</v>
      </c>
      <c r="Y56" s="83">
        <f t="shared" si="27"/>
        <v>-45.760834742747598</v>
      </c>
      <c r="Z56" s="83">
        <f t="shared" si="27"/>
        <v>-30.775084808848181</v>
      </c>
      <c r="AA56" s="83">
        <f t="shared" si="27"/>
        <v>-48.492375768077004</v>
      </c>
    </row>
    <row r="57" spans="1:29" x14ac:dyDescent="0.35">
      <c r="B57" s="5"/>
    </row>
    <row r="58" spans="1:29" x14ac:dyDescent="0.35">
      <c r="B58" s="19"/>
      <c r="C58" s="19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spans="1:29" x14ac:dyDescent="0.35"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 spans="1:29" x14ac:dyDescent="0.35">
      <c r="A60" t="s">
        <v>99</v>
      </c>
      <c r="B60" t="s">
        <v>100</v>
      </c>
      <c r="C60" t="s">
        <v>23</v>
      </c>
      <c r="D60" s="6">
        <f t="shared" ref="D60:AA60" si="28">D38+D56</f>
        <v>3.0039999999999836</v>
      </c>
      <c r="E60" s="6">
        <f t="shared" si="28"/>
        <v>-6.8039999999999825</v>
      </c>
      <c r="F60" s="6">
        <f t="shared" si="28"/>
        <v>12.498000000000005</v>
      </c>
      <c r="G60" s="6">
        <f t="shared" si="28"/>
        <v>12.902000000000022</v>
      </c>
      <c r="H60" s="6">
        <f t="shared" si="28"/>
        <v>19.757000000000016</v>
      </c>
      <c r="I60" s="74">
        <f t="shared" si="28"/>
        <v>17.099690955502986</v>
      </c>
      <c r="J60" s="74">
        <f t="shared" si="28"/>
        <v>21.048611911474989</v>
      </c>
      <c r="K60" s="74">
        <f t="shared" si="28"/>
        <v>3.8360791009622623</v>
      </c>
      <c r="L60" s="74">
        <f t="shared" si="28"/>
        <v>21.930041983854167</v>
      </c>
      <c r="M60" s="74">
        <f t="shared" si="28"/>
        <v>19.653994243466499</v>
      </c>
      <c r="N60" s="74">
        <f t="shared" si="28"/>
        <v>22.829794125337287</v>
      </c>
      <c r="O60" s="74">
        <f t="shared" si="28"/>
        <v>21.00866361130155</v>
      </c>
      <c r="P60" s="74">
        <f t="shared" si="28"/>
        <v>23.749670423314218</v>
      </c>
      <c r="Q60" s="74">
        <f t="shared" si="28"/>
        <v>22.417448662891033</v>
      </c>
      <c r="R60" s="74">
        <f t="shared" si="28"/>
        <v>24.691337070942151</v>
      </c>
      <c r="S60" s="74">
        <f t="shared" si="28"/>
        <v>23.882250809279626</v>
      </c>
      <c r="T60" s="74">
        <f t="shared" si="28"/>
        <v>25.656356157067329</v>
      </c>
      <c r="U60" s="74">
        <f t="shared" si="28"/>
        <v>25.405032487313413</v>
      </c>
      <c r="V60" s="74">
        <f t="shared" si="28"/>
        <v>26.646210503350158</v>
      </c>
      <c r="W60" s="74">
        <f t="shared" si="28"/>
        <v>26.987819060426943</v>
      </c>
      <c r="X60" s="74">
        <f t="shared" si="28"/>
        <v>27.66232330806168</v>
      </c>
      <c r="Y60" s="74">
        <f t="shared" si="28"/>
        <v>28.632700768716283</v>
      </c>
      <c r="Z60" s="74">
        <f t="shared" si="28"/>
        <v>28.706073866598114</v>
      </c>
      <c r="AA60" s="74">
        <f t="shared" si="28"/>
        <v>30.341834731315664</v>
      </c>
      <c r="AB60" s="6"/>
      <c r="AC60" s="6"/>
    </row>
    <row r="62" spans="1:29" x14ac:dyDescent="0.35">
      <c r="B62" s="5"/>
    </row>
    <row r="63" spans="1:29" x14ac:dyDescent="0.35">
      <c r="D63" s="18"/>
      <c r="E63" s="4"/>
      <c r="F63" s="18"/>
      <c r="G63" s="4"/>
      <c r="H63" s="18"/>
      <c r="I63" s="4"/>
      <c r="J63" s="18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 spans="1:29" x14ac:dyDescent="0.35">
      <c r="D64" s="39"/>
      <c r="E64" s="4"/>
      <c r="F64" s="39"/>
      <c r="G64" s="4"/>
      <c r="H64" s="39"/>
      <c r="I64" s="4"/>
      <c r="J64" s="4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 spans="1:29" x14ac:dyDescent="0.35">
      <c r="A65" t="s">
        <v>104</v>
      </c>
      <c r="B65" t="s">
        <v>105</v>
      </c>
      <c r="C65" t="s">
        <v>23</v>
      </c>
      <c r="D65" s="51">
        <v>0.45900000000000002</v>
      </c>
      <c r="E65" s="51">
        <v>0.64100000000000001</v>
      </c>
      <c r="F65" s="51">
        <v>6.6319999999999997</v>
      </c>
      <c r="G65" s="51">
        <v>5.8680000000000003</v>
      </c>
      <c r="H65" s="51">
        <v>5.0510000000000002</v>
      </c>
      <c r="I65" s="38">
        <f t="shared" ref="I65:R66" si="29">G65</f>
        <v>5.8680000000000003</v>
      </c>
      <c r="J65" s="38">
        <f t="shared" si="29"/>
        <v>5.0510000000000002</v>
      </c>
      <c r="K65" s="38">
        <f t="shared" si="29"/>
        <v>5.8680000000000003</v>
      </c>
      <c r="L65" s="38">
        <f t="shared" si="29"/>
        <v>5.0510000000000002</v>
      </c>
      <c r="M65" s="38">
        <f t="shared" si="29"/>
        <v>5.8680000000000003</v>
      </c>
      <c r="N65" s="38">
        <f t="shared" si="29"/>
        <v>5.0510000000000002</v>
      </c>
      <c r="O65" s="38">
        <f t="shared" si="29"/>
        <v>5.8680000000000003</v>
      </c>
      <c r="P65" s="38">
        <f t="shared" si="29"/>
        <v>5.0510000000000002</v>
      </c>
      <c r="Q65" s="38">
        <f t="shared" si="29"/>
        <v>5.8680000000000003</v>
      </c>
      <c r="R65" s="38">
        <f t="shared" si="29"/>
        <v>5.0510000000000002</v>
      </c>
      <c r="S65" s="38">
        <f t="shared" ref="S65:AB66" si="30">Q65</f>
        <v>5.8680000000000003</v>
      </c>
      <c r="T65" s="38">
        <f t="shared" si="30"/>
        <v>5.0510000000000002</v>
      </c>
      <c r="U65" s="38">
        <f t="shared" si="30"/>
        <v>5.8680000000000003</v>
      </c>
      <c r="V65" s="38">
        <f t="shared" si="30"/>
        <v>5.0510000000000002</v>
      </c>
      <c r="W65" s="38">
        <f t="shared" si="30"/>
        <v>5.8680000000000003</v>
      </c>
      <c r="X65" s="38">
        <f t="shared" si="30"/>
        <v>5.0510000000000002</v>
      </c>
      <c r="Y65" s="38">
        <f t="shared" si="30"/>
        <v>5.8680000000000003</v>
      </c>
      <c r="Z65" s="38">
        <f t="shared" si="30"/>
        <v>5.0510000000000002</v>
      </c>
      <c r="AA65" s="38">
        <f t="shared" si="30"/>
        <v>5.8680000000000003</v>
      </c>
      <c r="AB65" s="4"/>
      <c r="AC65" s="4"/>
    </row>
    <row r="66" spans="1:29" x14ac:dyDescent="0.35">
      <c r="A66" t="s">
        <v>106</v>
      </c>
      <c r="B66" s="19" t="s">
        <v>107</v>
      </c>
      <c r="C66" s="19" t="s">
        <v>23</v>
      </c>
      <c r="D66" s="53">
        <v>1.8240000000000001</v>
      </c>
      <c r="E66" s="53">
        <v>2.976</v>
      </c>
      <c r="F66" s="53">
        <v>4.7519999999999998</v>
      </c>
      <c r="G66" s="53">
        <v>5.2480000000000002</v>
      </c>
      <c r="H66" s="53">
        <v>6.3780000000000001</v>
      </c>
      <c r="I66" s="85">
        <f t="shared" si="29"/>
        <v>5.2480000000000002</v>
      </c>
      <c r="J66" s="85">
        <f t="shared" si="29"/>
        <v>6.3780000000000001</v>
      </c>
      <c r="K66" s="85">
        <f t="shared" si="29"/>
        <v>5.2480000000000002</v>
      </c>
      <c r="L66" s="85">
        <f t="shared" si="29"/>
        <v>6.3780000000000001</v>
      </c>
      <c r="M66" s="85">
        <f t="shared" si="29"/>
        <v>5.2480000000000002</v>
      </c>
      <c r="N66" s="85">
        <f t="shared" si="29"/>
        <v>6.3780000000000001</v>
      </c>
      <c r="O66" s="85">
        <f t="shared" si="29"/>
        <v>5.2480000000000002</v>
      </c>
      <c r="P66" s="85">
        <f t="shared" si="29"/>
        <v>6.3780000000000001</v>
      </c>
      <c r="Q66" s="85">
        <f t="shared" si="29"/>
        <v>5.2480000000000002</v>
      </c>
      <c r="R66" s="85">
        <f t="shared" si="29"/>
        <v>6.3780000000000001</v>
      </c>
      <c r="S66" s="85">
        <f t="shared" si="30"/>
        <v>5.2480000000000002</v>
      </c>
      <c r="T66" s="85">
        <f t="shared" si="30"/>
        <v>6.3780000000000001</v>
      </c>
      <c r="U66" s="85">
        <f t="shared" si="30"/>
        <v>5.2480000000000002</v>
      </c>
      <c r="V66" s="85">
        <f t="shared" si="30"/>
        <v>6.3780000000000001</v>
      </c>
      <c r="W66" s="85">
        <f t="shared" si="30"/>
        <v>5.2480000000000002</v>
      </c>
      <c r="X66" s="85">
        <f t="shared" si="30"/>
        <v>6.3780000000000001</v>
      </c>
      <c r="Y66" s="85">
        <f t="shared" si="30"/>
        <v>5.2480000000000002</v>
      </c>
      <c r="Z66" s="85">
        <f t="shared" si="30"/>
        <v>6.3780000000000001</v>
      </c>
      <c r="AA66" s="85">
        <f t="shared" si="30"/>
        <v>5.2480000000000002</v>
      </c>
      <c r="AB66" s="20"/>
      <c r="AC66" s="20"/>
    </row>
    <row r="67" spans="1:29" x14ac:dyDescent="0.35">
      <c r="A67" t="s">
        <v>108</v>
      </c>
      <c r="B67" s="23" t="s">
        <v>109</v>
      </c>
      <c r="C67" t="s">
        <v>23</v>
      </c>
      <c r="D67" s="51">
        <v>4.3999999999999997E-2</v>
      </c>
      <c r="E67" s="51">
        <v>1.056</v>
      </c>
      <c r="F67" s="51">
        <v>6.0999999999999999E-2</v>
      </c>
      <c r="G67" s="51">
        <v>3.9000000000000007E-2</v>
      </c>
      <c r="H67" s="51">
        <v>3.0000000000000001E-3</v>
      </c>
      <c r="I67" s="65">
        <v>0</v>
      </c>
      <c r="J67" s="65">
        <v>0</v>
      </c>
      <c r="K67" s="65">
        <v>0</v>
      </c>
      <c r="L67" s="65">
        <v>0</v>
      </c>
      <c r="M67" s="65">
        <v>0</v>
      </c>
      <c r="N67" s="65">
        <v>0</v>
      </c>
      <c r="O67" s="65">
        <v>0</v>
      </c>
      <c r="P67" s="65">
        <v>0</v>
      </c>
      <c r="Q67" s="65">
        <v>0</v>
      </c>
      <c r="R67" s="65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65">
        <v>0</v>
      </c>
      <c r="Y67" s="65">
        <v>0</v>
      </c>
      <c r="Z67" s="65">
        <v>0</v>
      </c>
      <c r="AA67" s="65">
        <v>0</v>
      </c>
      <c r="AB67" s="24"/>
      <c r="AC67" s="24"/>
    </row>
    <row r="68" spans="1:29" x14ac:dyDescent="0.35">
      <c r="A68" t="s">
        <v>110</v>
      </c>
      <c r="B68" s="23" t="s">
        <v>111</v>
      </c>
      <c r="C68" t="s">
        <v>23</v>
      </c>
      <c r="D68" s="51">
        <v>-6.2610000000000001</v>
      </c>
      <c r="E68" s="51">
        <v>-7.1390000000000002</v>
      </c>
      <c r="F68" s="51">
        <v>-8.6859999999999999</v>
      </c>
      <c r="G68" s="51">
        <v>-10.114000000000001</v>
      </c>
      <c r="H68" s="51">
        <v>-11.946</v>
      </c>
      <c r="I68" s="65">
        <f t="shared" ref="I68:AA68" si="31">G68</f>
        <v>-10.114000000000001</v>
      </c>
      <c r="J68" s="65">
        <f t="shared" si="31"/>
        <v>-11.946</v>
      </c>
      <c r="K68" s="65">
        <f t="shared" si="31"/>
        <v>-10.114000000000001</v>
      </c>
      <c r="L68" s="65">
        <f t="shared" si="31"/>
        <v>-11.946</v>
      </c>
      <c r="M68" s="65">
        <f t="shared" si="31"/>
        <v>-10.114000000000001</v>
      </c>
      <c r="N68" s="65">
        <f t="shared" si="31"/>
        <v>-11.946</v>
      </c>
      <c r="O68" s="65">
        <f t="shared" si="31"/>
        <v>-10.114000000000001</v>
      </c>
      <c r="P68" s="65">
        <f t="shared" si="31"/>
        <v>-11.946</v>
      </c>
      <c r="Q68" s="65">
        <f t="shared" si="31"/>
        <v>-10.114000000000001</v>
      </c>
      <c r="R68" s="65">
        <f t="shared" si="31"/>
        <v>-11.946</v>
      </c>
      <c r="S68" s="65">
        <f t="shared" si="31"/>
        <v>-10.114000000000001</v>
      </c>
      <c r="T68" s="65">
        <f t="shared" si="31"/>
        <v>-11.946</v>
      </c>
      <c r="U68" s="65">
        <f t="shared" si="31"/>
        <v>-10.114000000000001</v>
      </c>
      <c r="V68" s="65">
        <f t="shared" si="31"/>
        <v>-11.946</v>
      </c>
      <c r="W68" s="65">
        <f t="shared" si="31"/>
        <v>-10.114000000000001</v>
      </c>
      <c r="X68" s="65">
        <f t="shared" si="31"/>
        <v>-11.946</v>
      </c>
      <c r="Y68" s="65">
        <f t="shared" si="31"/>
        <v>-10.114000000000001</v>
      </c>
      <c r="Z68" s="65">
        <f t="shared" si="31"/>
        <v>-11.946</v>
      </c>
      <c r="AA68" s="65">
        <f t="shared" si="31"/>
        <v>-10.114000000000001</v>
      </c>
      <c r="AB68" s="24"/>
      <c r="AC68" s="24"/>
    </row>
    <row r="69" spans="1:29" x14ac:dyDescent="0.35">
      <c r="A69" t="s">
        <v>112</v>
      </c>
      <c r="B69" s="23" t="s">
        <v>113</v>
      </c>
      <c r="C69" t="s">
        <v>23</v>
      </c>
      <c r="D69" s="51">
        <v>-0.14899999999999999</v>
      </c>
      <c r="E69" s="51">
        <v>-0.151</v>
      </c>
      <c r="F69" s="51">
        <v>-6.6000000000000003E-2</v>
      </c>
      <c r="G69" s="51">
        <v>-3.4000000000000002E-2</v>
      </c>
      <c r="H69" s="51">
        <v>-6.8000000000000005E-2</v>
      </c>
      <c r="I69" s="65">
        <v>0</v>
      </c>
      <c r="J69" s="65">
        <v>0</v>
      </c>
      <c r="K69" s="65">
        <v>0</v>
      </c>
      <c r="L69" s="65">
        <v>0</v>
      </c>
      <c r="M69" s="65">
        <v>0</v>
      </c>
      <c r="N69" s="65">
        <v>0</v>
      </c>
      <c r="O69" s="65">
        <v>0</v>
      </c>
      <c r="P69" s="65">
        <v>0</v>
      </c>
      <c r="Q69" s="65">
        <v>0</v>
      </c>
      <c r="R69" s="65">
        <v>0</v>
      </c>
      <c r="S69" s="65">
        <v>0</v>
      </c>
      <c r="T69" s="65">
        <v>0</v>
      </c>
      <c r="U69" s="65">
        <v>0</v>
      </c>
      <c r="V69" s="65">
        <v>0</v>
      </c>
      <c r="W69" s="65">
        <v>0</v>
      </c>
      <c r="X69" s="65">
        <v>0</v>
      </c>
      <c r="Y69" s="65">
        <v>0</v>
      </c>
      <c r="Z69" s="65">
        <v>0</v>
      </c>
      <c r="AA69" s="65">
        <v>0</v>
      </c>
      <c r="AB69" s="24"/>
      <c r="AC69" s="24"/>
    </row>
    <row r="70" spans="1:29" x14ac:dyDescent="0.35">
      <c r="A70" t="s">
        <v>114</v>
      </c>
      <c r="B70" t="s">
        <v>115</v>
      </c>
      <c r="C70" t="s">
        <v>23</v>
      </c>
      <c r="D70">
        <f t="shared" ref="D70:AA70" si="32">SUM(D65:D69)</f>
        <v>-4.0830000000000002</v>
      </c>
      <c r="E70">
        <f t="shared" si="32"/>
        <v>-2.617</v>
      </c>
      <c r="F70">
        <f t="shared" si="32"/>
        <v>2.6930000000000005</v>
      </c>
      <c r="G70">
        <f t="shared" si="32"/>
        <v>1.0069999999999986</v>
      </c>
      <c r="H70">
        <f t="shared" si="32"/>
        <v>-0.58199999999999941</v>
      </c>
      <c r="I70" s="83">
        <f t="shared" si="32"/>
        <v>1.0019999999999989</v>
      </c>
      <c r="J70" s="83">
        <f t="shared" si="32"/>
        <v>-0.51699999999999946</v>
      </c>
      <c r="K70" s="83">
        <f t="shared" si="32"/>
        <v>1.0019999999999989</v>
      </c>
      <c r="L70" s="83">
        <f t="shared" si="32"/>
        <v>-0.51699999999999946</v>
      </c>
      <c r="M70" s="83">
        <f t="shared" si="32"/>
        <v>1.0019999999999989</v>
      </c>
      <c r="N70" s="83">
        <f t="shared" si="32"/>
        <v>-0.51699999999999946</v>
      </c>
      <c r="O70" s="83">
        <f t="shared" si="32"/>
        <v>1.0019999999999989</v>
      </c>
      <c r="P70" s="83">
        <f t="shared" si="32"/>
        <v>-0.51699999999999946</v>
      </c>
      <c r="Q70" s="83">
        <f t="shared" si="32"/>
        <v>1.0019999999999989</v>
      </c>
      <c r="R70" s="83">
        <f t="shared" si="32"/>
        <v>-0.51699999999999946</v>
      </c>
      <c r="S70" s="83">
        <f t="shared" si="32"/>
        <v>1.0019999999999989</v>
      </c>
      <c r="T70" s="83">
        <f t="shared" si="32"/>
        <v>-0.51699999999999946</v>
      </c>
      <c r="U70" s="83">
        <f t="shared" si="32"/>
        <v>1.0019999999999989</v>
      </c>
      <c r="V70" s="83">
        <f t="shared" si="32"/>
        <v>-0.51699999999999946</v>
      </c>
      <c r="W70" s="83">
        <f t="shared" si="32"/>
        <v>1.0019999999999989</v>
      </c>
      <c r="X70" s="83">
        <f t="shared" si="32"/>
        <v>-0.51699999999999946</v>
      </c>
      <c r="Y70" s="83">
        <f t="shared" si="32"/>
        <v>1.0019999999999989</v>
      </c>
      <c r="Z70" s="83">
        <f t="shared" si="32"/>
        <v>-0.51699999999999946</v>
      </c>
      <c r="AA70" s="83">
        <f t="shared" si="32"/>
        <v>1.0019999999999989</v>
      </c>
    </row>
    <row r="71" spans="1:29" x14ac:dyDescent="0.35">
      <c r="B71" s="19"/>
      <c r="C71" s="19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spans="1:29" x14ac:dyDescent="0.35">
      <c r="D72" s="18"/>
      <c r="E72" s="4"/>
      <c r="F72" s="18"/>
      <c r="G72" s="4"/>
      <c r="H72" s="18"/>
      <c r="I72" s="4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 spans="1:29" x14ac:dyDescent="0.35">
      <c r="B73" s="23"/>
      <c r="D73" s="6"/>
      <c r="E73" s="6"/>
      <c r="F73" s="6"/>
      <c r="G73" s="6"/>
      <c r="H73" s="6"/>
      <c r="I73" s="6"/>
      <c r="J73" s="6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</row>
    <row r="74" spans="1:29" x14ac:dyDescent="0.35">
      <c r="B74" s="42"/>
      <c r="D74" s="18"/>
      <c r="E74" s="4"/>
      <c r="F74" s="18"/>
      <c r="G74" s="4"/>
      <c r="H74" s="18"/>
      <c r="I74" s="4"/>
      <c r="J74" s="18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</row>
    <row r="75" spans="1:29" x14ac:dyDescent="0.35">
      <c r="B75" s="19"/>
      <c r="C75" s="19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spans="1:29" x14ac:dyDescent="0.35">
      <c r="A76" t="s">
        <v>120</v>
      </c>
      <c r="B76" t="s">
        <v>121</v>
      </c>
      <c r="C76" t="s">
        <v>23</v>
      </c>
      <c r="D76" s="18">
        <f t="shared" ref="D76:AA76" si="33">D60+D70</f>
        <v>-1.0790000000000166</v>
      </c>
      <c r="E76" s="4">
        <f t="shared" si="33"/>
        <v>-9.4209999999999816</v>
      </c>
      <c r="F76" s="18">
        <f t="shared" si="33"/>
        <v>15.191000000000006</v>
      </c>
      <c r="G76" s="4">
        <f t="shared" si="33"/>
        <v>13.90900000000002</v>
      </c>
      <c r="H76" s="18">
        <f t="shared" si="33"/>
        <v>19.175000000000015</v>
      </c>
      <c r="I76" s="63">
        <f t="shared" si="33"/>
        <v>18.101690955502985</v>
      </c>
      <c r="J76" s="63">
        <f t="shared" si="33"/>
        <v>20.53161191147499</v>
      </c>
      <c r="K76" s="63">
        <f t="shared" si="33"/>
        <v>4.8380791009622612</v>
      </c>
      <c r="L76" s="63">
        <f t="shared" si="33"/>
        <v>21.413041983854168</v>
      </c>
      <c r="M76" s="63">
        <f t="shared" si="33"/>
        <v>20.655994243466498</v>
      </c>
      <c r="N76" s="63">
        <f t="shared" si="33"/>
        <v>22.312794125337287</v>
      </c>
      <c r="O76" s="63">
        <f t="shared" si="33"/>
        <v>22.010663611301549</v>
      </c>
      <c r="P76" s="63">
        <f t="shared" si="33"/>
        <v>23.232670423314218</v>
      </c>
      <c r="Q76" s="63">
        <f t="shared" si="33"/>
        <v>23.419448662891032</v>
      </c>
      <c r="R76" s="63">
        <f t="shared" si="33"/>
        <v>24.174337070942151</v>
      </c>
      <c r="S76" s="63">
        <f t="shared" si="33"/>
        <v>24.884250809279624</v>
      </c>
      <c r="T76" s="63">
        <f t="shared" si="33"/>
        <v>25.139356157067329</v>
      </c>
      <c r="U76" s="63">
        <f t="shared" si="33"/>
        <v>26.407032487313412</v>
      </c>
      <c r="V76" s="63">
        <f t="shared" si="33"/>
        <v>26.129210503350158</v>
      </c>
      <c r="W76" s="63">
        <f t="shared" si="33"/>
        <v>27.989819060426942</v>
      </c>
      <c r="X76" s="63">
        <f t="shared" si="33"/>
        <v>27.14532330806168</v>
      </c>
      <c r="Y76" s="63">
        <f t="shared" si="33"/>
        <v>29.634700768716282</v>
      </c>
      <c r="Z76" s="63">
        <f t="shared" si="33"/>
        <v>28.189073866598115</v>
      </c>
      <c r="AA76" s="63">
        <f t="shared" si="33"/>
        <v>31.343834731315663</v>
      </c>
      <c r="AB76" s="4"/>
      <c r="AC76" s="4"/>
    </row>
    <row r="77" spans="1:29" x14ac:dyDescent="0.35">
      <c r="A77" t="s">
        <v>122</v>
      </c>
      <c r="B77" s="19" t="s">
        <v>123</v>
      </c>
      <c r="C77" s="19" t="s">
        <v>23</v>
      </c>
      <c r="D77" s="53">
        <v>-2.8809999999999998</v>
      </c>
      <c r="E77" s="53">
        <v>0.68099999999999961</v>
      </c>
      <c r="F77" s="53">
        <v>-7.89</v>
      </c>
      <c r="G77" s="53">
        <v>-6.81</v>
      </c>
      <c r="H77" s="53">
        <v>-8.5950000000000006</v>
      </c>
      <c r="I77" s="73">
        <f t="shared" ref="I77:AA77" si="34">-I76*0.3</f>
        <v>-5.4305072866508954</v>
      </c>
      <c r="J77" s="73">
        <f t="shared" si="34"/>
        <v>-6.1594835734424969</v>
      </c>
      <c r="K77" s="73">
        <f t="shared" si="34"/>
        <v>-1.4514237302886783</v>
      </c>
      <c r="L77" s="73">
        <f t="shared" si="34"/>
        <v>-6.4239125951562501</v>
      </c>
      <c r="M77" s="73">
        <f t="shared" si="34"/>
        <v>-6.1967982730399491</v>
      </c>
      <c r="N77" s="73">
        <f t="shared" si="34"/>
        <v>-6.6938382376011862</v>
      </c>
      <c r="O77" s="73">
        <f t="shared" si="34"/>
        <v>-6.6031990833904644</v>
      </c>
      <c r="P77" s="73">
        <f t="shared" si="34"/>
        <v>-6.9698011269942652</v>
      </c>
      <c r="Q77" s="73">
        <f t="shared" si="34"/>
        <v>-7.0258345988673092</v>
      </c>
      <c r="R77" s="73">
        <f t="shared" si="34"/>
        <v>-7.2523011212826454</v>
      </c>
      <c r="S77" s="73">
        <f t="shared" si="34"/>
        <v>-7.4652752427838873</v>
      </c>
      <c r="T77" s="73">
        <f t="shared" si="34"/>
        <v>-7.5418068471201982</v>
      </c>
      <c r="U77" s="73">
        <f t="shared" si="34"/>
        <v>-7.9221097461940229</v>
      </c>
      <c r="V77" s="73">
        <f t="shared" si="34"/>
        <v>-7.8387631510050468</v>
      </c>
      <c r="W77" s="73">
        <f t="shared" si="34"/>
        <v>-8.396945718128082</v>
      </c>
      <c r="X77" s="73">
        <f t="shared" si="34"/>
        <v>-8.1435969924185034</v>
      </c>
      <c r="Y77" s="73">
        <f t="shared" si="34"/>
        <v>-8.8904102306148847</v>
      </c>
      <c r="Z77" s="73">
        <f t="shared" si="34"/>
        <v>-8.4567221599794333</v>
      </c>
      <c r="AA77" s="73">
        <f t="shared" si="34"/>
        <v>-9.4031504193946986</v>
      </c>
      <c r="AB77" s="20"/>
      <c r="AC77" s="20"/>
    </row>
    <row r="78" spans="1:29" x14ac:dyDescent="0.35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 spans="1:29" x14ac:dyDescent="0.35">
      <c r="A79" t="s">
        <v>125</v>
      </c>
      <c r="B79" t="s">
        <v>126</v>
      </c>
      <c r="C79" t="s">
        <v>23</v>
      </c>
      <c r="D79" s="51">
        <v>0</v>
      </c>
      <c r="E79" s="51">
        <v>0</v>
      </c>
      <c r="F79" s="51">
        <v>0</v>
      </c>
      <c r="G79" s="51">
        <v>0</v>
      </c>
      <c r="H79" s="51">
        <v>0</v>
      </c>
      <c r="I79" s="84">
        <v>0</v>
      </c>
      <c r="J79" s="84">
        <v>0</v>
      </c>
      <c r="K79" s="84">
        <v>0</v>
      </c>
      <c r="L79" s="84">
        <v>0</v>
      </c>
      <c r="M79" s="84">
        <v>0</v>
      </c>
      <c r="N79" s="84">
        <v>0</v>
      </c>
      <c r="O79" s="84">
        <v>0</v>
      </c>
      <c r="P79" s="84">
        <v>0</v>
      </c>
      <c r="Q79" s="84">
        <v>0</v>
      </c>
      <c r="R79" s="84">
        <v>0</v>
      </c>
      <c r="S79" s="84">
        <v>0</v>
      </c>
      <c r="T79" s="84">
        <v>0</v>
      </c>
      <c r="U79" s="84">
        <v>0</v>
      </c>
      <c r="V79" s="84">
        <v>0</v>
      </c>
      <c r="W79" s="84">
        <v>0</v>
      </c>
      <c r="X79" s="84">
        <v>0</v>
      </c>
      <c r="Y79" s="84">
        <v>0</v>
      </c>
      <c r="Z79" s="84">
        <v>0</v>
      </c>
      <c r="AA79" s="84">
        <v>0</v>
      </c>
    </row>
    <row r="80" spans="1:29" x14ac:dyDescent="0.35">
      <c r="A80" s="25" t="s">
        <v>127</v>
      </c>
      <c r="B80" s="26" t="s">
        <v>128</v>
      </c>
      <c r="C80" s="25" t="s">
        <v>23</v>
      </c>
      <c r="D80" s="25">
        <f t="shared" ref="D80:AA80" si="35">D76+D77+D79</f>
        <v>-3.9600000000000164</v>
      </c>
      <c r="E80" s="25">
        <f t="shared" si="35"/>
        <v>-8.7399999999999824</v>
      </c>
      <c r="F80" s="25">
        <f t="shared" si="35"/>
        <v>7.3010000000000064</v>
      </c>
      <c r="G80" s="25">
        <f t="shared" si="35"/>
        <v>7.0990000000000206</v>
      </c>
      <c r="H80" s="25">
        <f t="shared" si="35"/>
        <v>10.580000000000014</v>
      </c>
      <c r="I80" s="86">
        <f t="shared" si="35"/>
        <v>12.671183668852089</v>
      </c>
      <c r="J80" s="86">
        <f t="shared" si="35"/>
        <v>14.372128338032493</v>
      </c>
      <c r="K80" s="86">
        <f t="shared" si="35"/>
        <v>3.3866553706735827</v>
      </c>
      <c r="L80" s="86">
        <f t="shared" si="35"/>
        <v>14.989129388697918</v>
      </c>
      <c r="M80" s="86">
        <f t="shared" si="35"/>
        <v>14.459195970426549</v>
      </c>
      <c r="N80" s="86">
        <f t="shared" si="35"/>
        <v>15.618955887736101</v>
      </c>
      <c r="O80" s="86">
        <f t="shared" si="35"/>
        <v>15.407464527911085</v>
      </c>
      <c r="P80" s="86">
        <f t="shared" si="35"/>
        <v>16.262869296319952</v>
      </c>
      <c r="Q80" s="86">
        <f t="shared" si="35"/>
        <v>16.393614064023723</v>
      </c>
      <c r="R80" s="86">
        <f t="shared" si="35"/>
        <v>16.922035949659506</v>
      </c>
      <c r="S80" s="86">
        <f t="shared" si="35"/>
        <v>17.418975566495739</v>
      </c>
      <c r="T80" s="86">
        <f t="shared" si="35"/>
        <v>17.59754930994713</v>
      </c>
      <c r="U80" s="86">
        <f t="shared" si="35"/>
        <v>18.484922741119391</v>
      </c>
      <c r="V80" s="86">
        <f t="shared" si="35"/>
        <v>18.290447352345112</v>
      </c>
      <c r="W80" s="86">
        <f t="shared" si="35"/>
        <v>19.592873342298859</v>
      </c>
      <c r="X80" s="86">
        <f t="shared" si="35"/>
        <v>19.001726315643175</v>
      </c>
      <c r="Y80" s="86">
        <f t="shared" si="35"/>
        <v>20.744290538101396</v>
      </c>
      <c r="Z80" s="86">
        <f t="shared" si="35"/>
        <v>19.73235170661868</v>
      </c>
      <c r="AA80" s="86">
        <f t="shared" si="35"/>
        <v>21.940684311920965</v>
      </c>
      <c r="AB80" s="25"/>
      <c r="AC80" s="25"/>
    </row>
    <row r="81" spans="1:29" x14ac:dyDescent="0.35">
      <c r="A81" t="s">
        <v>129</v>
      </c>
      <c r="B81" t="s">
        <v>130</v>
      </c>
      <c r="C81" t="s">
        <v>23</v>
      </c>
      <c r="D81" s="51">
        <v>0</v>
      </c>
      <c r="E81" s="51">
        <v>0</v>
      </c>
      <c r="F81" s="51">
        <v>0</v>
      </c>
      <c r="G81" s="51">
        <v>0</v>
      </c>
      <c r="H81" s="51">
        <v>0</v>
      </c>
      <c r="I81" s="38">
        <v>0</v>
      </c>
      <c r="J81" s="38">
        <v>0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0</v>
      </c>
      <c r="T81" s="38">
        <v>0</v>
      </c>
      <c r="U81" s="38">
        <v>0</v>
      </c>
      <c r="V81" s="38">
        <v>0</v>
      </c>
      <c r="W81" s="38">
        <v>0</v>
      </c>
      <c r="X81" s="38">
        <v>0</v>
      </c>
      <c r="Y81" s="38">
        <v>0</v>
      </c>
      <c r="Z81" s="38">
        <v>0</v>
      </c>
      <c r="AA81" s="38">
        <v>0</v>
      </c>
      <c r="AB81" s="4"/>
      <c r="AC81" s="4"/>
    </row>
    <row r="82" spans="1:29" x14ac:dyDescent="0.35">
      <c r="A82" t="s">
        <v>131</v>
      </c>
      <c r="B82" t="s">
        <v>132</v>
      </c>
      <c r="C82" t="s">
        <v>23</v>
      </c>
      <c r="D82" s="18">
        <f t="shared" ref="D82:AA82" si="36">D80+D81</f>
        <v>-3.9600000000000164</v>
      </c>
      <c r="E82" s="4">
        <f t="shared" si="36"/>
        <v>-8.7399999999999824</v>
      </c>
      <c r="F82" s="18">
        <f t="shared" si="36"/>
        <v>7.3010000000000064</v>
      </c>
      <c r="G82" s="4">
        <f t="shared" si="36"/>
        <v>7.0990000000000206</v>
      </c>
      <c r="H82" s="18">
        <f t="shared" si="36"/>
        <v>10.580000000000014</v>
      </c>
      <c r="I82" s="63">
        <f t="shared" si="36"/>
        <v>12.671183668852089</v>
      </c>
      <c r="J82" s="63">
        <f t="shared" si="36"/>
        <v>14.372128338032493</v>
      </c>
      <c r="K82" s="63">
        <f t="shared" si="36"/>
        <v>3.3866553706735827</v>
      </c>
      <c r="L82" s="63">
        <f t="shared" si="36"/>
        <v>14.989129388697918</v>
      </c>
      <c r="M82" s="63">
        <f t="shared" si="36"/>
        <v>14.459195970426549</v>
      </c>
      <c r="N82" s="63">
        <f t="shared" si="36"/>
        <v>15.618955887736101</v>
      </c>
      <c r="O82" s="63">
        <f t="shared" si="36"/>
        <v>15.407464527911085</v>
      </c>
      <c r="P82" s="63">
        <f t="shared" si="36"/>
        <v>16.262869296319952</v>
      </c>
      <c r="Q82" s="63">
        <f t="shared" si="36"/>
        <v>16.393614064023723</v>
      </c>
      <c r="R82" s="63">
        <f t="shared" si="36"/>
        <v>16.922035949659506</v>
      </c>
      <c r="S82" s="63">
        <f t="shared" si="36"/>
        <v>17.418975566495739</v>
      </c>
      <c r="T82" s="63">
        <f t="shared" si="36"/>
        <v>17.59754930994713</v>
      </c>
      <c r="U82" s="63">
        <f t="shared" si="36"/>
        <v>18.484922741119391</v>
      </c>
      <c r="V82" s="63">
        <f t="shared" si="36"/>
        <v>18.290447352345112</v>
      </c>
      <c r="W82" s="63">
        <f t="shared" si="36"/>
        <v>19.592873342298859</v>
      </c>
      <c r="X82" s="63">
        <f t="shared" si="36"/>
        <v>19.001726315643175</v>
      </c>
      <c r="Y82" s="63">
        <f t="shared" si="36"/>
        <v>20.744290538101396</v>
      </c>
      <c r="Z82" s="63">
        <f t="shared" si="36"/>
        <v>19.73235170661868</v>
      </c>
      <c r="AA82" s="63">
        <f t="shared" si="36"/>
        <v>21.940684311920965</v>
      </c>
      <c r="AB82" s="4"/>
      <c r="AC82" s="4"/>
    </row>
    <row r="83" spans="1:29" x14ac:dyDescent="0.35">
      <c r="B83" s="19"/>
      <c r="C83" s="19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spans="1:29" x14ac:dyDescent="0.35">
      <c r="B84" s="8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 spans="1:29" x14ac:dyDescent="0.35">
      <c r="B85" s="8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 spans="1:29" x14ac:dyDescent="0.35">
      <c r="B86" s="8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 spans="1:29" x14ac:dyDescent="0.35">
      <c r="A87" t="s">
        <v>391</v>
      </c>
      <c r="B87" s="8" t="s">
        <v>392</v>
      </c>
      <c r="C87" t="s">
        <v>393</v>
      </c>
      <c r="D87" s="57">
        <v>-4.7</v>
      </c>
      <c r="E87" s="27"/>
      <c r="F87" s="57">
        <v>7.2</v>
      </c>
      <c r="G87" s="27"/>
      <c r="H87" s="57">
        <v>10.4</v>
      </c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 spans="1:29" x14ac:dyDescent="0.35">
      <c r="A88" t="s">
        <v>394</v>
      </c>
      <c r="B88" t="s">
        <v>395</v>
      </c>
      <c r="C88" t="s">
        <v>393</v>
      </c>
      <c r="D88" s="57">
        <v>-4.7</v>
      </c>
      <c r="E88" s="27"/>
      <c r="F88" s="57">
        <v>6.9</v>
      </c>
      <c r="G88" s="27"/>
      <c r="H88" s="57">
        <v>10.1</v>
      </c>
      <c r="I88" s="27"/>
      <c r="J88" s="28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 spans="1:29" x14ac:dyDescent="0.35">
      <c r="A89" t="s">
        <v>151</v>
      </c>
      <c r="B89" t="s">
        <v>152</v>
      </c>
      <c r="C89" t="s">
        <v>147</v>
      </c>
      <c r="D89" s="28"/>
      <c r="E89" s="27"/>
      <c r="F89" s="28"/>
      <c r="G89" s="27"/>
      <c r="H89" s="54">
        <v>7.3999999999999996E-2</v>
      </c>
      <c r="I89" s="81">
        <f t="shared" ref="I89:AA89" si="37">G89</f>
        <v>0</v>
      </c>
      <c r="J89" s="81">
        <f t="shared" si="37"/>
        <v>7.3999999999999996E-2</v>
      </c>
      <c r="K89" s="81">
        <f t="shared" si="37"/>
        <v>0</v>
      </c>
      <c r="L89" s="81">
        <f t="shared" si="37"/>
        <v>7.3999999999999996E-2</v>
      </c>
      <c r="M89" s="81">
        <f t="shared" si="37"/>
        <v>0</v>
      </c>
      <c r="N89" s="81">
        <f t="shared" si="37"/>
        <v>7.3999999999999996E-2</v>
      </c>
      <c r="O89" s="81">
        <f t="shared" si="37"/>
        <v>0</v>
      </c>
      <c r="P89" s="81">
        <f t="shared" si="37"/>
        <v>7.3999999999999996E-2</v>
      </c>
      <c r="Q89" s="81">
        <f t="shared" si="37"/>
        <v>0</v>
      </c>
      <c r="R89" s="81">
        <f t="shared" si="37"/>
        <v>7.3999999999999996E-2</v>
      </c>
      <c r="S89" s="81">
        <f t="shared" si="37"/>
        <v>0</v>
      </c>
      <c r="T89" s="81">
        <f t="shared" si="37"/>
        <v>7.3999999999999996E-2</v>
      </c>
      <c r="U89" s="81">
        <f t="shared" si="37"/>
        <v>0</v>
      </c>
      <c r="V89" s="81">
        <f t="shared" si="37"/>
        <v>7.3999999999999996E-2</v>
      </c>
      <c r="W89" s="81">
        <f t="shared" si="37"/>
        <v>0</v>
      </c>
      <c r="X89" s="81">
        <f t="shared" si="37"/>
        <v>7.3999999999999996E-2</v>
      </c>
      <c r="Y89" s="81">
        <f t="shared" si="37"/>
        <v>0</v>
      </c>
      <c r="Z89" s="81">
        <f t="shared" si="37"/>
        <v>7.3999999999999996E-2</v>
      </c>
      <c r="AA89" s="81">
        <f t="shared" si="37"/>
        <v>0</v>
      </c>
      <c r="AB89" s="27"/>
      <c r="AC89" s="27"/>
    </row>
    <row r="90" spans="1:29" x14ac:dyDescent="0.35">
      <c r="D90" s="6"/>
      <c r="E90" s="6"/>
      <c r="F90" s="6"/>
      <c r="G90" s="6"/>
      <c r="H90" s="6"/>
      <c r="I90" s="6"/>
      <c r="J90" s="2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2" spans="1:29" x14ac:dyDescent="0.35">
      <c r="A92" s="25"/>
      <c r="B92" s="26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</row>
    <row r="93" spans="1:29" x14ac:dyDescent="0.35">
      <c r="B93" s="8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 spans="1:29" x14ac:dyDescent="0.35">
      <c r="B94" s="23"/>
      <c r="D94" s="6"/>
      <c r="E94" s="6"/>
      <c r="F94" s="6"/>
      <c r="G94" s="6"/>
      <c r="H94" s="6"/>
      <c r="I94" s="6"/>
      <c r="J94" s="6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</row>
    <row r="95" spans="1:29" x14ac:dyDescent="0.35">
      <c r="B95" s="58" t="s">
        <v>396</v>
      </c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 spans="1:29" x14ac:dyDescent="0.35">
      <c r="B96" s="23"/>
      <c r="D96" s="6"/>
      <c r="E96" s="6"/>
      <c r="F96" s="6"/>
      <c r="G96" s="6"/>
      <c r="H96" s="6"/>
      <c r="I96" s="6"/>
      <c r="J96" s="6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</row>
    <row r="97" spans="1:29" x14ac:dyDescent="0.35">
      <c r="B97" s="58" t="s">
        <v>397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x14ac:dyDescent="0.35">
      <c r="A98" t="s">
        <v>398</v>
      </c>
      <c r="B98" s="23" t="s">
        <v>399</v>
      </c>
      <c r="C98" t="s">
        <v>174</v>
      </c>
      <c r="D98" s="29"/>
      <c r="E98" s="6"/>
      <c r="F98" s="29"/>
      <c r="G98" s="55">
        <v>117</v>
      </c>
      <c r="H98" s="55">
        <v>126</v>
      </c>
      <c r="I98" s="65">
        <v>135</v>
      </c>
      <c r="J98" s="65">
        <f t="shared" ref="J98:AA98" si="38">H98+9</f>
        <v>135</v>
      </c>
      <c r="K98" s="65">
        <f t="shared" si="38"/>
        <v>144</v>
      </c>
      <c r="L98" s="65">
        <f t="shared" si="38"/>
        <v>144</v>
      </c>
      <c r="M98" s="65">
        <f t="shared" si="38"/>
        <v>153</v>
      </c>
      <c r="N98" s="65">
        <f t="shared" si="38"/>
        <v>153</v>
      </c>
      <c r="O98" s="65">
        <f t="shared" si="38"/>
        <v>162</v>
      </c>
      <c r="P98" s="65">
        <f t="shared" si="38"/>
        <v>162</v>
      </c>
      <c r="Q98" s="65">
        <f t="shared" si="38"/>
        <v>171</v>
      </c>
      <c r="R98" s="65">
        <f t="shared" si="38"/>
        <v>171</v>
      </c>
      <c r="S98" s="65">
        <f t="shared" si="38"/>
        <v>180</v>
      </c>
      <c r="T98" s="65">
        <f t="shared" si="38"/>
        <v>180</v>
      </c>
      <c r="U98" s="65">
        <f t="shared" si="38"/>
        <v>189</v>
      </c>
      <c r="V98" s="65">
        <f t="shared" si="38"/>
        <v>189</v>
      </c>
      <c r="W98" s="65">
        <f t="shared" si="38"/>
        <v>198</v>
      </c>
      <c r="X98" s="65">
        <f t="shared" si="38"/>
        <v>198</v>
      </c>
      <c r="Y98" s="65">
        <f t="shared" si="38"/>
        <v>207</v>
      </c>
      <c r="Z98" s="65">
        <f t="shared" si="38"/>
        <v>207</v>
      </c>
      <c r="AA98" s="65">
        <f t="shared" si="38"/>
        <v>216</v>
      </c>
      <c r="AB98" s="24"/>
      <c r="AC98" s="24"/>
    </row>
    <row r="99" spans="1:29" x14ac:dyDescent="0.35">
      <c r="A99" t="s">
        <v>400</v>
      </c>
      <c r="B99" s="8" t="s">
        <v>401</v>
      </c>
      <c r="C99" t="s">
        <v>174</v>
      </c>
      <c r="D99" s="4"/>
      <c r="E99" s="4"/>
      <c r="F99" s="4"/>
      <c r="G99" s="55">
        <v>68</v>
      </c>
      <c r="H99" s="55">
        <v>73</v>
      </c>
      <c r="I99" s="38">
        <v>76</v>
      </c>
      <c r="J99" s="38">
        <f t="shared" ref="J99:AA99" si="39">H99+3</f>
        <v>76</v>
      </c>
      <c r="K99" s="38">
        <f t="shared" si="39"/>
        <v>79</v>
      </c>
      <c r="L99" s="38">
        <f t="shared" si="39"/>
        <v>79</v>
      </c>
      <c r="M99" s="38">
        <f t="shared" si="39"/>
        <v>82</v>
      </c>
      <c r="N99" s="38">
        <f t="shared" si="39"/>
        <v>82</v>
      </c>
      <c r="O99" s="38">
        <f t="shared" si="39"/>
        <v>85</v>
      </c>
      <c r="P99" s="38">
        <f t="shared" si="39"/>
        <v>85</v>
      </c>
      <c r="Q99" s="38">
        <f t="shared" si="39"/>
        <v>88</v>
      </c>
      <c r="R99" s="38">
        <f t="shared" si="39"/>
        <v>88</v>
      </c>
      <c r="S99" s="38">
        <f t="shared" si="39"/>
        <v>91</v>
      </c>
      <c r="T99" s="38">
        <f t="shared" si="39"/>
        <v>91</v>
      </c>
      <c r="U99" s="38">
        <f t="shared" si="39"/>
        <v>94</v>
      </c>
      <c r="V99" s="38">
        <f t="shared" si="39"/>
        <v>94</v>
      </c>
      <c r="W99" s="38">
        <f t="shared" si="39"/>
        <v>97</v>
      </c>
      <c r="X99" s="38">
        <f t="shared" si="39"/>
        <v>97</v>
      </c>
      <c r="Y99" s="38">
        <f t="shared" si="39"/>
        <v>100</v>
      </c>
      <c r="Z99" s="38">
        <f t="shared" si="39"/>
        <v>100</v>
      </c>
      <c r="AA99" s="38">
        <f t="shared" si="39"/>
        <v>103</v>
      </c>
      <c r="AB99" s="4"/>
      <c r="AC99" s="4"/>
    </row>
    <row r="100" spans="1:29" x14ac:dyDescent="0.35">
      <c r="A100" t="s">
        <v>402</v>
      </c>
      <c r="B100" s="8" t="s">
        <v>403</v>
      </c>
      <c r="C100" t="s">
        <v>174</v>
      </c>
      <c r="D100" s="4"/>
      <c r="E100" s="4"/>
      <c r="F100" s="4"/>
      <c r="G100" s="55">
        <v>39</v>
      </c>
      <c r="H100" s="55">
        <v>38</v>
      </c>
      <c r="I100" s="38">
        <f t="shared" ref="I100:AA100" si="40">G100</f>
        <v>39</v>
      </c>
      <c r="J100" s="38">
        <f t="shared" si="40"/>
        <v>38</v>
      </c>
      <c r="K100" s="38">
        <f t="shared" si="40"/>
        <v>39</v>
      </c>
      <c r="L100" s="38">
        <f t="shared" si="40"/>
        <v>38</v>
      </c>
      <c r="M100" s="38">
        <f t="shared" si="40"/>
        <v>39</v>
      </c>
      <c r="N100" s="38">
        <f t="shared" si="40"/>
        <v>38</v>
      </c>
      <c r="O100" s="38">
        <f t="shared" si="40"/>
        <v>39</v>
      </c>
      <c r="P100" s="38">
        <f t="shared" si="40"/>
        <v>38</v>
      </c>
      <c r="Q100" s="38">
        <f t="shared" si="40"/>
        <v>39</v>
      </c>
      <c r="R100" s="38">
        <f t="shared" si="40"/>
        <v>38</v>
      </c>
      <c r="S100" s="38">
        <f t="shared" si="40"/>
        <v>39</v>
      </c>
      <c r="T100" s="38">
        <f t="shared" si="40"/>
        <v>38</v>
      </c>
      <c r="U100" s="38">
        <f t="shared" si="40"/>
        <v>39</v>
      </c>
      <c r="V100" s="38">
        <f t="shared" si="40"/>
        <v>38</v>
      </c>
      <c r="W100" s="38">
        <f t="shared" si="40"/>
        <v>39</v>
      </c>
      <c r="X100" s="38">
        <f t="shared" si="40"/>
        <v>38</v>
      </c>
      <c r="Y100" s="38">
        <f t="shared" si="40"/>
        <v>39</v>
      </c>
      <c r="Z100" s="38">
        <f t="shared" si="40"/>
        <v>38</v>
      </c>
      <c r="AA100" s="38">
        <f t="shared" si="40"/>
        <v>39</v>
      </c>
      <c r="AB100" s="4"/>
      <c r="AC100" s="4"/>
    </row>
    <row r="101" spans="1:29" x14ac:dyDescent="0.35">
      <c r="A101" t="s">
        <v>404</v>
      </c>
      <c r="B101" s="23" t="s">
        <v>405</v>
      </c>
      <c r="C101" t="s">
        <v>174</v>
      </c>
      <c r="D101" s="6">
        <f t="shared" ref="D101:AA101" si="41">SUM(D98:D100)</f>
        <v>0</v>
      </c>
      <c r="E101" s="6">
        <f t="shared" si="41"/>
        <v>0</v>
      </c>
      <c r="F101" s="6">
        <f t="shared" si="41"/>
        <v>0</v>
      </c>
      <c r="G101" s="6">
        <f t="shared" si="41"/>
        <v>224</v>
      </c>
      <c r="H101" s="6">
        <f t="shared" si="41"/>
        <v>237</v>
      </c>
      <c r="I101" s="74">
        <f t="shared" si="41"/>
        <v>250</v>
      </c>
      <c r="J101" s="74">
        <f t="shared" si="41"/>
        <v>249</v>
      </c>
      <c r="K101" s="74">
        <f t="shared" si="41"/>
        <v>262</v>
      </c>
      <c r="L101" s="74">
        <f t="shared" si="41"/>
        <v>261</v>
      </c>
      <c r="M101" s="74">
        <f t="shared" si="41"/>
        <v>274</v>
      </c>
      <c r="N101" s="74">
        <f t="shared" si="41"/>
        <v>273</v>
      </c>
      <c r="O101" s="74">
        <f t="shared" si="41"/>
        <v>286</v>
      </c>
      <c r="P101" s="74">
        <f t="shared" si="41"/>
        <v>285</v>
      </c>
      <c r="Q101" s="74">
        <f t="shared" si="41"/>
        <v>298</v>
      </c>
      <c r="R101" s="74">
        <f t="shared" si="41"/>
        <v>297</v>
      </c>
      <c r="S101" s="74">
        <f t="shared" si="41"/>
        <v>310</v>
      </c>
      <c r="T101" s="74">
        <f t="shared" si="41"/>
        <v>309</v>
      </c>
      <c r="U101" s="74">
        <f t="shared" si="41"/>
        <v>322</v>
      </c>
      <c r="V101" s="74">
        <f t="shared" si="41"/>
        <v>321</v>
      </c>
      <c r="W101" s="74">
        <f t="shared" si="41"/>
        <v>334</v>
      </c>
      <c r="X101" s="74">
        <f t="shared" si="41"/>
        <v>333</v>
      </c>
      <c r="Y101" s="74">
        <f t="shared" si="41"/>
        <v>346</v>
      </c>
      <c r="Z101" s="74">
        <f t="shared" si="41"/>
        <v>345</v>
      </c>
      <c r="AA101" s="74">
        <f t="shared" si="41"/>
        <v>358</v>
      </c>
      <c r="AB101" s="24"/>
      <c r="AC101" s="24"/>
    </row>
    <row r="102" spans="1:29" x14ac:dyDescent="0.35">
      <c r="A102" t="s">
        <v>406</v>
      </c>
      <c r="B102" s="8" t="s">
        <v>407</v>
      </c>
      <c r="C102" t="s">
        <v>23</v>
      </c>
      <c r="D102" s="27"/>
      <c r="E102" s="27"/>
      <c r="F102" s="51">
        <v>6.9</v>
      </c>
      <c r="G102" s="27"/>
      <c r="H102" s="51">
        <v>6.9</v>
      </c>
      <c r="I102" s="81">
        <v>6.9</v>
      </c>
      <c r="J102" s="81">
        <f t="shared" ref="J102:AA102" si="42">H102*(1+J103)</f>
        <v>7.0724999999999998</v>
      </c>
      <c r="K102" s="81">
        <f t="shared" si="42"/>
        <v>7.0724999999999998</v>
      </c>
      <c r="L102" s="81">
        <f t="shared" si="42"/>
        <v>7.2493124999999994</v>
      </c>
      <c r="M102" s="81">
        <f t="shared" si="42"/>
        <v>7.2493124999999994</v>
      </c>
      <c r="N102" s="81">
        <f t="shared" si="42"/>
        <v>7.4305453124999987</v>
      </c>
      <c r="O102" s="81">
        <f t="shared" si="42"/>
        <v>7.4305453124999987</v>
      </c>
      <c r="P102" s="81">
        <f t="shared" si="42"/>
        <v>7.6163089453124977</v>
      </c>
      <c r="Q102" s="81">
        <f t="shared" si="42"/>
        <v>7.6163089453124977</v>
      </c>
      <c r="R102" s="81">
        <f t="shared" si="42"/>
        <v>7.8067166689453096</v>
      </c>
      <c r="S102" s="81">
        <f t="shared" si="42"/>
        <v>7.8067166689453096</v>
      </c>
      <c r="T102" s="81">
        <f t="shared" si="42"/>
        <v>8.0018845856689413</v>
      </c>
      <c r="U102" s="81">
        <f t="shared" si="42"/>
        <v>8.0018845856689413</v>
      </c>
      <c r="V102" s="81">
        <f t="shared" si="42"/>
        <v>8.2019317003106647</v>
      </c>
      <c r="W102" s="81">
        <f t="shared" si="42"/>
        <v>8.2019317003106647</v>
      </c>
      <c r="X102" s="81">
        <f t="shared" si="42"/>
        <v>8.4069799928184299</v>
      </c>
      <c r="Y102" s="81">
        <f t="shared" si="42"/>
        <v>8.4069799928184299</v>
      </c>
      <c r="Z102" s="81">
        <f t="shared" si="42"/>
        <v>8.6171544926388908</v>
      </c>
      <c r="AA102" s="81">
        <f t="shared" si="42"/>
        <v>8.6171544926388908</v>
      </c>
      <c r="AB102" s="27"/>
      <c r="AC102" s="27"/>
    </row>
    <row r="103" spans="1:29" x14ac:dyDescent="0.35">
      <c r="A103" t="s">
        <v>408</v>
      </c>
      <c r="B103" s="19" t="s">
        <v>409</v>
      </c>
      <c r="C103" s="19" t="s">
        <v>52</v>
      </c>
      <c r="D103" s="20"/>
      <c r="E103" s="20"/>
      <c r="F103" s="20"/>
      <c r="G103" s="20"/>
      <c r="H103" s="20"/>
      <c r="I103" s="85">
        <v>2.5000000000000001E-2</v>
      </c>
      <c r="J103" s="85">
        <v>2.5000000000000001E-2</v>
      </c>
      <c r="K103" s="85">
        <v>2.5000000000000001E-2</v>
      </c>
      <c r="L103" s="85">
        <v>2.5000000000000001E-2</v>
      </c>
      <c r="M103" s="85">
        <v>2.5000000000000001E-2</v>
      </c>
      <c r="N103" s="85">
        <v>2.5000000000000001E-2</v>
      </c>
      <c r="O103" s="85">
        <v>2.5000000000000001E-2</v>
      </c>
      <c r="P103" s="85">
        <v>2.5000000000000001E-2</v>
      </c>
      <c r="Q103" s="85">
        <v>2.5000000000000001E-2</v>
      </c>
      <c r="R103" s="85">
        <v>2.5000000000000001E-2</v>
      </c>
      <c r="S103" s="85">
        <v>2.5000000000000001E-2</v>
      </c>
      <c r="T103" s="85">
        <v>2.5000000000000001E-2</v>
      </c>
      <c r="U103" s="85">
        <v>2.5000000000000001E-2</v>
      </c>
      <c r="V103" s="85">
        <v>2.5000000000000001E-2</v>
      </c>
      <c r="W103" s="85">
        <v>2.5000000000000001E-2</v>
      </c>
      <c r="X103" s="85">
        <v>2.5000000000000001E-2</v>
      </c>
      <c r="Y103" s="85">
        <v>2.5000000000000001E-2</v>
      </c>
      <c r="Z103" s="85">
        <v>2.5000000000000001E-2</v>
      </c>
      <c r="AA103" s="85">
        <v>2.5000000000000001E-2</v>
      </c>
      <c r="AB103" s="20"/>
      <c r="AC103" s="20"/>
    </row>
    <row r="104" spans="1:29" x14ac:dyDescent="0.35">
      <c r="A104" t="s">
        <v>410</v>
      </c>
      <c r="B104" t="s">
        <v>411</v>
      </c>
      <c r="C104" t="s">
        <v>23</v>
      </c>
      <c r="F104" s="51">
        <v>5</v>
      </c>
      <c r="H104" s="51">
        <v>5.2</v>
      </c>
      <c r="I104" s="84">
        <v>5.2</v>
      </c>
      <c r="J104" s="84">
        <f t="shared" ref="J104:AA104" si="43">H104*(1+J105)</f>
        <v>5.33</v>
      </c>
      <c r="K104" s="84">
        <f t="shared" si="43"/>
        <v>5.33</v>
      </c>
      <c r="L104" s="84">
        <f t="shared" si="43"/>
        <v>5.4632499999999995</v>
      </c>
      <c r="M104" s="84">
        <f t="shared" si="43"/>
        <v>5.4632499999999995</v>
      </c>
      <c r="N104" s="84">
        <f t="shared" si="43"/>
        <v>5.5998312499999994</v>
      </c>
      <c r="O104" s="84">
        <f t="shared" si="43"/>
        <v>5.5998312499999994</v>
      </c>
      <c r="P104" s="84">
        <f t="shared" si="43"/>
        <v>5.739827031249999</v>
      </c>
      <c r="Q104" s="84">
        <f t="shared" si="43"/>
        <v>5.739827031249999</v>
      </c>
      <c r="R104" s="84">
        <f t="shared" si="43"/>
        <v>5.8833227070312484</v>
      </c>
      <c r="S104" s="84">
        <f t="shared" si="43"/>
        <v>5.8833227070312484</v>
      </c>
      <c r="T104" s="84">
        <f t="shared" si="43"/>
        <v>6.0304057747070292</v>
      </c>
      <c r="U104" s="84">
        <f t="shared" si="43"/>
        <v>6.0304057747070292</v>
      </c>
      <c r="V104" s="84">
        <f t="shared" si="43"/>
        <v>6.1811659190747044</v>
      </c>
      <c r="W104" s="84">
        <f t="shared" si="43"/>
        <v>6.1811659190747044</v>
      </c>
      <c r="X104" s="84">
        <f t="shared" si="43"/>
        <v>6.3356950670515717</v>
      </c>
      <c r="Y104" s="84">
        <f t="shared" si="43"/>
        <v>6.3356950670515717</v>
      </c>
      <c r="Z104" s="84">
        <f t="shared" si="43"/>
        <v>6.4940874437278602</v>
      </c>
      <c r="AA104" s="84">
        <f t="shared" si="43"/>
        <v>6.4940874437278602</v>
      </c>
    </row>
    <row r="105" spans="1:29" x14ac:dyDescent="0.35">
      <c r="A105" s="25" t="s">
        <v>412</v>
      </c>
      <c r="B105" s="26" t="s">
        <v>413</v>
      </c>
      <c r="C105" s="25" t="s">
        <v>52</v>
      </c>
      <c r="D105" s="25"/>
      <c r="E105" s="25"/>
      <c r="F105" s="25"/>
      <c r="G105" s="25"/>
      <c r="H105" s="25"/>
      <c r="I105" s="87">
        <v>2.5000000000000001E-2</v>
      </c>
      <c r="J105" s="87">
        <v>2.5000000000000001E-2</v>
      </c>
      <c r="K105" s="87">
        <v>2.5000000000000001E-2</v>
      </c>
      <c r="L105" s="87">
        <v>2.5000000000000001E-2</v>
      </c>
      <c r="M105" s="87">
        <v>2.5000000000000001E-2</v>
      </c>
      <c r="N105" s="87">
        <v>2.5000000000000001E-2</v>
      </c>
      <c r="O105" s="87">
        <v>2.5000000000000001E-2</v>
      </c>
      <c r="P105" s="87">
        <v>2.5000000000000001E-2</v>
      </c>
      <c r="Q105" s="87">
        <v>2.5000000000000001E-2</v>
      </c>
      <c r="R105" s="87">
        <v>2.5000000000000001E-2</v>
      </c>
      <c r="S105" s="87">
        <v>2.5000000000000001E-2</v>
      </c>
      <c r="T105" s="87">
        <v>2.5000000000000001E-2</v>
      </c>
      <c r="U105" s="87">
        <v>2.5000000000000001E-2</v>
      </c>
      <c r="V105" s="87">
        <v>2.5000000000000001E-2</v>
      </c>
      <c r="W105" s="87">
        <v>2.5000000000000001E-2</v>
      </c>
      <c r="X105" s="87">
        <v>2.5000000000000001E-2</v>
      </c>
      <c r="Y105" s="87">
        <v>2.5000000000000001E-2</v>
      </c>
      <c r="Z105" s="87">
        <v>2.5000000000000001E-2</v>
      </c>
      <c r="AA105" s="87">
        <v>2.5000000000000001E-2</v>
      </c>
      <c r="AB105" s="25"/>
      <c r="AC105" s="25"/>
    </row>
    <row r="106" spans="1:29" x14ac:dyDescent="0.35">
      <c r="A106" t="s">
        <v>414</v>
      </c>
      <c r="B106" s="8" t="s">
        <v>415</v>
      </c>
      <c r="C106" t="s">
        <v>23</v>
      </c>
      <c r="D106" s="4"/>
      <c r="E106" s="4"/>
      <c r="F106" s="4"/>
      <c r="G106" s="4"/>
      <c r="H106" s="4"/>
      <c r="I106" s="38">
        <v>4</v>
      </c>
      <c r="J106" s="38">
        <f t="shared" ref="J106:AA106" si="44">H106</f>
        <v>0</v>
      </c>
      <c r="K106" s="38">
        <f t="shared" si="44"/>
        <v>4</v>
      </c>
      <c r="L106" s="38">
        <f t="shared" si="44"/>
        <v>0</v>
      </c>
      <c r="M106" s="38">
        <f t="shared" si="44"/>
        <v>4</v>
      </c>
      <c r="N106" s="38">
        <f t="shared" si="44"/>
        <v>0</v>
      </c>
      <c r="O106" s="38">
        <f t="shared" si="44"/>
        <v>4</v>
      </c>
      <c r="P106" s="38">
        <f t="shared" si="44"/>
        <v>0</v>
      </c>
      <c r="Q106" s="38">
        <f t="shared" si="44"/>
        <v>4</v>
      </c>
      <c r="R106" s="38">
        <f t="shared" si="44"/>
        <v>0</v>
      </c>
      <c r="S106" s="38">
        <f t="shared" si="44"/>
        <v>4</v>
      </c>
      <c r="T106" s="38">
        <f t="shared" si="44"/>
        <v>0</v>
      </c>
      <c r="U106" s="38">
        <f t="shared" si="44"/>
        <v>4</v>
      </c>
      <c r="V106" s="38">
        <f t="shared" si="44"/>
        <v>0</v>
      </c>
      <c r="W106" s="38">
        <f t="shared" si="44"/>
        <v>4</v>
      </c>
      <c r="X106" s="38">
        <f t="shared" si="44"/>
        <v>0</v>
      </c>
      <c r="Y106" s="38">
        <f t="shared" si="44"/>
        <v>4</v>
      </c>
      <c r="Z106" s="38">
        <f t="shared" si="44"/>
        <v>0</v>
      </c>
      <c r="AA106" s="38">
        <f t="shared" si="44"/>
        <v>4</v>
      </c>
      <c r="AB106" s="4"/>
      <c r="AC106" s="4"/>
    </row>
    <row r="107" spans="1:29" x14ac:dyDescent="0.35">
      <c r="A107" t="s">
        <v>416</v>
      </c>
      <c r="B107" s="23" t="s">
        <v>161</v>
      </c>
      <c r="C107" t="s">
        <v>23</v>
      </c>
      <c r="D107" s="51">
        <v>439</v>
      </c>
      <c r="E107" s="51">
        <v>456</v>
      </c>
      <c r="F107" s="51">
        <v>538.24</v>
      </c>
      <c r="G107" s="51">
        <v>556</v>
      </c>
      <c r="H107" s="51">
        <v>632.1</v>
      </c>
      <c r="I107" s="74">
        <f t="shared" ref="I107:AA107" si="45">I98*I102/2+I99*I104/2+I100*I106/2</f>
        <v>741.35</v>
      </c>
      <c r="J107" s="74">
        <f>J98*J102/2+J99*J104/2+J100*J106/2</f>
        <v>679.93375000000003</v>
      </c>
      <c r="K107" s="74">
        <f t="shared" si="45"/>
        <v>797.755</v>
      </c>
      <c r="L107" s="74">
        <f t="shared" si="45"/>
        <v>737.74887499999988</v>
      </c>
      <c r="M107" s="74">
        <f t="shared" si="45"/>
        <v>856.56565624999996</v>
      </c>
      <c r="N107" s="74">
        <f t="shared" si="45"/>
        <v>798.02979765624991</v>
      </c>
      <c r="O107" s="74">
        <f t="shared" si="45"/>
        <v>917.86699843749989</v>
      </c>
      <c r="P107" s="74">
        <f t="shared" si="45"/>
        <v>860.86367339843719</v>
      </c>
      <c r="Q107" s="74">
        <f t="shared" si="45"/>
        <v>981.74680419921856</v>
      </c>
      <c r="R107" s="74">
        <f t="shared" si="45"/>
        <v>926.34047430419878</v>
      </c>
      <c r="S107" s="74">
        <f t="shared" si="45"/>
        <v>1048.2956833749997</v>
      </c>
      <c r="T107" s="74">
        <f t="shared" si="45"/>
        <v>994.55307545937467</v>
      </c>
      <c r="U107" s="74">
        <f t="shared" si="45"/>
        <v>1117.6071647569454</v>
      </c>
      <c r="V107" s="74">
        <f t="shared" si="45"/>
        <v>1065.597343875869</v>
      </c>
      <c r="W107" s="74">
        <f t="shared" si="45"/>
        <v>1189.7777854058791</v>
      </c>
      <c r="X107" s="74">
        <f t="shared" si="45"/>
        <v>1139.5722300410257</v>
      </c>
      <c r="Y107" s="74">
        <f t="shared" si="45"/>
        <v>1264.9071826092861</v>
      </c>
      <c r="Z107" s="74">
        <f t="shared" si="45"/>
        <v>1216.5798621745182</v>
      </c>
      <c r="AA107" s="74">
        <f t="shared" si="45"/>
        <v>1343.098188556985</v>
      </c>
      <c r="AB107" s="24"/>
      <c r="AC107" s="24"/>
    </row>
    <row r="108" spans="1:29" x14ac:dyDescent="0.35">
      <c r="A108" t="s">
        <v>417</v>
      </c>
      <c r="B108" s="8" t="s">
        <v>163</v>
      </c>
      <c r="C108" t="s">
        <v>23</v>
      </c>
      <c r="D108" s="51">
        <v>22.245000000000001</v>
      </c>
      <c r="E108" s="51">
        <v>24.155000000000001</v>
      </c>
      <c r="F108" s="51">
        <v>30.193999999999999</v>
      </c>
      <c r="G108" s="51">
        <v>34.506</v>
      </c>
      <c r="H108" s="27"/>
      <c r="I108" s="80">
        <f t="shared" ref="I108:AA108" si="46">G108*(1+I109)</f>
        <v>37.956600000000002</v>
      </c>
      <c r="J108" s="80">
        <f t="shared" si="46"/>
        <v>0</v>
      </c>
      <c r="K108" s="80">
        <f t="shared" si="46"/>
        <v>41.752260000000007</v>
      </c>
      <c r="L108" s="80">
        <f t="shared" si="46"/>
        <v>0</v>
      </c>
      <c r="M108" s="80">
        <f t="shared" si="46"/>
        <v>45.927486000000009</v>
      </c>
      <c r="N108" s="80">
        <f t="shared" si="46"/>
        <v>0</v>
      </c>
      <c r="O108" s="80">
        <f t="shared" si="46"/>
        <v>50.520234600000016</v>
      </c>
      <c r="P108" s="80">
        <f t="shared" si="46"/>
        <v>0</v>
      </c>
      <c r="Q108" s="80">
        <f t="shared" si="46"/>
        <v>55.572258060000024</v>
      </c>
      <c r="R108" s="80">
        <f t="shared" si="46"/>
        <v>0</v>
      </c>
      <c r="S108" s="80">
        <f t="shared" si="46"/>
        <v>61.129483866000029</v>
      </c>
      <c r="T108" s="80">
        <f t="shared" si="46"/>
        <v>0</v>
      </c>
      <c r="U108" s="80">
        <f t="shared" si="46"/>
        <v>67.24243225260004</v>
      </c>
      <c r="V108" s="80">
        <f t="shared" si="46"/>
        <v>0</v>
      </c>
      <c r="W108" s="80">
        <f t="shared" si="46"/>
        <v>73.966675477860051</v>
      </c>
      <c r="X108" s="80">
        <f t="shared" si="46"/>
        <v>0</v>
      </c>
      <c r="Y108" s="80">
        <f t="shared" si="46"/>
        <v>81.36334302564606</v>
      </c>
      <c r="Z108" s="80">
        <f t="shared" si="46"/>
        <v>0</v>
      </c>
      <c r="AA108" s="80">
        <f t="shared" si="46"/>
        <v>89.49967732821068</v>
      </c>
      <c r="AB108" s="27"/>
      <c r="AC108" s="27"/>
    </row>
    <row r="109" spans="1:29" x14ac:dyDescent="0.35">
      <c r="A109" t="s">
        <v>418</v>
      </c>
      <c r="B109" s="23" t="s">
        <v>419</v>
      </c>
      <c r="C109" t="s">
        <v>52</v>
      </c>
      <c r="D109" s="6"/>
      <c r="E109" s="6"/>
      <c r="F109" s="6"/>
      <c r="G109" s="6"/>
      <c r="H109" s="6"/>
      <c r="I109" s="65">
        <v>0.1</v>
      </c>
      <c r="J109" s="65">
        <f t="shared" ref="J109:AA109" si="47">H109</f>
        <v>0</v>
      </c>
      <c r="K109" s="65">
        <f t="shared" si="47"/>
        <v>0.1</v>
      </c>
      <c r="L109" s="65">
        <f t="shared" si="47"/>
        <v>0</v>
      </c>
      <c r="M109" s="65">
        <f t="shared" si="47"/>
        <v>0.1</v>
      </c>
      <c r="N109" s="65">
        <f t="shared" si="47"/>
        <v>0</v>
      </c>
      <c r="O109" s="65">
        <f t="shared" si="47"/>
        <v>0.1</v>
      </c>
      <c r="P109" s="65">
        <f t="shared" si="47"/>
        <v>0</v>
      </c>
      <c r="Q109" s="65">
        <f t="shared" si="47"/>
        <v>0.1</v>
      </c>
      <c r="R109" s="65">
        <f t="shared" si="47"/>
        <v>0</v>
      </c>
      <c r="S109" s="65">
        <f t="shared" si="47"/>
        <v>0.1</v>
      </c>
      <c r="T109" s="65">
        <f t="shared" si="47"/>
        <v>0</v>
      </c>
      <c r="U109" s="65">
        <f t="shared" si="47"/>
        <v>0.1</v>
      </c>
      <c r="V109" s="65">
        <f t="shared" si="47"/>
        <v>0</v>
      </c>
      <c r="W109" s="65">
        <f t="shared" si="47"/>
        <v>0.1</v>
      </c>
      <c r="X109" s="65">
        <f t="shared" si="47"/>
        <v>0</v>
      </c>
      <c r="Y109" s="65">
        <f t="shared" si="47"/>
        <v>0.1</v>
      </c>
      <c r="Z109" s="65">
        <f t="shared" si="47"/>
        <v>0</v>
      </c>
      <c r="AA109" s="65">
        <f t="shared" si="47"/>
        <v>0.1</v>
      </c>
      <c r="AB109" s="24"/>
      <c r="AC109" s="24"/>
    </row>
    <row r="110" spans="1:29" x14ac:dyDescent="0.35">
      <c r="A110" t="s">
        <v>420</v>
      </c>
      <c r="B110" s="8" t="s">
        <v>165</v>
      </c>
      <c r="C110" t="s">
        <v>23</v>
      </c>
      <c r="D110" s="51">
        <v>4.2409999999999997</v>
      </c>
      <c r="E110" s="51">
        <v>3.6590000000000011</v>
      </c>
      <c r="F110" s="51">
        <v>4.6059999999999999</v>
      </c>
      <c r="G110" s="51">
        <v>4.4939999999999998</v>
      </c>
      <c r="H110" s="4"/>
      <c r="I110" s="63">
        <f t="shared" ref="I110:AA110" si="48">G110*(1+I111)</f>
        <v>4.9434000000000005</v>
      </c>
      <c r="J110" s="63">
        <f t="shared" si="48"/>
        <v>0</v>
      </c>
      <c r="K110" s="63">
        <f t="shared" si="48"/>
        <v>5.4377400000000007</v>
      </c>
      <c r="L110" s="63">
        <f t="shared" si="48"/>
        <v>0</v>
      </c>
      <c r="M110" s="63">
        <f t="shared" si="48"/>
        <v>5.9815140000000016</v>
      </c>
      <c r="N110" s="63">
        <f t="shared" si="48"/>
        <v>0</v>
      </c>
      <c r="O110" s="63">
        <f t="shared" si="48"/>
        <v>6.5796654000000023</v>
      </c>
      <c r="P110" s="63">
        <f t="shared" si="48"/>
        <v>0</v>
      </c>
      <c r="Q110" s="63">
        <f t="shared" si="48"/>
        <v>7.2376319400000035</v>
      </c>
      <c r="R110" s="63">
        <f t="shared" si="48"/>
        <v>0</v>
      </c>
      <c r="S110" s="63">
        <f t="shared" si="48"/>
        <v>7.9613951340000044</v>
      </c>
      <c r="T110" s="63">
        <f t="shared" si="48"/>
        <v>0</v>
      </c>
      <c r="U110" s="63">
        <f t="shared" si="48"/>
        <v>8.7575346474000053</v>
      </c>
      <c r="V110" s="63">
        <f t="shared" si="48"/>
        <v>0</v>
      </c>
      <c r="W110" s="63">
        <f t="shared" si="48"/>
        <v>9.633288112140006</v>
      </c>
      <c r="X110" s="63">
        <f t="shared" si="48"/>
        <v>0</v>
      </c>
      <c r="Y110" s="63">
        <f t="shared" si="48"/>
        <v>10.596616923354008</v>
      </c>
      <c r="Z110" s="63">
        <f t="shared" si="48"/>
        <v>0</v>
      </c>
      <c r="AA110" s="63">
        <f t="shared" si="48"/>
        <v>11.656278615689409</v>
      </c>
      <c r="AB110" s="4"/>
      <c r="AC110" s="4"/>
    </row>
    <row r="111" spans="1:29" x14ac:dyDescent="0.35">
      <c r="A111" t="s">
        <v>421</v>
      </c>
      <c r="B111" s="23" t="s">
        <v>422</v>
      </c>
      <c r="C111" t="s">
        <v>52</v>
      </c>
      <c r="D111" s="29"/>
      <c r="E111" s="6"/>
      <c r="F111" s="29"/>
      <c r="G111" s="6"/>
      <c r="H111" s="29"/>
      <c r="I111" s="65">
        <v>0.1</v>
      </c>
      <c r="J111" s="65">
        <f t="shared" ref="J111:AA111" si="49">H111</f>
        <v>0</v>
      </c>
      <c r="K111" s="65">
        <f t="shared" si="49"/>
        <v>0.1</v>
      </c>
      <c r="L111" s="65">
        <f t="shared" si="49"/>
        <v>0</v>
      </c>
      <c r="M111" s="65">
        <f t="shared" si="49"/>
        <v>0.1</v>
      </c>
      <c r="N111" s="65">
        <f t="shared" si="49"/>
        <v>0</v>
      </c>
      <c r="O111" s="65">
        <f t="shared" si="49"/>
        <v>0.1</v>
      </c>
      <c r="P111" s="65">
        <f t="shared" si="49"/>
        <v>0</v>
      </c>
      <c r="Q111" s="65">
        <f t="shared" si="49"/>
        <v>0.1</v>
      </c>
      <c r="R111" s="65">
        <f t="shared" si="49"/>
        <v>0</v>
      </c>
      <c r="S111" s="65">
        <f t="shared" si="49"/>
        <v>0.1</v>
      </c>
      <c r="T111" s="65">
        <f t="shared" si="49"/>
        <v>0</v>
      </c>
      <c r="U111" s="65">
        <f t="shared" si="49"/>
        <v>0.1</v>
      </c>
      <c r="V111" s="65">
        <f t="shared" si="49"/>
        <v>0</v>
      </c>
      <c r="W111" s="65">
        <f t="shared" si="49"/>
        <v>0.1</v>
      </c>
      <c r="X111" s="65">
        <f t="shared" si="49"/>
        <v>0</v>
      </c>
      <c r="Y111" s="65">
        <f t="shared" si="49"/>
        <v>0.1</v>
      </c>
      <c r="Z111" s="65">
        <f t="shared" si="49"/>
        <v>0</v>
      </c>
      <c r="AA111" s="65">
        <f t="shared" si="49"/>
        <v>0.1</v>
      </c>
      <c r="AB111" s="24"/>
      <c r="AC111" s="24"/>
    </row>
    <row r="112" spans="1:29" x14ac:dyDescent="0.35">
      <c r="A112" t="s">
        <v>423</v>
      </c>
      <c r="B112" s="8" t="s">
        <v>424</v>
      </c>
      <c r="C112" t="s">
        <v>23</v>
      </c>
      <c r="D112" s="4">
        <f t="shared" ref="D112:AA112" si="50">D107+D108+D110</f>
        <v>465.48599999999999</v>
      </c>
      <c r="E112" s="4">
        <f t="shared" si="50"/>
        <v>483.81399999999996</v>
      </c>
      <c r="F112" s="4">
        <f t="shared" si="50"/>
        <v>573.04</v>
      </c>
      <c r="G112" s="4">
        <f t="shared" si="50"/>
        <v>595</v>
      </c>
      <c r="H112" s="4">
        <f t="shared" si="50"/>
        <v>632.1</v>
      </c>
      <c r="I112" s="63">
        <f t="shared" si="50"/>
        <v>784.25</v>
      </c>
      <c r="J112" s="63">
        <f>J107+J108+J110</f>
        <v>679.93375000000003</v>
      </c>
      <c r="K112" s="63">
        <f t="shared" si="50"/>
        <v>844.94499999999994</v>
      </c>
      <c r="L112" s="63">
        <f t="shared" si="50"/>
        <v>737.74887499999988</v>
      </c>
      <c r="M112" s="63">
        <f t="shared" si="50"/>
        <v>908.47465624999995</v>
      </c>
      <c r="N112" s="63">
        <f t="shared" si="50"/>
        <v>798.02979765624991</v>
      </c>
      <c r="O112" s="63">
        <f t="shared" si="50"/>
        <v>974.96689843749982</v>
      </c>
      <c r="P112" s="63">
        <f t="shared" si="50"/>
        <v>860.86367339843719</v>
      </c>
      <c r="Q112" s="63">
        <f t="shared" si="50"/>
        <v>1044.5566941992186</v>
      </c>
      <c r="R112" s="63">
        <f t="shared" si="50"/>
        <v>926.34047430419878</v>
      </c>
      <c r="S112" s="63">
        <f t="shared" si="50"/>
        <v>1117.3865623749998</v>
      </c>
      <c r="T112" s="63">
        <f t="shared" si="50"/>
        <v>994.55307545937467</v>
      </c>
      <c r="U112" s="63">
        <f t="shared" si="50"/>
        <v>1193.6071316569455</v>
      </c>
      <c r="V112" s="63">
        <f t="shared" si="50"/>
        <v>1065.597343875869</v>
      </c>
      <c r="W112" s="63">
        <f t="shared" si="50"/>
        <v>1273.3777489958791</v>
      </c>
      <c r="X112" s="63">
        <f t="shared" si="50"/>
        <v>1139.5722300410257</v>
      </c>
      <c r="Y112" s="63">
        <f t="shared" si="50"/>
        <v>1356.8671425582863</v>
      </c>
      <c r="Z112" s="63">
        <f t="shared" si="50"/>
        <v>1216.5798621745182</v>
      </c>
      <c r="AA112" s="63">
        <f t="shared" si="50"/>
        <v>1444.2541445008851</v>
      </c>
      <c r="AB112" s="4"/>
      <c r="AC112" s="4"/>
    </row>
    <row r="113" spans="1:29" x14ac:dyDescent="0.35">
      <c r="B113" s="8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 spans="1:29" x14ac:dyDescent="0.35">
      <c r="B114" s="58" t="s">
        <v>425</v>
      </c>
      <c r="D114" s="6"/>
      <c r="E114" s="6"/>
      <c r="F114" s="6"/>
      <c r="G114" s="6"/>
      <c r="H114" s="6"/>
      <c r="I114" s="6"/>
      <c r="J114" s="6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</row>
    <row r="115" spans="1:29" x14ac:dyDescent="0.35">
      <c r="A115" t="s">
        <v>426</v>
      </c>
      <c r="B115" s="8" t="s">
        <v>427</v>
      </c>
      <c r="C115" t="s">
        <v>174</v>
      </c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 spans="1:29" x14ac:dyDescent="0.35">
      <c r="A116" t="s">
        <v>428</v>
      </c>
      <c r="B116" s="19" t="s">
        <v>429</v>
      </c>
      <c r="C116" s="19" t="s">
        <v>174</v>
      </c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</row>
    <row r="117" spans="1:29" x14ac:dyDescent="0.35">
      <c r="A117" t="s">
        <v>430</v>
      </c>
      <c r="B117" t="s">
        <v>431</v>
      </c>
      <c r="C117" t="s">
        <v>174</v>
      </c>
      <c r="D117" s="55">
        <v>62</v>
      </c>
      <c r="E117" s="55">
        <v>64</v>
      </c>
      <c r="F117" s="55">
        <v>74</v>
      </c>
      <c r="G117" s="55">
        <v>81</v>
      </c>
      <c r="H117" s="55">
        <v>85</v>
      </c>
      <c r="I117" s="83">
        <f t="shared" ref="I117:AA117" si="51">G117+I118</f>
        <v>85</v>
      </c>
      <c r="J117" s="83">
        <f t="shared" si="51"/>
        <v>85</v>
      </c>
      <c r="K117" s="83">
        <f t="shared" si="51"/>
        <v>89</v>
      </c>
      <c r="L117" s="83">
        <f t="shared" si="51"/>
        <v>85</v>
      </c>
      <c r="M117" s="83">
        <f t="shared" si="51"/>
        <v>93</v>
      </c>
      <c r="N117" s="83">
        <f t="shared" si="51"/>
        <v>85</v>
      </c>
      <c r="O117" s="83">
        <f t="shared" si="51"/>
        <v>97</v>
      </c>
      <c r="P117" s="83">
        <f t="shared" si="51"/>
        <v>85</v>
      </c>
      <c r="Q117" s="83">
        <f t="shared" si="51"/>
        <v>101</v>
      </c>
      <c r="R117" s="83">
        <f t="shared" si="51"/>
        <v>85</v>
      </c>
      <c r="S117" s="83">
        <f t="shared" si="51"/>
        <v>105</v>
      </c>
      <c r="T117" s="83">
        <f t="shared" si="51"/>
        <v>85</v>
      </c>
      <c r="U117" s="83">
        <f t="shared" si="51"/>
        <v>109</v>
      </c>
      <c r="V117" s="83">
        <f t="shared" si="51"/>
        <v>85</v>
      </c>
      <c r="W117" s="83">
        <f t="shared" si="51"/>
        <v>113</v>
      </c>
      <c r="X117" s="83">
        <f t="shared" si="51"/>
        <v>85</v>
      </c>
      <c r="Y117" s="83">
        <f t="shared" si="51"/>
        <v>117</v>
      </c>
      <c r="Z117" s="83">
        <f t="shared" si="51"/>
        <v>85</v>
      </c>
      <c r="AA117" s="83">
        <f t="shared" si="51"/>
        <v>121</v>
      </c>
    </row>
    <row r="118" spans="1:29" x14ac:dyDescent="0.35">
      <c r="A118" t="s">
        <v>432</v>
      </c>
      <c r="B118" t="s">
        <v>433</v>
      </c>
      <c r="C118" t="s">
        <v>174</v>
      </c>
      <c r="I118" s="84">
        <v>4</v>
      </c>
      <c r="J118" s="84">
        <f t="shared" ref="J118:AA118" si="52">H118</f>
        <v>0</v>
      </c>
      <c r="K118" s="84">
        <f t="shared" si="52"/>
        <v>4</v>
      </c>
      <c r="L118" s="84">
        <f t="shared" si="52"/>
        <v>0</v>
      </c>
      <c r="M118" s="84">
        <f t="shared" si="52"/>
        <v>4</v>
      </c>
      <c r="N118" s="84">
        <f t="shared" si="52"/>
        <v>0</v>
      </c>
      <c r="O118" s="84">
        <f t="shared" si="52"/>
        <v>4</v>
      </c>
      <c r="P118" s="84">
        <f t="shared" si="52"/>
        <v>0</v>
      </c>
      <c r="Q118" s="84">
        <f t="shared" si="52"/>
        <v>4</v>
      </c>
      <c r="R118" s="84">
        <f t="shared" si="52"/>
        <v>0</v>
      </c>
      <c r="S118" s="84">
        <f t="shared" si="52"/>
        <v>4</v>
      </c>
      <c r="T118" s="84">
        <f t="shared" si="52"/>
        <v>0</v>
      </c>
      <c r="U118" s="84">
        <f t="shared" si="52"/>
        <v>4</v>
      </c>
      <c r="V118" s="84">
        <f t="shared" si="52"/>
        <v>0</v>
      </c>
      <c r="W118" s="84">
        <f t="shared" si="52"/>
        <v>4</v>
      </c>
      <c r="X118" s="84">
        <f t="shared" si="52"/>
        <v>0</v>
      </c>
      <c r="Y118" s="84">
        <f t="shared" si="52"/>
        <v>4</v>
      </c>
      <c r="Z118" s="84">
        <f t="shared" si="52"/>
        <v>0</v>
      </c>
      <c r="AA118" s="84">
        <f t="shared" si="52"/>
        <v>4</v>
      </c>
    </row>
    <row r="119" spans="1:29" x14ac:dyDescent="0.35">
      <c r="A119" t="s">
        <v>434</v>
      </c>
      <c r="B119" t="s">
        <v>435</v>
      </c>
      <c r="C119" t="s">
        <v>23</v>
      </c>
      <c r="D119" s="51">
        <v>136.155</v>
      </c>
      <c r="E119" s="51">
        <v>142.745</v>
      </c>
      <c r="F119" s="51">
        <v>176.05099999999999</v>
      </c>
      <c r="G119" s="51">
        <v>183.649</v>
      </c>
      <c r="H119" s="51">
        <v>215.11600000000001</v>
      </c>
      <c r="I119" s="83">
        <f t="shared" ref="I119:AA119" si="53">(I117/I101)*I107</f>
        <v>252.05900000000003</v>
      </c>
      <c r="J119" s="83">
        <f t="shared" si="53"/>
        <v>232.10589859437755</v>
      </c>
      <c r="K119" s="83">
        <f t="shared" si="53"/>
        <v>270.99311068702292</v>
      </c>
      <c r="L119" s="83">
        <f t="shared" si="53"/>
        <v>240.26304358237542</v>
      </c>
      <c r="M119" s="83">
        <f t="shared" si="53"/>
        <v>290.73213880018244</v>
      </c>
      <c r="N119" s="83">
        <f t="shared" si="53"/>
        <v>248.47081612007781</v>
      </c>
      <c r="O119" s="83">
        <f t="shared" si="53"/>
        <v>311.30454142810311</v>
      </c>
      <c r="P119" s="83">
        <f t="shared" si="53"/>
        <v>256.74881487321807</v>
      </c>
      <c r="Q119" s="83">
        <f t="shared" si="53"/>
        <v>332.73968867154724</v>
      </c>
      <c r="R119" s="83">
        <f t="shared" si="53"/>
        <v>265.11427715776728</v>
      </c>
      <c r="S119" s="83">
        <f t="shared" si="53"/>
        <v>355.06789275604825</v>
      </c>
      <c r="T119" s="83">
        <f t="shared" si="53"/>
        <v>273.58256121050761</v>
      </c>
      <c r="U119" s="83">
        <f t="shared" si="53"/>
        <v>378.32043775933863</v>
      </c>
      <c r="V119" s="83">
        <f t="shared" si="53"/>
        <v>282.16752096401513</v>
      </c>
      <c r="W119" s="83">
        <f t="shared" si="53"/>
        <v>402.52961003252796</v>
      </c>
      <c r="X119" s="83">
        <f t="shared" si="53"/>
        <v>290.88180046092248</v>
      </c>
      <c r="Y119" s="83">
        <f t="shared" si="53"/>
        <v>427.72872937944072</v>
      </c>
      <c r="Z119" s="83">
        <f t="shared" si="53"/>
        <v>299.73706749227262</v>
      </c>
      <c r="AA119" s="83">
        <f t="shared" si="53"/>
        <v>453.95218104858986</v>
      </c>
    </row>
    <row r="120" spans="1:29" x14ac:dyDescent="0.35">
      <c r="A120" t="s">
        <v>436</v>
      </c>
      <c r="B120" t="s">
        <v>437</v>
      </c>
      <c r="C120" t="s">
        <v>52</v>
      </c>
      <c r="D120" s="56">
        <v>0.1755352355770996</v>
      </c>
      <c r="E120" s="56">
        <v>0.16532978388034611</v>
      </c>
      <c r="F120" s="56">
        <v>0.18018074308013021</v>
      </c>
      <c r="G120" s="56">
        <v>0.18665497770202941</v>
      </c>
      <c r="H120" s="56">
        <v>0.1760910392532401</v>
      </c>
      <c r="I120" s="84">
        <f t="shared" ref="I120:AA120" si="54">G120</f>
        <v>0.18665497770202941</v>
      </c>
      <c r="J120" s="84">
        <f t="shared" si="54"/>
        <v>0.1760910392532401</v>
      </c>
      <c r="K120" s="84">
        <f t="shared" si="54"/>
        <v>0.18665497770202941</v>
      </c>
      <c r="L120" s="84">
        <f t="shared" si="54"/>
        <v>0.1760910392532401</v>
      </c>
      <c r="M120" s="84">
        <f t="shared" si="54"/>
        <v>0.18665497770202941</v>
      </c>
      <c r="N120" s="84">
        <f t="shared" si="54"/>
        <v>0.1760910392532401</v>
      </c>
      <c r="O120" s="84">
        <f t="shared" si="54"/>
        <v>0.18665497770202941</v>
      </c>
      <c r="P120" s="84">
        <f t="shared" si="54"/>
        <v>0.1760910392532401</v>
      </c>
      <c r="Q120" s="84">
        <f t="shared" si="54"/>
        <v>0.18665497770202941</v>
      </c>
      <c r="R120" s="84">
        <f t="shared" si="54"/>
        <v>0.1760910392532401</v>
      </c>
      <c r="S120" s="84">
        <f t="shared" si="54"/>
        <v>0.18665497770202941</v>
      </c>
      <c r="T120" s="84">
        <f t="shared" si="54"/>
        <v>0.1760910392532401</v>
      </c>
      <c r="U120" s="84">
        <f t="shared" si="54"/>
        <v>0.18665497770202941</v>
      </c>
      <c r="V120" s="84">
        <f t="shared" si="54"/>
        <v>0.1760910392532401</v>
      </c>
      <c r="W120" s="84">
        <f t="shared" si="54"/>
        <v>0.18665497770202941</v>
      </c>
      <c r="X120" s="84">
        <f t="shared" si="54"/>
        <v>0.1760910392532401</v>
      </c>
      <c r="Y120" s="84">
        <f t="shared" si="54"/>
        <v>0.18665497770202941</v>
      </c>
      <c r="Z120" s="84">
        <f t="shared" si="54"/>
        <v>0.1760910392532401</v>
      </c>
      <c r="AA120" s="84">
        <f t="shared" si="54"/>
        <v>0.18665497770202941</v>
      </c>
    </row>
    <row r="121" spans="1:29" x14ac:dyDescent="0.35">
      <c r="A121" t="s">
        <v>438</v>
      </c>
      <c r="B121" t="s">
        <v>439</v>
      </c>
      <c r="C121" t="s">
        <v>23</v>
      </c>
      <c r="D121" s="51">
        <v>23.9</v>
      </c>
      <c r="E121" s="51">
        <v>23.6</v>
      </c>
      <c r="F121" s="51">
        <v>31.721</v>
      </c>
      <c r="G121" s="51">
        <v>34.279000000000003</v>
      </c>
      <c r="H121" s="51">
        <v>37.880000000000003</v>
      </c>
      <c r="I121" s="83">
        <f t="shared" ref="I121:AA121" si="55">I119*I120</f>
        <v>47.048067024595838</v>
      </c>
      <c r="J121" s="83">
        <f t="shared" si="55"/>
        <v>40.871768900291102</v>
      </c>
      <c r="K121" s="83">
        <f t="shared" si="55"/>
        <v>50.58221303268985</v>
      </c>
      <c r="L121" s="83">
        <f t="shared" si="55"/>
        <v>42.308169038567009</v>
      </c>
      <c r="M121" s="83">
        <f t="shared" si="55"/>
        <v>54.266600885011371</v>
      </c>
      <c r="N121" s="83">
        <f t="shared" si="55"/>
        <v>43.753484234685224</v>
      </c>
      <c r="O121" s="83">
        <f t="shared" si="55"/>
        <v>58.106542238803073</v>
      </c>
      <c r="P121" s="83">
        <f t="shared" si="55"/>
        <v>45.211165638062717</v>
      </c>
      <c r="Q121" s="83">
        <f t="shared" si="55"/>
        <v>62.107519169567858</v>
      </c>
      <c r="R121" s="83">
        <f t="shared" si="55"/>
        <v>46.684248585582772</v>
      </c>
      <c r="S121" s="83">
        <f t="shared" si="55"/>
        <v>66.275189605086751</v>
      </c>
      <c r="T121" s="83">
        <f t="shared" si="55"/>
        <v>48.17543752512146</v>
      </c>
      <c r="U121" s="83">
        <f t="shared" si="55"/>
        <v>70.615392874191357</v>
      </c>
      <c r="V121" s="83">
        <f t="shared" si="55"/>
        <v>49.687172010063833</v>
      </c>
      <c r="W121" s="83">
        <f t="shared" si="55"/>
        <v>75.134155385028095</v>
      </c>
      <c r="X121" s="83">
        <f t="shared" si="55"/>
        <v>51.221678543017454</v>
      </c>
      <c r="Y121" s="83">
        <f t="shared" si="55"/>
        <v>79.83769644483688</v>
      </c>
      <c r="Z121" s="83">
        <f t="shared" si="55"/>
        <v>52.781011717432854</v>
      </c>
      <c r="AA121" s="83">
        <f t="shared" si="55"/>
        <v>84.732434231412157</v>
      </c>
    </row>
    <row r="123" spans="1:29" x14ac:dyDescent="0.35">
      <c r="B123" s="58" t="s">
        <v>440</v>
      </c>
    </row>
    <row r="124" spans="1:29" x14ac:dyDescent="0.35">
      <c r="A124" t="s">
        <v>441</v>
      </c>
      <c r="B124" t="s">
        <v>442</v>
      </c>
      <c r="C124" t="s">
        <v>174</v>
      </c>
      <c r="D124" s="55">
        <v>121</v>
      </c>
      <c r="E124" s="55">
        <v>130</v>
      </c>
      <c r="F124" s="55">
        <v>136</v>
      </c>
      <c r="G124" s="55">
        <v>143</v>
      </c>
      <c r="H124" s="55"/>
      <c r="I124" s="83">
        <f t="shared" ref="I124:AA124" si="56">I101-I117</f>
        <v>165</v>
      </c>
      <c r="J124" s="83">
        <f t="shared" si="56"/>
        <v>164</v>
      </c>
      <c r="K124" s="83">
        <f t="shared" si="56"/>
        <v>173</v>
      </c>
      <c r="L124" s="83">
        <f t="shared" si="56"/>
        <v>176</v>
      </c>
      <c r="M124" s="83">
        <f t="shared" si="56"/>
        <v>181</v>
      </c>
      <c r="N124" s="83">
        <f t="shared" si="56"/>
        <v>188</v>
      </c>
      <c r="O124" s="83">
        <f t="shared" si="56"/>
        <v>189</v>
      </c>
      <c r="P124" s="83">
        <f t="shared" si="56"/>
        <v>200</v>
      </c>
      <c r="Q124" s="83">
        <f t="shared" si="56"/>
        <v>197</v>
      </c>
      <c r="R124" s="83">
        <f t="shared" si="56"/>
        <v>212</v>
      </c>
      <c r="S124" s="83">
        <f t="shared" si="56"/>
        <v>205</v>
      </c>
      <c r="T124" s="83">
        <f t="shared" si="56"/>
        <v>224</v>
      </c>
      <c r="U124" s="83">
        <f t="shared" si="56"/>
        <v>213</v>
      </c>
      <c r="V124" s="83">
        <f t="shared" si="56"/>
        <v>236</v>
      </c>
      <c r="W124" s="83">
        <f t="shared" si="56"/>
        <v>221</v>
      </c>
      <c r="X124" s="83">
        <f t="shared" si="56"/>
        <v>248</v>
      </c>
      <c r="Y124" s="83">
        <f t="shared" si="56"/>
        <v>229</v>
      </c>
      <c r="Z124" s="83">
        <f t="shared" si="56"/>
        <v>260</v>
      </c>
      <c r="AA124" s="83">
        <f t="shared" si="56"/>
        <v>237</v>
      </c>
    </row>
    <row r="125" spans="1:29" x14ac:dyDescent="0.35">
      <c r="A125" t="s">
        <v>443</v>
      </c>
      <c r="B125" t="s">
        <v>444</v>
      </c>
      <c r="C125" t="s">
        <v>174</v>
      </c>
      <c r="I125" s="83">
        <f t="shared" ref="I125:AA125" si="57">I124-G124</f>
        <v>22</v>
      </c>
      <c r="J125" s="83">
        <f t="shared" si="57"/>
        <v>164</v>
      </c>
      <c r="K125" s="83">
        <f t="shared" si="57"/>
        <v>8</v>
      </c>
      <c r="L125" s="83">
        <f t="shared" si="57"/>
        <v>12</v>
      </c>
      <c r="M125" s="83">
        <f t="shared" si="57"/>
        <v>8</v>
      </c>
      <c r="N125" s="83">
        <f t="shared" si="57"/>
        <v>12</v>
      </c>
      <c r="O125" s="83">
        <f t="shared" si="57"/>
        <v>8</v>
      </c>
      <c r="P125" s="83">
        <f t="shared" si="57"/>
        <v>12</v>
      </c>
      <c r="Q125" s="83">
        <f t="shared" si="57"/>
        <v>8</v>
      </c>
      <c r="R125" s="83">
        <f t="shared" si="57"/>
        <v>12</v>
      </c>
      <c r="S125" s="83">
        <f t="shared" si="57"/>
        <v>8</v>
      </c>
      <c r="T125" s="83">
        <f t="shared" si="57"/>
        <v>12</v>
      </c>
      <c r="U125" s="83">
        <f t="shared" si="57"/>
        <v>8</v>
      </c>
      <c r="V125" s="83">
        <f t="shared" si="57"/>
        <v>12</v>
      </c>
      <c r="W125" s="83">
        <f t="shared" si="57"/>
        <v>8</v>
      </c>
      <c r="X125" s="83">
        <f t="shared" si="57"/>
        <v>12</v>
      </c>
      <c r="Y125" s="83">
        <f t="shared" si="57"/>
        <v>8</v>
      </c>
      <c r="Z125" s="83">
        <f t="shared" si="57"/>
        <v>12</v>
      </c>
      <c r="AA125" s="83">
        <f t="shared" si="57"/>
        <v>8</v>
      </c>
    </row>
    <row r="126" spans="1:29" x14ac:dyDescent="0.35">
      <c r="A126" t="s">
        <v>445</v>
      </c>
      <c r="B126" t="s">
        <v>446</v>
      </c>
      <c r="C126" t="s">
        <v>52</v>
      </c>
      <c r="D126" s="56">
        <v>7.6102765910284781E-2</v>
      </c>
      <c r="F126" s="56">
        <v>8.3000000000000004E-2</v>
      </c>
      <c r="H126" s="56">
        <v>8.5999999999999993E-2</v>
      </c>
      <c r="I126" s="84">
        <v>8.5999999999999993E-2</v>
      </c>
      <c r="J126" s="84">
        <f t="shared" ref="J126:AA126" si="58">H126</f>
        <v>8.5999999999999993E-2</v>
      </c>
      <c r="K126" s="84">
        <f t="shared" si="58"/>
        <v>8.5999999999999993E-2</v>
      </c>
      <c r="L126" s="84">
        <f t="shared" si="58"/>
        <v>8.5999999999999993E-2</v>
      </c>
      <c r="M126" s="84">
        <f t="shared" si="58"/>
        <v>8.5999999999999993E-2</v>
      </c>
      <c r="N126" s="84">
        <f t="shared" si="58"/>
        <v>8.5999999999999993E-2</v>
      </c>
      <c r="O126" s="84">
        <f t="shared" si="58"/>
        <v>8.5999999999999993E-2</v>
      </c>
      <c r="P126" s="84">
        <f t="shared" si="58"/>
        <v>8.5999999999999993E-2</v>
      </c>
      <c r="Q126" s="84">
        <f t="shared" si="58"/>
        <v>8.5999999999999993E-2</v>
      </c>
      <c r="R126" s="84">
        <f t="shared" si="58"/>
        <v>8.5999999999999993E-2</v>
      </c>
      <c r="S126" s="84">
        <f t="shared" si="58"/>
        <v>8.5999999999999993E-2</v>
      </c>
      <c r="T126" s="84">
        <f t="shared" si="58"/>
        <v>8.5999999999999993E-2</v>
      </c>
      <c r="U126" s="84">
        <f t="shared" si="58"/>
        <v>8.5999999999999993E-2</v>
      </c>
      <c r="V126" s="84">
        <f t="shared" si="58"/>
        <v>8.5999999999999993E-2</v>
      </c>
      <c r="W126" s="84">
        <f t="shared" si="58"/>
        <v>8.5999999999999993E-2</v>
      </c>
      <c r="X126" s="84">
        <f t="shared" si="58"/>
        <v>8.5999999999999993E-2</v>
      </c>
      <c r="Y126" s="84">
        <f t="shared" si="58"/>
        <v>8.5999999999999993E-2</v>
      </c>
      <c r="Z126" s="84">
        <f t="shared" si="58"/>
        <v>8.5999999999999993E-2</v>
      </c>
      <c r="AA126" s="84">
        <f t="shared" si="58"/>
        <v>8.5999999999999993E-2</v>
      </c>
    </row>
    <row r="127" spans="1:29" x14ac:dyDescent="0.35">
      <c r="A127" t="s">
        <v>447</v>
      </c>
      <c r="B127" t="s">
        <v>27</v>
      </c>
      <c r="C127" t="s">
        <v>23</v>
      </c>
      <c r="D127" s="51">
        <v>25.062999999999999</v>
      </c>
      <c r="E127" s="51">
        <v>26.837</v>
      </c>
      <c r="F127" s="51">
        <v>32.186999999999998</v>
      </c>
      <c r="G127" s="51">
        <v>34.613</v>
      </c>
      <c r="H127" s="51">
        <v>39.325000000000003</v>
      </c>
      <c r="I127" s="83">
        <f t="shared" ref="I127:AA127" si="59">I107*(I124/I101)*I126</f>
        <v>42.079025999999999</v>
      </c>
      <c r="J127" s="83">
        <f t="shared" si="59"/>
        <v>38.513195220883532</v>
      </c>
      <c r="K127" s="83">
        <f t="shared" si="59"/>
        <v>45.301522480916027</v>
      </c>
      <c r="L127" s="83">
        <f t="shared" si="59"/>
        <v>42.783781501915698</v>
      </c>
      <c r="M127" s="83">
        <f t="shared" si="59"/>
        <v>48.6616825006843</v>
      </c>
      <c r="N127" s="83">
        <f t="shared" si="59"/>
        <v>47.26207241211079</v>
      </c>
      <c r="O127" s="83">
        <f t="shared" si="59"/>
        <v>52.164371302808121</v>
      </c>
      <c r="P127" s="83">
        <f t="shared" si="59"/>
        <v>51.953877833168832</v>
      </c>
      <c r="Q127" s="83">
        <f t="shared" si="59"/>
        <v>55.81461193537973</v>
      </c>
      <c r="R127" s="83">
        <f t="shared" si="59"/>
        <v>56.865452954593103</v>
      </c>
      <c r="S127" s="83">
        <f t="shared" si="59"/>
        <v>59.617589993229814</v>
      </c>
      <c r="T127" s="83">
        <f t="shared" si="59"/>
        <v>62.003464225402574</v>
      </c>
      <c r="U127" s="83">
        <f t="shared" si="59"/>
        <v>63.578658521794175</v>
      </c>
      <c r="V127" s="83">
        <f t="shared" si="59"/>
        <v>67.374964770419425</v>
      </c>
      <c r="W127" s="83">
        <f t="shared" si="59"/>
        <v>67.703343082108191</v>
      </c>
      <c r="X127" s="83">
        <f t="shared" si="59"/>
        <v>72.987376943888876</v>
      </c>
      <c r="Y127" s="83">
        <f t="shared" si="59"/>
        <v>71.997346977766696</v>
      </c>
      <c r="Z127" s="83">
        <f t="shared" si="59"/>
        <v>78.848480342673113</v>
      </c>
      <c r="AA127" s="83">
        <f t="shared" si="59"/>
        <v>76.466556645721965</v>
      </c>
    </row>
    <row r="128" spans="1:29" x14ac:dyDescent="0.35">
      <c r="A128" t="s">
        <v>448</v>
      </c>
      <c r="B128" t="s">
        <v>449</v>
      </c>
      <c r="C128" t="s">
        <v>23</v>
      </c>
      <c r="D128" s="51">
        <v>3.024</v>
      </c>
      <c r="E128" s="51">
        <v>3.7759999999999998</v>
      </c>
      <c r="F128" s="51">
        <v>4.3719999999999999</v>
      </c>
      <c r="G128" s="59">
        <v>5.1280000000000001</v>
      </c>
      <c r="H128" s="51">
        <v>3.6429999999999998</v>
      </c>
      <c r="I128" s="84">
        <f t="shared" ref="I128:AA128" si="60">G128</f>
        <v>5.1280000000000001</v>
      </c>
      <c r="J128" s="84">
        <f t="shared" si="60"/>
        <v>3.6429999999999998</v>
      </c>
      <c r="K128" s="84">
        <f t="shared" si="60"/>
        <v>5.1280000000000001</v>
      </c>
      <c r="L128" s="84">
        <f t="shared" si="60"/>
        <v>3.6429999999999998</v>
      </c>
      <c r="M128" s="84">
        <f t="shared" si="60"/>
        <v>5.1280000000000001</v>
      </c>
      <c r="N128" s="84">
        <f t="shared" si="60"/>
        <v>3.6429999999999998</v>
      </c>
      <c r="O128" s="84">
        <f t="shared" si="60"/>
        <v>5.1280000000000001</v>
      </c>
      <c r="P128" s="84">
        <f t="shared" si="60"/>
        <v>3.6429999999999998</v>
      </c>
      <c r="Q128" s="84">
        <f t="shared" si="60"/>
        <v>5.1280000000000001</v>
      </c>
      <c r="R128" s="84">
        <f t="shared" si="60"/>
        <v>3.6429999999999998</v>
      </c>
      <c r="S128" s="84">
        <f t="shared" si="60"/>
        <v>5.1280000000000001</v>
      </c>
      <c r="T128" s="84">
        <f t="shared" si="60"/>
        <v>3.6429999999999998</v>
      </c>
      <c r="U128" s="84">
        <f t="shared" si="60"/>
        <v>5.1280000000000001</v>
      </c>
      <c r="V128" s="84">
        <f t="shared" si="60"/>
        <v>3.6429999999999998</v>
      </c>
      <c r="W128" s="84">
        <f t="shared" si="60"/>
        <v>5.1280000000000001</v>
      </c>
      <c r="X128" s="84">
        <f t="shared" si="60"/>
        <v>3.6429999999999998</v>
      </c>
      <c r="Y128" s="84">
        <f t="shared" si="60"/>
        <v>5.1280000000000001</v>
      </c>
      <c r="Z128" s="84">
        <f t="shared" si="60"/>
        <v>3.6429999999999998</v>
      </c>
      <c r="AA128" s="84">
        <f t="shared" si="60"/>
        <v>5.1280000000000001</v>
      </c>
    </row>
    <row r="129" spans="1:27" x14ac:dyDescent="0.35">
      <c r="A129" t="s">
        <v>450</v>
      </c>
      <c r="B129" t="s">
        <v>451</v>
      </c>
      <c r="C129" t="s">
        <v>23</v>
      </c>
      <c r="D129">
        <f t="shared" ref="D129:AA129" si="61">D127+D128</f>
        <v>28.087</v>
      </c>
      <c r="E129">
        <f t="shared" si="61"/>
        <v>30.613</v>
      </c>
      <c r="F129">
        <f t="shared" si="61"/>
        <v>36.558999999999997</v>
      </c>
      <c r="G129">
        <f t="shared" si="61"/>
        <v>39.741</v>
      </c>
      <c r="H129">
        <f t="shared" si="61"/>
        <v>42.968000000000004</v>
      </c>
      <c r="I129" s="83">
        <f t="shared" si="61"/>
        <v>47.207025999999999</v>
      </c>
      <c r="J129" s="83">
        <f t="shared" si="61"/>
        <v>42.156195220883532</v>
      </c>
      <c r="K129" s="83">
        <f t="shared" si="61"/>
        <v>50.429522480916027</v>
      </c>
      <c r="L129" s="83">
        <f t="shared" si="61"/>
        <v>46.426781501915698</v>
      </c>
      <c r="M129" s="83">
        <f t="shared" si="61"/>
        <v>53.7896825006843</v>
      </c>
      <c r="N129" s="83">
        <f t="shared" si="61"/>
        <v>50.90507241211079</v>
      </c>
      <c r="O129" s="83">
        <f t="shared" si="61"/>
        <v>57.292371302808121</v>
      </c>
      <c r="P129" s="83">
        <f t="shared" si="61"/>
        <v>55.596877833168833</v>
      </c>
      <c r="Q129" s="83">
        <f t="shared" si="61"/>
        <v>60.94261193537973</v>
      </c>
      <c r="R129" s="83">
        <f t="shared" si="61"/>
        <v>60.508452954593103</v>
      </c>
      <c r="S129" s="83">
        <f t="shared" si="61"/>
        <v>64.745589993229814</v>
      </c>
      <c r="T129" s="83">
        <f t="shared" si="61"/>
        <v>65.646464225402568</v>
      </c>
      <c r="U129" s="83">
        <f t="shared" si="61"/>
        <v>68.706658521794168</v>
      </c>
      <c r="V129" s="83">
        <f t="shared" si="61"/>
        <v>71.017964770419425</v>
      </c>
      <c r="W129" s="83">
        <f t="shared" si="61"/>
        <v>72.831343082108191</v>
      </c>
      <c r="X129" s="83">
        <f t="shared" si="61"/>
        <v>76.630376943888876</v>
      </c>
      <c r="Y129" s="83">
        <f t="shared" si="61"/>
        <v>77.125346977766696</v>
      </c>
      <c r="Z129" s="83">
        <f t="shared" si="61"/>
        <v>82.491480342673114</v>
      </c>
      <c r="AA129" s="83">
        <f t="shared" si="61"/>
        <v>81.594556645721966</v>
      </c>
    </row>
    <row r="131" spans="1:27" x14ac:dyDescent="0.35">
      <c r="B131" s="58" t="s">
        <v>452</v>
      </c>
    </row>
    <row r="132" spans="1:27" x14ac:dyDescent="0.35">
      <c r="A132" t="s">
        <v>453</v>
      </c>
      <c r="B132" t="s">
        <v>454</v>
      </c>
      <c r="C132" t="s">
        <v>52</v>
      </c>
      <c r="D132" s="56">
        <v>6.4953618368758667E-2</v>
      </c>
      <c r="F132" s="56">
        <v>6.6552073153706551E-2</v>
      </c>
      <c r="H132" s="56">
        <v>5.8484263657957253E-2</v>
      </c>
      <c r="I132" s="84">
        <v>5.8000000000000003E-2</v>
      </c>
      <c r="J132" s="84">
        <f t="shared" ref="J132:AA132" si="62">H132</f>
        <v>5.8484263657957253E-2</v>
      </c>
      <c r="K132" s="84">
        <f t="shared" si="62"/>
        <v>5.8000000000000003E-2</v>
      </c>
      <c r="L132" s="84">
        <f t="shared" si="62"/>
        <v>5.8484263657957253E-2</v>
      </c>
      <c r="M132" s="84">
        <f t="shared" si="62"/>
        <v>5.8000000000000003E-2</v>
      </c>
      <c r="N132" s="84">
        <f t="shared" si="62"/>
        <v>5.8484263657957253E-2</v>
      </c>
      <c r="O132" s="84">
        <f t="shared" si="62"/>
        <v>5.8000000000000003E-2</v>
      </c>
      <c r="P132" s="84">
        <f t="shared" si="62"/>
        <v>5.8484263657957253E-2</v>
      </c>
      <c r="Q132" s="84">
        <f t="shared" si="62"/>
        <v>5.8000000000000003E-2</v>
      </c>
      <c r="R132" s="84">
        <f t="shared" si="62"/>
        <v>5.8484263657957253E-2</v>
      </c>
      <c r="S132" s="84">
        <f t="shared" si="62"/>
        <v>5.8000000000000003E-2</v>
      </c>
      <c r="T132" s="84">
        <f t="shared" si="62"/>
        <v>5.8484263657957253E-2</v>
      </c>
      <c r="U132" s="84">
        <f t="shared" si="62"/>
        <v>5.8000000000000003E-2</v>
      </c>
      <c r="V132" s="84">
        <f t="shared" si="62"/>
        <v>5.8484263657957253E-2</v>
      </c>
      <c r="W132" s="84">
        <f t="shared" si="62"/>
        <v>5.8000000000000003E-2</v>
      </c>
      <c r="X132" s="84">
        <f t="shared" si="62"/>
        <v>5.8484263657957253E-2</v>
      </c>
      <c r="Y132" s="84">
        <f t="shared" si="62"/>
        <v>5.8000000000000003E-2</v>
      </c>
      <c r="Z132" s="84">
        <f t="shared" si="62"/>
        <v>5.8484263657957253E-2</v>
      </c>
      <c r="AA132" s="84">
        <f t="shared" si="62"/>
        <v>5.8000000000000003E-2</v>
      </c>
    </row>
    <row r="133" spans="1:27" x14ac:dyDescent="0.35">
      <c r="A133" t="s">
        <v>455</v>
      </c>
      <c r="B133" t="s">
        <v>456</v>
      </c>
      <c r="C133" t="s">
        <v>23</v>
      </c>
      <c r="D133" s="51">
        <v>-30.234999999999999</v>
      </c>
      <c r="F133" s="51">
        <v>-38.137</v>
      </c>
      <c r="H133" s="51">
        <v>-39.395000000000003</v>
      </c>
      <c r="I133" s="83">
        <f t="shared" ref="I133:AA133" si="63">-I112*I132</f>
        <v>-45.486499999999999</v>
      </c>
      <c r="J133" s="83">
        <f t="shared" si="63"/>
        <v>-39.765424704943591</v>
      </c>
      <c r="K133" s="83">
        <f t="shared" si="63"/>
        <v>-49.006810000000002</v>
      </c>
      <c r="L133" s="83">
        <f t="shared" si="63"/>
        <v>-43.146699718861342</v>
      </c>
      <c r="M133" s="83">
        <f t="shared" si="63"/>
        <v>-52.6915300625</v>
      </c>
      <c r="N133" s="83">
        <f t="shared" si="63"/>
        <v>-46.672185093034393</v>
      </c>
      <c r="O133" s="83">
        <f t="shared" si="63"/>
        <v>-56.548080109374993</v>
      </c>
      <c r="P133" s="83">
        <f t="shared" si="63"/>
        <v>-50.346978048591801</v>
      </c>
      <c r="Q133" s="83">
        <f t="shared" si="63"/>
        <v>-60.584288263554676</v>
      </c>
      <c r="R133" s="83">
        <f t="shared" si="63"/>
        <v>-54.176340536243934</v>
      </c>
      <c r="S133" s="83">
        <f t="shared" si="63"/>
        <v>-64.808420617749988</v>
      </c>
      <c r="T133" s="83">
        <f t="shared" si="63"/>
        <v>-58.16570428699832</v>
      </c>
      <c r="U133" s="83">
        <f t="shared" si="63"/>
        <v>-69.229213636102841</v>
      </c>
      <c r="V133" s="83">
        <f t="shared" si="63"/>
        <v>-62.320676012455266</v>
      </c>
      <c r="W133" s="83">
        <f t="shared" si="63"/>
        <v>-73.855909441760986</v>
      </c>
      <c r="X133" s="83">
        <f t="shared" si="63"/>
        <v>-66.647042759005657</v>
      </c>
      <c r="Y133" s="83">
        <f t="shared" si="63"/>
        <v>-78.698294268380607</v>
      </c>
      <c r="Z133" s="83">
        <f t="shared" si="63"/>
        <v>-71.150777420375817</v>
      </c>
      <c r="AA133" s="83">
        <f t="shared" si="63"/>
        <v>-83.766740381051335</v>
      </c>
    </row>
    <row r="134" spans="1:27" x14ac:dyDescent="0.35">
      <c r="A134" t="s">
        <v>457</v>
      </c>
      <c r="B134" t="s">
        <v>78</v>
      </c>
      <c r="C134" t="s">
        <v>23</v>
      </c>
      <c r="D134" s="51">
        <v>23.141999999999999</v>
      </c>
      <c r="E134" s="51">
        <v>24.358000000000001</v>
      </c>
      <c r="F134" s="51">
        <v>31.780999999999999</v>
      </c>
      <c r="G134" s="51">
        <v>34.219000000000001</v>
      </c>
      <c r="H134" s="51">
        <v>41.314</v>
      </c>
      <c r="I134" s="83">
        <f t="shared" ref="I134:AA134" si="64">I121+I129+I133</f>
        <v>48.768593024595837</v>
      </c>
      <c r="J134" s="83">
        <f t="shared" si="64"/>
        <v>43.262539416231043</v>
      </c>
      <c r="K134" s="83">
        <f t="shared" si="64"/>
        <v>52.004925513605883</v>
      </c>
      <c r="L134" s="83">
        <f t="shared" si="64"/>
        <v>45.588250821621372</v>
      </c>
      <c r="M134" s="83">
        <f t="shared" si="64"/>
        <v>55.364753323195679</v>
      </c>
      <c r="N134" s="83">
        <f t="shared" si="64"/>
        <v>47.986371553761622</v>
      </c>
      <c r="O134" s="83">
        <f t="shared" si="64"/>
        <v>58.8508334322362</v>
      </c>
      <c r="P134" s="83">
        <f t="shared" si="64"/>
        <v>50.461065422639741</v>
      </c>
      <c r="Q134" s="83">
        <f t="shared" si="64"/>
        <v>62.465842841392906</v>
      </c>
      <c r="R134" s="83">
        <f t="shared" si="64"/>
        <v>53.016361003931941</v>
      </c>
      <c r="S134" s="83">
        <f t="shared" si="64"/>
        <v>66.212358980566563</v>
      </c>
      <c r="T134" s="83">
        <f t="shared" si="64"/>
        <v>55.656197463525714</v>
      </c>
      <c r="U134" s="83">
        <f t="shared" si="64"/>
        <v>70.09283775988267</v>
      </c>
      <c r="V134" s="83">
        <f t="shared" si="64"/>
        <v>58.384460768027992</v>
      </c>
      <c r="W134" s="83">
        <f t="shared" si="64"/>
        <v>74.1095890253753</v>
      </c>
      <c r="X134" s="83">
        <f t="shared" si="64"/>
        <v>61.205012727900666</v>
      </c>
      <c r="Y134" s="83">
        <f t="shared" si="64"/>
        <v>78.264749154222955</v>
      </c>
      <c r="Z134" s="83">
        <f t="shared" si="64"/>
        <v>64.121714639730158</v>
      </c>
      <c r="AA134" s="83">
        <f t="shared" si="64"/>
        <v>82.560250496082773</v>
      </c>
    </row>
    <row r="135" spans="1:27" x14ac:dyDescent="0.35">
      <c r="A135" t="s">
        <v>458</v>
      </c>
      <c r="B135" t="s">
        <v>459</v>
      </c>
      <c r="C135" t="s">
        <v>52</v>
      </c>
      <c r="D135" s="56">
        <v>4.971578092574213E-2</v>
      </c>
      <c r="F135" s="56">
        <v>5.5460351807901723E-2</v>
      </c>
      <c r="H135" s="56">
        <v>6.133313539192399E-2</v>
      </c>
      <c r="I135" s="83">
        <f t="shared" ref="I135:AA135" si="65">IF(I112=0,"",I134/I112)</f>
        <v>6.2185008638311556E-2</v>
      </c>
      <c r="J135" s="83">
        <f t="shared" si="65"/>
        <v>6.3627580505058096E-2</v>
      </c>
      <c r="K135" s="83">
        <f t="shared" si="65"/>
        <v>6.1548296650794886E-2</v>
      </c>
      <c r="L135" s="83">
        <f t="shared" si="65"/>
        <v>6.1793724621567708E-2</v>
      </c>
      <c r="M135" s="83">
        <f t="shared" si="65"/>
        <v>6.0942540270446516E-2</v>
      </c>
      <c r="N135" s="83">
        <f t="shared" si="65"/>
        <v>6.0131052367585494E-2</v>
      </c>
      <c r="O135" s="83">
        <f t="shared" si="65"/>
        <v>6.0361878466388595E-2</v>
      </c>
      <c r="P135" s="83">
        <f t="shared" si="65"/>
        <v>5.8616790302504301E-2</v>
      </c>
      <c r="Q135" s="83">
        <f t="shared" si="65"/>
        <v>5.9801294834724766E-2</v>
      </c>
      <c r="R135" s="83">
        <f t="shared" si="65"/>
        <v>5.7232046396066272E-2</v>
      </c>
      <c r="S135" s="83">
        <f t="shared" si="65"/>
        <v>5.9256448224894086E-2</v>
      </c>
      <c r="T135" s="83">
        <f t="shared" si="65"/>
        <v>5.5961012877888537E-2</v>
      </c>
      <c r="U135" s="83">
        <f t="shared" si="65"/>
        <v>5.8723541357013312E-2</v>
      </c>
      <c r="V135" s="83">
        <f t="shared" si="65"/>
        <v>5.4790358763158832E-2</v>
      </c>
      <c r="W135" s="83">
        <f t="shared" si="65"/>
        <v>5.8199217854885833E-2</v>
      </c>
      <c r="X135" s="83">
        <f t="shared" si="65"/>
        <v>5.3708761160051459E-2</v>
      </c>
      <c r="Y135" s="83">
        <f t="shared" si="65"/>
        <v>5.7680480792437622E-2</v>
      </c>
      <c r="Z135" s="83">
        <f t="shared" si="65"/>
        <v>5.270653956503836E-2</v>
      </c>
      <c r="AA135" s="83">
        <f t="shared" si="65"/>
        <v>5.7164627714891891E-2</v>
      </c>
    </row>
    <row r="138" spans="1:27" x14ac:dyDescent="0.35">
      <c r="B138" s="58" t="s">
        <v>460</v>
      </c>
    </row>
    <row r="140" spans="1:27" x14ac:dyDescent="0.35">
      <c r="A140" t="s">
        <v>461</v>
      </c>
      <c r="B140" t="s">
        <v>462</v>
      </c>
      <c r="C140" t="s">
        <v>174</v>
      </c>
      <c r="D140" s="55">
        <v>4</v>
      </c>
      <c r="E140" s="55">
        <v>4</v>
      </c>
      <c r="F140" s="55">
        <v>4</v>
      </c>
      <c r="G140" s="55">
        <v>6</v>
      </c>
      <c r="H140" s="55">
        <v>8</v>
      </c>
      <c r="I140" s="83">
        <f t="shared" ref="I140:AA140" si="66">G140+I141</f>
        <v>7</v>
      </c>
      <c r="J140" s="83">
        <f t="shared" si="66"/>
        <v>8</v>
      </c>
      <c r="K140" s="83">
        <f t="shared" si="66"/>
        <v>8</v>
      </c>
      <c r="L140" s="83">
        <f t="shared" si="66"/>
        <v>8</v>
      </c>
      <c r="M140" s="83">
        <f t="shared" si="66"/>
        <v>9</v>
      </c>
      <c r="N140" s="83">
        <f t="shared" si="66"/>
        <v>8</v>
      </c>
      <c r="O140" s="83">
        <f t="shared" si="66"/>
        <v>10</v>
      </c>
      <c r="P140" s="83">
        <f t="shared" si="66"/>
        <v>8</v>
      </c>
      <c r="Q140" s="83">
        <f t="shared" si="66"/>
        <v>11</v>
      </c>
      <c r="R140" s="83">
        <f t="shared" si="66"/>
        <v>8</v>
      </c>
      <c r="S140" s="83">
        <f t="shared" si="66"/>
        <v>12</v>
      </c>
      <c r="T140" s="83">
        <f t="shared" si="66"/>
        <v>8</v>
      </c>
      <c r="U140" s="83">
        <f t="shared" si="66"/>
        <v>13</v>
      </c>
      <c r="V140" s="83">
        <f t="shared" si="66"/>
        <v>8</v>
      </c>
      <c r="W140" s="83">
        <f t="shared" si="66"/>
        <v>14</v>
      </c>
      <c r="X140" s="83">
        <f t="shared" si="66"/>
        <v>8</v>
      </c>
      <c r="Y140" s="83">
        <f t="shared" si="66"/>
        <v>15</v>
      </c>
      <c r="Z140" s="83">
        <f t="shared" si="66"/>
        <v>8</v>
      </c>
      <c r="AA140" s="83">
        <f t="shared" si="66"/>
        <v>16</v>
      </c>
    </row>
    <row r="141" spans="1:27" x14ac:dyDescent="0.35">
      <c r="A141" t="s">
        <v>463</v>
      </c>
      <c r="B141" t="s">
        <v>464</v>
      </c>
      <c r="C141" t="s">
        <v>174</v>
      </c>
      <c r="I141" s="84">
        <v>1</v>
      </c>
      <c r="J141" s="84">
        <f t="shared" ref="J141:AA141" si="67">H141</f>
        <v>0</v>
      </c>
      <c r="K141" s="84">
        <f t="shared" si="67"/>
        <v>1</v>
      </c>
      <c r="L141" s="84">
        <f t="shared" si="67"/>
        <v>0</v>
      </c>
      <c r="M141" s="84">
        <f t="shared" si="67"/>
        <v>1</v>
      </c>
      <c r="N141" s="84">
        <f t="shared" si="67"/>
        <v>0</v>
      </c>
      <c r="O141" s="84">
        <f t="shared" si="67"/>
        <v>1</v>
      </c>
      <c r="P141" s="84">
        <f t="shared" si="67"/>
        <v>0</v>
      </c>
      <c r="Q141" s="84">
        <f t="shared" si="67"/>
        <v>1</v>
      </c>
      <c r="R141" s="84">
        <f t="shared" si="67"/>
        <v>0</v>
      </c>
      <c r="S141" s="84">
        <f t="shared" si="67"/>
        <v>1</v>
      </c>
      <c r="T141" s="84">
        <f t="shared" si="67"/>
        <v>0</v>
      </c>
      <c r="U141" s="84">
        <f t="shared" si="67"/>
        <v>1</v>
      </c>
      <c r="V141" s="84">
        <f t="shared" si="67"/>
        <v>0</v>
      </c>
      <c r="W141" s="84">
        <f t="shared" si="67"/>
        <v>1</v>
      </c>
      <c r="X141" s="84">
        <f t="shared" si="67"/>
        <v>0</v>
      </c>
      <c r="Y141" s="84">
        <f t="shared" si="67"/>
        <v>1</v>
      </c>
      <c r="Z141" s="84">
        <f t="shared" si="67"/>
        <v>0</v>
      </c>
      <c r="AA141" s="84">
        <f t="shared" si="67"/>
        <v>1</v>
      </c>
    </row>
    <row r="142" spans="1:27" x14ac:dyDescent="0.35">
      <c r="A142" t="s">
        <v>465</v>
      </c>
      <c r="B142" t="s">
        <v>167</v>
      </c>
      <c r="C142" t="s">
        <v>23</v>
      </c>
      <c r="D142" s="51">
        <v>5.6180000000000003</v>
      </c>
      <c r="E142" s="51">
        <v>5.1820000000000004</v>
      </c>
      <c r="F142" s="51">
        <v>4.907</v>
      </c>
      <c r="G142" s="51">
        <v>7.2929999999999993</v>
      </c>
      <c r="H142" s="51">
        <v>8.1929999999999996</v>
      </c>
      <c r="I142" s="83">
        <f t="shared" ref="I142:AA142" si="68">G142*(I140/G140)</f>
        <v>8.5084999999999997</v>
      </c>
      <c r="J142" s="83">
        <f t="shared" si="68"/>
        <v>8.1929999999999996</v>
      </c>
      <c r="K142" s="83">
        <f t="shared" si="68"/>
        <v>9.7239999999999984</v>
      </c>
      <c r="L142" s="83">
        <f t="shared" si="68"/>
        <v>8.1929999999999996</v>
      </c>
      <c r="M142" s="83">
        <f t="shared" si="68"/>
        <v>10.939499999999999</v>
      </c>
      <c r="N142" s="83">
        <f t="shared" si="68"/>
        <v>8.1929999999999996</v>
      </c>
      <c r="O142" s="83">
        <f t="shared" si="68"/>
        <v>12.154999999999999</v>
      </c>
      <c r="P142" s="83">
        <f t="shared" si="68"/>
        <v>8.1929999999999996</v>
      </c>
      <c r="Q142" s="83">
        <f t="shared" si="68"/>
        <v>13.3705</v>
      </c>
      <c r="R142" s="83">
        <f t="shared" si="68"/>
        <v>8.1929999999999996</v>
      </c>
      <c r="S142" s="83">
        <f t="shared" si="68"/>
        <v>14.585999999999999</v>
      </c>
      <c r="T142" s="83">
        <f t="shared" si="68"/>
        <v>8.1929999999999996</v>
      </c>
      <c r="U142" s="83">
        <f t="shared" si="68"/>
        <v>15.801499999999997</v>
      </c>
      <c r="V142" s="83">
        <f t="shared" si="68"/>
        <v>8.1929999999999996</v>
      </c>
      <c r="W142" s="83">
        <f t="shared" si="68"/>
        <v>17.016999999999996</v>
      </c>
      <c r="X142" s="83">
        <f t="shared" si="68"/>
        <v>8.1929999999999996</v>
      </c>
      <c r="Y142" s="83">
        <f t="shared" si="68"/>
        <v>18.232499999999995</v>
      </c>
      <c r="Z142" s="83">
        <f t="shared" si="68"/>
        <v>8.1929999999999996</v>
      </c>
      <c r="AA142" s="83">
        <f t="shared" si="68"/>
        <v>19.447999999999993</v>
      </c>
    </row>
    <row r="143" spans="1:27" x14ac:dyDescent="0.35">
      <c r="A143" t="s">
        <v>466</v>
      </c>
      <c r="B143" t="s">
        <v>467</v>
      </c>
      <c r="C143" t="s">
        <v>23</v>
      </c>
      <c r="D143" s="51">
        <v>5.6180000000000003</v>
      </c>
      <c r="E143" s="51">
        <v>5.1820000000000004</v>
      </c>
      <c r="F143" s="51">
        <v>3.2320000000000002</v>
      </c>
      <c r="G143" s="51">
        <v>5.6680000000000001</v>
      </c>
      <c r="H143" s="51">
        <v>6.46</v>
      </c>
      <c r="I143" s="83">
        <f t="shared" ref="I143:AA143" si="69">I142</f>
        <v>8.5084999999999997</v>
      </c>
      <c r="J143" s="83">
        <f t="shared" si="69"/>
        <v>8.1929999999999996</v>
      </c>
      <c r="K143" s="83">
        <f t="shared" si="69"/>
        <v>9.7239999999999984</v>
      </c>
      <c r="L143" s="83">
        <f t="shared" si="69"/>
        <v>8.1929999999999996</v>
      </c>
      <c r="M143" s="83">
        <f t="shared" si="69"/>
        <v>10.939499999999999</v>
      </c>
      <c r="N143" s="83">
        <f t="shared" si="69"/>
        <v>8.1929999999999996</v>
      </c>
      <c r="O143" s="83">
        <f t="shared" si="69"/>
        <v>12.154999999999999</v>
      </c>
      <c r="P143" s="83">
        <f t="shared" si="69"/>
        <v>8.1929999999999996</v>
      </c>
      <c r="Q143" s="83">
        <f t="shared" si="69"/>
        <v>13.3705</v>
      </c>
      <c r="R143" s="83">
        <f t="shared" si="69"/>
        <v>8.1929999999999996</v>
      </c>
      <c r="S143" s="83">
        <f t="shared" si="69"/>
        <v>14.585999999999999</v>
      </c>
      <c r="T143" s="83">
        <f t="shared" si="69"/>
        <v>8.1929999999999996</v>
      </c>
      <c r="U143" s="83">
        <f t="shared" si="69"/>
        <v>15.801499999999997</v>
      </c>
      <c r="V143" s="83">
        <f t="shared" si="69"/>
        <v>8.1929999999999996</v>
      </c>
      <c r="W143" s="83">
        <f t="shared" si="69"/>
        <v>17.016999999999996</v>
      </c>
      <c r="X143" s="83">
        <f t="shared" si="69"/>
        <v>8.1929999999999996</v>
      </c>
      <c r="Y143" s="83">
        <f t="shared" si="69"/>
        <v>18.232499999999995</v>
      </c>
      <c r="Z143" s="83">
        <f t="shared" si="69"/>
        <v>8.1929999999999996</v>
      </c>
      <c r="AA143" s="83">
        <f t="shared" si="69"/>
        <v>19.447999999999993</v>
      </c>
    </row>
    <row r="144" spans="1:27" x14ac:dyDescent="0.35">
      <c r="A144" t="s">
        <v>468</v>
      </c>
      <c r="B144" t="s">
        <v>469</v>
      </c>
      <c r="C144" t="s">
        <v>52</v>
      </c>
      <c r="D144" s="56">
        <v>-9.0245639017443924E-2</v>
      </c>
      <c r="F144" s="56">
        <v>-0.40810643564356441</v>
      </c>
      <c r="H144" s="56">
        <v>-0.69597523219814239</v>
      </c>
      <c r="I144" s="84">
        <v>-0.5</v>
      </c>
      <c r="J144" s="84">
        <f t="shared" ref="J144:AA144" si="70">MIN(0,H144+0.05)</f>
        <v>-0.64597523219814235</v>
      </c>
      <c r="K144" s="84">
        <f t="shared" si="70"/>
        <v>-0.45</v>
      </c>
      <c r="L144" s="84">
        <f t="shared" si="70"/>
        <v>-0.5959752321981423</v>
      </c>
      <c r="M144" s="84">
        <f t="shared" si="70"/>
        <v>-0.4</v>
      </c>
      <c r="N144" s="84">
        <f t="shared" si="70"/>
        <v>-0.54597523219814226</v>
      </c>
      <c r="O144" s="84">
        <f t="shared" si="70"/>
        <v>-0.35000000000000003</v>
      </c>
      <c r="P144" s="84">
        <f t="shared" si="70"/>
        <v>-0.49597523219814227</v>
      </c>
      <c r="Q144" s="84">
        <f t="shared" si="70"/>
        <v>-0.30000000000000004</v>
      </c>
      <c r="R144" s="84">
        <f t="shared" si="70"/>
        <v>-0.44597523219814228</v>
      </c>
      <c r="S144" s="84">
        <f t="shared" si="70"/>
        <v>-0.25000000000000006</v>
      </c>
      <c r="T144" s="84">
        <f t="shared" si="70"/>
        <v>-0.39597523219814229</v>
      </c>
      <c r="U144" s="84">
        <f t="shared" si="70"/>
        <v>-0.20000000000000007</v>
      </c>
      <c r="V144" s="84">
        <f t="shared" si="70"/>
        <v>-0.3459752321981423</v>
      </c>
      <c r="W144" s="84">
        <f t="shared" si="70"/>
        <v>-0.15000000000000008</v>
      </c>
      <c r="X144" s="84">
        <f t="shared" si="70"/>
        <v>-0.29597523219814231</v>
      </c>
      <c r="Y144" s="84">
        <f t="shared" si="70"/>
        <v>-0.10000000000000007</v>
      </c>
      <c r="Z144" s="84">
        <f t="shared" si="70"/>
        <v>-0.24597523219814232</v>
      </c>
      <c r="AA144" s="84">
        <f t="shared" si="70"/>
        <v>-5.0000000000000072E-2</v>
      </c>
    </row>
    <row r="145" spans="1:27" x14ac:dyDescent="0.35">
      <c r="A145" t="s">
        <v>470</v>
      </c>
      <c r="B145" t="s">
        <v>471</v>
      </c>
      <c r="C145" t="s">
        <v>23</v>
      </c>
      <c r="D145" s="51">
        <v>-0.50700000000000001</v>
      </c>
      <c r="E145" s="51">
        <v>-24.417000000000002</v>
      </c>
      <c r="F145" s="51">
        <v>-1.319</v>
      </c>
      <c r="H145" s="51">
        <v>-4.4960000000000004</v>
      </c>
      <c r="I145" s="83">
        <f t="shared" ref="I145:AA145" si="71">I143*I144</f>
        <v>-4.2542499999999999</v>
      </c>
      <c r="J145" s="83">
        <f t="shared" si="71"/>
        <v>-5.2924750773993798</v>
      </c>
      <c r="K145" s="83">
        <f t="shared" si="71"/>
        <v>-4.375799999999999</v>
      </c>
      <c r="L145" s="83">
        <f t="shared" si="71"/>
        <v>-4.8828250773993798</v>
      </c>
      <c r="M145" s="83">
        <f t="shared" si="71"/>
        <v>-4.3757999999999999</v>
      </c>
      <c r="N145" s="83">
        <f t="shared" si="71"/>
        <v>-4.4731750773993797</v>
      </c>
      <c r="O145" s="83">
        <f t="shared" si="71"/>
        <v>-4.2542499999999999</v>
      </c>
      <c r="P145" s="83">
        <f t="shared" si="71"/>
        <v>-4.0635250773993796</v>
      </c>
      <c r="Q145" s="83">
        <f t="shared" si="71"/>
        <v>-4.0111500000000007</v>
      </c>
      <c r="R145" s="83">
        <f t="shared" si="71"/>
        <v>-3.6538750773993796</v>
      </c>
      <c r="S145" s="83">
        <f t="shared" si="71"/>
        <v>-3.6465000000000005</v>
      </c>
      <c r="T145" s="83">
        <f t="shared" si="71"/>
        <v>-3.2442250773993795</v>
      </c>
      <c r="U145" s="83">
        <f t="shared" si="71"/>
        <v>-3.1603000000000003</v>
      </c>
      <c r="V145" s="83">
        <f t="shared" si="71"/>
        <v>-2.8345750773993799</v>
      </c>
      <c r="W145" s="83">
        <f t="shared" si="71"/>
        <v>-2.5525500000000005</v>
      </c>
      <c r="X145" s="83">
        <f t="shared" si="71"/>
        <v>-2.4249250773993798</v>
      </c>
      <c r="Y145" s="83">
        <f t="shared" si="71"/>
        <v>-1.8232500000000009</v>
      </c>
      <c r="Z145" s="83">
        <f t="shared" si="71"/>
        <v>-2.0152750773993802</v>
      </c>
      <c r="AA145" s="83">
        <f t="shared" si="71"/>
        <v>-0.97240000000000104</v>
      </c>
    </row>
    <row r="146" spans="1:27" x14ac:dyDescent="0.35">
      <c r="A146" t="s">
        <v>472</v>
      </c>
      <c r="B146" t="s">
        <v>473</v>
      </c>
      <c r="C146" t="s">
        <v>23</v>
      </c>
      <c r="D146" s="60">
        <v>0</v>
      </c>
      <c r="F146" s="60">
        <v>0.13600000000000001</v>
      </c>
      <c r="H146" s="60">
        <v>0.14099999999999999</v>
      </c>
      <c r="I146" s="84">
        <f t="shared" ref="I146:R147" si="72">G146</f>
        <v>0</v>
      </c>
      <c r="J146" s="84">
        <f t="shared" si="72"/>
        <v>0.14099999999999999</v>
      </c>
      <c r="K146" s="84">
        <f t="shared" si="72"/>
        <v>0</v>
      </c>
      <c r="L146" s="84">
        <f t="shared" si="72"/>
        <v>0.14099999999999999</v>
      </c>
      <c r="M146" s="84">
        <f t="shared" si="72"/>
        <v>0</v>
      </c>
      <c r="N146" s="84">
        <f t="shared" si="72"/>
        <v>0.14099999999999999</v>
      </c>
      <c r="O146" s="84">
        <f t="shared" si="72"/>
        <v>0</v>
      </c>
      <c r="P146" s="84">
        <f t="shared" si="72"/>
        <v>0.14099999999999999</v>
      </c>
      <c r="Q146" s="84">
        <f t="shared" si="72"/>
        <v>0</v>
      </c>
      <c r="R146" s="84">
        <f t="shared" si="72"/>
        <v>0.14099999999999999</v>
      </c>
      <c r="S146" s="84">
        <f t="shared" ref="S146:AB147" si="73">Q146</f>
        <v>0</v>
      </c>
      <c r="T146" s="84">
        <f t="shared" si="73"/>
        <v>0.14099999999999999</v>
      </c>
      <c r="U146" s="84">
        <f t="shared" si="73"/>
        <v>0</v>
      </c>
      <c r="V146" s="84">
        <f t="shared" si="73"/>
        <v>0.14099999999999999</v>
      </c>
      <c r="W146" s="84">
        <f t="shared" si="73"/>
        <v>0</v>
      </c>
      <c r="X146" s="84">
        <f t="shared" si="73"/>
        <v>0.14099999999999999</v>
      </c>
      <c r="Y146" s="84">
        <f t="shared" si="73"/>
        <v>0</v>
      </c>
      <c r="Z146" s="84">
        <f t="shared" si="73"/>
        <v>0.14099999999999999</v>
      </c>
      <c r="AA146" s="84">
        <f t="shared" si="73"/>
        <v>0</v>
      </c>
    </row>
    <row r="147" spans="1:27" x14ac:dyDescent="0.35">
      <c r="A147" t="s">
        <v>474</v>
      </c>
      <c r="B147" t="s">
        <v>475</v>
      </c>
      <c r="C147" t="s">
        <v>23</v>
      </c>
      <c r="D147" s="51">
        <v>-2.5880000000000001</v>
      </c>
      <c r="F147" s="51">
        <v>-3.831</v>
      </c>
      <c r="H147" s="51">
        <v>-3.9529999999999998</v>
      </c>
      <c r="I147" s="84">
        <f t="shared" si="72"/>
        <v>0</v>
      </c>
      <c r="J147" s="84">
        <f t="shared" si="72"/>
        <v>-3.9529999999999998</v>
      </c>
      <c r="K147" s="84">
        <f t="shared" si="72"/>
        <v>0</v>
      </c>
      <c r="L147" s="84">
        <f t="shared" si="72"/>
        <v>-3.9529999999999998</v>
      </c>
      <c r="M147" s="84">
        <f t="shared" si="72"/>
        <v>0</v>
      </c>
      <c r="N147" s="84">
        <f t="shared" si="72"/>
        <v>-3.9529999999999998</v>
      </c>
      <c r="O147" s="84">
        <f t="shared" si="72"/>
        <v>0</v>
      </c>
      <c r="P147" s="84">
        <f t="shared" si="72"/>
        <v>-3.9529999999999998</v>
      </c>
      <c r="Q147" s="84">
        <f t="shared" si="72"/>
        <v>0</v>
      </c>
      <c r="R147" s="84">
        <f t="shared" si="72"/>
        <v>-3.9529999999999998</v>
      </c>
      <c r="S147" s="84">
        <f t="shared" si="73"/>
        <v>0</v>
      </c>
      <c r="T147" s="84">
        <f t="shared" si="73"/>
        <v>-3.9529999999999998</v>
      </c>
      <c r="U147" s="84">
        <f t="shared" si="73"/>
        <v>0</v>
      </c>
      <c r="V147" s="84">
        <f t="shared" si="73"/>
        <v>-3.9529999999999998</v>
      </c>
      <c r="W147" s="84">
        <f t="shared" si="73"/>
        <v>0</v>
      </c>
      <c r="X147" s="84">
        <f t="shared" si="73"/>
        <v>-3.9529999999999998</v>
      </c>
      <c r="Y147" s="84">
        <f t="shared" si="73"/>
        <v>0</v>
      </c>
      <c r="Z147" s="84">
        <f t="shared" si="73"/>
        <v>-3.9529999999999998</v>
      </c>
      <c r="AA147" s="84">
        <f t="shared" si="73"/>
        <v>0</v>
      </c>
    </row>
    <row r="148" spans="1:27" x14ac:dyDescent="0.35">
      <c r="A148" t="s">
        <v>476</v>
      </c>
      <c r="B148" t="s">
        <v>477</v>
      </c>
      <c r="C148" t="s">
        <v>23</v>
      </c>
      <c r="D148" s="51">
        <v>-3.0950000000000002</v>
      </c>
      <c r="E148" s="51">
        <v>-3.4049999999999998</v>
      </c>
      <c r="F148" s="51">
        <v>-5.0140000000000002</v>
      </c>
      <c r="G148" s="51">
        <v>-8.1859999999999999</v>
      </c>
      <c r="H148" s="51">
        <v>-8.3079999999999998</v>
      </c>
      <c r="I148" s="83">
        <f t="shared" ref="I148:AA148" si="74">I145+I146+I147</f>
        <v>-4.2542499999999999</v>
      </c>
      <c r="J148" s="83">
        <f t="shared" si="74"/>
        <v>-9.1044750773993801</v>
      </c>
      <c r="K148" s="83">
        <f t="shared" si="74"/>
        <v>-4.375799999999999</v>
      </c>
      <c r="L148" s="83">
        <f t="shared" si="74"/>
        <v>-8.6948250773993792</v>
      </c>
      <c r="M148" s="83">
        <f t="shared" si="74"/>
        <v>-4.3757999999999999</v>
      </c>
      <c r="N148" s="83">
        <f t="shared" si="74"/>
        <v>-8.28517507739938</v>
      </c>
      <c r="O148" s="83">
        <f t="shared" si="74"/>
        <v>-4.2542499999999999</v>
      </c>
      <c r="P148" s="83">
        <f t="shared" si="74"/>
        <v>-7.875525077399379</v>
      </c>
      <c r="Q148" s="83">
        <f t="shared" si="74"/>
        <v>-4.0111500000000007</v>
      </c>
      <c r="R148" s="83">
        <f t="shared" si="74"/>
        <v>-7.4658750773993798</v>
      </c>
      <c r="S148" s="83">
        <f t="shared" si="74"/>
        <v>-3.6465000000000005</v>
      </c>
      <c r="T148" s="83">
        <f t="shared" si="74"/>
        <v>-7.0562250773993789</v>
      </c>
      <c r="U148" s="83">
        <f t="shared" si="74"/>
        <v>-3.1603000000000003</v>
      </c>
      <c r="V148" s="83">
        <f t="shared" si="74"/>
        <v>-6.6465750773993797</v>
      </c>
      <c r="W148" s="83">
        <f t="shared" si="74"/>
        <v>-2.5525500000000005</v>
      </c>
      <c r="X148" s="83">
        <f t="shared" si="74"/>
        <v>-6.2369250773993796</v>
      </c>
      <c r="Y148" s="83">
        <f t="shared" si="74"/>
        <v>-1.8232500000000009</v>
      </c>
      <c r="Z148" s="83">
        <f t="shared" si="74"/>
        <v>-5.8272750773993796</v>
      </c>
      <c r="AA148" s="83">
        <f t="shared" si="74"/>
        <v>-0.97240000000000104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Value</vt:lpstr>
      <vt:lpstr>Annual</vt:lpstr>
      <vt:lpstr>HY &amp; Segments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Wilson</cp:lastModifiedBy>
  <dcterms:created xsi:type="dcterms:W3CDTF">2026-03-02T02:03:35Z</dcterms:created>
  <dcterms:modified xsi:type="dcterms:W3CDTF">2026-03-15T08:02:04Z</dcterms:modified>
</cp:coreProperties>
</file>