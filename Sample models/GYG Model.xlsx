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drawings/drawing1.xml" ContentType="application/vnd.openxmlformats-officedocument.drawing+xml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ustomProperty4.bin" ContentType="application/vnd.openxmlformats-officedocument.spreadsheetml.customProperty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ustomProperty5.bin" ContentType="application/vnd.openxmlformats-officedocument.spreadsheetml.customProperty"/>
  <Override PartName="/xl/customProperty6.bin" ContentType="application/vnd.openxmlformats-officedocument.spreadsheetml.customProperty"/>
  <Override PartName="/xl/drawings/drawing3.xml" ContentType="application/vnd.openxmlformats-officedocument.drawing+xml"/>
  <Override PartName="/xl/customProperty7.bin" ContentType="application/vnd.openxmlformats-officedocument.spreadsheetml.customProperty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ustomProperty8.bin" ContentType="application/vnd.openxmlformats-officedocument.spreadsheetml.customProperty"/>
  <Override PartName="/xl/customProperty9.bin" ContentType="application/vnd.openxmlformats-officedocument.spreadsheetml.customProperty"/>
  <Override PartName="/xl/drawings/drawing5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updateLinks="never"/>
  <mc:AlternateContent xmlns:mc="http://schemas.openxmlformats.org/markup-compatibility/2006">
    <mc:Choice Requires="x15">
      <x15ac:absPath xmlns:x15ac="http://schemas.microsoft.com/office/spreadsheetml/2010/11/ac" url="\\firmwide.corp.gs.com\irroot\projects\hk\anz_smid\ELIJAH\Stocks\zz Models\"/>
    </mc:Choice>
  </mc:AlternateContent>
  <xr:revisionPtr revIDLastSave="0" documentId="13_ncr:1_{986C4D64-9209-46A5-A80F-60B6391DD184}" xr6:coauthVersionLast="47" xr6:coauthVersionMax="47" xr10:uidLastSave="{00000000-0000-0000-0000-000000000000}"/>
  <bookViews>
    <workbookView xWindow="0" yWindow="0" windowWidth="57600" windowHeight="23400" tabRatio="793" xr2:uid="{CBE3EC3D-9EA5-442A-8E11-ED249AC630C8}"/>
  </bookViews>
  <sheets>
    <sheet name="GYG model -&gt;" sheetId="1" r:id="rId1"/>
    <sheet name="Summary" sheetId="2" r:id="rId2"/>
    <sheet name="Income &amp; Cash Flow" sheetId="3" r:id="rId3"/>
    <sheet name="Balance Sheet" sheetId="4" r:id="rId4"/>
    <sheet name="Segments" sheetId="43" r:id="rId5"/>
    <sheet name="Valuation" sheetId="6" r:id="rId6"/>
  </sheets>
  <definedNames>
    <definedName name="A_ALL_GYG.AX">#REF!</definedName>
    <definedName name="E_ALL_GYG.AX">#REF!</definedName>
    <definedName name="L_ALL_GYG.AX">#REF!</definedName>
    <definedName name="SpreadsheetBuilder_1" hidden="1">#REF!</definedName>
    <definedName name="V_ALL_GYG.AX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45" i="43" l="1"/>
  <c r="AD145" i="43"/>
  <c r="AG145" i="43"/>
  <c r="AJ145" i="43"/>
  <c r="AM145" i="43"/>
  <c r="AP145" i="43"/>
  <c r="AS145" i="43"/>
  <c r="AV145" i="43"/>
  <c r="AY145" i="43"/>
  <c r="AA146" i="43"/>
  <c r="AD146" i="43"/>
  <c r="AG146" i="43"/>
  <c r="AJ146" i="43"/>
  <c r="AM146" i="43"/>
  <c r="AP146" i="43"/>
  <c r="AS146" i="43"/>
  <c r="AV146" i="43"/>
  <c r="AY146" i="43"/>
  <c r="AD90" i="43" l="1"/>
  <c r="AA90" i="43"/>
  <c r="AY90" i="43"/>
  <c r="AV90" i="43"/>
  <c r="AS90" i="43"/>
  <c r="AP90" i="43"/>
  <c r="AM90" i="43"/>
  <c r="AJ90" i="43"/>
  <c r="AG90" i="43"/>
  <c r="U115" i="3"/>
  <c r="U119" i="3" s="1"/>
  <c r="U118" i="3"/>
  <c r="U24" i="3"/>
  <c r="U31" i="3"/>
  <c r="U30" i="3"/>
  <c r="U133" i="3"/>
  <c r="U131" i="3"/>
  <c r="U130" i="3"/>
  <c r="U154" i="3" s="1"/>
  <c r="T130" i="3"/>
  <c r="T154" i="3" s="1"/>
  <c r="T123" i="3"/>
  <c r="T117" i="3"/>
  <c r="T116" i="3"/>
  <c r="T115" i="3"/>
  <c r="T114" i="3"/>
  <c r="T113" i="3"/>
  <c r="T112" i="3"/>
  <c r="T111" i="3"/>
  <c r="T110" i="3"/>
  <c r="T109" i="3"/>
  <c r="U106" i="3"/>
  <c r="T105" i="3"/>
  <c r="T104" i="3"/>
  <c r="T103" i="3"/>
  <c r="T102" i="3"/>
  <c r="T101" i="3"/>
  <c r="U98" i="3"/>
  <c r="U136" i="3" s="1"/>
  <c r="T97" i="3"/>
  <c r="T96" i="3"/>
  <c r="T95" i="3"/>
  <c r="T94" i="3"/>
  <c r="U89" i="3"/>
  <c r="U63" i="3"/>
  <c r="U61" i="3"/>
  <c r="U59" i="3"/>
  <c r="T52" i="3"/>
  <c r="U51" i="3"/>
  <c r="U49" i="3"/>
  <c r="T42" i="3"/>
  <c r="T38" i="3"/>
  <c r="T89" i="3" s="1"/>
  <c r="T36" i="3"/>
  <c r="U32" i="3"/>
  <c r="T31" i="3"/>
  <c r="T30" i="3"/>
  <c r="T29" i="3"/>
  <c r="T27" i="3"/>
  <c r="T23" i="3"/>
  <c r="T22" i="3"/>
  <c r="T20" i="3"/>
  <c r="T131" i="3" s="1"/>
  <c r="U16" i="3"/>
  <c r="T15" i="3"/>
  <c r="T14" i="3"/>
  <c r="T13" i="3"/>
  <c r="T12" i="3"/>
  <c r="T11" i="3"/>
  <c r="T10" i="3"/>
  <c r="U8" i="3"/>
  <c r="U79" i="3" s="1"/>
  <c r="T7" i="3"/>
  <c r="T6" i="3"/>
  <c r="U44" i="4"/>
  <c r="U179" i="4"/>
  <c r="U52" i="3" s="1"/>
  <c r="T174" i="4"/>
  <c r="T49" i="3" s="1"/>
  <c r="U173" i="4"/>
  <c r="T172" i="4"/>
  <c r="T170" i="4" s="1"/>
  <c r="T169" i="4" s="1"/>
  <c r="U167" i="4"/>
  <c r="T167" i="4"/>
  <c r="U164" i="4"/>
  <c r="U146" i="4"/>
  <c r="U138" i="4"/>
  <c r="U129" i="4"/>
  <c r="U119" i="4"/>
  <c r="U116" i="4"/>
  <c r="U115" i="4"/>
  <c r="U107" i="4"/>
  <c r="U101" i="4"/>
  <c r="T101" i="4"/>
  <c r="U87" i="4"/>
  <c r="U83" i="4"/>
  <c r="U79" i="4"/>
  <c r="U46" i="4"/>
  <c r="T45" i="4"/>
  <c r="T164" i="4" s="1"/>
  <c r="T44" i="4"/>
  <c r="T43" i="4"/>
  <c r="U37" i="4"/>
  <c r="T36" i="4"/>
  <c r="T35" i="4"/>
  <c r="T138" i="4" s="1"/>
  <c r="T34" i="4"/>
  <c r="T146" i="4" s="1"/>
  <c r="T33" i="4"/>
  <c r="U31" i="4"/>
  <c r="T30" i="4"/>
  <c r="T29" i="4"/>
  <c r="T28" i="4"/>
  <c r="T27" i="4"/>
  <c r="T26" i="4"/>
  <c r="T25" i="4"/>
  <c r="T87" i="4" s="1"/>
  <c r="U21" i="4"/>
  <c r="T20" i="4"/>
  <c r="T19" i="4"/>
  <c r="T18" i="4"/>
  <c r="T17" i="4"/>
  <c r="T119" i="4" s="1"/>
  <c r="T16" i="4"/>
  <c r="T129" i="4" s="1"/>
  <c r="T15" i="4"/>
  <c r="T107" i="4" s="1"/>
  <c r="T14" i="4"/>
  <c r="T11" i="4"/>
  <c r="T10" i="4"/>
  <c r="T9" i="4"/>
  <c r="T8" i="4"/>
  <c r="T83" i="4" s="1"/>
  <c r="T7" i="4"/>
  <c r="T79" i="4" s="1"/>
  <c r="T6" i="4"/>
  <c r="U250" i="43"/>
  <c r="U249" i="43"/>
  <c r="U243" i="43"/>
  <c r="U240" i="43"/>
  <c r="U235" i="43"/>
  <c r="T234" i="43"/>
  <c r="T235" i="43" s="1"/>
  <c r="U227" i="43"/>
  <c r="U225" i="43"/>
  <c r="T214" i="43"/>
  <c r="U213" i="43"/>
  <c r="T212" i="43"/>
  <c r="U205" i="43"/>
  <c r="U203" i="43"/>
  <c r="U202" i="43"/>
  <c r="U199" i="43"/>
  <c r="U198" i="43"/>
  <c r="U197" i="43"/>
  <c r="U189" i="43"/>
  <c r="U175" i="43"/>
  <c r="U163" i="43"/>
  <c r="U162" i="43"/>
  <c r="U159" i="43"/>
  <c r="U149" i="43"/>
  <c r="U148" i="43"/>
  <c r="U146" i="43"/>
  <c r="U145" i="43"/>
  <c r="T140" i="43"/>
  <c r="T149" i="43" s="1"/>
  <c r="T139" i="43"/>
  <c r="T43" i="43" s="1"/>
  <c r="U138" i="43"/>
  <c r="T137" i="43"/>
  <c r="T41" i="43" s="1"/>
  <c r="T136" i="43"/>
  <c r="T40" i="43" s="1"/>
  <c r="U114" i="43"/>
  <c r="U110" i="43"/>
  <c r="U107" i="43"/>
  <c r="U100" i="43"/>
  <c r="U96" i="43"/>
  <c r="U92" i="43"/>
  <c r="U91" i="43" s="1"/>
  <c r="T90" i="43"/>
  <c r="U87" i="43"/>
  <c r="T86" i="43"/>
  <c r="T85" i="43"/>
  <c r="T82" i="43"/>
  <c r="U77" i="43"/>
  <c r="U204" i="43" s="1"/>
  <c r="T76" i="43"/>
  <c r="T20" i="43" s="1"/>
  <c r="T75" i="43"/>
  <c r="T203" i="43" s="1"/>
  <c r="U74" i="43"/>
  <c r="U73" i="43"/>
  <c r="U18" i="43" s="1"/>
  <c r="T70" i="43"/>
  <c r="T202" i="43" s="1"/>
  <c r="U68" i="43"/>
  <c r="U66" i="43"/>
  <c r="T65" i="43"/>
  <c r="T199" i="43" s="1"/>
  <c r="T64" i="43"/>
  <c r="T73" i="43" s="1"/>
  <c r="T18" i="43" s="1"/>
  <c r="T63" i="43"/>
  <c r="U62" i="43"/>
  <c r="T61" i="43"/>
  <c r="T8" i="43" s="1"/>
  <c r="U45" i="43"/>
  <c r="U44" i="43"/>
  <c r="T44" i="43"/>
  <c r="U43" i="43"/>
  <c r="U41" i="43"/>
  <c r="U40" i="43"/>
  <c r="T33" i="43"/>
  <c r="U32" i="43"/>
  <c r="T31" i="43"/>
  <c r="T29" i="43"/>
  <c r="T28" i="43"/>
  <c r="U25" i="43"/>
  <c r="T25" i="43"/>
  <c r="U24" i="43"/>
  <c r="U20" i="43"/>
  <c r="U16" i="43"/>
  <c r="U12" i="43"/>
  <c r="T12" i="43"/>
  <c r="U11" i="43"/>
  <c r="U10" i="43"/>
  <c r="U8" i="43"/>
  <c r="T133" i="3" l="1"/>
  <c r="U91" i="4"/>
  <c r="T24" i="43"/>
  <c r="U200" i="43"/>
  <c r="U124" i="43"/>
  <c r="U147" i="43"/>
  <c r="U150" i="43" s="1"/>
  <c r="U210" i="43"/>
  <c r="T198" i="43"/>
  <c r="T140" i="3"/>
  <c r="U140" i="3"/>
  <c r="U148" i="3"/>
  <c r="U134" i="3"/>
  <c r="U137" i="3" s="1"/>
  <c r="T32" i="3"/>
  <c r="T88" i="3" s="1"/>
  <c r="U85" i="4"/>
  <c r="T16" i="3"/>
  <c r="U74" i="3"/>
  <c r="U89" i="4"/>
  <c r="U80" i="3"/>
  <c r="U138" i="3"/>
  <c r="U81" i="3"/>
  <c r="T106" i="3"/>
  <c r="T8" i="3"/>
  <c r="T98" i="3"/>
  <c r="T134" i="3" s="1"/>
  <c r="U121" i="3"/>
  <c r="T79" i="3"/>
  <c r="T18" i="3"/>
  <c r="T19" i="3" s="1"/>
  <c r="T81" i="3"/>
  <c r="T91" i="3"/>
  <c r="U132" i="3"/>
  <c r="U18" i="3"/>
  <c r="U153" i="3"/>
  <c r="U88" i="3"/>
  <c r="U91" i="3"/>
  <c r="T51" i="3"/>
  <c r="T80" i="3"/>
  <c r="T46" i="4"/>
  <c r="U148" i="4"/>
  <c r="U80" i="4"/>
  <c r="U39" i="4"/>
  <c r="U65" i="4" s="1"/>
  <c r="U84" i="4"/>
  <c r="T21" i="4"/>
  <c r="U88" i="4"/>
  <c r="U97" i="4" s="1"/>
  <c r="T80" i="4"/>
  <c r="T91" i="4"/>
  <c r="T81" i="4"/>
  <c r="U95" i="4"/>
  <c r="U93" i="4"/>
  <c r="U68" i="4"/>
  <c r="U70" i="4" s="1"/>
  <c r="T84" i="4"/>
  <c r="T85" i="4"/>
  <c r="T60" i="4"/>
  <c r="T12" i="4"/>
  <c r="T88" i="4"/>
  <c r="T97" i="4" s="1"/>
  <c r="U60" i="4"/>
  <c r="U12" i="4"/>
  <c r="T31" i="4"/>
  <c r="T53" i="4" s="1"/>
  <c r="T37" i="4"/>
  <c r="U81" i="4"/>
  <c r="T59" i="4"/>
  <c r="T148" i="4"/>
  <c r="U59" i="4"/>
  <c r="U53" i="4"/>
  <c r="T173" i="4"/>
  <c r="T26" i="43"/>
  <c r="U72" i="43"/>
  <c r="T68" i="43"/>
  <c r="T118" i="43" s="1"/>
  <c r="T159" i="43"/>
  <c r="T138" i="43"/>
  <c r="T42" i="43" s="1"/>
  <c r="T146" i="43"/>
  <c r="T213" i="43"/>
  <c r="U19" i="43"/>
  <c r="U26" i="43"/>
  <c r="U30" i="43" s="1"/>
  <c r="T240" i="43"/>
  <c r="T250" i="43"/>
  <c r="T11" i="43"/>
  <c r="T16" i="43"/>
  <c r="T45" i="43"/>
  <c r="U81" i="43"/>
  <c r="U121" i="43" s="1"/>
  <c r="T32" i="43"/>
  <c r="T175" i="43"/>
  <c r="T145" i="43"/>
  <c r="T192" i="43"/>
  <c r="U118" i="43"/>
  <c r="U69" i="43"/>
  <c r="T197" i="43"/>
  <c r="T77" i="43"/>
  <c r="T193" i="43"/>
  <c r="T141" i="43"/>
  <c r="T162" i="43"/>
  <c r="U160" i="43"/>
  <c r="U131" i="43"/>
  <c r="T148" i="43"/>
  <c r="T66" i="43"/>
  <c r="T122" i="43" s="1"/>
  <c r="T189" i="43"/>
  <c r="T10" i="43"/>
  <c r="T205" i="43"/>
  <c r="U9" i="43"/>
  <c r="U122" i="43"/>
  <c r="T62" i="43"/>
  <c r="T69" i="43"/>
  <c r="U193" i="43"/>
  <c r="U141" i="43"/>
  <c r="U192" i="43"/>
  <c r="U42" i="43"/>
  <c r="U46" i="43" s="1"/>
  <c r="U152" i="43"/>
  <c r="U190" i="43"/>
  <c r="T249" i="43"/>
  <c r="T74" i="43"/>
  <c r="T19" i="43" s="1"/>
  <c r="T163" i="43"/>
  <c r="T243" i="43"/>
  <c r="U79" i="43"/>
  <c r="U119" i="43" s="1"/>
  <c r="T141" i="3" l="1"/>
  <c r="T136" i="3"/>
  <c r="T74" i="3"/>
  <c r="U141" i="3"/>
  <c r="U144" i="3" s="1"/>
  <c r="T124" i="43"/>
  <c r="T46" i="43"/>
  <c r="U222" i="43"/>
  <c r="T210" i="43"/>
  <c r="U216" i="43"/>
  <c r="U217" i="43" s="1"/>
  <c r="U13" i="43"/>
  <c r="U14" i="43" s="1"/>
  <c r="U248" i="43"/>
  <c r="U230" i="43"/>
  <c r="U21" i="43"/>
  <c r="U237" i="43"/>
  <c r="U229" i="43"/>
  <c r="U211" i="43"/>
  <c r="T72" i="43"/>
  <c r="T17" i="43" s="1"/>
  <c r="U128" i="43"/>
  <c r="U178" i="43"/>
  <c r="U17" i="43"/>
  <c r="U22" i="43" s="1"/>
  <c r="U51" i="43" s="1"/>
  <c r="U145" i="3"/>
  <c r="T137" i="3"/>
  <c r="T145" i="3"/>
  <c r="T153" i="3"/>
  <c r="T132" i="3"/>
  <c r="T138" i="3"/>
  <c r="T89" i="4"/>
  <c r="U25" i="3"/>
  <c r="U19" i="3"/>
  <c r="U86" i="3"/>
  <c r="U75" i="3"/>
  <c r="T86" i="3"/>
  <c r="T75" i="3"/>
  <c r="T52" i="4"/>
  <c r="T39" i="4"/>
  <c r="T65" i="4" s="1"/>
  <c r="T58" i="4"/>
  <c r="T64" i="4"/>
  <c r="T63" i="4"/>
  <c r="T62" i="4"/>
  <c r="T61" i="4"/>
  <c r="U64" i="4"/>
  <c r="U58" i="4"/>
  <c r="T68" i="4"/>
  <c r="T70" i="4" s="1"/>
  <c r="T95" i="4"/>
  <c r="T93" i="4"/>
  <c r="U62" i="4"/>
  <c r="U61" i="4"/>
  <c r="U63" i="4"/>
  <c r="U52" i="4"/>
  <c r="U23" i="4"/>
  <c r="U151" i="3" s="1"/>
  <c r="T23" i="4"/>
  <c r="T151" i="3" s="1"/>
  <c r="T147" i="43"/>
  <c r="T152" i="43"/>
  <c r="T150" i="43"/>
  <c r="T160" i="43"/>
  <c r="T190" i="43"/>
  <c r="T9" i="43"/>
  <c r="T79" i="43"/>
  <c r="T119" i="43" s="1"/>
  <c r="T204" i="43"/>
  <c r="T131" i="43"/>
  <c r="U36" i="43"/>
  <c r="T81" i="43"/>
  <c r="T200" i="43"/>
  <c r="U143" i="3" l="1"/>
  <c r="T144" i="3"/>
  <c r="T142" i="3"/>
  <c r="T143" i="3"/>
  <c r="U142" i="3"/>
  <c r="T128" i="43"/>
  <c r="T216" i="43"/>
  <c r="T217" i="43" s="1"/>
  <c r="T229" i="43"/>
  <c r="T211" i="43"/>
  <c r="T237" i="43"/>
  <c r="T21" i="43"/>
  <c r="T22" i="43" s="1"/>
  <c r="T13" i="43"/>
  <c r="T14" i="43" s="1"/>
  <c r="T230" i="43"/>
  <c r="T248" i="43"/>
  <c r="T178" i="43"/>
  <c r="U50" i="43"/>
  <c r="U52" i="43"/>
  <c r="U256" i="43"/>
  <c r="U26" i="3"/>
  <c r="U76" i="3"/>
  <c r="U34" i="3"/>
  <c r="T67" i="4"/>
  <c r="T69" i="4"/>
  <c r="T41" i="4"/>
  <c r="U69" i="4"/>
  <c r="U41" i="4"/>
  <c r="U67" i="4"/>
  <c r="T121" i="43"/>
  <c r="U35" i="43"/>
  <c r="U53" i="43"/>
  <c r="T51" i="43" l="1"/>
  <c r="T50" i="43"/>
  <c r="T52" i="43"/>
  <c r="U40" i="3"/>
  <c r="U47" i="3" s="1"/>
  <c r="U35" i="3"/>
  <c r="U39" i="3"/>
  <c r="U71" i="4"/>
  <c r="U150" i="3" s="1"/>
  <c r="U47" i="4"/>
  <c r="T71" i="4"/>
  <c r="T150" i="3" s="1"/>
  <c r="T47" i="4"/>
  <c r="U45" i="3" l="1"/>
  <c r="U77" i="3"/>
  <c r="U50" i="3"/>
  <c r="U147" i="3" s="1"/>
  <c r="U41" i="3"/>
  <c r="S217" i="43"/>
  <c r="P216" i="43" l="1"/>
  <c r="P217" i="43" s="1"/>
  <c r="O216" i="43"/>
  <c r="O217" i="43" s="1"/>
  <c r="M216" i="43"/>
  <c r="M217" i="43" s="1"/>
  <c r="L216" i="43"/>
  <c r="L217" i="43" s="1"/>
  <c r="R216" i="43"/>
  <c r="R217" i="43" s="1"/>
  <c r="S21" i="43"/>
  <c r="X85" i="4"/>
  <c r="S12" i="6"/>
  <c r="R87" i="43" l="1"/>
  <c r="P87" i="43"/>
  <c r="O87" i="43"/>
  <c r="S87" i="43"/>
  <c r="S92" i="43"/>
  <c r="S91" i="43" s="1"/>
  <c r="S96" i="43"/>
  <c r="S100" i="43"/>
  <c r="S107" i="43"/>
  <c r="C11" i="6" l="1"/>
  <c r="S106" i="3" l="1"/>
  <c r="S118" i="3"/>
  <c r="T118" i="3" s="1"/>
  <c r="T119" i="3" s="1"/>
  <c r="T121" i="3" s="1"/>
  <c r="S173" i="4"/>
  <c r="S167" i="4"/>
  <c r="S169" i="4" s="1"/>
  <c r="U169" i="4" s="1"/>
  <c r="S44" i="4"/>
  <c r="S46" i="4" s="1"/>
  <c r="S164" i="4"/>
  <c r="S162" i="4"/>
  <c r="S154" i="4"/>
  <c r="S151" i="4"/>
  <c r="S146" i="4"/>
  <c r="S140" i="4"/>
  <c r="S138" i="4"/>
  <c r="S136" i="4"/>
  <c r="S129" i="4"/>
  <c r="T126" i="4" s="1"/>
  <c r="S127" i="4"/>
  <c r="S119" i="4"/>
  <c r="T113" i="4" s="1"/>
  <c r="S114" i="4"/>
  <c r="S107" i="4"/>
  <c r="S105" i="4"/>
  <c r="S103" i="4"/>
  <c r="S102" i="4"/>
  <c r="S101" i="4"/>
  <c r="S87" i="4"/>
  <c r="S83" i="4"/>
  <c r="S79" i="4"/>
  <c r="S60" i="4"/>
  <c r="S58" i="4" s="1"/>
  <c r="S59" i="4"/>
  <c r="S54" i="4"/>
  <c r="S37" i="4"/>
  <c r="S31" i="4"/>
  <c r="S21" i="4"/>
  <c r="S12" i="4"/>
  <c r="S119" i="3"/>
  <c r="S24" i="3"/>
  <c r="T24" i="3" s="1"/>
  <c r="T25" i="3" s="1"/>
  <c r="S133" i="3"/>
  <c r="S131" i="3"/>
  <c r="S130" i="3"/>
  <c r="S98" i="3"/>
  <c r="S89" i="3"/>
  <c r="S63" i="3"/>
  <c r="S61" i="3"/>
  <c r="S59" i="3"/>
  <c r="S49" i="3"/>
  <c r="S32" i="3"/>
  <c r="S88" i="3" s="1"/>
  <c r="S16" i="3"/>
  <c r="S8" i="3"/>
  <c r="S32" i="43"/>
  <c r="S243" i="43"/>
  <c r="S240" i="43"/>
  <c r="S237" i="43"/>
  <c r="S235" i="43"/>
  <c r="S230" i="43"/>
  <c r="S229" i="43"/>
  <c r="S227" i="43"/>
  <c r="S225" i="43"/>
  <c r="S222" i="43"/>
  <c r="S213" i="43"/>
  <c r="S211" i="43"/>
  <c r="S189" i="43"/>
  <c r="S175" i="43"/>
  <c r="S163" i="43"/>
  <c r="S162" i="43"/>
  <c r="S159" i="43"/>
  <c r="S149" i="43"/>
  <c r="S148" i="43"/>
  <c r="S146" i="43"/>
  <c r="S145" i="43"/>
  <c r="S147" i="43" s="1"/>
  <c r="S138" i="43"/>
  <c r="S114" i="43"/>
  <c r="S74" i="43"/>
  <c r="S19" i="43" s="1"/>
  <c r="S73" i="43"/>
  <c r="S18" i="43" s="1"/>
  <c r="S68" i="43"/>
  <c r="S66" i="43"/>
  <c r="S124" i="43" s="1"/>
  <c r="S62" i="43"/>
  <c r="S160" i="43" s="1"/>
  <c r="S45" i="43"/>
  <c r="S44" i="43"/>
  <c r="S43" i="43"/>
  <c r="S41" i="43"/>
  <c r="S40" i="43"/>
  <c r="T55" i="43" s="1"/>
  <c r="S25" i="43"/>
  <c r="S24" i="43"/>
  <c r="S20" i="43"/>
  <c r="S16" i="43"/>
  <c r="S13" i="43"/>
  <c r="S12" i="43"/>
  <c r="S11" i="43"/>
  <c r="S10" i="43"/>
  <c r="S8" i="43"/>
  <c r="S55" i="4" l="1"/>
  <c r="S117" i="4"/>
  <c r="T76" i="3"/>
  <c r="T26" i="3"/>
  <c r="T34" i="3"/>
  <c r="S157" i="4"/>
  <c r="S56" i="4"/>
  <c r="S122" i="4"/>
  <c r="S89" i="4"/>
  <c r="S81" i="4"/>
  <c r="S84" i="4"/>
  <c r="S110" i="4"/>
  <c r="T144" i="4"/>
  <c r="T145" i="4" s="1"/>
  <c r="T135" i="4"/>
  <c r="T160" i="4"/>
  <c r="T161" i="43"/>
  <c r="T181" i="43"/>
  <c r="S118" i="43"/>
  <c r="S26" i="43"/>
  <c r="S193" i="43"/>
  <c r="S14" i="43"/>
  <c r="S62" i="4"/>
  <c r="S141" i="4"/>
  <c r="S39" i="4"/>
  <c r="S65" i="4" s="1"/>
  <c r="S88" i="4"/>
  <c r="S97" i="4" s="1"/>
  <c r="S106" i="4"/>
  <c r="S64" i="4"/>
  <c r="S80" i="4"/>
  <c r="S23" i="4"/>
  <c r="S52" i="4"/>
  <c r="S63" i="4"/>
  <c r="S91" i="4"/>
  <c r="T92" i="4" s="1"/>
  <c r="S53" i="4"/>
  <c r="S61" i="4"/>
  <c r="S85" i="4"/>
  <c r="S148" i="4"/>
  <c r="S121" i="3"/>
  <c r="S79" i="3"/>
  <c r="S80" i="3"/>
  <c r="S74" i="3"/>
  <c r="S18" i="3"/>
  <c r="S136" i="3"/>
  <c r="S132" i="3"/>
  <c r="S91" i="3"/>
  <c r="S138" i="3"/>
  <c r="S134" i="3"/>
  <c r="S81" i="3"/>
  <c r="S140" i="3"/>
  <c r="S141" i="43"/>
  <c r="S42" i="43"/>
  <c r="S46" i="43" s="1"/>
  <c r="S192" i="43"/>
  <c r="S9" i="43"/>
  <c r="S131" i="43"/>
  <c r="S190" i="43"/>
  <c r="S152" i="43"/>
  <c r="S150" i="43"/>
  <c r="S30" i="43"/>
  <c r="S77" i="43"/>
  <c r="S69" i="43"/>
  <c r="S122" i="43"/>
  <c r="S72" i="43"/>
  <c r="T35" i="3" l="1"/>
  <c r="T40" i="3"/>
  <c r="T39" i="3"/>
  <c r="T96" i="4"/>
  <c r="T87" i="3"/>
  <c r="T90" i="3" s="1"/>
  <c r="S36" i="43"/>
  <c r="S35" i="43" s="1"/>
  <c r="T35" i="43" s="1"/>
  <c r="T30" i="43"/>
  <c r="T36" i="43" s="1"/>
  <c r="T53" i="43" s="1"/>
  <c r="T184" i="43"/>
  <c r="T164" i="43"/>
  <c r="S67" i="4"/>
  <c r="S69" i="4"/>
  <c r="S41" i="4"/>
  <c r="S71" i="4" s="1"/>
  <c r="S95" i="4"/>
  <c r="S93" i="4"/>
  <c r="S68" i="4"/>
  <c r="S70" i="4" s="1"/>
  <c r="S86" i="3"/>
  <c r="S75" i="3"/>
  <c r="S25" i="3"/>
  <c r="S19" i="3"/>
  <c r="S153" i="3"/>
  <c r="S137" i="3"/>
  <c r="S17" i="43"/>
  <c r="S128" i="43"/>
  <c r="S178" i="43"/>
  <c r="S79" i="43"/>
  <c r="S119" i="43" s="1"/>
  <c r="S81" i="43"/>
  <c r="C87" i="6"/>
  <c r="C79" i="6"/>
  <c r="T77" i="3" l="1"/>
  <c r="T41" i="3"/>
  <c r="T50" i="3"/>
  <c r="S22" i="43"/>
  <c r="S256" i="43" s="1"/>
  <c r="S47" i="4"/>
  <c r="S76" i="3"/>
  <c r="S26" i="3"/>
  <c r="S34" i="3"/>
  <c r="S39" i="3" s="1"/>
  <c r="S121" i="43"/>
  <c r="S51" i="43"/>
  <c r="S50" i="43"/>
  <c r="S53" i="43"/>
  <c r="Z102" i="4"/>
  <c r="AC102" i="4" s="1"/>
  <c r="AF102" i="4" s="1"/>
  <c r="AI102" i="4" s="1"/>
  <c r="AL102" i="4" s="1"/>
  <c r="AO102" i="4" s="1"/>
  <c r="AR102" i="4" s="1"/>
  <c r="AU102" i="4" s="1"/>
  <c r="AX102" i="4" s="1"/>
  <c r="Y102" i="4"/>
  <c r="AB102" i="4" s="1"/>
  <c r="AE102" i="4" s="1"/>
  <c r="AY114" i="4"/>
  <c r="AV114" i="4"/>
  <c r="AS114" i="4"/>
  <c r="AP114" i="4"/>
  <c r="AM114" i="4"/>
  <c r="AJ114" i="4"/>
  <c r="AG114" i="4"/>
  <c r="AD114" i="4"/>
  <c r="AA114" i="4"/>
  <c r="X114" i="4"/>
  <c r="R114" i="4"/>
  <c r="P114" i="4"/>
  <c r="I114" i="4"/>
  <c r="L114" i="4"/>
  <c r="O114" i="4"/>
  <c r="AG147" i="43" l="1"/>
  <c r="S52" i="43"/>
  <c r="AH102" i="4"/>
  <c r="AG102" i="4"/>
  <c r="S40" i="3"/>
  <c r="S35" i="3"/>
  <c r="AA102" i="4"/>
  <c r="AD102" i="4"/>
  <c r="S161" i="4" l="1"/>
  <c r="S47" i="3"/>
  <c r="AK102" i="4"/>
  <c r="AJ102" i="4"/>
  <c r="S77" i="3"/>
  <c r="S45" i="3"/>
  <c r="T45" i="3" s="1"/>
  <c r="T44" i="3" s="1"/>
  <c r="S41" i="3"/>
  <c r="AN102" i="4" l="1"/>
  <c r="AM102" i="4"/>
  <c r="AQ102" i="4" l="1"/>
  <c r="AP102" i="4"/>
  <c r="Q61" i="43"/>
  <c r="AL128" i="43"/>
  <c r="AO128" i="43" s="1"/>
  <c r="AR128" i="43" s="1"/>
  <c r="AU128" i="43" s="1"/>
  <c r="AX128" i="43" s="1"/>
  <c r="AK128" i="43"/>
  <c r="AN128" i="43" s="1"/>
  <c r="AQ128" i="43" s="1"/>
  <c r="AT128" i="43" s="1"/>
  <c r="AW128" i="43" s="1"/>
  <c r="AT102" i="4" l="1"/>
  <c r="AS102" i="4"/>
  <c r="I147" i="43"/>
  <c r="AW102" i="4" l="1"/>
  <c r="AY102" i="4" s="1"/>
  <c r="AV102" i="4"/>
  <c r="N58" i="4"/>
  <c r="M58" i="4"/>
  <c r="K58" i="4"/>
  <c r="J58" i="4"/>
  <c r="AY28" i="43" l="1"/>
  <c r="AV28" i="43"/>
  <c r="AS28" i="43"/>
  <c r="AP28" i="43"/>
  <c r="AM28" i="43"/>
  <c r="AJ28" i="43"/>
  <c r="AG28" i="43"/>
  <c r="L45" i="43"/>
  <c r="L44" i="43"/>
  <c r="L43" i="43"/>
  <c r="L41" i="43"/>
  <c r="L40" i="43"/>
  <c r="O45" i="43"/>
  <c r="O44" i="43"/>
  <c r="O43" i="43"/>
  <c r="O41" i="43"/>
  <c r="O40" i="43"/>
  <c r="O55" i="43" l="1"/>
  <c r="Q86" i="43" l="1"/>
  <c r="N86" i="43"/>
  <c r="N85" i="43"/>
  <c r="Q85" i="43"/>
  <c r="I163" i="43"/>
  <c r="I162" i="43"/>
  <c r="L163" i="43"/>
  <c r="L162" i="43"/>
  <c r="O163" i="43"/>
  <c r="O162" i="43"/>
  <c r="I161" i="43"/>
  <c r="F141" i="43"/>
  <c r="I141" i="43"/>
  <c r="F92" i="43"/>
  <c r="F91" i="43" s="1"/>
  <c r="I92" i="43"/>
  <c r="I91" i="43" s="1"/>
  <c r="L92" i="43"/>
  <c r="L91" i="43" s="1"/>
  <c r="E45" i="6"/>
  <c r="E43" i="6"/>
  <c r="AC52" i="2" s="1"/>
  <c r="AK42" i="2"/>
  <c r="AJ42" i="2"/>
  <c r="AH42" i="2"/>
  <c r="AG42" i="2"/>
  <c r="AE42" i="2"/>
  <c r="AD42" i="2"/>
  <c r="AC41" i="2"/>
  <c r="AA41" i="2"/>
  <c r="Z41" i="2"/>
  <c r="X41" i="2"/>
  <c r="AC40" i="2"/>
  <c r="AA40" i="2"/>
  <c r="Z40" i="2"/>
  <c r="X40" i="2"/>
  <c r="W41" i="2"/>
  <c r="W40" i="2"/>
  <c r="Y24" i="2"/>
  <c r="X24" i="2"/>
  <c r="Y23" i="2"/>
  <c r="X23" i="2"/>
  <c r="Y22" i="2"/>
  <c r="X22" i="2"/>
  <c r="Y20" i="2"/>
  <c r="X20" i="2"/>
  <c r="Y19" i="2"/>
  <c r="X19" i="2"/>
  <c r="Y18" i="2"/>
  <c r="X18" i="2"/>
  <c r="Y17" i="2"/>
  <c r="X17" i="2"/>
  <c r="AB16" i="2"/>
  <c r="AA16" i="2"/>
  <c r="Z16" i="2"/>
  <c r="Y16" i="2"/>
  <c r="X16" i="2"/>
  <c r="Y14" i="2"/>
  <c r="X14" i="2"/>
  <c r="AB13" i="2"/>
  <c r="AA13" i="2"/>
  <c r="Z13" i="2"/>
  <c r="Y13" i="2"/>
  <c r="X13" i="2"/>
  <c r="AE12" i="2"/>
  <c r="AD12" i="2"/>
  <c r="AC12" i="2"/>
  <c r="AB12" i="2"/>
  <c r="AA12" i="2"/>
  <c r="Z12" i="2"/>
  <c r="Y12" i="2"/>
  <c r="X12" i="2"/>
  <c r="AA11" i="2"/>
  <c r="Y11" i="2"/>
  <c r="X11" i="2"/>
  <c r="W12" i="2"/>
  <c r="F60" i="2"/>
  <c r="E60" i="2"/>
  <c r="F59" i="2"/>
  <c r="E59" i="2"/>
  <c r="J57" i="2"/>
  <c r="H57" i="2"/>
  <c r="G57" i="2"/>
  <c r="F57" i="2"/>
  <c r="E57" i="2"/>
  <c r="J56" i="2"/>
  <c r="H56" i="2"/>
  <c r="G56" i="2"/>
  <c r="F56" i="2"/>
  <c r="E56" i="2"/>
  <c r="F55" i="2"/>
  <c r="E55" i="2"/>
  <c r="J53" i="2"/>
  <c r="H53" i="2"/>
  <c r="G53" i="2"/>
  <c r="F53" i="2"/>
  <c r="E53" i="2"/>
  <c r="J52" i="2"/>
  <c r="H52" i="2"/>
  <c r="G52" i="2"/>
  <c r="F52" i="2"/>
  <c r="E52" i="2"/>
  <c r="J51" i="2"/>
  <c r="H51" i="2"/>
  <c r="G51" i="2"/>
  <c r="F51" i="2"/>
  <c r="E51" i="2"/>
  <c r="H50" i="2"/>
  <c r="G50" i="2"/>
  <c r="F50" i="2"/>
  <c r="E50" i="2"/>
  <c r="D57" i="2"/>
  <c r="D53" i="2"/>
  <c r="D52" i="2"/>
  <c r="F35" i="2"/>
  <c r="E35" i="2"/>
  <c r="F34" i="2"/>
  <c r="E34" i="2"/>
  <c r="L133" i="3"/>
  <c r="L131" i="3"/>
  <c r="L130" i="3"/>
  <c r="O133" i="3"/>
  <c r="M133" i="3"/>
  <c r="O131" i="3"/>
  <c r="M131" i="3"/>
  <c r="O130" i="3"/>
  <c r="O154" i="3" s="1"/>
  <c r="Z14" i="2" s="1"/>
  <c r="N130" i="3"/>
  <c r="M130" i="3"/>
  <c r="R133" i="3"/>
  <c r="P133" i="3"/>
  <c r="R131" i="3"/>
  <c r="P131" i="3"/>
  <c r="R130" i="3"/>
  <c r="Q130" i="3"/>
  <c r="P130" i="3"/>
  <c r="P154" i="3" s="1"/>
  <c r="AA14" i="2" s="1"/>
  <c r="AL27" i="2"/>
  <c r="AL9" i="2"/>
  <c r="S77" i="2"/>
  <c r="S76" i="2"/>
  <c r="S75" i="2"/>
  <c r="S74" i="2"/>
  <c r="S66" i="2"/>
  <c r="S49" i="2"/>
  <c r="S40" i="2"/>
  <c r="S26" i="2"/>
  <c r="S9" i="2"/>
  <c r="J23" i="2"/>
  <c r="H23" i="2"/>
  <c r="G23" i="2"/>
  <c r="E23" i="2"/>
  <c r="J20" i="2"/>
  <c r="H20" i="2"/>
  <c r="G20" i="2"/>
  <c r="E20" i="2"/>
  <c r="J18" i="2"/>
  <c r="G18" i="2"/>
  <c r="J16" i="2"/>
  <c r="G16" i="2"/>
  <c r="J15" i="2"/>
  <c r="H15" i="2"/>
  <c r="G15" i="2"/>
  <c r="E15" i="2"/>
  <c r="J11" i="2"/>
  <c r="H11" i="2"/>
  <c r="G11" i="2"/>
  <c r="E11" i="2"/>
  <c r="D23" i="2"/>
  <c r="F54" i="2" l="1"/>
  <c r="Q87" i="43"/>
  <c r="T87" i="43"/>
  <c r="E54" i="2"/>
  <c r="E58" i="2"/>
  <c r="F58" i="2"/>
  <c r="O169" i="43"/>
  <c r="O170" i="43"/>
  <c r="L169" i="43"/>
  <c r="L170" i="43"/>
  <c r="Q154" i="3"/>
  <c r="AB14" i="2" s="1"/>
  <c r="AX282" i="43"/>
  <c r="AX283" i="43" s="1"/>
  <c r="AW282" i="43"/>
  <c r="AW283" i="43" s="1"/>
  <c r="AU282" i="43"/>
  <c r="AU283" i="43" s="1"/>
  <c r="AT282" i="43"/>
  <c r="AT283" i="43" s="1"/>
  <c r="AR282" i="43"/>
  <c r="AR283" i="43" s="1"/>
  <c r="AQ282" i="43"/>
  <c r="AQ283" i="43" s="1"/>
  <c r="AO282" i="43"/>
  <c r="AN282" i="43"/>
  <c r="AL282" i="43"/>
  <c r="AL283" i="43" s="1"/>
  <c r="AK282" i="43"/>
  <c r="AK283" i="43" s="1"/>
  <c r="AI282" i="43"/>
  <c r="AI283" i="43" s="1"/>
  <c r="AH282" i="43"/>
  <c r="AH283" i="43" s="1"/>
  <c r="AF282" i="43"/>
  <c r="AF283" i="43" s="1"/>
  <c r="AE282" i="43"/>
  <c r="AE283" i="43" s="1"/>
  <c r="AC282" i="43"/>
  <c r="AC283" i="43" s="1"/>
  <c r="AB282" i="43"/>
  <c r="Z282" i="43"/>
  <c r="Z283" i="43" s="1"/>
  <c r="Y282" i="43"/>
  <c r="Y283" i="43" s="1"/>
  <c r="W282" i="43"/>
  <c r="W283" i="43" s="1"/>
  <c r="V282" i="43"/>
  <c r="V283" i="43" s="1"/>
  <c r="R259" i="43"/>
  <c r="R16" i="3"/>
  <c r="U57" i="3" s="1"/>
  <c r="AY7" i="3"/>
  <c r="AV7" i="3"/>
  <c r="AS7" i="3"/>
  <c r="AP7" i="3"/>
  <c r="AM7" i="3"/>
  <c r="AJ7" i="3"/>
  <c r="AG7" i="3"/>
  <c r="AD7" i="3"/>
  <c r="AA7" i="3"/>
  <c r="X7" i="3"/>
  <c r="R20" i="43"/>
  <c r="P20" i="43"/>
  <c r="O20" i="43"/>
  <c r="M20" i="43"/>
  <c r="L20" i="43"/>
  <c r="O77" i="43"/>
  <c r="L77" i="43"/>
  <c r="R77" i="43"/>
  <c r="U111" i="43" s="1"/>
  <c r="N76" i="43"/>
  <c r="N20" i="43" s="1"/>
  <c r="Q76" i="43"/>
  <c r="Q20" i="43" s="1"/>
  <c r="Q10" i="3"/>
  <c r="N10" i="3"/>
  <c r="AN283" i="43" l="1"/>
  <c r="AO283" i="43"/>
  <c r="AB283" i="43"/>
  <c r="H45" i="6" l="1"/>
  <c r="AL53" i="2" s="1"/>
  <c r="P60" i="4" l="1"/>
  <c r="P59" i="4"/>
  <c r="P63" i="4" s="1"/>
  <c r="I60" i="4"/>
  <c r="I58" i="4" s="1"/>
  <c r="I59" i="4"/>
  <c r="I63" i="4" s="1"/>
  <c r="L60" i="4"/>
  <c r="L64" i="4" s="1"/>
  <c r="W23" i="2" s="1"/>
  <c r="L59" i="4"/>
  <c r="L63" i="4" s="1"/>
  <c r="O59" i="4"/>
  <c r="O60" i="4"/>
  <c r="AY130" i="3"/>
  <c r="AX130" i="3"/>
  <c r="AW130" i="3"/>
  <c r="AV130" i="3"/>
  <c r="AU130" i="3"/>
  <c r="AT130" i="3"/>
  <c r="AS130" i="3"/>
  <c r="AR130" i="3"/>
  <c r="AQ130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V130" i="3"/>
  <c r="I64" i="4" l="1"/>
  <c r="O58" i="4"/>
  <c r="Z22" i="2"/>
  <c r="P64" i="4"/>
  <c r="AA23" i="2" s="1"/>
  <c r="P58" i="4"/>
  <c r="AA22" i="2"/>
  <c r="L58" i="4"/>
  <c r="W22" i="2"/>
  <c r="R63" i="3"/>
  <c r="J29" i="2" s="1"/>
  <c r="P63" i="3"/>
  <c r="H29" i="2" s="1"/>
  <c r="R61" i="3"/>
  <c r="P61" i="3"/>
  <c r="R59" i="3"/>
  <c r="J28" i="2" s="1"/>
  <c r="P59" i="3"/>
  <c r="H28" i="2" s="1"/>
  <c r="O63" i="3"/>
  <c r="O61" i="3"/>
  <c r="M30" i="6"/>
  <c r="L30" i="6"/>
  <c r="K30" i="6"/>
  <c r="J30" i="6"/>
  <c r="I30" i="6"/>
  <c r="V9" i="4"/>
  <c r="X9" i="4" s="1"/>
  <c r="I119" i="4"/>
  <c r="L119" i="4"/>
  <c r="P119" i="4"/>
  <c r="O119" i="4"/>
  <c r="R119" i="4"/>
  <c r="V20" i="4"/>
  <c r="X20" i="4" s="1"/>
  <c r="V19" i="4"/>
  <c r="X19" i="4" s="1"/>
  <c r="V18" i="4"/>
  <c r="X18" i="4" s="1"/>
  <c r="AX110" i="3"/>
  <c r="AW110" i="3"/>
  <c r="AU110" i="3"/>
  <c r="AT110" i="3"/>
  <c r="AR110" i="3"/>
  <c r="AQ110" i="3"/>
  <c r="AO110" i="3"/>
  <c r="AN110" i="3"/>
  <c r="AL110" i="3"/>
  <c r="AK110" i="3"/>
  <c r="AI110" i="3"/>
  <c r="AH110" i="3"/>
  <c r="AF110" i="3"/>
  <c r="AE110" i="3"/>
  <c r="AC110" i="3"/>
  <c r="AB110" i="3"/>
  <c r="Z110" i="3"/>
  <c r="Y110" i="3"/>
  <c r="W110" i="3"/>
  <c r="V110" i="3"/>
  <c r="AY118" i="3"/>
  <c r="AV118" i="3"/>
  <c r="AS118" i="3"/>
  <c r="AP118" i="3"/>
  <c r="AM118" i="3"/>
  <c r="AJ118" i="3"/>
  <c r="AG118" i="3"/>
  <c r="AD118" i="3"/>
  <c r="AA118" i="3"/>
  <c r="X118" i="3"/>
  <c r="AY117" i="3"/>
  <c r="AV117" i="3"/>
  <c r="AS117" i="3"/>
  <c r="AP117" i="3"/>
  <c r="AM117" i="3"/>
  <c r="AJ117" i="3"/>
  <c r="AG117" i="3"/>
  <c r="AD117" i="3"/>
  <c r="AA117" i="3"/>
  <c r="X117" i="3"/>
  <c r="AY116" i="3"/>
  <c r="AV116" i="3"/>
  <c r="AS116" i="3"/>
  <c r="AP116" i="3"/>
  <c r="AM116" i="3"/>
  <c r="AJ116" i="3"/>
  <c r="AG116" i="3"/>
  <c r="AD116" i="3"/>
  <c r="AA116" i="3"/>
  <c r="X116" i="3"/>
  <c r="AY115" i="3"/>
  <c r="AV115" i="3"/>
  <c r="AS115" i="3"/>
  <c r="AP115" i="3"/>
  <c r="AM115" i="3"/>
  <c r="AJ115" i="3"/>
  <c r="AG115" i="3"/>
  <c r="AD115" i="3"/>
  <c r="AA115" i="3"/>
  <c r="X115" i="3"/>
  <c r="AY114" i="3"/>
  <c r="AV114" i="3"/>
  <c r="AS114" i="3"/>
  <c r="AP114" i="3"/>
  <c r="AM114" i="3"/>
  <c r="AJ114" i="3"/>
  <c r="AG114" i="3"/>
  <c r="AD114" i="3"/>
  <c r="AA114" i="3"/>
  <c r="X114" i="3"/>
  <c r="AY105" i="3"/>
  <c r="AV105" i="3"/>
  <c r="AS105" i="3"/>
  <c r="AP105" i="3"/>
  <c r="AM105" i="3"/>
  <c r="AJ105" i="3"/>
  <c r="AG105" i="3"/>
  <c r="AD105" i="3"/>
  <c r="AA105" i="3"/>
  <c r="X105" i="3"/>
  <c r="AX104" i="3"/>
  <c r="AW104" i="3"/>
  <c r="AU104" i="3"/>
  <c r="AT104" i="3"/>
  <c r="AR104" i="3"/>
  <c r="AQ104" i="3"/>
  <c r="AO104" i="3"/>
  <c r="AN104" i="3"/>
  <c r="AL104" i="3"/>
  <c r="AK104" i="3"/>
  <c r="AI104" i="3"/>
  <c r="AH104" i="3"/>
  <c r="AF104" i="3"/>
  <c r="AE104" i="3"/>
  <c r="AC104" i="3"/>
  <c r="AB104" i="3"/>
  <c r="Z104" i="3"/>
  <c r="Y104" i="3"/>
  <c r="W104" i="3"/>
  <c r="V104" i="3"/>
  <c r="AX101" i="3"/>
  <c r="AW101" i="3"/>
  <c r="AU101" i="3"/>
  <c r="AT101" i="3"/>
  <c r="AR101" i="3"/>
  <c r="AQ101" i="3"/>
  <c r="AO101" i="3"/>
  <c r="AN101" i="3"/>
  <c r="AL101" i="3"/>
  <c r="AK101" i="3"/>
  <c r="AI101" i="3"/>
  <c r="AH101" i="3"/>
  <c r="AF101" i="3"/>
  <c r="AE101" i="3"/>
  <c r="AC101" i="3"/>
  <c r="AB101" i="3"/>
  <c r="Z101" i="3"/>
  <c r="Y101" i="3"/>
  <c r="W101" i="3"/>
  <c r="V101" i="3"/>
  <c r="P162" i="4"/>
  <c r="O162" i="4"/>
  <c r="M162" i="4"/>
  <c r="L162" i="4"/>
  <c r="R162" i="4"/>
  <c r="Q113" i="3"/>
  <c r="N113" i="3"/>
  <c r="Q10" i="4"/>
  <c r="R11" i="4"/>
  <c r="P154" i="4"/>
  <c r="P155" i="4" s="1"/>
  <c r="O154" i="4"/>
  <c r="O155" i="4" s="1"/>
  <c r="M154" i="4"/>
  <c r="L154" i="4"/>
  <c r="L155" i="4" s="1"/>
  <c r="K154" i="4"/>
  <c r="J154" i="4"/>
  <c r="O151" i="4"/>
  <c r="K151" i="4"/>
  <c r="J151" i="4"/>
  <c r="R151" i="4"/>
  <c r="I146" i="4"/>
  <c r="L146" i="4"/>
  <c r="P146" i="4"/>
  <c r="O146" i="4"/>
  <c r="R146" i="4"/>
  <c r="P140" i="4"/>
  <c r="O140" i="4"/>
  <c r="M140" i="4"/>
  <c r="L140" i="4"/>
  <c r="R140" i="4"/>
  <c r="I135" i="4"/>
  <c r="L136" i="4"/>
  <c r="I138" i="4"/>
  <c r="L135" i="4" s="1"/>
  <c r="L138" i="4"/>
  <c r="O136" i="4"/>
  <c r="M136" i="4"/>
  <c r="O127" i="4"/>
  <c r="M127" i="4"/>
  <c r="P136" i="4"/>
  <c r="R136" i="4"/>
  <c r="N111" i="3"/>
  <c r="M112" i="3"/>
  <c r="Q111" i="3"/>
  <c r="P112" i="3"/>
  <c r="O112" i="3"/>
  <c r="R112" i="3"/>
  <c r="N116" i="3"/>
  <c r="N117" i="3"/>
  <c r="N109" i="3"/>
  <c r="N110" i="3"/>
  <c r="N115" i="3"/>
  <c r="N114" i="3"/>
  <c r="P138" i="4"/>
  <c r="O138" i="4"/>
  <c r="R138" i="4"/>
  <c r="I127" i="4"/>
  <c r="L127" i="4"/>
  <c r="P127" i="4"/>
  <c r="R127" i="4"/>
  <c r="L30" i="3"/>
  <c r="M30" i="3"/>
  <c r="P30" i="3"/>
  <c r="O32" i="3"/>
  <c r="K32" i="3"/>
  <c r="J32" i="3"/>
  <c r="I32" i="3"/>
  <c r="R32" i="3"/>
  <c r="I22" i="3"/>
  <c r="L22" i="3"/>
  <c r="N23" i="3"/>
  <c r="M22" i="3"/>
  <c r="Q23" i="3"/>
  <c r="P22" i="3"/>
  <c r="Q115" i="3"/>
  <c r="Q110" i="3"/>
  <c r="Q109" i="3"/>
  <c r="Q117" i="3"/>
  <c r="Q116" i="3"/>
  <c r="Q97" i="3"/>
  <c r="Q95" i="3"/>
  <c r="N105" i="3"/>
  <c r="O103" i="4"/>
  <c r="O102" i="4"/>
  <c r="Q101" i="4"/>
  <c r="P101" i="4"/>
  <c r="R6" i="4"/>
  <c r="S155" i="4" s="1"/>
  <c r="U135" i="4" l="1"/>
  <c r="S135" i="4"/>
  <c r="S137" i="4" s="1"/>
  <c r="U113" i="4"/>
  <c r="S113" i="4"/>
  <c r="S118" i="4" s="1"/>
  <c r="S121" i="4"/>
  <c r="U144" i="4"/>
  <c r="S144" i="4"/>
  <c r="S145" i="4" s="1"/>
  <c r="U145" i="4" s="1"/>
  <c r="S152" i="4"/>
  <c r="J50" i="2"/>
  <c r="Q30" i="3"/>
  <c r="H18" i="2"/>
  <c r="Q136" i="4"/>
  <c r="N162" i="4"/>
  <c r="H16" i="2"/>
  <c r="N30" i="3"/>
  <c r="E18" i="2"/>
  <c r="Q127" i="4"/>
  <c r="L32" i="3"/>
  <c r="L55" i="4" s="1"/>
  <c r="D18" i="2"/>
  <c r="R141" i="4"/>
  <c r="Q162" i="4"/>
  <c r="N127" i="4"/>
  <c r="E16" i="2"/>
  <c r="N136" i="4"/>
  <c r="R60" i="4"/>
  <c r="R59" i="4"/>
  <c r="R55" i="4"/>
  <c r="R54" i="4"/>
  <c r="AC24" i="2" s="1"/>
  <c r="I55" i="4"/>
  <c r="I54" i="4"/>
  <c r="O55" i="4"/>
  <c r="O54" i="4"/>
  <c r="Z24" i="2" s="1"/>
  <c r="AD101" i="3"/>
  <c r="AM101" i="3"/>
  <c r="AV101" i="3"/>
  <c r="O141" i="4"/>
  <c r="AA110" i="3"/>
  <c r="AJ110" i="3"/>
  <c r="P141" i="4"/>
  <c r="AA104" i="3"/>
  <c r="AJ104" i="3"/>
  <c r="AS104" i="3"/>
  <c r="AS110" i="3"/>
  <c r="AM110" i="3"/>
  <c r="AY101" i="3"/>
  <c r="AD104" i="3"/>
  <c r="AD110" i="3"/>
  <c r="X101" i="3"/>
  <c r="AP101" i="3"/>
  <c r="AV104" i="3"/>
  <c r="X110" i="3"/>
  <c r="AY110" i="3"/>
  <c r="AA101" i="3"/>
  <c r="AJ101" i="3"/>
  <c r="AS101" i="3"/>
  <c r="X104" i="3"/>
  <c r="AG104" i="3"/>
  <c r="AP104" i="3"/>
  <c r="AY104" i="3"/>
  <c r="AV110" i="3"/>
  <c r="AG101" i="3"/>
  <c r="AM104" i="3"/>
  <c r="AG110" i="3"/>
  <c r="AP110" i="3"/>
  <c r="V44" i="4"/>
  <c r="X44" i="4" s="1"/>
  <c r="V43" i="4"/>
  <c r="X43" i="4" s="1"/>
  <c r="V33" i="4"/>
  <c r="V30" i="4"/>
  <c r="X30" i="4" s="1"/>
  <c r="V29" i="4"/>
  <c r="X29" i="4" s="1"/>
  <c r="V27" i="4"/>
  <c r="Y19" i="4"/>
  <c r="AA19" i="4" s="1"/>
  <c r="W19" i="4"/>
  <c r="Y18" i="4"/>
  <c r="AA18" i="4" s="1"/>
  <c r="W18" i="4"/>
  <c r="Y20" i="4"/>
  <c r="AA20" i="4" s="1"/>
  <c r="W20" i="4"/>
  <c r="Y9" i="4"/>
  <c r="AA9" i="4" s="1"/>
  <c r="W9" i="4"/>
  <c r="L137" i="4"/>
  <c r="M151" i="4"/>
  <c r="P151" i="4"/>
  <c r="L151" i="4"/>
  <c r="P32" i="3"/>
  <c r="M32" i="3"/>
  <c r="L54" i="4" l="1"/>
  <c r="V26" i="4"/>
  <c r="R64" i="4"/>
  <c r="AC23" i="2" s="1"/>
  <c r="R58" i="4"/>
  <c r="AC22" i="2"/>
  <c r="X27" i="4"/>
  <c r="Y27" i="4" s="1"/>
  <c r="V36" i="4"/>
  <c r="V10" i="4"/>
  <c r="V28" i="4"/>
  <c r="N151" i="4"/>
  <c r="V14" i="4"/>
  <c r="Q151" i="4"/>
  <c r="X26" i="4"/>
  <c r="R63" i="4"/>
  <c r="P55" i="4"/>
  <c r="P54" i="4"/>
  <c r="AA24" i="2" s="1"/>
  <c r="V127" i="4"/>
  <c r="W44" i="4"/>
  <c r="Y44" i="4"/>
  <c r="AA44" i="4" s="1"/>
  <c r="Y43" i="4"/>
  <c r="AA43" i="4" s="1"/>
  <c r="W43" i="4"/>
  <c r="X33" i="4"/>
  <c r="Y30" i="4"/>
  <c r="AA30" i="4" s="1"/>
  <c r="W30" i="4"/>
  <c r="Y29" i="4"/>
  <c r="AA29" i="4" s="1"/>
  <c r="W29" i="4"/>
  <c r="Z20" i="4"/>
  <c r="AB20" i="4"/>
  <c r="AD20" i="4" s="1"/>
  <c r="Z18" i="4"/>
  <c r="AB18" i="4"/>
  <c r="AD18" i="4" s="1"/>
  <c r="Z19" i="4"/>
  <c r="AB19" i="4"/>
  <c r="AD19" i="4" s="1"/>
  <c r="Z9" i="4"/>
  <c r="AB9" i="4"/>
  <c r="AD9" i="4" s="1"/>
  <c r="Y26" i="4" l="1"/>
  <c r="AA26" i="4" s="1"/>
  <c r="W26" i="4"/>
  <c r="X10" i="4"/>
  <c r="AA27" i="4"/>
  <c r="Z27" i="4" s="1"/>
  <c r="X36" i="4"/>
  <c r="X14" i="4"/>
  <c r="W27" i="4"/>
  <c r="X28" i="4"/>
  <c r="Y127" i="4"/>
  <c r="V23" i="3"/>
  <c r="Z44" i="4"/>
  <c r="AB44" i="4"/>
  <c r="AD44" i="4" s="1"/>
  <c r="Z43" i="4"/>
  <c r="AB43" i="4"/>
  <c r="AD43" i="4" s="1"/>
  <c r="Y33" i="4"/>
  <c r="W33" i="4"/>
  <c r="AB30" i="4"/>
  <c r="AD30" i="4" s="1"/>
  <c r="Z30" i="4"/>
  <c r="Z29" i="4"/>
  <c r="AB29" i="4"/>
  <c r="AD29" i="4" s="1"/>
  <c r="AE18" i="4"/>
  <c r="AG18" i="4" s="1"/>
  <c r="AC18" i="4"/>
  <c r="AE19" i="4"/>
  <c r="AG19" i="4" s="1"/>
  <c r="AC19" i="4"/>
  <c r="AE20" i="4"/>
  <c r="AG20" i="4" s="1"/>
  <c r="AC20" i="4"/>
  <c r="AE9" i="4"/>
  <c r="AG9" i="4" s="1"/>
  <c r="AC9" i="4"/>
  <c r="AB27" i="4" l="1"/>
  <c r="Y28" i="4"/>
  <c r="W28" i="4"/>
  <c r="W14" i="4"/>
  <c r="Y14" i="4"/>
  <c r="AB26" i="4"/>
  <c r="AD27" i="4"/>
  <c r="W10" i="4"/>
  <c r="Y10" i="4"/>
  <c r="Z26" i="4"/>
  <c r="W36" i="4"/>
  <c r="Y36" i="4"/>
  <c r="AB127" i="4"/>
  <c r="Y23" i="3"/>
  <c r="AE44" i="4"/>
  <c r="AG44" i="4" s="1"/>
  <c r="AC44" i="4"/>
  <c r="AE43" i="4"/>
  <c r="AG43" i="4" s="1"/>
  <c r="AC43" i="4"/>
  <c r="AA33" i="4"/>
  <c r="AC30" i="4"/>
  <c r="AE30" i="4"/>
  <c r="AG30" i="4" s="1"/>
  <c r="AC29" i="4"/>
  <c r="AE29" i="4"/>
  <c r="AG29" i="4" s="1"/>
  <c r="AF19" i="4"/>
  <c r="AH19" i="4"/>
  <c r="AJ19" i="4" s="1"/>
  <c r="AF18" i="4"/>
  <c r="AH18" i="4"/>
  <c r="AJ18" i="4" s="1"/>
  <c r="AF20" i="4"/>
  <c r="AH20" i="4"/>
  <c r="AJ20" i="4" s="1"/>
  <c r="AF9" i="4"/>
  <c r="AH9" i="4"/>
  <c r="AJ9" i="4" s="1"/>
  <c r="AD26" i="4" l="1"/>
  <c r="AA10" i="4"/>
  <c r="AA14" i="4"/>
  <c r="AE27" i="4"/>
  <c r="AA36" i="4"/>
  <c r="AA28" i="4"/>
  <c r="AC27" i="4"/>
  <c r="AE127" i="4"/>
  <c r="AB23" i="3"/>
  <c r="AF44" i="4"/>
  <c r="AH44" i="4"/>
  <c r="AJ44" i="4" s="1"/>
  <c r="AH43" i="4"/>
  <c r="AJ43" i="4" s="1"/>
  <c r="AF43" i="4"/>
  <c r="AB33" i="4"/>
  <c r="Z33" i="4"/>
  <c r="AF30" i="4"/>
  <c r="AH30" i="4"/>
  <c r="AJ30" i="4" s="1"/>
  <c r="AF29" i="4"/>
  <c r="AH29" i="4"/>
  <c r="AJ29" i="4" s="1"/>
  <c r="AK20" i="4"/>
  <c r="AM20" i="4" s="1"/>
  <c r="AI20" i="4"/>
  <c r="AK19" i="4"/>
  <c r="AM19" i="4" s="1"/>
  <c r="AI19" i="4"/>
  <c r="AK18" i="4"/>
  <c r="AM18" i="4" s="1"/>
  <c r="AI18" i="4"/>
  <c r="AI9" i="4"/>
  <c r="AK9" i="4"/>
  <c r="AM9" i="4" s="1"/>
  <c r="Z14" i="4" l="1"/>
  <c r="AB14" i="4"/>
  <c r="Z28" i="4"/>
  <c r="AB28" i="4"/>
  <c r="Z10" i="4"/>
  <c r="AB10" i="4"/>
  <c r="AB36" i="4"/>
  <c r="Z36" i="4"/>
  <c r="AG27" i="4"/>
  <c r="AE26" i="4"/>
  <c r="AC26" i="4"/>
  <c r="AH127" i="4"/>
  <c r="AE23" i="3"/>
  <c r="AI44" i="4"/>
  <c r="AK44" i="4"/>
  <c r="AM44" i="4" s="1"/>
  <c r="AI43" i="4"/>
  <c r="AK43" i="4"/>
  <c r="AM43" i="4" s="1"/>
  <c r="AD33" i="4"/>
  <c r="AI30" i="4"/>
  <c r="AK30" i="4"/>
  <c r="AM30" i="4" s="1"/>
  <c r="AI29" i="4"/>
  <c r="AK29" i="4"/>
  <c r="AM29" i="4" s="1"/>
  <c r="AL18" i="4"/>
  <c r="AN18" i="4"/>
  <c r="AP18" i="4" s="1"/>
  <c r="AL20" i="4"/>
  <c r="AN20" i="4"/>
  <c r="AP20" i="4" s="1"/>
  <c r="AL19" i="4"/>
  <c r="AN19" i="4"/>
  <c r="AP19" i="4" s="1"/>
  <c r="AL9" i="4"/>
  <c r="AN9" i="4"/>
  <c r="AP9" i="4" s="1"/>
  <c r="AD28" i="4" l="1"/>
  <c r="AG26" i="4"/>
  <c r="AD36" i="4"/>
  <c r="AD10" i="4"/>
  <c r="AD14" i="4"/>
  <c r="AH27" i="4"/>
  <c r="AF27" i="4"/>
  <c r="AK127" i="4"/>
  <c r="AH23" i="3"/>
  <c r="AN44" i="4"/>
  <c r="AP44" i="4" s="1"/>
  <c r="AL44" i="4"/>
  <c r="AL43" i="4"/>
  <c r="AN43" i="4"/>
  <c r="AP43" i="4" s="1"/>
  <c r="AC33" i="4"/>
  <c r="AE33" i="4"/>
  <c r="AL30" i="4"/>
  <c r="AN30" i="4"/>
  <c r="AP30" i="4" s="1"/>
  <c r="AN29" i="4"/>
  <c r="AP29" i="4" s="1"/>
  <c r="AL29" i="4"/>
  <c r="AQ19" i="4"/>
  <c r="AS19" i="4" s="1"/>
  <c r="AO19" i="4"/>
  <c r="AQ18" i="4"/>
  <c r="AS18" i="4" s="1"/>
  <c r="AO18" i="4"/>
  <c r="AQ20" i="4"/>
  <c r="AS20" i="4" s="1"/>
  <c r="AO20" i="4"/>
  <c r="AQ9" i="4"/>
  <c r="AS9" i="4" s="1"/>
  <c r="AO9" i="4"/>
  <c r="AE14" i="4" l="1"/>
  <c r="AC14" i="4"/>
  <c r="AF26" i="4"/>
  <c r="AH26" i="4"/>
  <c r="AC36" i="4"/>
  <c r="AE36" i="4"/>
  <c r="AJ27" i="4"/>
  <c r="AE10" i="4"/>
  <c r="AC10" i="4"/>
  <c r="AE28" i="4"/>
  <c r="AC28" i="4"/>
  <c r="AN127" i="4"/>
  <c r="AK23" i="3"/>
  <c r="AO44" i="4"/>
  <c r="AQ44" i="4"/>
  <c r="AS44" i="4" s="1"/>
  <c r="AO43" i="4"/>
  <c r="AQ43" i="4"/>
  <c r="AS43" i="4" s="1"/>
  <c r="AG33" i="4"/>
  <c r="AQ30" i="4"/>
  <c r="AS30" i="4" s="1"/>
  <c r="AO30" i="4"/>
  <c r="AQ29" i="4"/>
  <c r="AS29" i="4" s="1"/>
  <c r="AO29" i="4"/>
  <c r="AR18" i="4"/>
  <c r="AT18" i="4"/>
  <c r="AV18" i="4" s="1"/>
  <c r="AR20" i="4"/>
  <c r="AT20" i="4"/>
  <c r="AV20" i="4" s="1"/>
  <c r="AR19" i="4"/>
  <c r="AT19" i="4"/>
  <c r="AV19" i="4" s="1"/>
  <c r="AR9" i="4"/>
  <c r="AT9" i="4"/>
  <c r="AV9" i="4" s="1"/>
  <c r="AJ26" i="4" l="1"/>
  <c r="AG36" i="4"/>
  <c r="AG28" i="4"/>
  <c r="AI27" i="4"/>
  <c r="AK27" i="4"/>
  <c r="AG14" i="4"/>
  <c r="AG10" i="4"/>
  <c r="AQ127" i="4"/>
  <c r="AN23" i="3"/>
  <c r="AR44" i="4"/>
  <c r="AT44" i="4"/>
  <c r="AV44" i="4" s="1"/>
  <c r="AR43" i="4"/>
  <c r="AT43" i="4"/>
  <c r="AV43" i="4" s="1"/>
  <c r="AF33" i="4"/>
  <c r="AH33" i="4"/>
  <c r="AR30" i="4"/>
  <c r="AT30" i="4"/>
  <c r="AV30" i="4" s="1"/>
  <c r="AR29" i="4"/>
  <c r="AT29" i="4"/>
  <c r="AV29" i="4" s="1"/>
  <c r="AW19" i="4"/>
  <c r="AY19" i="4" s="1"/>
  <c r="AX19" i="4" s="1"/>
  <c r="AU19" i="4"/>
  <c r="AW18" i="4"/>
  <c r="AY18" i="4" s="1"/>
  <c r="AX18" i="4" s="1"/>
  <c r="AU18" i="4"/>
  <c r="AW20" i="4"/>
  <c r="AY20" i="4" s="1"/>
  <c r="AX20" i="4" s="1"/>
  <c r="AU20" i="4"/>
  <c r="AU9" i="4"/>
  <c r="AW9" i="4"/>
  <c r="AY9" i="4" s="1"/>
  <c r="AX9" i="4" s="1"/>
  <c r="AF28" i="4" l="1"/>
  <c r="AH28" i="4"/>
  <c r="AM27" i="4"/>
  <c r="AH36" i="4"/>
  <c r="AF36" i="4"/>
  <c r="AH14" i="4"/>
  <c r="AF14" i="4"/>
  <c r="AF10" i="4"/>
  <c r="AH10" i="4"/>
  <c r="AK26" i="4"/>
  <c r="AI26" i="4"/>
  <c r="AT127" i="4"/>
  <c r="AQ23" i="3"/>
  <c r="AW44" i="4"/>
  <c r="AY44" i="4" s="1"/>
  <c r="AX44" i="4" s="1"/>
  <c r="AU44" i="4"/>
  <c r="AW43" i="4"/>
  <c r="AY43" i="4" s="1"/>
  <c r="AX43" i="4" s="1"/>
  <c r="AU43" i="4"/>
  <c r="AJ33" i="4"/>
  <c r="AW30" i="4"/>
  <c r="AY30" i="4" s="1"/>
  <c r="AX30" i="4" s="1"/>
  <c r="AU30" i="4"/>
  <c r="AU29" i="4"/>
  <c r="AW29" i="4"/>
  <c r="AY29" i="4" s="1"/>
  <c r="AX29" i="4" s="1"/>
  <c r="AM26" i="4" l="1"/>
  <c r="AJ14" i="4"/>
  <c r="AL27" i="4"/>
  <c r="AN27" i="4"/>
  <c r="AJ28" i="4"/>
  <c r="AJ10" i="4"/>
  <c r="AJ36" i="4"/>
  <c r="AW127" i="4"/>
  <c r="AT23" i="3"/>
  <c r="AK33" i="4"/>
  <c r="AI33" i="4"/>
  <c r="AK10" i="4" l="1"/>
  <c r="AI10" i="4"/>
  <c r="AK14" i="4"/>
  <c r="AI14" i="4"/>
  <c r="AK28" i="4"/>
  <c r="AI28" i="4"/>
  <c r="AK36" i="4"/>
  <c r="AI36" i="4"/>
  <c r="AP27" i="4"/>
  <c r="AL26" i="4"/>
  <c r="AN26" i="4"/>
  <c r="AW23" i="3"/>
  <c r="AM33" i="4"/>
  <c r="AM14" i="4" l="1"/>
  <c r="AP26" i="4"/>
  <c r="AM36" i="4"/>
  <c r="AM28" i="4"/>
  <c r="AM10" i="4"/>
  <c r="AQ27" i="4"/>
  <c r="AO27" i="4"/>
  <c r="AN33" i="4"/>
  <c r="AL33" i="4"/>
  <c r="AL36" i="4" l="1"/>
  <c r="AN36" i="4"/>
  <c r="AO26" i="4"/>
  <c r="AQ26" i="4"/>
  <c r="AL10" i="4"/>
  <c r="AN10" i="4"/>
  <c r="AL28" i="4"/>
  <c r="AN28" i="4"/>
  <c r="AN14" i="4"/>
  <c r="AL14" i="4"/>
  <c r="AS27" i="4"/>
  <c r="AP33" i="4"/>
  <c r="AP28" i="4" l="1"/>
  <c r="AP10" i="4"/>
  <c r="AP36" i="4"/>
  <c r="AT27" i="4"/>
  <c r="AR27" i="4"/>
  <c r="AP14" i="4"/>
  <c r="AS26" i="4"/>
  <c r="AQ33" i="4"/>
  <c r="AO33" i="4"/>
  <c r="AO36" i="4" l="1"/>
  <c r="AQ36" i="4"/>
  <c r="AT26" i="4"/>
  <c r="AR26" i="4"/>
  <c r="AO14" i="4"/>
  <c r="AQ14" i="4"/>
  <c r="AV27" i="4"/>
  <c r="AO10" i="4"/>
  <c r="AQ10" i="4"/>
  <c r="AO28" i="4"/>
  <c r="AQ28" i="4"/>
  <c r="AS33" i="4"/>
  <c r="AS28" i="4" l="1"/>
  <c r="AV26" i="4"/>
  <c r="AS36" i="4"/>
  <c r="AU27" i="4"/>
  <c r="AW27" i="4"/>
  <c r="AS14" i="4"/>
  <c r="AS10" i="4"/>
  <c r="AR33" i="4"/>
  <c r="AT33" i="4"/>
  <c r="AR14" i="4" l="1"/>
  <c r="AT14" i="4"/>
  <c r="AY27" i="4"/>
  <c r="AR36" i="4"/>
  <c r="AT36" i="4"/>
  <c r="AT10" i="4"/>
  <c r="AR10" i="4"/>
  <c r="AU26" i="4"/>
  <c r="AW26" i="4"/>
  <c r="AR28" i="4"/>
  <c r="AT28" i="4"/>
  <c r="AV33" i="4"/>
  <c r="AV14" i="4" l="1"/>
  <c r="AV28" i="4"/>
  <c r="AX27" i="4"/>
  <c r="AY26" i="4"/>
  <c r="AV36" i="4"/>
  <c r="AV10" i="4"/>
  <c r="AW33" i="4"/>
  <c r="AU33" i="4"/>
  <c r="AW14" i="4" l="1"/>
  <c r="AU14" i="4"/>
  <c r="AU10" i="4"/>
  <c r="AW10" i="4"/>
  <c r="AU36" i="4"/>
  <c r="AW36" i="4"/>
  <c r="AU28" i="4"/>
  <c r="AW28" i="4"/>
  <c r="AX26" i="4"/>
  <c r="AY33" i="4"/>
  <c r="AY28" i="4" l="1"/>
  <c r="AY10" i="4"/>
  <c r="AY14" i="4"/>
  <c r="AY36" i="4"/>
  <c r="AX33" i="4"/>
  <c r="AX36" i="4" l="1"/>
  <c r="AX28" i="4"/>
  <c r="AX10" i="4"/>
  <c r="AX14" i="4"/>
  <c r="AY123" i="3"/>
  <c r="AY90" i="3"/>
  <c r="AV123" i="3"/>
  <c r="AV90" i="3"/>
  <c r="AS123" i="3"/>
  <c r="AS90" i="3"/>
  <c r="AP123" i="3"/>
  <c r="AP90" i="3"/>
  <c r="AM123" i="3"/>
  <c r="AM90" i="3"/>
  <c r="AJ123" i="3"/>
  <c r="AJ90" i="3"/>
  <c r="AG123" i="3"/>
  <c r="AG90" i="3"/>
  <c r="AD123" i="3"/>
  <c r="AD90" i="3"/>
  <c r="AY44" i="3"/>
  <c r="AY41" i="3"/>
  <c r="AY35" i="3"/>
  <c r="AX19" i="3"/>
  <c r="AX26" i="3" s="1"/>
  <c r="AW19" i="3"/>
  <c r="AW26" i="3" s="1"/>
  <c r="AV44" i="3"/>
  <c r="AV41" i="3"/>
  <c r="AV35" i="3"/>
  <c r="AU19" i="3"/>
  <c r="AU26" i="3" s="1"/>
  <c r="AT19" i="3"/>
  <c r="AT26" i="3" s="1"/>
  <c r="AS44" i="3"/>
  <c r="AS41" i="3"/>
  <c r="AS35" i="3"/>
  <c r="AR19" i="3"/>
  <c r="AR26" i="3" s="1"/>
  <c r="AQ19" i="3"/>
  <c r="AQ26" i="3" s="1"/>
  <c r="AP44" i="3"/>
  <c r="AP41" i="3"/>
  <c r="AP35" i="3"/>
  <c r="AO19" i="3"/>
  <c r="AO26" i="3" s="1"/>
  <c r="AN19" i="3"/>
  <c r="AN26" i="3" s="1"/>
  <c r="AM44" i="3"/>
  <c r="AM41" i="3"/>
  <c r="AM35" i="3"/>
  <c r="AL19" i="3"/>
  <c r="AK19" i="3"/>
  <c r="AK26" i="3" s="1"/>
  <c r="AM19" i="3" l="1"/>
  <c r="AM26" i="3" s="1"/>
  <c r="AP19" i="3"/>
  <c r="AP26" i="3" s="1"/>
  <c r="AS19" i="3"/>
  <c r="AS26" i="3" s="1"/>
  <c r="AV19" i="3"/>
  <c r="AV26" i="3" s="1"/>
  <c r="AL26" i="3"/>
  <c r="AY19" i="3"/>
  <c r="AY26" i="3" s="1"/>
  <c r="AY173" i="4" l="1"/>
  <c r="AY169" i="4"/>
  <c r="AY168" i="4"/>
  <c r="AY163" i="4"/>
  <c r="AY145" i="4"/>
  <c r="AY118" i="4"/>
  <c r="AY116" i="4"/>
  <c r="AY115" i="4"/>
  <c r="AY106" i="4"/>
  <c r="AY104" i="4"/>
  <c r="AY103" i="4"/>
  <c r="AY4" i="4"/>
  <c r="AX4" i="4"/>
  <c r="AW4" i="4"/>
  <c r="AV173" i="4"/>
  <c r="AV169" i="4"/>
  <c r="AV168" i="4"/>
  <c r="AV163" i="4"/>
  <c r="AV145" i="4"/>
  <c r="AV118" i="4"/>
  <c r="AV116" i="4"/>
  <c r="AV115" i="4"/>
  <c r="AV106" i="4"/>
  <c r="AV104" i="4"/>
  <c r="AV103" i="4"/>
  <c r="AV4" i="4"/>
  <c r="AU4" i="4"/>
  <c r="AT4" i="4"/>
  <c r="AS173" i="4"/>
  <c r="AS169" i="4"/>
  <c r="AS168" i="4"/>
  <c r="AS163" i="4"/>
  <c r="AS145" i="4"/>
  <c r="AS118" i="4"/>
  <c r="AS116" i="4"/>
  <c r="AS115" i="4"/>
  <c r="AS106" i="4"/>
  <c r="AS104" i="4"/>
  <c r="AS103" i="4"/>
  <c r="AS4" i="4"/>
  <c r="AR4" i="4"/>
  <c r="AQ4" i="4"/>
  <c r="AP173" i="4"/>
  <c r="AP169" i="4"/>
  <c r="AP168" i="4"/>
  <c r="AP163" i="4"/>
  <c r="AP145" i="4"/>
  <c r="AP118" i="4"/>
  <c r="AP116" i="4"/>
  <c r="AP115" i="4"/>
  <c r="AP106" i="4"/>
  <c r="AP104" i="4"/>
  <c r="AP103" i="4"/>
  <c r="AP4" i="4"/>
  <c r="AO4" i="4"/>
  <c r="AN4" i="4"/>
  <c r="AM173" i="4"/>
  <c r="AM169" i="4"/>
  <c r="AM168" i="4"/>
  <c r="AM163" i="4"/>
  <c r="AM145" i="4"/>
  <c r="AM118" i="4"/>
  <c r="AM116" i="4"/>
  <c r="AM115" i="4"/>
  <c r="AM106" i="4"/>
  <c r="AM104" i="4"/>
  <c r="AM103" i="4"/>
  <c r="AM4" i="4"/>
  <c r="AL4" i="4"/>
  <c r="AK4" i="4"/>
  <c r="AY235" i="43"/>
  <c r="AY149" i="43"/>
  <c r="AY148" i="43"/>
  <c r="AX147" i="43"/>
  <c r="AX152" i="43" s="1"/>
  <c r="AW147" i="43"/>
  <c r="AW150" i="43" s="1"/>
  <c r="AY32" i="43"/>
  <c r="AY30" i="43"/>
  <c r="AY4" i="43"/>
  <c r="AX4" i="43"/>
  <c r="AW4" i="43"/>
  <c r="AV235" i="43"/>
  <c r="AV149" i="43"/>
  <c r="AV148" i="43"/>
  <c r="AU147" i="43"/>
  <c r="AU152" i="43" s="1"/>
  <c r="AT147" i="43"/>
  <c r="AV32" i="43"/>
  <c r="AV30" i="43"/>
  <c r="AV4" i="43"/>
  <c r="AU4" i="43"/>
  <c r="AT4" i="43"/>
  <c r="AS235" i="43"/>
  <c r="AS149" i="43"/>
  <c r="AS148" i="43"/>
  <c r="AR147" i="43"/>
  <c r="AR150" i="43" s="1"/>
  <c r="AQ147" i="43"/>
  <c r="AQ150" i="43" s="1"/>
  <c r="AS32" i="43"/>
  <c r="AS30" i="43"/>
  <c r="AS4" i="43"/>
  <c r="AR4" i="43"/>
  <c r="AQ4" i="43"/>
  <c r="AP235" i="43"/>
  <c r="AP149" i="43"/>
  <c r="AP148" i="43"/>
  <c r="AO147" i="43"/>
  <c r="AN147" i="43"/>
  <c r="AN150" i="43" s="1"/>
  <c r="AP32" i="43"/>
  <c r="AP30" i="43"/>
  <c r="AP4" i="43"/>
  <c r="AO4" i="43"/>
  <c r="AN4" i="43"/>
  <c r="AM235" i="43"/>
  <c r="AM149" i="43"/>
  <c r="AM148" i="43"/>
  <c r="AL147" i="43"/>
  <c r="AK147" i="43"/>
  <c r="AK150" i="43" s="1"/>
  <c r="AM32" i="43"/>
  <c r="AM30" i="43"/>
  <c r="AM4" i="43"/>
  <c r="AL4" i="43"/>
  <c r="AK4" i="43"/>
  <c r="AJ30" i="43"/>
  <c r="AG30" i="43"/>
  <c r="AD30" i="43"/>
  <c r="AA30" i="43"/>
  <c r="X30" i="43"/>
  <c r="AL42" i="2" l="1"/>
  <c r="AI42" i="2"/>
  <c r="AX150" i="43"/>
  <c r="AY147" i="43"/>
  <c r="AY150" i="43" s="1"/>
  <c r="AU150" i="43"/>
  <c r="AS147" i="43"/>
  <c r="AS152" i="43" s="1"/>
  <c r="AQ152" i="43"/>
  <c r="AW152" i="43"/>
  <c r="AR152" i="43"/>
  <c r="AT152" i="43"/>
  <c r="AV147" i="43"/>
  <c r="AV150" i="43" s="1"/>
  <c r="AT150" i="43"/>
  <c r="AO152" i="43"/>
  <c r="AO150" i="43"/>
  <c r="AL152" i="43"/>
  <c r="AL150" i="43"/>
  <c r="AP147" i="43"/>
  <c r="AP150" i="43" s="1"/>
  <c r="AN152" i="43"/>
  <c r="AM147" i="43"/>
  <c r="AM150" i="43" s="1"/>
  <c r="AK152" i="43"/>
  <c r="P32" i="43"/>
  <c r="M32" i="43"/>
  <c r="Q33" i="43"/>
  <c r="Q31" i="43"/>
  <c r="Q29" i="43"/>
  <c r="Q28" i="43"/>
  <c r="AB40" i="2" s="1"/>
  <c r="N29" i="43"/>
  <c r="Y41" i="2" s="1"/>
  <c r="N28" i="43"/>
  <c r="Y40" i="2" s="1"/>
  <c r="N31" i="43"/>
  <c r="N33" i="43"/>
  <c r="L32" i="43"/>
  <c r="O32" i="43"/>
  <c r="O13" i="3"/>
  <c r="O15" i="3"/>
  <c r="L13" i="3"/>
  <c r="I13" i="3"/>
  <c r="P13" i="3"/>
  <c r="M13" i="3"/>
  <c r="O101" i="4"/>
  <c r="R101" i="4"/>
  <c r="P105" i="4"/>
  <c r="O105" i="4"/>
  <c r="M105" i="4"/>
  <c r="P117" i="4"/>
  <c r="V117" i="4" s="1"/>
  <c r="Y117" i="4" s="1"/>
  <c r="AB117" i="4" s="1"/>
  <c r="AE117" i="4" s="1"/>
  <c r="AH117" i="4" s="1"/>
  <c r="AK117" i="4" s="1"/>
  <c r="AN117" i="4" s="1"/>
  <c r="AQ117" i="4" s="1"/>
  <c r="AT117" i="4" s="1"/>
  <c r="AW117" i="4" s="1"/>
  <c r="O117" i="4"/>
  <c r="M117" i="4"/>
  <c r="L117" i="4"/>
  <c r="R117" i="4"/>
  <c r="Q36" i="3"/>
  <c r="I15" i="3"/>
  <c r="N11" i="3"/>
  <c r="N12" i="3"/>
  <c r="N14" i="3"/>
  <c r="M15" i="3"/>
  <c r="Q11" i="3"/>
  <c r="Q12" i="3"/>
  <c r="Q14" i="3"/>
  <c r="P15" i="3"/>
  <c r="Q42" i="3"/>
  <c r="T63" i="3" s="1"/>
  <c r="N42" i="3"/>
  <c r="N36" i="3"/>
  <c r="L107" i="4"/>
  <c r="P107" i="4"/>
  <c r="O107" i="4"/>
  <c r="R107" i="4"/>
  <c r="S109" i="4" s="1"/>
  <c r="AJ44" i="3"/>
  <c r="AG44" i="3"/>
  <c r="AD44" i="3"/>
  <c r="AA44" i="3"/>
  <c r="X44" i="3"/>
  <c r="Q27" i="3"/>
  <c r="T61" i="3" s="1"/>
  <c r="N27" i="3"/>
  <c r="AI19" i="3"/>
  <c r="AI26" i="3" s="1"/>
  <c r="AH19" i="3"/>
  <c r="AH26" i="3" s="1"/>
  <c r="AF19" i="3"/>
  <c r="AF26" i="3" s="1"/>
  <c r="AE19" i="3"/>
  <c r="AC19" i="3"/>
  <c r="AB19" i="3"/>
  <c r="AB26" i="3" s="1"/>
  <c r="Z19" i="3"/>
  <c r="Z26" i="3" s="1"/>
  <c r="Y19" i="3"/>
  <c r="W19" i="3"/>
  <c r="V19" i="3"/>
  <c r="V26" i="3" s="1"/>
  <c r="R260" i="43"/>
  <c r="Q20" i="3"/>
  <c r="T59" i="3" s="1"/>
  <c r="P8" i="3"/>
  <c r="S56" i="3" s="1"/>
  <c r="O8" i="3"/>
  <c r="M8" i="3"/>
  <c r="L8" i="3"/>
  <c r="I8" i="3"/>
  <c r="R8" i="3"/>
  <c r="U56" i="3" s="1"/>
  <c r="R21" i="43"/>
  <c r="P21" i="43"/>
  <c r="R16" i="43"/>
  <c r="P16" i="43"/>
  <c r="M21" i="43"/>
  <c r="L21" i="43"/>
  <c r="M16" i="43"/>
  <c r="L16" i="43"/>
  <c r="O21" i="43"/>
  <c r="O16" i="43"/>
  <c r="I16" i="3" l="1"/>
  <c r="Q15" i="3"/>
  <c r="F11" i="2"/>
  <c r="O16" i="3"/>
  <c r="E10" i="2"/>
  <c r="H10" i="2"/>
  <c r="Q131" i="3"/>
  <c r="I15" i="2"/>
  <c r="I11" i="2"/>
  <c r="M16" i="3"/>
  <c r="D10" i="2"/>
  <c r="I23" i="2"/>
  <c r="G10" i="2"/>
  <c r="J10" i="2"/>
  <c r="F23" i="2"/>
  <c r="Q13" i="3"/>
  <c r="P16" i="3"/>
  <c r="S57" i="3" s="1"/>
  <c r="AB41" i="2"/>
  <c r="AS150" i="43"/>
  <c r="Z33" i="2"/>
  <c r="X35" i="2"/>
  <c r="W35" i="2"/>
  <c r="Z35" i="2"/>
  <c r="AC33" i="2"/>
  <c r="AA35" i="2"/>
  <c r="AA33" i="2"/>
  <c r="W33" i="2"/>
  <c r="X33" i="2"/>
  <c r="AC35" i="2"/>
  <c r="AY152" i="43"/>
  <c r="AM152" i="43"/>
  <c r="O81" i="3"/>
  <c r="G32" i="2" s="1"/>
  <c r="O80" i="3"/>
  <c r="G31" i="2" s="1"/>
  <c r="O79" i="3"/>
  <c r="L81" i="3"/>
  <c r="L80" i="3"/>
  <c r="L79" i="3"/>
  <c r="M80" i="3"/>
  <c r="E31" i="2" s="1"/>
  <c r="M79" i="3"/>
  <c r="M81" i="3"/>
  <c r="E32" i="2" s="1"/>
  <c r="P79" i="3"/>
  <c r="P80" i="3"/>
  <c r="H31" i="2" s="1"/>
  <c r="P81" i="3"/>
  <c r="P56" i="3"/>
  <c r="H27" i="2" s="1"/>
  <c r="R81" i="3"/>
  <c r="J32" i="2" s="1"/>
  <c r="R80" i="3"/>
  <c r="J31" i="2" s="1"/>
  <c r="R56" i="3"/>
  <c r="J27" i="2" s="1"/>
  <c r="I69" i="3"/>
  <c r="R79" i="3"/>
  <c r="R74" i="3"/>
  <c r="Q61" i="3"/>
  <c r="I81" i="3"/>
  <c r="I79" i="3"/>
  <c r="I80" i="3"/>
  <c r="Q63" i="3"/>
  <c r="I29" i="2" s="1"/>
  <c r="AP152" i="43"/>
  <c r="O110" i="4"/>
  <c r="O56" i="3"/>
  <c r="R18" i="3"/>
  <c r="U58" i="3" s="1"/>
  <c r="AA19" i="3"/>
  <c r="AV152" i="43"/>
  <c r="N32" i="43"/>
  <c r="N15" i="3"/>
  <c r="N13" i="3"/>
  <c r="AG19" i="3"/>
  <c r="AG26" i="3" s="1"/>
  <c r="Q32" i="43"/>
  <c r="AD19" i="3"/>
  <c r="X19" i="3"/>
  <c r="W26" i="3"/>
  <c r="AC26" i="3"/>
  <c r="AJ19" i="3"/>
  <c r="AJ26" i="3" s="1"/>
  <c r="Y26" i="3"/>
  <c r="AE26" i="3"/>
  <c r="AJ32" i="43"/>
  <c r="AG32" i="43"/>
  <c r="AD32" i="43"/>
  <c r="AA32" i="43"/>
  <c r="X32" i="43"/>
  <c r="AE40" i="2"/>
  <c r="R32" i="43"/>
  <c r="R25" i="43"/>
  <c r="P25" i="43"/>
  <c r="O25" i="43"/>
  <c r="M25" i="43"/>
  <c r="R24" i="43"/>
  <c r="P24" i="43"/>
  <c r="O24" i="43"/>
  <c r="M24" i="43"/>
  <c r="L25" i="43"/>
  <c r="L24" i="43"/>
  <c r="R45" i="43"/>
  <c r="P45" i="43"/>
  <c r="R44" i="43"/>
  <c r="P44" i="43"/>
  <c r="R43" i="43"/>
  <c r="P43" i="43"/>
  <c r="R41" i="43"/>
  <c r="P41" i="43"/>
  <c r="R40" i="43"/>
  <c r="U55" i="43" s="1"/>
  <c r="P40" i="43"/>
  <c r="R13" i="43"/>
  <c r="P13" i="43"/>
  <c r="O13" i="43"/>
  <c r="M13" i="43"/>
  <c r="R12" i="43"/>
  <c r="P12" i="43"/>
  <c r="O12" i="43"/>
  <c r="M12" i="43"/>
  <c r="R11" i="43"/>
  <c r="P11" i="43"/>
  <c r="O11" i="43"/>
  <c r="M11" i="43"/>
  <c r="R10" i="43"/>
  <c r="P10" i="43"/>
  <c r="O10" i="43"/>
  <c r="M10" i="43"/>
  <c r="R8" i="43"/>
  <c r="P8" i="43"/>
  <c r="O8" i="43"/>
  <c r="M8" i="43"/>
  <c r="L13" i="43"/>
  <c r="L12" i="43"/>
  <c r="L11" i="43"/>
  <c r="L10" i="43"/>
  <c r="L8" i="43"/>
  <c r="R250" i="43"/>
  <c r="P250" i="43"/>
  <c r="R249" i="43"/>
  <c r="P249" i="43"/>
  <c r="R248" i="43"/>
  <c r="P248" i="43"/>
  <c r="O250" i="43"/>
  <c r="M250" i="43"/>
  <c r="O249" i="43"/>
  <c r="M249" i="43"/>
  <c r="O248" i="43"/>
  <c r="M248" i="43"/>
  <c r="R175" i="43"/>
  <c r="U176" i="43" s="1"/>
  <c r="P175" i="43"/>
  <c r="S176" i="43" s="1"/>
  <c r="O175" i="43"/>
  <c r="M175" i="43"/>
  <c r="R243" i="43"/>
  <c r="U244" i="43" s="1"/>
  <c r="P243" i="43"/>
  <c r="S244" i="43" s="1"/>
  <c r="O243" i="43"/>
  <c r="M243" i="43"/>
  <c r="R240" i="43"/>
  <c r="U241" i="43" s="1"/>
  <c r="P240" i="43"/>
  <c r="S241" i="43" s="1"/>
  <c r="O240" i="43"/>
  <c r="M240" i="43"/>
  <c r="R237" i="43"/>
  <c r="U238" i="43" s="1"/>
  <c r="P237" i="43"/>
  <c r="S238" i="43" s="1"/>
  <c r="O237" i="43"/>
  <c r="M237" i="43"/>
  <c r="R230" i="43"/>
  <c r="P230" i="43"/>
  <c r="O230" i="43"/>
  <c r="M230" i="43"/>
  <c r="L230" i="43"/>
  <c r="R227" i="43"/>
  <c r="P227" i="43"/>
  <c r="R225" i="43"/>
  <c r="P225" i="43"/>
  <c r="O227" i="43"/>
  <c r="O225" i="43"/>
  <c r="R229" i="43"/>
  <c r="P229" i="43"/>
  <c r="O229" i="43"/>
  <c r="M229" i="43"/>
  <c r="L229" i="43"/>
  <c r="L235" i="43"/>
  <c r="AJ235" i="43"/>
  <c r="AG235" i="43"/>
  <c r="AD235" i="43"/>
  <c r="AA235" i="43"/>
  <c r="X235" i="43"/>
  <c r="R235" i="43"/>
  <c r="P235" i="43"/>
  <c r="O235" i="43"/>
  <c r="M235" i="43"/>
  <c r="Q234" i="43"/>
  <c r="Q235" i="43" s="1"/>
  <c r="N234" i="43"/>
  <c r="N235" i="43" s="1"/>
  <c r="P222" i="43"/>
  <c r="O222" i="43"/>
  <c r="R222" i="43"/>
  <c r="P213" i="43"/>
  <c r="S226" i="43" s="1"/>
  <c r="O213" i="43"/>
  <c r="M213" i="43"/>
  <c r="L213" i="43"/>
  <c r="R213" i="43"/>
  <c r="U226" i="43" s="1"/>
  <c r="Q212" i="43"/>
  <c r="N212" i="43"/>
  <c r="N249" i="43" s="1"/>
  <c r="R81" i="43"/>
  <c r="O81" i="43"/>
  <c r="L81" i="43"/>
  <c r="N82" i="43"/>
  <c r="Q82" i="43"/>
  <c r="P211" i="43"/>
  <c r="S224" i="43" s="1"/>
  <c r="O211" i="43"/>
  <c r="M211" i="43"/>
  <c r="L211" i="43"/>
  <c r="R211" i="43"/>
  <c r="U224" i="43" s="1"/>
  <c r="Q214" i="43"/>
  <c r="T227" i="43" s="1"/>
  <c r="N214" i="43"/>
  <c r="N250" i="43" s="1"/>
  <c r="Q210" i="43"/>
  <c r="N210" i="43"/>
  <c r="N216" i="43" s="1"/>
  <c r="N217" i="43" s="1"/>
  <c r="R204" i="43"/>
  <c r="R203" i="43"/>
  <c r="R202" i="43"/>
  <c r="P202" i="43"/>
  <c r="R199" i="43"/>
  <c r="P199" i="43"/>
  <c r="R198" i="43"/>
  <c r="P198" i="43"/>
  <c r="R197" i="43"/>
  <c r="P197" i="43"/>
  <c r="O204" i="43"/>
  <c r="O203" i="43"/>
  <c r="O202" i="43"/>
  <c r="M202" i="43"/>
  <c r="R68" i="43"/>
  <c r="P68" i="43"/>
  <c r="S105" i="43" s="1"/>
  <c r="O68" i="43"/>
  <c r="O79" i="43" s="1"/>
  <c r="O119" i="43" s="1"/>
  <c r="M68" i="43"/>
  <c r="L68" i="43"/>
  <c r="L79" i="43" s="1"/>
  <c r="L119" i="43" s="1"/>
  <c r="I68" i="43"/>
  <c r="O199" i="43"/>
  <c r="M199" i="43"/>
  <c r="O198" i="43"/>
  <c r="M198" i="43"/>
  <c r="O197" i="43"/>
  <c r="M197" i="43"/>
  <c r="O111" i="43"/>
  <c r="O110" i="43"/>
  <c r="P107" i="43"/>
  <c r="O107" i="43"/>
  <c r="R111" i="43"/>
  <c r="R110" i="43"/>
  <c r="R107" i="43"/>
  <c r="T114" i="43" l="1"/>
  <c r="R79" i="43"/>
  <c r="R119" i="43" s="1"/>
  <c r="U105" i="43"/>
  <c r="Q249" i="43"/>
  <c r="T225" i="43"/>
  <c r="AD26" i="3"/>
  <c r="T222" i="43"/>
  <c r="Q216" i="43"/>
  <c r="Q217" i="43" s="1"/>
  <c r="U113" i="43"/>
  <c r="S55" i="43"/>
  <c r="N16" i="3"/>
  <c r="AA26" i="3"/>
  <c r="P55" i="43"/>
  <c r="J13" i="2"/>
  <c r="R55" i="43"/>
  <c r="R56" i="43" s="1"/>
  <c r="H32" i="2"/>
  <c r="Q16" i="3"/>
  <c r="T57" i="3" s="1"/>
  <c r="AA28" i="2"/>
  <c r="X30" i="2"/>
  <c r="AC28" i="2"/>
  <c r="Z30" i="2"/>
  <c r="AC31" i="2"/>
  <c r="X37" i="2"/>
  <c r="W28" i="2"/>
  <c r="X29" i="2"/>
  <c r="AA30" i="2"/>
  <c r="Z37" i="2"/>
  <c r="AC38" i="2"/>
  <c r="AC46" i="2" s="1"/>
  <c r="AA31" i="2"/>
  <c r="AA38" i="2"/>
  <c r="AA46" i="2" s="1"/>
  <c r="X26" i="3"/>
  <c r="W29" i="2"/>
  <c r="Z29" i="2"/>
  <c r="AC30" i="2"/>
  <c r="AA37" i="2"/>
  <c r="Z38" i="2"/>
  <c r="Z46" i="2" s="1"/>
  <c r="W30" i="2"/>
  <c r="X28" i="2"/>
  <c r="AA29" i="2"/>
  <c r="X31" i="2"/>
  <c r="AC37" i="2"/>
  <c r="AD40" i="2"/>
  <c r="W38" i="2"/>
  <c r="W46" i="2" s="1"/>
  <c r="W31" i="2"/>
  <c r="Z28" i="2"/>
  <c r="AC29" i="2"/>
  <c r="Z31" i="2"/>
  <c r="W37" i="2"/>
  <c r="X38" i="2"/>
  <c r="X46" i="2" s="1"/>
  <c r="Q24" i="43"/>
  <c r="N24" i="43"/>
  <c r="I18" i="3"/>
  <c r="I74" i="3"/>
  <c r="O18" i="3"/>
  <c r="O74" i="3"/>
  <c r="R75" i="3"/>
  <c r="R57" i="3"/>
  <c r="Q250" i="43"/>
  <c r="Q25" i="43"/>
  <c r="AB38" i="2" s="1"/>
  <c r="N248" i="43"/>
  <c r="N21" i="43"/>
  <c r="Q248" i="43"/>
  <c r="Q21" i="43"/>
  <c r="M26" i="43"/>
  <c r="R14" i="43"/>
  <c r="L14" i="43"/>
  <c r="L26" i="43"/>
  <c r="Q45" i="43"/>
  <c r="N25" i="43"/>
  <c r="Y38" i="2" s="1"/>
  <c r="O26" i="43"/>
  <c r="M14" i="43"/>
  <c r="P26" i="43"/>
  <c r="O14" i="43"/>
  <c r="N13" i="43"/>
  <c r="P14" i="43"/>
  <c r="R26" i="43"/>
  <c r="Q13" i="43"/>
  <c r="Q243" i="43"/>
  <c r="T244" i="43" s="1"/>
  <c r="N237" i="43"/>
  <c r="R226" i="43"/>
  <c r="Q237" i="43"/>
  <c r="T238" i="43" s="1"/>
  <c r="R244" i="43"/>
  <c r="R241" i="43"/>
  <c r="P241" i="43"/>
  <c r="Q227" i="43"/>
  <c r="O226" i="43"/>
  <c r="R238" i="43"/>
  <c r="R224" i="43"/>
  <c r="N229" i="43"/>
  <c r="V221" i="43"/>
  <c r="P176" i="43"/>
  <c r="Q240" i="43"/>
  <c r="T241" i="43" s="1"/>
  <c r="P238" i="43"/>
  <c r="R176" i="43"/>
  <c r="Q222" i="43"/>
  <c r="O224" i="43"/>
  <c r="N230" i="43"/>
  <c r="P224" i="43"/>
  <c r="P226" i="43"/>
  <c r="N240" i="43"/>
  <c r="N243" i="43"/>
  <c r="Q225" i="43"/>
  <c r="P244" i="43"/>
  <c r="V213" i="43"/>
  <c r="Q229" i="43"/>
  <c r="Q230" i="43"/>
  <c r="V210" i="43"/>
  <c r="V234" i="43"/>
  <c r="V45" i="43" s="1"/>
  <c r="X234" i="43"/>
  <c r="N213" i="43"/>
  <c r="Q211" i="43"/>
  <c r="T224" i="43" s="1"/>
  <c r="Q213" i="43"/>
  <c r="T226" i="43" s="1"/>
  <c r="R113" i="43"/>
  <c r="O113" i="43"/>
  <c r="N211" i="43"/>
  <c r="R105" i="43"/>
  <c r="P105" i="43"/>
  <c r="O105" i="43"/>
  <c r="P205" i="43"/>
  <c r="O205" i="43"/>
  <c r="R205" i="43"/>
  <c r="U56" i="43" l="1"/>
  <c r="S56" i="43"/>
  <c r="V55" i="43"/>
  <c r="Y55" i="43" s="1"/>
  <c r="AB55" i="43" s="1"/>
  <c r="AE55" i="43" s="1"/>
  <c r="AH55" i="43" s="1"/>
  <c r="AK55" i="43" s="1"/>
  <c r="AN55" i="43" s="1"/>
  <c r="AQ55" i="43" s="1"/>
  <c r="AT55" i="43" s="1"/>
  <c r="AW55" i="43" s="1"/>
  <c r="I25" i="3"/>
  <c r="I26" i="3" s="1"/>
  <c r="O75" i="3"/>
  <c r="G13" i="2"/>
  <c r="J14" i="2"/>
  <c r="J17" i="2"/>
  <c r="J19" i="2" s="1"/>
  <c r="J21" i="2" s="1"/>
  <c r="J22" i="2" s="1"/>
  <c r="J12" i="2"/>
  <c r="W32" i="2"/>
  <c r="AB31" i="2"/>
  <c r="AG40" i="2"/>
  <c r="AF40" i="2"/>
  <c r="Y37" i="2"/>
  <c r="Z39" i="2"/>
  <c r="Y35" i="2"/>
  <c r="Y46" i="2" s="1"/>
  <c r="AB37" i="2"/>
  <c r="W39" i="2"/>
  <c r="AA39" i="2"/>
  <c r="X45" i="43"/>
  <c r="AB35" i="2"/>
  <c r="AB46" i="2" s="1"/>
  <c r="AC39" i="2"/>
  <c r="X32" i="2"/>
  <c r="AC32" i="2"/>
  <c r="AA32" i="2"/>
  <c r="Y31" i="2"/>
  <c r="AD31" i="2"/>
  <c r="AD35" i="2"/>
  <c r="Z32" i="2"/>
  <c r="X39" i="2"/>
  <c r="R58" i="3"/>
  <c r="I19" i="3"/>
  <c r="I75" i="3"/>
  <c r="N26" i="43"/>
  <c r="Q26" i="43"/>
  <c r="I34" i="3"/>
  <c r="M30" i="43"/>
  <c r="X42" i="2" s="1"/>
  <c r="O30" i="43"/>
  <c r="L30" i="43"/>
  <c r="P30" i="43"/>
  <c r="R30" i="43"/>
  <c r="Q244" i="43"/>
  <c r="V13" i="43"/>
  <c r="W221" i="43"/>
  <c r="X221" i="43" s="1"/>
  <c r="Q238" i="43"/>
  <c r="S248" i="43"/>
  <c r="V237" i="43"/>
  <c r="Q241" i="43"/>
  <c r="W234" i="43"/>
  <c r="Y221" i="43"/>
  <c r="Y222" i="43" s="1"/>
  <c r="Y210" i="43" s="1"/>
  <c r="W210" i="43"/>
  <c r="Q226" i="43"/>
  <c r="Y213" i="43"/>
  <c r="Q224" i="43"/>
  <c r="V212" i="43"/>
  <c r="AA234" i="43"/>
  <c r="Y234" i="43"/>
  <c r="Y45" i="43" s="1"/>
  <c r="M205" i="43"/>
  <c r="R114" i="43"/>
  <c r="O114" i="43"/>
  <c r="P114" i="43"/>
  <c r="V238" i="43" l="1"/>
  <c r="V216" i="43"/>
  <c r="I39" i="3"/>
  <c r="I76" i="3"/>
  <c r="G14" i="2"/>
  <c r="G12" i="2"/>
  <c r="G17" i="2"/>
  <c r="G19" i="2" s="1"/>
  <c r="G21" i="2" s="1"/>
  <c r="G22" i="2" s="1"/>
  <c r="AA42" i="2"/>
  <c r="AA43" i="2" s="1"/>
  <c r="Z42" i="2"/>
  <c r="Z43" i="2" s="1"/>
  <c r="AE31" i="2"/>
  <c r="X43" i="2"/>
  <c r="AB39" i="2"/>
  <c r="W42" i="2"/>
  <c r="W43" i="2" s="1"/>
  <c r="Y39" i="2"/>
  <c r="AA45" i="43"/>
  <c r="AG31" i="2"/>
  <c r="AC42" i="2"/>
  <c r="AC43" i="2" s="1"/>
  <c r="X28" i="43"/>
  <c r="AH40" i="2"/>
  <c r="AD38" i="2"/>
  <c r="AD46" i="2" s="1"/>
  <c r="M36" i="43"/>
  <c r="P36" i="43"/>
  <c r="L36" i="43"/>
  <c r="N30" i="43"/>
  <c r="Y42" i="2" s="1"/>
  <c r="I35" i="3"/>
  <c r="I40" i="3"/>
  <c r="O36" i="43"/>
  <c r="Q30" i="43"/>
  <c r="AB42" i="2" s="1"/>
  <c r="R36" i="43"/>
  <c r="R35" i="43" s="1"/>
  <c r="W13" i="43"/>
  <c r="Y13" i="43"/>
  <c r="Z221" i="43"/>
  <c r="W45" i="43"/>
  <c r="V240" i="43"/>
  <c r="V241" i="43" s="1"/>
  <c r="Y237" i="43"/>
  <c r="Y238" i="43" s="1"/>
  <c r="W237" i="43"/>
  <c r="Z234" i="43"/>
  <c r="AB221" i="43"/>
  <c r="AB222" i="43" s="1"/>
  <c r="AB210" i="43" s="1"/>
  <c r="V211" i="43"/>
  <c r="V224" i="43" s="1"/>
  <c r="V225" i="43"/>
  <c r="X210" i="43"/>
  <c r="X222" i="43" s="1"/>
  <c r="W212" i="43"/>
  <c r="AB213" i="43"/>
  <c r="W213" i="43"/>
  <c r="Y212" i="43"/>
  <c r="V214" i="43"/>
  <c r="V25" i="43" s="1"/>
  <c r="AB234" i="43"/>
  <c r="AB45" i="43" s="1"/>
  <c r="AD234" i="43"/>
  <c r="AD45" i="43" s="1"/>
  <c r="V217" i="43" l="1"/>
  <c r="V21" i="43"/>
  <c r="Y216" i="43"/>
  <c r="W238" i="43"/>
  <c r="W216" i="43"/>
  <c r="I77" i="3"/>
  <c r="AA221" i="43"/>
  <c r="Z222" i="43"/>
  <c r="Z210" i="43" s="1"/>
  <c r="Z13" i="43" s="1"/>
  <c r="AJ40" i="2"/>
  <c r="Y43" i="2"/>
  <c r="AH31" i="2"/>
  <c r="AI40" i="2"/>
  <c r="AB43" i="2"/>
  <c r="AF31" i="2"/>
  <c r="AJ31" i="2"/>
  <c r="AG38" i="2"/>
  <c r="AK40" i="2"/>
  <c r="AE38" i="2"/>
  <c r="AF42" i="2"/>
  <c r="N36" i="43"/>
  <c r="P35" i="43"/>
  <c r="Q35" i="43" s="1"/>
  <c r="Q36" i="43"/>
  <c r="O35" i="43"/>
  <c r="L35" i="43"/>
  <c r="M35" i="43"/>
  <c r="I45" i="3"/>
  <c r="I41" i="3"/>
  <c r="AB13" i="43"/>
  <c r="X13" i="43"/>
  <c r="AC221" i="43"/>
  <c r="AD221" i="43" s="1"/>
  <c r="Z45" i="43"/>
  <c r="AA28" i="43"/>
  <c r="X237" i="43"/>
  <c r="X238" i="43" s="1"/>
  <c r="X248" i="43"/>
  <c r="V248" i="43"/>
  <c r="V243" i="43"/>
  <c r="V244" i="43" s="1"/>
  <c r="W248" i="43"/>
  <c r="W240" i="43"/>
  <c r="W241" i="43" s="1"/>
  <c r="Y214" i="43"/>
  <c r="Y240" i="43"/>
  <c r="Y241" i="43" s="1"/>
  <c r="AB237" i="43"/>
  <c r="AB238" i="43" s="1"/>
  <c r="AC234" i="43"/>
  <c r="AE221" i="43"/>
  <c r="W214" i="43"/>
  <c r="W25" i="43" s="1"/>
  <c r="X213" i="43"/>
  <c r="Z213" i="43"/>
  <c r="AB212" i="43"/>
  <c r="AE210" i="43"/>
  <c r="V230" i="43"/>
  <c r="V227" i="43"/>
  <c r="Y211" i="43"/>
  <c r="Y224" i="43" s="1"/>
  <c r="Y225" i="43"/>
  <c r="AE213" i="43"/>
  <c r="W211" i="43"/>
  <c r="W225" i="43"/>
  <c r="AG234" i="43"/>
  <c r="AG45" i="43" s="1"/>
  <c r="AE234" i="43"/>
  <c r="AE45" i="43" s="1"/>
  <c r="Z212" i="43" l="1"/>
  <c r="AC210" i="43"/>
  <c r="AD210" i="43" s="1"/>
  <c r="AE35" i="2"/>
  <c r="AE46" i="2" s="1"/>
  <c r="AB216" i="43"/>
  <c r="Y217" i="43"/>
  <c r="Y21" i="43"/>
  <c r="W21" i="43"/>
  <c r="W217" i="43"/>
  <c r="X216" i="43"/>
  <c r="X217" i="43" s="1"/>
  <c r="AG35" i="2"/>
  <c r="AG46" i="2" s="1"/>
  <c r="AA210" i="43"/>
  <c r="AA237" i="43" s="1"/>
  <c r="AA238" i="43" s="1"/>
  <c r="Z237" i="43"/>
  <c r="Z238" i="43" s="1"/>
  <c r="AI31" i="2"/>
  <c r="AL40" i="2"/>
  <c r="AK31" i="2"/>
  <c r="AH38" i="2"/>
  <c r="N35" i="43"/>
  <c r="AE13" i="43"/>
  <c r="AF221" i="43"/>
  <c r="AG221" i="43" s="1"/>
  <c r="AC45" i="43"/>
  <c r="Y227" i="43"/>
  <c r="Y25" i="43"/>
  <c r="Y230" i="43"/>
  <c r="W243" i="43"/>
  <c r="W244" i="43" s="1"/>
  <c r="AB240" i="43"/>
  <c r="AB241" i="43" s="1"/>
  <c r="Y243" i="43"/>
  <c r="Y244" i="43" s="1"/>
  <c r="Z240" i="43"/>
  <c r="Z241" i="43" s="1"/>
  <c r="AE237" i="43"/>
  <c r="AE238" i="43" s="1"/>
  <c r="X226" i="43"/>
  <c r="AE212" i="43"/>
  <c r="AH210" i="43"/>
  <c r="W230" i="43"/>
  <c r="W227" i="43"/>
  <c r="AH213" i="43"/>
  <c r="AK213" i="43" s="1"/>
  <c r="AN213" i="43" s="1"/>
  <c r="AB211" i="43"/>
  <c r="AB224" i="43" s="1"/>
  <c r="AB225" i="43"/>
  <c r="AF234" i="43"/>
  <c r="AH221" i="43"/>
  <c r="AB214" i="43"/>
  <c r="AB25" i="43" s="1"/>
  <c r="Z211" i="43"/>
  <c r="Z225" i="43"/>
  <c r="AF210" i="43"/>
  <c r="X211" i="43"/>
  <c r="W224" i="43"/>
  <c r="Z214" i="43"/>
  <c r="Z25" i="43" s="1"/>
  <c r="AC213" i="43"/>
  <c r="AA213" i="43"/>
  <c r="AJ234" i="43"/>
  <c r="AH234" i="43"/>
  <c r="AK221" i="43" s="1"/>
  <c r="AA222" i="43" l="1"/>
  <c r="AC212" i="43"/>
  <c r="AC225" i="43" s="1"/>
  <c r="AC13" i="43"/>
  <c r="AC237" i="43"/>
  <c r="AC238" i="43" s="1"/>
  <c r="AA13" i="43"/>
  <c r="AJ35" i="2"/>
  <c r="AD222" i="43"/>
  <c r="AK210" i="43"/>
  <c r="AK13" i="43" s="1"/>
  <c r="Z248" i="43"/>
  <c r="AB217" i="43"/>
  <c r="AB21" i="43"/>
  <c r="AF35" i="2"/>
  <c r="Y248" i="43"/>
  <c r="AE216" i="43"/>
  <c r="AA248" i="43"/>
  <c r="Z216" i="43"/>
  <c r="X21" i="43"/>
  <c r="AH35" i="2"/>
  <c r="AH46" i="2" s="1"/>
  <c r="AA226" i="43"/>
  <c r="S249" i="43"/>
  <c r="AJ38" i="2"/>
  <c r="AK38" i="2"/>
  <c r="AK234" i="43"/>
  <c r="AN221" i="43" s="1"/>
  <c r="AM234" i="43"/>
  <c r="AJ45" i="43"/>
  <c r="AF13" i="43"/>
  <c r="AD13" i="43"/>
  <c r="AH13" i="43"/>
  <c r="AI234" i="43"/>
  <c r="AL221" i="43" s="1"/>
  <c r="AM221" i="43" s="1"/>
  <c r="AH45" i="43"/>
  <c r="AI221" i="43"/>
  <c r="AJ221" i="43" s="1"/>
  <c r="AF45" i="43"/>
  <c r="AD28" i="43"/>
  <c r="AB243" i="43"/>
  <c r="AB244" i="43" s="1"/>
  <c r="AD237" i="43"/>
  <c r="AD238" i="43" s="1"/>
  <c r="AD248" i="43"/>
  <c r="AB248" i="43"/>
  <c r="AC240" i="43"/>
  <c r="AC241" i="43" s="1"/>
  <c r="AE240" i="43"/>
  <c r="AE241" i="43" s="1"/>
  <c r="Z243" i="43"/>
  <c r="Z244" i="43" s="1"/>
  <c r="AC248" i="43"/>
  <c r="AF237" i="43"/>
  <c r="AH212" i="43"/>
  <c r="AH211" i="43" s="1"/>
  <c r="AH237" i="43"/>
  <c r="AH238" i="43" s="1"/>
  <c r="AD213" i="43"/>
  <c r="AC214" i="43"/>
  <c r="AC25" i="43" s="1"/>
  <c r="AF213" i="43"/>
  <c r="AC211" i="43"/>
  <c r="Z227" i="43"/>
  <c r="Z230" i="43"/>
  <c r="AE211" i="43"/>
  <c r="AE224" i="43" s="1"/>
  <c r="AE225" i="43"/>
  <c r="Z224" i="43"/>
  <c r="AA211" i="43"/>
  <c r="AE214" i="43"/>
  <c r="AE25" i="43" s="1"/>
  <c r="X212" i="43"/>
  <c r="X224" i="43"/>
  <c r="AB227" i="43"/>
  <c r="AB230" i="43"/>
  <c r="AF212" i="43"/>
  <c r="AI210" i="43"/>
  <c r="AG210" i="43"/>
  <c r="AF238" i="43" l="1"/>
  <c r="AC216" i="43"/>
  <c r="AC21" i="43" s="1"/>
  <c r="X214" i="43"/>
  <c r="AL31" i="2"/>
  <c r="AK212" i="43"/>
  <c r="AK225" i="43" s="1"/>
  <c r="AD216" i="43"/>
  <c r="AD217" i="43" s="1"/>
  <c r="AE217" i="43"/>
  <c r="AE21" i="43"/>
  <c r="AI35" i="2"/>
  <c r="AF216" i="43"/>
  <c r="Z217" i="43"/>
  <c r="Z21" i="43"/>
  <c r="AA216" i="43"/>
  <c r="AA217" i="43" s="1"/>
  <c r="AH216" i="43"/>
  <c r="AL210" i="43"/>
  <c r="AJ46" i="2"/>
  <c r="AN210" i="43"/>
  <c r="AH214" i="43"/>
  <c r="AH25" i="43" s="1"/>
  <c r="AD226" i="43"/>
  <c r="S250" i="43"/>
  <c r="AG222" i="43"/>
  <c r="AM45" i="43"/>
  <c r="AN234" i="43"/>
  <c r="AQ221" i="43" s="1"/>
  <c r="AP234" i="43"/>
  <c r="AL234" i="43"/>
  <c r="AK45" i="43"/>
  <c r="AK237" i="43"/>
  <c r="AK238" i="43" s="1"/>
  <c r="AI45" i="43"/>
  <c r="AH225" i="43"/>
  <c r="AI13" i="43"/>
  <c r="AF248" i="43"/>
  <c r="AG13" i="43"/>
  <c r="AG237" i="43"/>
  <c r="AG238" i="43" s="1"/>
  <c r="AG248" i="43"/>
  <c r="AE248" i="43"/>
  <c r="AF240" i="43"/>
  <c r="AF241" i="43" s="1"/>
  <c r="AH240" i="43"/>
  <c r="AH241" i="43" s="1"/>
  <c r="X240" i="43"/>
  <c r="X241" i="43" s="1"/>
  <c r="X249" i="43"/>
  <c r="V249" i="43"/>
  <c r="W249" i="43"/>
  <c r="AE243" i="43"/>
  <c r="AE244" i="43" s="1"/>
  <c r="AC243" i="43"/>
  <c r="AC244" i="43" s="1"/>
  <c r="AI237" i="43"/>
  <c r="AI238" i="43" s="1"/>
  <c r="AH224" i="43"/>
  <c r="AJ210" i="43"/>
  <c r="AJ222" i="43" s="1"/>
  <c r="AI212" i="43"/>
  <c r="AF211" i="43"/>
  <c r="AF225" i="43"/>
  <c r="AD211" i="43"/>
  <c r="AC224" i="43"/>
  <c r="X229" i="43"/>
  <c r="X225" i="43"/>
  <c r="X25" i="43"/>
  <c r="AI213" i="43"/>
  <c r="AL213" i="43" s="1"/>
  <c r="AO213" i="43" s="1"/>
  <c r="AR213" i="43" s="1"/>
  <c r="AU213" i="43" s="1"/>
  <c r="AX213" i="43" s="1"/>
  <c r="AG213" i="43"/>
  <c r="AG226" i="43" s="1"/>
  <c r="AF214" i="43"/>
  <c r="AF25" i="43" s="1"/>
  <c r="AE227" i="43"/>
  <c r="AE230" i="43"/>
  <c r="AC227" i="43"/>
  <c r="AC230" i="43"/>
  <c r="AA212" i="43"/>
  <c r="AA229" i="43" s="1"/>
  <c r="AA224" i="43"/>
  <c r="AC217" i="43" l="1"/>
  <c r="AK240" i="43"/>
  <c r="AK241" i="43" s="1"/>
  <c r="AK214" i="43"/>
  <c r="AK227" i="43" s="1"/>
  <c r="AK211" i="43"/>
  <c r="AK224" i="43" s="1"/>
  <c r="AH230" i="43"/>
  <c r="AH227" i="43"/>
  <c r="AH243" i="43"/>
  <c r="AH244" i="43" s="1"/>
  <c r="AI216" i="43"/>
  <c r="AO210" i="43"/>
  <c r="AF217" i="43"/>
  <c r="AF21" i="43"/>
  <c r="AG216" i="43"/>
  <c r="AG217" i="43" s="1"/>
  <c r="AM210" i="43"/>
  <c r="AM13" i="43" s="1"/>
  <c r="AH21" i="43"/>
  <c r="AH217" i="43"/>
  <c r="AD21" i="43"/>
  <c r="AL212" i="43"/>
  <c r="AL214" i="43" s="1"/>
  <c r="AK216" i="43"/>
  <c r="AL13" i="43"/>
  <c r="AN212" i="43"/>
  <c r="AN214" i="43" s="1"/>
  <c r="AN13" i="43"/>
  <c r="AQ210" i="43"/>
  <c r="AA21" i="43"/>
  <c r="AK35" i="2"/>
  <c r="AK46" i="2" s="1"/>
  <c r="AF38" i="2"/>
  <c r="AF46" i="2" s="1"/>
  <c r="AI38" i="2"/>
  <c r="AI46" i="2" s="1"/>
  <c r="AP45" i="43"/>
  <c r="AQ234" i="43"/>
  <c r="AT221" i="43" s="1"/>
  <c r="AS234" i="43"/>
  <c r="AO234" i="43"/>
  <c r="AR221" i="43" s="1"/>
  <c r="AS221" i="43" s="1"/>
  <c r="AN45" i="43"/>
  <c r="AN237" i="43"/>
  <c r="AN238" i="43" s="1"/>
  <c r="AL45" i="43"/>
  <c r="AO221" i="43"/>
  <c r="AP221" i="43" s="1"/>
  <c r="AL237" i="43"/>
  <c r="AL238" i="43" s="1"/>
  <c r="AK25" i="43"/>
  <c r="AM213" i="43"/>
  <c r="AJ13" i="43"/>
  <c r="AF243" i="43"/>
  <c r="AF244" i="43" s="1"/>
  <c r="AI240" i="43"/>
  <c r="AI241" i="43" s="1"/>
  <c r="AJ237" i="43"/>
  <c r="AJ238" i="43" s="1"/>
  <c r="AJ248" i="43"/>
  <c r="AH248" i="43"/>
  <c r="X243" i="43"/>
  <c r="X244" i="43" s="1"/>
  <c r="X250" i="43"/>
  <c r="V250" i="43"/>
  <c r="W250" i="43"/>
  <c r="AA240" i="43"/>
  <c r="AA241" i="43" s="1"/>
  <c r="AA249" i="43"/>
  <c r="Y249" i="43"/>
  <c r="Z249" i="43"/>
  <c r="AI248" i="43"/>
  <c r="AI214" i="43"/>
  <c r="AI25" i="43" s="1"/>
  <c r="AJ213" i="43"/>
  <c r="AJ226" i="43" s="1"/>
  <c r="X230" i="43"/>
  <c r="X227" i="43"/>
  <c r="AA225" i="43"/>
  <c r="AA214" i="43"/>
  <c r="AA25" i="43" s="1"/>
  <c r="AF224" i="43"/>
  <c r="AG211" i="43"/>
  <c r="AF227" i="43"/>
  <c r="AF230" i="43"/>
  <c r="AI211" i="43"/>
  <c r="AI225" i="43"/>
  <c r="AD212" i="43"/>
  <c r="AD229" i="43" s="1"/>
  <c r="AD224" i="43"/>
  <c r="AL225" i="43" l="1"/>
  <c r="AK243" i="43"/>
  <c r="AK244" i="43" s="1"/>
  <c r="AK230" i="43"/>
  <c r="AL240" i="43"/>
  <c r="AL241" i="43" s="1"/>
  <c r="AN216" i="43"/>
  <c r="AN21" i="43" s="1"/>
  <c r="AL211" i="43"/>
  <c r="AM211" i="43" s="1"/>
  <c r="AL216" i="43"/>
  <c r="AL217" i="43" s="1"/>
  <c r="AL248" i="43"/>
  <c r="AM237" i="43"/>
  <c r="AM238" i="43" s="1"/>
  <c r="AM248" i="43"/>
  <c r="AM222" i="43"/>
  <c r="AR210" i="43"/>
  <c r="AP210" i="43"/>
  <c r="AO13" i="43"/>
  <c r="AO212" i="43"/>
  <c r="AL35" i="2"/>
  <c r="AK217" i="43"/>
  <c r="AK21" i="43"/>
  <c r="AJ216" i="43"/>
  <c r="AJ217" i="43" s="1"/>
  <c r="AI217" i="43"/>
  <c r="AI21" i="43"/>
  <c r="AK248" i="43"/>
  <c r="AT210" i="43"/>
  <c r="AQ13" i="43"/>
  <c r="AQ212" i="43"/>
  <c r="AQ211" i="43" s="1"/>
  <c r="AG21" i="43"/>
  <c r="AM226" i="43"/>
  <c r="AL38" i="2"/>
  <c r="AL46" i="2" s="1"/>
  <c r="AQ237" i="43"/>
  <c r="AQ238" i="43" s="1"/>
  <c r="AS45" i="43"/>
  <c r="AT234" i="43"/>
  <c r="AW221" i="43" s="1"/>
  <c r="AV234" i="43"/>
  <c r="AR234" i="43"/>
  <c r="AU221" i="43" s="1"/>
  <c r="AV221" i="43" s="1"/>
  <c r="AQ45" i="43"/>
  <c r="AO45" i="43"/>
  <c r="AO237" i="43"/>
  <c r="AO238" i="43" s="1"/>
  <c r="AL25" i="43"/>
  <c r="AL227" i="43"/>
  <c r="AL243" i="43"/>
  <c r="AL230" i="43"/>
  <c r="AA243" i="43"/>
  <c r="AA244" i="43" s="1"/>
  <c r="AA250" i="43"/>
  <c r="Y250" i="43"/>
  <c r="Z250" i="43"/>
  <c r="AD240" i="43"/>
  <c r="AD241" i="43" s="1"/>
  <c r="AD249" i="43"/>
  <c r="AB249" i="43"/>
  <c r="AC249" i="43"/>
  <c r="AI243" i="43"/>
  <c r="AI244" i="43" s="1"/>
  <c r="AJ211" i="43"/>
  <c r="AI224" i="43"/>
  <c r="AD225" i="43"/>
  <c r="AD214" i="43"/>
  <c r="AD25" i="43" s="1"/>
  <c r="AG212" i="43"/>
  <c r="AG229" i="43" s="1"/>
  <c r="AG224" i="43"/>
  <c r="AA227" i="43"/>
  <c r="AA230" i="43"/>
  <c r="AI227" i="43"/>
  <c r="AI230" i="43"/>
  <c r="AM216" i="43" l="1"/>
  <c r="AM217" i="43" s="1"/>
  <c r="AN217" i="43"/>
  <c r="AL224" i="43"/>
  <c r="AQ240" i="43"/>
  <c r="AL21" i="43"/>
  <c r="AM21" i="43" s="1"/>
  <c r="AQ216" i="43"/>
  <c r="AQ217" i="43" s="1"/>
  <c r="AO214" i="43"/>
  <c r="AO225" i="43"/>
  <c r="AO211" i="43"/>
  <c r="AO224" i="43" s="1"/>
  <c r="AW210" i="43"/>
  <c r="AT212" i="43"/>
  <c r="AT240" i="43" s="1"/>
  <c r="AT13" i="43"/>
  <c r="AO240" i="43"/>
  <c r="AO241" i="43" s="1"/>
  <c r="AN248" i="43"/>
  <c r="AP248" i="43"/>
  <c r="AP237" i="43"/>
  <c r="AP238" i="43" s="1"/>
  <c r="AP222" i="43"/>
  <c r="AP13" i="43"/>
  <c r="AJ21" i="43"/>
  <c r="AO216" i="43"/>
  <c r="AU210" i="43"/>
  <c r="AS210" i="43"/>
  <c r="AR13" i="43"/>
  <c r="AR212" i="43"/>
  <c r="AR240" i="43" s="1"/>
  <c r="AO248" i="43"/>
  <c r="AT237" i="43"/>
  <c r="AT238" i="43" s="1"/>
  <c r="AV45" i="43"/>
  <c r="AW234" i="43"/>
  <c r="AY234" i="43"/>
  <c r="AY45" i="43" s="1"/>
  <c r="AU234" i="43"/>
  <c r="AT45" i="43"/>
  <c r="AR45" i="43"/>
  <c r="AR237" i="43"/>
  <c r="AR238" i="43" s="1"/>
  <c r="AM224" i="43"/>
  <c r="AM212" i="43"/>
  <c r="AM229" i="43" s="1"/>
  <c r="AL244" i="43"/>
  <c r="AD243" i="43"/>
  <c r="AD244" i="43" s="1"/>
  <c r="AD250" i="43"/>
  <c r="AB250" i="43"/>
  <c r="AC250" i="43"/>
  <c r="AG240" i="43"/>
  <c r="AG241" i="43" s="1"/>
  <c r="AG249" i="43"/>
  <c r="AE249" i="43"/>
  <c r="AF249" i="43"/>
  <c r="AG225" i="43"/>
  <c r="AG214" i="43"/>
  <c r="AG25" i="43" s="1"/>
  <c r="AD227" i="43"/>
  <c r="AD230" i="43"/>
  <c r="AJ212" i="43"/>
  <c r="AJ229" i="43" s="1"/>
  <c r="AJ224" i="43"/>
  <c r="AT241" i="43" l="1"/>
  <c r="AQ21" i="43"/>
  <c r="AR216" i="43"/>
  <c r="AS216" i="43" s="1"/>
  <c r="AS217" i="43" s="1"/>
  <c r="AR241" i="43"/>
  <c r="AS222" i="43"/>
  <c r="AS248" i="43"/>
  <c r="AQ248" i="43"/>
  <c r="AS13" i="43"/>
  <c r="AS237" i="43"/>
  <c r="AS238" i="43" s="1"/>
  <c r="AR21" i="43"/>
  <c r="AX210" i="43"/>
  <c r="AU13" i="43"/>
  <c r="AV210" i="43"/>
  <c r="AU248" i="43" s="1"/>
  <c r="AU212" i="43"/>
  <c r="AU240" i="43" s="1"/>
  <c r="AU241" i="43" s="1"/>
  <c r="AT225" i="43"/>
  <c r="AT211" i="43"/>
  <c r="AT224" i="43" s="1"/>
  <c r="AO227" i="43"/>
  <c r="AO230" i="43"/>
  <c r="AO243" i="43"/>
  <c r="AO244" i="43" s="1"/>
  <c r="AO25" i="43"/>
  <c r="AR248" i="43"/>
  <c r="AP216" i="43"/>
  <c r="AP217" i="43" s="1"/>
  <c r="AO21" i="43"/>
  <c r="AP21" i="43" s="1"/>
  <c r="AO217" i="43"/>
  <c r="AT216" i="43"/>
  <c r="AR225" i="43"/>
  <c r="AR214" i="43"/>
  <c r="AR211" i="43"/>
  <c r="AW13" i="43"/>
  <c r="AW212" i="43"/>
  <c r="AW237" i="43"/>
  <c r="AW238" i="43" s="1"/>
  <c r="AX234" i="43"/>
  <c r="AX45" i="43" s="1"/>
  <c r="AW45" i="43"/>
  <c r="AX221" i="43"/>
  <c r="AY221" i="43" s="1"/>
  <c r="AU45" i="43"/>
  <c r="AU237" i="43"/>
  <c r="AU238" i="43" s="1"/>
  <c r="AM240" i="43"/>
  <c r="AM249" i="43"/>
  <c r="AM225" i="43"/>
  <c r="AK249" i="43"/>
  <c r="AL249" i="43"/>
  <c r="AM214" i="43"/>
  <c r="AG243" i="43"/>
  <c r="AG244" i="43" s="1"/>
  <c r="AG250" i="43"/>
  <c r="AE250" i="43"/>
  <c r="AF250" i="43"/>
  <c r="AJ240" i="43"/>
  <c r="AJ241" i="43" s="1"/>
  <c r="AJ249" i="43"/>
  <c r="AH249" i="43"/>
  <c r="AI249" i="43"/>
  <c r="AJ225" i="43"/>
  <c r="AJ214" i="43"/>
  <c r="AJ25" i="43" s="1"/>
  <c r="AG227" i="43"/>
  <c r="AG230" i="43"/>
  <c r="AS21" i="43" l="1"/>
  <c r="AR217" i="43"/>
  <c r="AS211" i="43"/>
  <c r="AS212" i="43" s="1"/>
  <c r="AS229" i="43" s="1"/>
  <c r="AR224" i="43"/>
  <c r="AR25" i="43"/>
  <c r="AR227" i="43"/>
  <c r="AR230" i="43"/>
  <c r="AR243" i="43"/>
  <c r="AR244" i="43" s="1"/>
  <c r="AU216" i="43"/>
  <c r="AX13" i="43"/>
  <c r="AX212" i="43"/>
  <c r="AX240" i="43" s="1"/>
  <c r="AX241" i="43" s="1"/>
  <c r="AY210" i="43"/>
  <c r="AX248" i="43" s="1"/>
  <c r="AW211" i="43"/>
  <c r="AW224" i="43" s="1"/>
  <c r="AW225" i="43"/>
  <c r="AW240" i="43"/>
  <c r="AW241" i="43" s="1"/>
  <c r="AT21" i="43"/>
  <c r="AT217" i="43"/>
  <c r="AU225" i="43"/>
  <c r="AU211" i="43"/>
  <c r="AU214" i="43"/>
  <c r="AW216" i="43"/>
  <c r="AV222" i="43"/>
  <c r="AV248" i="43"/>
  <c r="AV13" i="43"/>
  <c r="AV237" i="43"/>
  <c r="AV238" i="43" s="1"/>
  <c r="AT248" i="43"/>
  <c r="AX237" i="43"/>
  <c r="AX238" i="43" s="1"/>
  <c r="AM241" i="43"/>
  <c r="AM227" i="43"/>
  <c r="AM250" i="43"/>
  <c r="AM243" i="43"/>
  <c r="AM230" i="43"/>
  <c r="AM25" i="43"/>
  <c r="AK250" i="43"/>
  <c r="AL250" i="43"/>
  <c r="AJ243" i="43"/>
  <c r="AJ244" i="43" s="1"/>
  <c r="AJ250" i="43"/>
  <c r="AH250" i="43"/>
  <c r="AI250" i="43"/>
  <c r="AJ227" i="43"/>
  <c r="AJ230" i="43"/>
  <c r="AX214" i="43" l="1"/>
  <c r="AX225" i="43"/>
  <c r="AX211" i="43"/>
  <c r="AU230" i="43"/>
  <c r="AU227" i="43"/>
  <c r="AU25" i="43"/>
  <c r="AU243" i="43"/>
  <c r="AU244" i="43" s="1"/>
  <c r="AX216" i="43"/>
  <c r="AY13" i="43"/>
  <c r="AY222" i="43"/>
  <c r="AY248" i="43"/>
  <c r="AY237" i="43"/>
  <c r="AY238" i="43" s="1"/>
  <c r="AW248" i="43"/>
  <c r="AW217" i="43"/>
  <c r="AW21" i="43"/>
  <c r="AV211" i="43"/>
  <c r="AU224" i="43"/>
  <c r="AV216" i="43"/>
  <c r="AV217" i="43" s="1"/>
  <c r="AU21" i="43"/>
  <c r="AV21" i="43" s="1"/>
  <c r="AU217" i="43"/>
  <c r="AS240" i="43"/>
  <c r="AQ249" i="43"/>
  <c r="AR249" i="43"/>
  <c r="AS249" i="43"/>
  <c r="AM244" i="43"/>
  <c r="P69" i="43"/>
  <c r="S106" i="43" s="1"/>
  <c r="O69" i="43"/>
  <c r="M69" i="43"/>
  <c r="L69" i="43"/>
  <c r="R69" i="43"/>
  <c r="U106" i="43" s="1"/>
  <c r="P118" i="43"/>
  <c r="O118" i="43"/>
  <c r="M118" i="43"/>
  <c r="L118" i="43"/>
  <c r="R118" i="43"/>
  <c r="N70" i="43"/>
  <c r="Q70" i="43"/>
  <c r="T107" i="43" s="1"/>
  <c r="AX217" i="43" l="1"/>
  <c r="AX21" i="43"/>
  <c r="AY21" i="43" s="1"/>
  <c r="AY216" i="43"/>
  <c r="AY217" i="43" s="1"/>
  <c r="AY211" i="43"/>
  <c r="AX224" i="43"/>
  <c r="AV224" i="43"/>
  <c r="AV212" i="43"/>
  <c r="AV229" i="43" s="1"/>
  <c r="AX230" i="43"/>
  <c r="AX227" i="43"/>
  <c r="AX25" i="43"/>
  <c r="AX243" i="43"/>
  <c r="AX244" i="43" s="1"/>
  <c r="Q202" i="43"/>
  <c r="N205" i="43"/>
  <c r="N202" i="43"/>
  <c r="R106" i="43"/>
  <c r="O106" i="43"/>
  <c r="P106" i="43"/>
  <c r="Q205" i="43"/>
  <c r="Q107" i="43"/>
  <c r="R74" i="43"/>
  <c r="R19" i="43" s="1"/>
  <c r="P74" i="43"/>
  <c r="P19" i="43" s="1"/>
  <c r="O74" i="43"/>
  <c r="O19" i="43" s="1"/>
  <c r="M74" i="43"/>
  <c r="M19" i="43" s="1"/>
  <c r="R73" i="43"/>
  <c r="P73" i="43"/>
  <c r="P18" i="43" s="1"/>
  <c r="O73" i="43"/>
  <c r="M73" i="43"/>
  <c r="M18" i="43" s="1"/>
  <c r="L74" i="43"/>
  <c r="L19" i="43" s="1"/>
  <c r="L73" i="43"/>
  <c r="P75" i="43"/>
  <c r="M75" i="43"/>
  <c r="R189" i="43"/>
  <c r="P189" i="43"/>
  <c r="O189" i="43"/>
  <c r="M189" i="43"/>
  <c r="L189" i="43"/>
  <c r="R163" i="43"/>
  <c r="P163" i="43"/>
  <c r="S170" i="43" s="1"/>
  <c r="R162" i="43"/>
  <c r="P162" i="43"/>
  <c r="S169" i="43" s="1"/>
  <c r="R159" i="43"/>
  <c r="U166" i="43" s="1"/>
  <c r="P159" i="43"/>
  <c r="S166" i="43" s="1"/>
  <c r="O159" i="43"/>
  <c r="M159" i="43"/>
  <c r="P62" i="43"/>
  <c r="O62" i="43"/>
  <c r="O9" i="43" s="1"/>
  <c r="M62" i="43"/>
  <c r="L62" i="43"/>
  <c r="L9" i="43" s="1"/>
  <c r="R62" i="43"/>
  <c r="Q16" i="43"/>
  <c r="N61" i="43"/>
  <c r="N16" i="43" s="1"/>
  <c r="X90" i="43"/>
  <c r="P100" i="43"/>
  <c r="O100" i="43"/>
  <c r="R100" i="43"/>
  <c r="R96" i="43"/>
  <c r="P96" i="43"/>
  <c r="O96" i="43"/>
  <c r="P92" i="43"/>
  <c r="P91" i="43" s="1"/>
  <c r="O92" i="43"/>
  <c r="O91" i="43" s="1"/>
  <c r="R92" i="43"/>
  <c r="R91" i="43" s="1"/>
  <c r="V99" i="43"/>
  <c r="V95" i="43"/>
  <c r="AJ149" i="43"/>
  <c r="AG149" i="43"/>
  <c r="AD149" i="43"/>
  <c r="AA149" i="43"/>
  <c r="X149" i="43"/>
  <c r="AJ148" i="43"/>
  <c r="AG148" i="43"/>
  <c r="AD148" i="43"/>
  <c r="AA148" i="43"/>
  <c r="X148" i="43"/>
  <c r="AI147" i="43"/>
  <c r="AH147" i="43"/>
  <c r="AF147" i="43"/>
  <c r="AE147" i="43"/>
  <c r="AC147" i="43"/>
  <c r="AB147" i="43"/>
  <c r="Z147" i="43"/>
  <c r="Y147" i="43"/>
  <c r="W147" i="43"/>
  <c r="V147" i="43"/>
  <c r="X146" i="43"/>
  <c r="X145" i="43"/>
  <c r="R149" i="43"/>
  <c r="P149" i="43"/>
  <c r="R148" i="43"/>
  <c r="P148" i="43"/>
  <c r="R138" i="43"/>
  <c r="P138" i="43"/>
  <c r="O138" i="43"/>
  <c r="M138" i="43"/>
  <c r="M193" i="43" s="1"/>
  <c r="L138" i="43"/>
  <c r="Q140" i="43"/>
  <c r="Q139" i="43"/>
  <c r="R146" i="43"/>
  <c r="P146" i="43"/>
  <c r="O146" i="43"/>
  <c r="M146" i="43"/>
  <c r="M145" i="43"/>
  <c r="O145" i="43"/>
  <c r="P145" i="43"/>
  <c r="R145" i="43"/>
  <c r="Q137" i="43"/>
  <c r="N137" i="43"/>
  <c r="Q136" i="43"/>
  <c r="N136" i="43"/>
  <c r="N145" i="43" s="1"/>
  <c r="Q90" i="43"/>
  <c r="N90" i="43"/>
  <c r="P66" i="43"/>
  <c r="P124" i="43" s="1"/>
  <c r="O66" i="43"/>
  <c r="M66" i="43"/>
  <c r="L66" i="43"/>
  <c r="L124" i="43" s="1"/>
  <c r="R66" i="43"/>
  <c r="R124" i="43" s="1"/>
  <c r="Q65" i="43"/>
  <c r="N65" i="43"/>
  <c r="N12" i="43" s="1"/>
  <c r="Q64" i="43"/>
  <c r="N64" i="43"/>
  <c r="N11" i="43" s="1"/>
  <c r="Q63" i="43"/>
  <c r="N63" i="43"/>
  <c r="M122" i="43" l="1"/>
  <c r="M124" i="43"/>
  <c r="O122" i="43"/>
  <c r="O124" i="43"/>
  <c r="Q12" i="43"/>
  <c r="T100" i="43"/>
  <c r="R122" i="43"/>
  <c r="U102" i="43"/>
  <c r="R169" i="43"/>
  <c r="U169" i="43"/>
  <c r="T92" i="43"/>
  <c r="T91" i="43" s="1"/>
  <c r="U181" i="43"/>
  <c r="U161" i="43"/>
  <c r="Q11" i="43"/>
  <c r="T96" i="43"/>
  <c r="R170" i="43"/>
  <c r="U170" i="43"/>
  <c r="AY224" i="43"/>
  <c r="AY212" i="43"/>
  <c r="AY229" i="43" s="1"/>
  <c r="AT249" i="43"/>
  <c r="AU249" i="43"/>
  <c r="AV240" i="43"/>
  <c r="AV241" i="43" s="1"/>
  <c r="AV249" i="43"/>
  <c r="AV225" i="43"/>
  <c r="S161" i="43"/>
  <c r="S181" i="43"/>
  <c r="AG150" i="43"/>
  <c r="P122" i="43"/>
  <c r="S102" i="43"/>
  <c r="O42" i="43"/>
  <c r="P42" i="43"/>
  <c r="P77" i="43"/>
  <c r="P204" i="43" s="1"/>
  <c r="S110" i="43"/>
  <c r="V100" i="43"/>
  <c r="V65" i="43" s="1"/>
  <c r="V12" i="43" s="1"/>
  <c r="L147" i="43"/>
  <c r="L42" i="43"/>
  <c r="L121" i="43"/>
  <c r="L122" i="43"/>
  <c r="R200" i="43"/>
  <c r="R121" i="43"/>
  <c r="O200" i="43"/>
  <c r="O121" i="43"/>
  <c r="AB30" i="2"/>
  <c r="AB29" i="2"/>
  <c r="L161" i="43"/>
  <c r="L168" i="43" s="1"/>
  <c r="L141" i="43"/>
  <c r="Y33" i="2"/>
  <c r="Y30" i="2"/>
  <c r="AB33" i="2"/>
  <c r="Y29" i="2"/>
  <c r="R72" i="43"/>
  <c r="U109" i="43" s="1"/>
  <c r="M72" i="43"/>
  <c r="M17" i="43" s="1"/>
  <c r="M77" i="43"/>
  <c r="M79" i="43" s="1"/>
  <c r="M119" i="43" s="1"/>
  <c r="P72" i="43"/>
  <c r="S109" i="43" s="1"/>
  <c r="L72" i="43"/>
  <c r="L17" i="43" s="1"/>
  <c r="O72" i="43"/>
  <c r="O18" i="43"/>
  <c r="R9" i="43"/>
  <c r="M203" i="43"/>
  <c r="P203" i="43"/>
  <c r="R18" i="43"/>
  <c r="P46" i="43"/>
  <c r="AC150" i="43"/>
  <c r="AC152" i="43"/>
  <c r="V150" i="43"/>
  <c r="V152" i="43"/>
  <c r="W150" i="43"/>
  <c r="W152" i="43"/>
  <c r="Y150" i="43"/>
  <c r="Y152" i="43"/>
  <c r="AH150" i="43"/>
  <c r="AH152" i="43"/>
  <c r="Z150" i="43"/>
  <c r="Z152" i="43"/>
  <c r="AI150" i="43"/>
  <c r="AI152" i="43"/>
  <c r="AE150" i="43"/>
  <c r="AE152" i="43"/>
  <c r="AF150" i="43"/>
  <c r="AF152" i="43"/>
  <c r="AB150" i="43"/>
  <c r="AB152" i="43"/>
  <c r="V64" i="43"/>
  <c r="L18" i="43"/>
  <c r="W99" i="43"/>
  <c r="W100" i="43" s="1"/>
  <c r="W95" i="43"/>
  <c r="X95" i="43" s="1"/>
  <c r="Q146" i="43"/>
  <c r="Q41" i="43"/>
  <c r="Q148" i="43"/>
  <c r="Q43" i="43"/>
  <c r="R141" i="43"/>
  <c r="R42" i="43"/>
  <c r="Q145" i="43"/>
  <c r="Q40" i="43"/>
  <c r="Q55" i="43" s="1"/>
  <c r="W55" i="43" s="1"/>
  <c r="Z55" i="43" s="1"/>
  <c r="AC55" i="43" s="1"/>
  <c r="AF55" i="43" s="1"/>
  <c r="AI55" i="43" s="1"/>
  <c r="AL55" i="43" s="1"/>
  <c r="AO55" i="43" s="1"/>
  <c r="AR55" i="43" s="1"/>
  <c r="AU55" i="43" s="1"/>
  <c r="AX55" i="43" s="1"/>
  <c r="Q149" i="43"/>
  <c r="Q44" i="43"/>
  <c r="P160" i="43"/>
  <c r="S167" i="43" s="1"/>
  <c r="P9" i="43"/>
  <c r="N197" i="43"/>
  <c r="N10" i="43"/>
  <c r="Y28" i="2" s="1"/>
  <c r="N68" i="43"/>
  <c r="N8" i="43"/>
  <c r="Q197" i="43"/>
  <c r="Q10" i="43"/>
  <c r="M190" i="43"/>
  <c r="M9" i="43"/>
  <c r="Q68" i="43"/>
  <c r="T105" i="43" s="1"/>
  <c r="Q8" i="43"/>
  <c r="O193" i="43"/>
  <c r="P181" i="43"/>
  <c r="R181" i="43"/>
  <c r="P141" i="43"/>
  <c r="M200" i="43"/>
  <c r="Q175" i="43"/>
  <c r="T176" i="43" s="1"/>
  <c r="N175" i="43"/>
  <c r="P200" i="43"/>
  <c r="N74" i="43"/>
  <c r="N19" i="43" s="1"/>
  <c r="N199" i="43"/>
  <c r="Q199" i="43"/>
  <c r="Q114" i="43"/>
  <c r="N73" i="43"/>
  <c r="N18" i="43" s="1"/>
  <c r="N198" i="43"/>
  <c r="Q198" i="43"/>
  <c r="P110" i="43"/>
  <c r="P131" i="43"/>
  <c r="M131" i="43"/>
  <c r="O160" i="43"/>
  <c r="O131" i="43"/>
  <c r="R190" i="43"/>
  <c r="R131" i="43"/>
  <c r="L190" i="43"/>
  <c r="L131" i="43"/>
  <c r="Q73" i="43"/>
  <c r="Q18" i="43" s="1"/>
  <c r="Q74" i="43"/>
  <c r="Q19" i="43" s="1"/>
  <c r="P192" i="43"/>
  <c r="N75" i="43"/>
  <c r="N77" i="43" s="1"/>
  <c r="M161" i="43"/>
  <c r="R166" i="43"/>
  <c r="Q75" i="43"/>
  <c r="T110" i="43" s="1"/>
  <c r="P166" i="43"/>
  <c r="P193" i="43"/>
  <c r="Q159" i="43"/>
  <c r="T166" i="43" s="1"/>
  <c r="N159" i="43"/>
  <c r="R160" i="43"/>
  <c r="Q189" i="43"/>
  <c r="O190" i="43"/>
  <c r="L192" i="43"/>
  <c r="P161" i="43"/>
  <c r="P190" i="43"/>
  <c r="L193" i="43"/>
  <c r="R192" i="43"/>
  <c r="R193" i="43"/>
  <c r="Q162" i="43"/>
  <c r="Q163" i="43"/>
  <c r="N189" i="43"/>
  <c r="M192" i="43"/>
  <c r="M160" i="43"/>
  <c r="O161" i="43"/>
  <c r="R161" i="43"/>
  <c r="O192" i="43"/>
  <c r="N62" i="43"/>
  <c r="N9" i="43" s="1"/>
  <c r="Q62" i="43"/>
  <c r="Q9" i="43" s="1"/>
  <c r="O102" i="43"/>
  <c r="N138" i="43"/>
  <c r="N193" i="43" s="1"/>
  <c r="Q100" i="43"/>
  <c r="P102" i="43"/>
  <c r="R102" i="43"/>
  <c r="M147" i="43"/>
  <c r="M152" i="43" s="1"/>
  <c r="R147" i="43"/>
  <c r="R150" i="43" s="1"/>
  <c r="AA147" i="43"/>
  <c r="AA150" i="43" s="1"/>
  <c r="P147" i="43"/>
  <c r="P150" i="43" s="1"/>
  <c r="Q92" i="43"/>
  <c r="Q91" i="43" s="1"/>
  <c r="O147" i="43"/>
  <c r="O152" i="43" s="1"/>
  <c r="Q96" i="43"/>
  <c r="Q138" i="43"/>
  <c r="X147" i="43"/>
  <c r="X150" i="43" s="1"/>
  <c r="AD147" i="43"/>
  <c r="AD150" i="43" s="1"/>
  <c r="N146" i="43"/>
  <c r="AJ147" i="43"/>
  <c r="AJ150" i="43" s="1"/>
  <c r="O141" i="43"/>
  <c r="Q66" i="43"/>
  <c r="N66" i="43"/>
  <c r="N124" i="43" s="1"/>
  <c r="T102" i="43" l="1"/>
  <c r="Q124" i="43"/>
  <c r="U167" i="43"/>
  <c r="U168" i="43"/>
  <c r="U184" i="43"/>
  <c r="U164" i="43"/>
  <c r="AY240" i="43"/>
  <c r="AY241" i="43" s="1"/>
  <c r="AY249" i="43"/>
  <c r="AY225" i="43"/>
  <c r="AW249" i="43"/>
  <c r="AX249" i="43"/>
  <c r="S95" i="43"/>
  <c r="P79" i="43"/>
  <c r="P119" i="43" s="1"/>
  <c r="S111" i="43"/>
  <c r="O46" i="43"/>
  <c r="S168" i="43"/>
  <c r="AB28" i="2"/>
  <c r="AB32" i="2" s="1"/>
  <c r="S164" i="43"/>
  <c r="S184" i="43"/>
  <c r="P81" i="43"/>
  <c r="L46" i="43"/>
  <c r="AD41" i="2"/>
  <c r="R17" i="43"/>
  <c r="X99" i="43"/>
  <c r="N200" i="43"/>
  <c r="N122" i="43"/>
  <c r="Q200" i="43"/>
  <c r="Q122" i="43"/>
  <c r="Q147" i="43"/>
  <c r="Q150" i="43" s="1"/>
  <c r="R168" i="43"/>
  <c r="X34" i="2"/>
  <c r="AD29" i="2"/>
  <c r="W34" i="2"/>
  <c r="AG30" i="2"/>
  <c r="AD30" i="2"/>
  <c r="O168" i="43"/>
  <c r="Y32" i="2"/>
  <c r="P111" i="43"/>
  <c r="N79" i="43"/>
  <c r="N119" i="43" s="1"/>
  <c r="M204" i="43"/>
  <c r="M81" i="43"/>
  <c r="N204" i="43"/>
  <c r="N81" i="43"/>
  <c r="N121" i="43" s="1"/>
  <c r="Q72" i="43"/>
  <c r="T109" i="43" s="1"/>
  <c r="Q77" i="43"/>
  <c r="M22" i="43"/>
  <c r="N72" i="43"/>
  <c r="N17" i="43" s="1"/>
  <c r="Q203" i="43"/>
  <c r="N14" i="43"/>
  <c r="Q14" i="43"/>
  <c r="R46" i="43"/>
  <c r="X152" i="43"/>
  <c r="AG152" i="43"/>
  <c r="L128" i="43"/>
  <c r="AD152" i="43"/>
  <c r="P152" i="43"/>
  <c r="AJ152" i="43"/>
  <c r="AA152" i="43"/>
  <c r="N147" i="43"/>
  <c r="N152" i="43" s="1"/>
  <c r="R152" i="43"/>
  <c r="Y64" i="43"/>
  <c r="Y11" i="43" s="1"/>
  <c r="V73" i="43"/>
  <c r="V18" i="43" s="1"/>
  <c r="V74" i="43"/>
  <c r="V19" i="43" s="1"/>
  <c r="W64" i="43"/>
  <c r="S198" i="43"/>
  <c r="S199" i="43"/>
  <c r="W65" i="43"/>
  <c r="W12" i="43" s="1"/>
  <c r="P178" i="43"/>
  <c r="S179" i="43" s="1"/>
  <c r="P17" i="43"/>
  <c r="O178" i="43"/>
  <c r="O17" i="43"/>
  <c r="L22" i="43"/>
  <c r="V11" i="43"/>
  <c r="N118" i="43"/>
  <c r="N69" i="43"/>
  <c r="Q118" i="43"/>
  <c r="Q69" i="43"/>
  <c r="T106" i="43" s="1"/>
  <c r="Q105" i="43"/>
  <c r="Q141" i="43"/>
  <c r="Q184" i="43" s="1"/>
  <c r="Q42" i="43"/>
  <c r="P167" i="43"/>
  <c r="O128" i="43"/>
  <c r="O109" i="43"/>
  <c r="R109" i="43"/>
  <c r="R178" i="43"/>
  <c r="U179" i="43" s="1"/>
  <c r="P164" i="43"/>
  <c r="P184" i="43"/>
  <c r="R184" i="43"/>
  <c r="M128" i="43"/>
  <c r="M178" i="43"/>
  <c r="Q176" i="43"/>
  <c r="N203" i="43"/>
  <c r="P128" i="43"/>
  <c r="P109" i="43"/>
  <c r="Q110" i="43"/>
  <c r="R128" i="43"/>
  <c r="Q131" i="43"/>
  <c r="N131" i="43"/>
  <c r="R167" i="43"/>
  <c r="P168" i="43"/>
  <c r="Q166" i="43"/>
  <c r="Q161" i="43"/>
  <c r="T168" i="43" s="1"/>
  <c r="Q190" i="43"/>
  <c r="Q160" i="43"/>
  <c r="T167" i="43" s="1"/>
  <c r="N192" i="43"/>
  <c r="N161" i="43"/>
  <c r="Q193" i="43"/>
  <c r="Q192" i="43"/>
  <c r="R164" i="43"/>
  <c r="N190" i="43"/>
  <c r="N160" i="43"/>
  <c r="V91" i="43"/>
  <c r="Q102" i="43"/>
  <c r="Q152" i="43" l="1"/>
  <c r="Q79" i="43"/>
  <c r="Q119" i="43" s="1"/>
  <c r="T111" i="43"/>
  <c r="AC34" i="2"/>
  <c r="AC36" i="2" s="1"/>
  <c r="S171" i="43"/>
  <c r="P121" i="43"/>
  <c r="S113" i="43"/>
  <c r="S99" i="43"/>
  <c r="AE41" i="2"/>
  <c r="P113" i="43"/>
  <c r="M121" i="43"/>
  <c r="AG29" i="2"/>
  <c r="Y34" i="2"/>
  <c r="AE30" i="2"/>
  <c r="Z34" i="2"/>
  <c r="AH30" i="2"/>
  <c r="W36" i="2"/>
  <c r="W45" i="2"/>
  <c r="AE29" i="2"/>
  <c r="X36" i="2"/>
  <c r="X45" i="2"/>
  <c r="P22" i="43"/>
  <c r="P51" i="43" s="1"/>
  <c r="AA34" i="2"/>
  <c r="AJ29" i="2"/>
  <c r="Q181" i="43"/>
  <c r="Q111" i="43"/>
  <c r="Q204" i="43"/>
  <c r="Q81" i="43"/>
  <c r="T113" i="43" s="1"/>
  <c r="R22" i="43"/>
  <c r="N22" i="43"/>
  <c r="O22" i="43"/>
  <c r="O53" i="43" s="1"/>
  <c r="L52" i="43"/>
  <c r="L51" i="43"/>
  <c r="L50" i="43"/>
  <c r="L53" i="43"/>
  <c r="Q46" i="43"/>
  <c r="X64" i="43"/>
  <c r="Z64" i="43"/>
  <c r="Z11" i="43" s="1"/>
  <c r="W73" i="43"/>
  <c r="X73" i="43" s="1"/>
  <c r="W74" i="43"/>
  <c r="X74" i="43" s="1"/>
  <c r="X65" i="43"/>
  <c r="X12" i="43" s="1"/>
  <c r="Y73" i="43"/>
  <c r="Y18" i="43" s="1"/>
  <c r="AB64" i="43"/>
  <c r="AB11" i="43" s="1"/>
  <c r="Q106" i="43"/>
  <c r="V137" i="43"/>
  <c r="W137" i="43" s="1"/>
  <c r="W91" i="43"/>
  <c r="W92" i="43" s="1"/>
  <c r="W63" i="43" s="1"/>
  <c r="P179" i="43"/>
  <c r="R179" i="43"/>
  <c r="Q178" i="43"/>
  <c r="T179" i="43" s="1"/>
  <c r="Q17" i="43"/>
  <c r="V139" i="43"/>
  <c r="Y95" i="43" s="1"/>
  <c r="V140" i="43"/>
  <c r="Y99" i="43" s="1"/>
  <c r="V136" i="43"/>
  <c r="W11" i="43"/>
  <c r="Q164" i="43"/>
  <c r="N128" i="43"/>
  <c r="N178" i="43"/>
  <c r="Q128" i="43"/>
  <c r="Q109" i="43"/>
  <c r="Q168" i="43"/>
  <c r="Q167" i="43"/>
  <c r="V92" i="43"/>
  <c r="AC45" i="2" l="1"/>
  <c r="Y100" i="43"/>
  <c r="Y65" i="43" s="1"/>
  <c r="AF41" i="2"/>
  <c r="Q113" i="43"/>
  <c r="Q121" i="43"/>
  <c r="P53" i="43"/>
  <c r="P50" i="43"/>
  <c r="R256" i="43"/>
  <c r="R286" i="43"/>
  <c r="AA36" i="2"/>
  <c r="AA45" i="2"/>
  <c r="Y36" i="2"/>
  <c r="Y45" i="2"/>
  <c r="AF30" i="2"/>
  <c r="AC47" i="2"/>
  <c r="AC48" i="2"/>
  <c r="W47" i="2"/>
  <c r="W48" i="2"/>
  <c r="AI30" i="2"/>
  <c r="P52" i="43"/>
  <c r="AK29" i="2"/>
  <c r="AH29" i="2"/>
  <c r="Q22" i="43"/>
  <c r="Q53" i="43" s="1"/>
  <c r="AB34" i="2"/>
  <c r="X47" i="2"/>
  <c r="X48" i="2"/>
  <c r="AF29" i="2"/>
  <c r="AE28" i="2"/>
  <c r="AE32" i="2" s="1"/>
  <c r="Z36" i="2"/>
  <c r="Z45" i="2"/>
  <c r="O52" i="43"/>
  <c r="R52" i="43"/>
  <c r="R287" i="43"/>
  <c r="R53" i="43"/>
  <c r="R51" i="43"/>
  <c r="O51" i="43"/>
  <c r="R50" i="43"/>
  <c r="O50" i="43"/>
  <c r="V41" i="43"/>
  <c r="W19" i="43"/>
  <c r="X100" i="43"/>
  <c r="Q179" i="43"/>
  <c r="Z73" i="43"/>
  <c r="AA73" i="43" s="1"/>
  <c r="AC64" i="43"/>
  <c r="AC11" i="43" s="1"/>
  <c r="AA64" i="43"/>
  <c r="AD28" i="2"/>
  <c r="AD32" i="2" s="1"/>
  <c r="V63" i="43"/>
  <c r="AB73" i="43"/>
  <c r="AB18" i="43" s="1"/>
  <c r="AE64" i="43"/>
  <c r="X199" i="43"/>
  <c r="X91" i="43"/>
  <c r="W199" i="43"/>
  <c r="V199" i="43"/>
  <c r="X130" i="43"/>
  <c r="X18" i="43"/>
  <c r="W18" i="43"/>
  <c r="W140" i="43"/>
  <c r="V44" i="43"/>
  <c r="V163" i="43"/>
  <c r="V170" i="43" s="1"/>
  <c r="V40" i="43"/>
  <c r="V29" i="43" s="1"/>
  <c r="W136" i="43"/>
  <c r="W138" i="43" s="1"/>
  <c r="Z91" i="43" s="1"/>
  <c r="Z92" i="43" s="1"/>
  <c r="W139" i="43"/>
  <c r="Z95" i="43" s="1"/>
  <c r="AA95" i="43" s="1"/>
  <c r="V43" i="43"/>
  <c r="V162" i="43"/>
  <c r="V169" i="43" s="1"/>
  <c r="W41" i="43"/>
  <c r="V138" i="43"/>
  <c r="X11" i="43"/>
  <c r="X96" i="43"/>
  <c r="X198" i="43"/>
  <c r="V198" i="43"/>
  <c r="W198" i="43"/>
  <c r="X137" i="43"/>
  <c r="W61" i="43" l="1"/>
  <c r="W62" i="43" s="1"/>
  <c r="S197" i="43"/>
  <c r="W163" i="43"/>
  <c r="W170" i="43" s="1"/>
  <c r="Z99" i="43"/>
  <c r="Y12" i="43"/>
  <c r="Y74" i="43"/>
  <c r="Y19" i="43" s="1"/>
  <c r="V10" i="43"/>
  <c r="AG28" i="2" s="1"/>
  <c r="AG32" i="2" s="1"/>
  <c r="V61" i="43"/>
  <c r="AA11" i="43"/>
  <c r="AA96" i="43"/>
  <c r="AG41" i="2"/>
  <c r="Q50" i="43"/>
  <c r="Q51" i="43"/>
  <c r="Q52" i="43"/>
  <c r="Z47" i="2"/>
  <c r="Z48" i="2"/>
  <c r="AB45" i="2"/>
  <c r="AB36" i="2"/>
  <c r="AA47" i="2"/>
  <c r="AA48" i="2"/>
  <c r="Y47" i="2"/>
  <c r="Y48" i="2"/>
  <c r="AI29" i="2"/>
  <c r="AD33" i="2"/>
  <c r="AE33" i="2"/>
  <c r="AE73" i="43"/>
  <c r="AE18" i="43" s="1"/>
  <c r="AH64" i="43"/>
  <c r="AK64" i="43" s="1"/>
  <c r="AN64" i="43" s="1"/>
  <c r="AQ64" i="43" s="1"/>
  <c r="AT64" i="43" s="1"/>
  <c r="AW64" i="43" s="1"/>
  <c r="W66" i="43"/>
  <c r="Z63" i="43"/>
  <c r="X63" i="43"/>
  <c r="AE11" i="43"/>
  <c r="V66" i="43"/>
  <c r="V81" i="43" s="1"/>
  <c r="AD64" i="43"/>
  <c r="AC73" i="43"/>
  <c r="AD73" i="43" s="1"/>
  <c r="AD18" i="43" s="1"/>
  <c r="AF64" i="43"/>
  <c r="AF11" i="43" s="1"/>
  <c r="W10" i="43"/>
  <c r="AH28" i="2" s="1"/>
  <c r="AH32" i="2" s="1"/>
  <c r="Y198" i="43"/>
  <c r="X19" i="43"/>
  <c r="W193" i="43"/>
  <c r="AA198" i="43"/>
  <c r="X129" i="43"/>
  <c r="AA18" i="43"/>
  <c r="Z18" i="43"/>
  <c r="W192" i="43"/>
  <c r="W42" i="43"/>
  <c r="X139" i="43"/>
  <c r="W43" i="43"/>
  <c r="W162" i="43"/>
  <c r="W169" i="43" s="1"/>
  <c r="X41" i="43"/>
  <c r="V192" i="43"/>
  <c r="V42" i="43"/>
  <c r="Y91" i="43"/>
  <c r="Y92" i="43" s="1"/>
  <c r="V141" i="43"/>
  <c r="V193" i="43"/>
  <c r="W40" i="43"/>
  <c r="W29" i="43" s="1"/>
  <c r="X136" i="43"/>
  <c r="X138" i="43" s="1"/>
  <c r="W141" i="43"/>
  <c r="W161" i="43"/>
  <c r="W168" i="43" s="1"/>
  <c r="Z198" i="43"/>
  <c r="X140" i="43"/>
  <c r="W44" i="43"/>
  <c r="V161" i="43"/>
  <c r="V168" i="43" s="1"/>
  <c r="Y137" i="43"/>
  <c r="Y41" i="43" s="1"/>
  <c r="V14" i="43" l="1"/>
  <c r="S200" i="43"/>
  <c r="AL29" i="2"/>
  <c r="AJ30" i="2"/>
  <c r="W159" i="43"/>
  <c r="W166" i="43" s="1"/>
  <c r="Z100" i="43"/>
  <c r="Z65" i="43" s="1"/>
  <c r="Z66" i="43" s="1"/>
  <c r="AA99" i="43"/>
  <c r="V62" i="43"/>
  <c r="V9" i="43" s="1"/>
  <c r="X61" i="43"/>
  <c r="X16" i="43" s="1"/>
  <c r="V113" i="43"/>
  <c r="AD198" i="43"/>
  <c r="AD96" i="43"/>
  <c r="AH41" i="2"/>
  <c r="X29" i="43"/>
  <c r="W102" i="43"/>
  <c r="W81" i="43"/>
  <c r="AE34" i="2"/>
  <c r="AE36" i="2" s="1"/>
  <c r="X66" i="43"/>
  <c r="V200" i="43" s="1"/>
  <c r="AB47" i="2"/>
  <c r="AB48" i="2"/>
  <c r="AF28" i="2"/>
  <c r="AF32" i="2" s="1"/>
  <c r="AF33" i="2"/>
  <c r="V68" i="43"/>
  <c r="V70" i="43" s="1"/>
  <c r="V69" i="43" s="1"/>
  <c r="V159" i="43"/>
  <c r="V166" i="43" s="1"/>
  <c r="V46" i="43"/>
  <c r="W14" i="43"/>
  <c r="AW11" i="43"/>
  <c r="AW73" i="43"/>
  <c r="AW18" i="43" s="1"/>
  <c r="AT11" i="43"/>
  <c r="AT73" i="43"/>
  <c r="AT18" i="43" s="1"/>
  <c r="AQ73" i="43"/>
  <c r="AQ18" i="43" s="1"/>
  <c r="AQ11" i="43"/>
  <c r="AN11" i="43"/>
  <c r="AN73" i="43"/>
  <c r="AN18" i="43" s="1"/>
  <c r="AK11" i="43"/>
  <c r="AK73" i="43"/>
  <c r="AK18" i="43" s="1"/>
  <c r="AD11" i="43"/>
  <c r="W68" i="43"/>
  <c r="W105" i="43" s="1"/>
  <c r="AC18" i="43"/>
  <c r="AF73" i="43"/>
  <c r="AG73" i="43" s="1"/>
  <c r="AI64" i="43"/>
  <c r="AL64" i="43" s="1"/>
  <c r="AO64" i="43" s="1"/>
  <c r="AR64" i="43" s="1"/>
  <c r="AU64" i="43" s="1"/>
  <c r="AX64" i="43" s="1"/>
  <c r="AG64" i="43"/>
  <c r="AH73" i="43"/>
  <c r="AH18" i="43" s="1"/>
  <c r="AH11" i="43"/>
  <c r="V16" i="43"/>
  <c r="Y63" i="43"/>
  <c r="W72" i="43"/>
  <c r="W160" i="43"/>
  <c r="W167" i="43" s="1"/>
  <c r="W8" i="43"/>
  <c r="Z10" i="43"/>
  <c r="AK28" i="2" s="1"/>
  <c r="AC198" i="43"/>
  <c r="W16" i="43"/>
  <c r="W189" i="43"/>
  <c r="AB198" i="43"/>
  <c r="W164" i="43"/>
  <c r="W171" i="43" s="1"/>
  <c r="AA129" i="43"/>
  <c r="W9" i="43"/>
  <c r="AA91" i="43"/>
  <c r="AD129" i="43"/>
  <c r="W46" i="43"/>
  <c r="X141" i="43"/>
  <c r="X42" i="43"/>
  <c r="X193" i="43"/>
  <c r="X192" i="43"/>
  <c r="Y139" i="43"/>
  <c r="AB95" i="43" s="1"/>
  <c r="X43" i="43"/>
  <c r="X162" i="43"/>
  <c r="X169" i="43" s="1"/>
  <c r="W190" i="43"/>
  <c r="X40" i="43"/>
  <c r="Y136" i="43"/>
  <c r="Y138" i="43" s="1"/>
  <c r="Y140" i="43"/>
  <c r="AB99" i="43" s="1"/>
  <c r="X44" i="43"/>
  <c r="X163" i="43"/>
  <c r="X170" i="43" s="1"/>
  <c r="X10" i="43"/>
  <c r="V8" i="43"/>
  <c r="V189" i="43"/>
  <c r="V197" i="43"/>
  <c r="X197" i="43"/>
  <c r="W197" i="43"/>
  <c r="V164" i="43"/>
  <c r="V171" i="43" s="1"/>
  <c r="X161" i="43"/>
  <c r="X168" i="43" s="1"/>
  <c r="X92" i="43"/>
  <c r="V102" i="43"/>
  <c r="Z137" i="43"/>
  <c r="Z41" i="43" s="1"/>
  <c r="V160" i="43" l="1"/>
  <c r="V167" i="43" s="1"/>
  <c r="V190" i="43"/>
  <c r="Z12" i="43"/>
  <c r="Z14" i="43" s="1"/>
  <c r="Z74" i="43"/>
  <c r="AA65" i="43"/>
  <c r="Z199" i="43" s="1"/>
  <c r="Y61" i="43"/>
  <c r="Y62" i="43" s="1"/>
  <c r="Y72" i="43" s="1"/>
  <c r="AB100" i="43"/>
  <c r="AB65" i="43" s="1"/>
  <c r="X62" i="43"/>
  <c r="X9" i="43" s="1"/>
  <c r="V72" i="43"/>
  <c r="X72" i="43" s="1"/>
  <c r="X109" i="43" s="1"/>
  <c r="AG198" i="43"/>
  <c r="AG96" i="43"/>
  <c r="X55" i="43"/>
  <c r="X56" i="43" s="1"/>
  <c r="AI41" i="2"/>
  <c r="L10" i="2"/>
  <c r="Z102" i="43"/>
  <c r="Z81" i="43"/>
  <c r="X81" i="43"/>
  <c r="W113" i="43"/>
  <c r="AH33" i="2"/>
  <c r="AI28" i="2"/>
  <c r="AI32" i="2" s="1"/>
  <c r="AF34" i="2"/>
  <c r="AF36" i="2" s="1"/>
  <c r="AI33" i="2"/>
  <c r="AD34" i="2"/>
  <c r="AD36" i="2" s="1"/>
  <c r="AG33" i="2"/>
  <c r="W76" i="43"/>
  <c r="W20" i="43" s="1"/>
  <c r="V76" i="43"/>
  <c r="V20" i="43" s="1"/>
  <c r="V175" i="43"/>
  <c r="V176" i="43" s="1"/>
  <c r="X14" i="43"/>
  <c r="AX11" i="43"/>
  <c r="AX73" i="43"/>
  <c r="AY64" i="43"/>
  <c r="AG11" i="43"/>
  <c r="AU11" i="43"/>
  <c r="AU73" i="43"/>
  <c r="AV64" i="43"/>
  <c r="AE198" i="43"/>
  <c r="AR11" i="43"/>
  <c r="AS64" i="43"/>
  <c r="AR73" i="43"/>
  <c r="AO11" i="43"/>
  <c r="AO73" i="43"/>
  <c r="AP64" i="43"/>
  <c r="AL11" i="43"/>
  <c r="AL73" i="43"/>
  <c r="AM64" i="43"/>
  <c r="AF18" i="43"/>
  <c r="Y66" i="43"/>
  <c r="AA63" i="43"/>
  <c r="AJ64" i="43"/>
  <c r="AI73" i="43"/>
  <c r="AJ73" i="43" s="1"/>
  <c r="AJ18" i="43" s="1"/>
  <c r="X68" i="43"/>
  <c r="X105" i="43" s="1"/>
  <c r="W70" i="43"/>
  <c r="W107" i="43" s="1"/>
  <c r="W17" i="43"/>
  <c r="AI11" i="43"/>
  <c r="Y10" i="43"/>
  <c r="AJ28" i="2" s="1"/>
  <c r="AJ32" i="2" s="1"/>
  <c r="AF198" i="43"/>
  <c r="X159" i="43"/>
  <c r="X166" i="43" s="1"/>
  <c r="S203" i="43"/>
  <c r="W178" i="43"/>
  <c r="W179" i="43" s="1"/>
  <c r="X189" i="43"/>
  <c r="W109" i="43"/>
  <c r="W75" i="43"/>
  <c r="V105" i="43"/>
  <c r="Y141" i="43"/>
  <c r="Y42" i="43"/>
  <c r="Z139" i="43"/>
  <c r="Y43" i="43"/>
  <c r="Y40" i="43"/>
  <c r="Y29" i="43" s="1"/>
  <c r="Z136" i="43"/>
  <c r="Z140" i="43"/>
  <c r="AC99" i="43" s="1"/>
  <c r="AC100" i="43" s="1"/>
  <c r="AC65" i="43" s="1"/>
  <c r="Y44" i="43"/>
  <c r="X46" i="43"/>
  <c r="Y163" i="43"/>
  <c r="Y170" i="43" s="1"/>
  <c r="Y162" i="43"/>
  <c r="Y169" i="43" s="1"/>
  <c r="AE37" i="2"/>
  <c r="X8" i="43"/>
  <c r="X102" i="43"/>
  <c r="X200" i="43"/>
  <c r="W200" i="43"/>
  <c r="V107" i="43"/>
  <c r="X164" i="43"/>
  <c r="X171" i="43" s="1"/>
  <c r="S202" i="43"/>
  <c r="AB91" i="43"/>
  <c r="Y161" i="43"/>
  <c r="Y168" i="43" s="1"/>
  <c r="Y192" i="43"/>
  <c r="AA137" i="43"/>
  <c r="Y193" i="43"/>
  <c r="X113" i="43" l="1"/>
  <c r="V109" i="43"/>
  <c r="V178" i="43"/>
  <c r="V179" i="43" s="1"/>
  <c r="X160" i="43"/>
  <c r="X167" i="43" s="1"/>
  <c r="X190" i="43"/>
  <c r="V75" i="43"/>
  <c r="V131" i="43" s="1"/>
  <c r="V17" i="43"/>
  <c r="Y68" i="43"/>
  <c r="Y70" i="43" s="1"/>
  <c r="Y69" i="43" s="1"/>
  <c r="AC12" i="43"/>
  <c r="AC74" i="43"/>
  <c r="AD65" i="43"/>
  <c r="AC199" i="43" s="1"/>
  <c r="AB74" i="43"/>
  <c r="AB19" i="43" s="1"/>
  <c r="AB12" i="43"/>
  <c r="Y199" i="43"/>
  <c r="AA199" i="43"/>
  <c r="AA12" i="43"/>
  <c r="AA100" i="43"/>
  <c r="AD99" i="43"/>
  <c r="AA74" i="43"/>
  <c r="Z19" i="43"/>
  <c r="Z162" i="43"/>
  <c r="Z169" i="43" s="1"/>
  <c r="AC95" i="43"/>
  <c r="AD95" i="43" s="1"/>
  <c r="AP96" i="43"/>
  <c r="AK30" i="2"/>
  <c r="AK32" i="2" s="1"/>
  <c r="AJ11" i="43"/>
  <c r="AJ96" i="43"/>
  <c r="AR198" i="43"/>
  <c r="AS96" i="43"/>
  <c r="AU198" i="43"/>
  <c r="AV96" i="43"/>
  <c r="AL198" i="43"/>
  <c r="AM96" i="43"/>
  <c r="AY96" i="43"/>
  <c r="K10" i="2"/>
  <c r="AJ41" i="2"/>
  <c r="Y102" i="43"/>
  <c r="Y81" i="43"/>
  <c r="Y113" i="43" s="1"/>
  <c r="Z113" i="43"/>
  <c r="AA66" i="43"/>
  <c r="AA200" i="43" s="1"/>
  <c r="AE39" i="2"/>
  <c r="AE45" i="2"/>
  <c r="AH34" i="2"/>
  <c r="AH36" i="2" s="1"/>
  <c r="W22" i="43"/>
  <c r="W6" i="3" s="1"/>
  <c r="W8" i="3" s="1"/>
  <c r="X76" i="43"/>
  <c r="X20" i="43" s="1"/>
  <c r="Y14" i="43"/>
  <c r="K27" i="2"/>
  <c r="AY198" i="43"/>
  <c r="AY11" i="43"/>
  <c r="AW198" i="43"/>
  <c r="AY73" i="43"/>
  <c r="AX18" i="43"/>
  <c r="AX198" i="43"/>
  <c r="AV73" i="43"/>
  <c r="AU18" i="43"/>
  <c r="AV198" i="43"/>
  <c r="AV11" i="43"/>
  <c r="AT198" i="43"/>
  <c r="AS73" i="43"/>
  <c r="AR18" i="43"/>
  <c r="AS198" i="43"/>
  <c r="AS11" i="43"/>
  <c r="AQ198" i="43"/>
  <c r="AP198" i="43"/>
  <c r="AP11" i="43"/>
  <c r="AN198" i="43"/>
  <c r="AP73" i="43"/>
  <c r="AO18" i="43"/>
  <c r="AO198" i="43"/>
  <c r="AA92" i="43"/>
  <c r="AA10" i="43"/>
  <c r="AM198" i="43"/>
  <c r="AM11" i="43"/>
  <c r="AK198" i="43"/>
  <c r="AM73" i="43"/>
  <c r="AL18" i="43"/>
  <c r="AI18" i="43"/>
  <c r="Y197" i="43"/>
  <c r="Z197" i="43"/>
  <c r="AA197" i="43"/>
  <c r="Y16" i="43"/>
  <c r="Y9" i="43"/>
  <c r="S204" i="43"/>
  <c r="Y164" i="43"/>
  <c r="Y171" i="43" s="1"/>
  <c r="AI198" i="43"/>
  <c r="AH198" i="43"/>
  <c r="W69" i="43"/>
  <c r="X69" i="43" s="1"/>
  <c r="X70" i="43"/>
  <c r="AJ198" i="43"/>
  <c r="W175" i="43"/>
  <c r="W176" i="43" s="1"/>
  <c r="Z138" i="43"/>
  <c r="Z61" i="43" s="1"/>
  <c r="AG18" i="43"/>
  <c r="AG129" i="43"/>
  <c r="X75" i="43"/>
  <c r="X128" i="43"/>
  <c r="W131" i="43"/>
  <c r="W77" i="43"/>
  <c r="W79" i="43" s="1"/>
  <c r="W110" i="43"/>
  <c r="X178" i="43"/>
  <c r="X179" i="43" s="1"/>
  <c r="X17" i="43"/>
  <c r="AJ129" i="43"/>
  <c r="Z40" i="43"/>
  <c r="Z29" i="43" s="1"/>
  <c r="AA136" i="43"/>
  <c r="AA139" i="43"/>
  <c r="Z43" i="43"/>
  <c r="AA41" i="43"/>
  <c r="AA140" i="43"/>
  <c r="Z44" i="43"/>
  <c r="Y46" i="43"/>
  <c r="Z163" i="43"/>
  <c r="Z170" i="43" s="1"/>
  <c r="Y8" i="43"/>
  <c r="V106" i="43"/>
  <c r="Y160" i="43"/>
  <c r="Y167" i="43" s="1"/>
  <c r="AB92" i="43"/>
  <c r="Y190" i="43"/>
  <c r="Y189" i="43"/>
  <c r="Y159" i="43"/>
  <c r="Y166" i="43" s="1"/>
  <c r="AB137" i="43"/>
  <c r="V110" i="43" l="1"/>
  <c r="V203" i="43"/>
  <c r="AG34" i="2"/>
  <c r="AG36" i="2" s="1"/>
  <c r="V77" i="43"/>
  <c r="V111" i="43" s="1"/>
  <c r="V22" i="43"/>
  <c r="V6" i="3" s="1"/>
  <c r="V8" i="3" s="1"/>
  <c r="Y175" i="43"/>
  <c r="Y176" i="43" s="1"/>
  <c r="Z62" i="43"/>
  <c r="AA62" i="43" s="1"/>
  <c r="AA61" i="43"/>
  <c r="AA19" i="43"/>
  <c r="AA130" i="43"/>
  <c r="AB199" i="43"/>
  <c r="AD199" i="43"/>
  <c r="AD12" i="43"/>
  <c r="AD100" i="43"/>
  <c r="AL30" i="2"/>
  <c r="AD74" i="43"/>
  <c r="AC19" i="43"/>
  <c r="Y200" i="43"/>
  <c r="AA29" i="43"/>
  <c r="AK41" i="2"/>
  <c r="AA81" i="43"/>
  <c r="O10" i="2"/>
  <c r="Z200" i="43"/>
  <c r="AA102" i="43"/>
  <c r="AJ33" i="2"/>
  <c r="AL28" i="2"/>
  <c r="AI34" i="2"/>
  <c r="AI36" i="2" s="1"/>
  <c r="AE43" i="2"/>
  <c r="AE48" i="2" s="1"/>
  <c r="AE47" i="2"/>
  <c r="W56" i="3"/>
  <c r="O27" i="2" s="1"/>
  <c r="X175" i="43"/>
  <c r="X176" i="43" s="1"/>
  <c r="Y76" i="43"/>
  <c r="Y20" i="43" s="1"/>
  <c r="AA14" i="43"/>
  <c r="AY18" i="43"/>
  <c r="AY129" i="43"/>
  <c r="W202" i="43"/>
  <c r="X202" i="43"/>
  <c r="AV18" i="43"/>
  <c r="AV129" i="43"/>
  <c r="V202" i="43"/>
  <c r="X107" i="43"/>
  <c r="AS18" i="43"/>
  <c r="AS129" i="43"/>
  <c r="AP18" i="43"/>
  <c r="AP129" i="43"/>
  <c r="AM129" i="43"/>
  <c r="AM18" i="43"/>
  <c r="S205" i="43"/>
  <c r="Z193" i="43"/>
  <c r="X118" i="43"/>
  <c r="Z42" i="43"/>
  <c r="Z161" i="43"/>
  <c r="Z168" i="43" s="1"/>
  <c r="W106" i="43"/>
  <c r="Z192" i="43"/>
  <c r="AC91" i="43"/>
  <c r="AC92" i="43" s="1"/>
  <c r="Z141" i="43"/>
  <c r="Z164" i="43" s="1"/>
  <c r="Z171" i="43" s="1"/>
  <c r="AB63" i="43"/>
  <c r="X110" i="43"/>
  <c r="X203" i="43"/>
  <c r="X131" i="43"/>
  <c r="X77" i="43"/>
  <c r="W203" i="43"/>
  <c r="W181" i="43"/>
  <c r="W182" i="43" s="1"/>
  <c r="W111" i="43"/>
  <c r="Y178" i="43"/>
  <c r="Y179" i="43" s="1"/>
  <c r="Y17" i="43"/>
  <c r="AB140" i="43"/>
  <c r="AA44" i="43"/>
  <c r="AA163" i="43"/>
  <c r="AA170" i="43" s="1"/>
  <c r="AB139" i="43"/>
  <c r="AE95" i="43" s="1"/>
  <c r="AA43" i="43"/>
  <c r="AA162" i="43"/>
  <c r="AA169" i="43" s="1"/>
  <c r="AA40" i="43"/>
  <c r="AB136" i="43"/>
  <c r="AB138" i="43" s="1"/>
  <c r="AB41" i="43"/>
  <c r="X106" i="43"/>
  <c r="AA138" i="43"/>
  <c r="Y105" i="43"/>
  <c r="Y75" i="43"/>
  <c r="Y109" i="43"/>
  <c r="Y106" i="43"/>
  <c r="Y107" i="43"/>
  <c r="AC137" i="43"/>
  <c r="V79" i="43" l="1"/>
  <c r="V181" i="43"/>
  <c r="V182" i="43" s="1"/>
  <c r="AA121" i="43"/>
  <c r="Z72" i="43"/>
  <c r="AA72" i="43" s="1"/>
  <c r="AA17" i="43" s="1"/>
  <c r="Z160" i="43"/>
  <c r="Z167" i="43" s="1"/>
  <c r="Z9" i="43"/>
  <c r="Z190" i="43"/>
  <c r="Z76" i="43"/>
  <c r="Z20" i="43" s="1"/>
  <c r="AB163" i="43"/>
  <c r="AB170" i="43" s="1"/>
  <c r="AE99" i="43"/>
  <c r="AB61" i="43"/>
  <c r="AB62" i="43" s="1"/>
  <c r="AB72" i="43" s="1"/>
  <c r="AB109" i="43" s="1"/>
  <c r="AL32" i="2"/>
  <c r="AD130" i="43"/>
  <c r="AD19" i="43"/>
  <c r="AA113" i="43"/>
  <c r="AA55" i="43"/>
  <c r="AA56" i="43" s="1"/>
  <c r="AL41" i="2"/>
  <c r="L15" i="2"/>
  <c r="M10" i="2"/>
  <c r="L69" i="3"/>
  <c r="AJ34" i="2"/>
  <c r="AJ36" i="2" s="1"/>
  <c r="M27" i="2"/>
  <c r="AD37" i="2"/>
  <c r="M69" i="3"/>
  <c r="N10" i="2"/>
  <c r="V56" i="3"/>
  <c r="N27" i="2" s="1"/>
  <c r="X181" i="43"/>
  <c r="X182" i="43" s="1"/>
  <c r="X79" i="43"/>
  <c r="Y22" i="43"/>
  <c r="X22" i="43"/>
  <c r="X6" i="3" s="1"/>
  <c r="X8" i="3" s="1"/>
  <c r="AD91" i="43"/>
  <c r="Z46" i="43"/>
  <c r="L31" i="2"/>
  <c r="L28" i="2"/>
  <c r="Z16" i="43"/>
  <c r="Z8" i="43"/>
  <c r="Z159" i="43"/>
  <c r="Z166" i="43" s="1"/>
  <c r="Z189" i="43"/>
  <c r="Z68" i="43"/>
  <c r="Z105" i="43" s="1"/>
  <c r="AB66" i="43"/>
  <c r="AB10" i="43"/>
  <c r="AC63" i="43"/>
  <c r="X111" i="43"/>
  <c r="AB193" i="43"/>
  <c r="V204" i="43"/>
  <c r="W204" i="43"/>
  <c r="X204" i="43"/>
  <c r="AE91" i="43"/>
  <c r="AE92" i="43" s="1"/>
  <c r="AB161" i="43"/>
  <c r="AB168" i="43" s="1"/>
  <c r="AC41" i="43"/>
  <c r="AC139" i="43"/>
  <c r="AB43" i="43"/>
  <c r="AA192" i="43"/>
  <c r="AA42" i="43"/>
  <c r="AA141" i="43"/>
  <c r="AA164" i="43" s="1"/>
  <c r="AA171" i="43" s="1"/>
  <c r="AA193" i="43"/>
  <c r="AA161" i="43"/>
  <c r="AA168" i="43" s="1"/>
  <c r="AA16" i="43"/>
  <c r="AB141" i="43"/>
  <c r="AB192" i="43"/>
  <c r="AB42" i="43"/>
  <c r="AB162" i="43"/>
  <c r="AB169" i="43" s="1"/>
  <c r="AB40" i="43"/>
  <c r="AB29" i="43" s="1"/>
  <c r="AC136" i="43"/>
  <c r="AC140" i="43"/>
  <c r="AB44" i="43"/>
  <c r="Y110" i="43"/>
  <c r="Y131" i="43"/>
  <c r="Y77" i="43"/>
  <c r="AD137" i="43"/>
  <c r="AD41" i="43" s="1"/>
  <c r="Z109" i="43" l="1"/>
  <c r="Z75" i="43"/>
  <c r="Z131" i="43" s="1"/>
  <c r="Z178" i="43"/>
  <c r="Z179" i="43" s="1"/>
  <c r="Z17" i="43"/>
  <c r="AK34" i="2" s="1"/>
  <c r="AA76" i="43"/>
  <c r="AA20" i="43" s="1"/>
  <c r="AB68" i="43"/>
  <c r="AB70" i="43" s="1"/>
  <c r="AB69" i="43" s="1"/>
  <c r="AB106" i="43" s="1"/>
  <c r="AE100" i="43"/>
  <c r="AE65" i="43" s="1"/>
  <c r="AC163" i="43"/>
  <c r="AC170" i="43" s="1"/>
  <c r="AF99" i="43"/>
  <c r="AF100" i="43" s="1"/>
  <c r="AF65" i="43" s="1"/>
  <c r="AC162" i="43"/>
  <c r="AC169" i="43" s="1"/>
  <c r="AF95" i="43"/>
  <c r="AG95" i="43" s="1"/>
  <c r="P10" i="2"/>
  <c r="AB102" i="43"/>
  <c r="AB81" i="43"/>
  <c r="AB113" i="43" s="1"/>
  <c r="AD39" i="2"/>
  <c r="AD45" i="2"/>
  <c r="L13" i="2"/>
  <c r="AL33" i="2"/>
  <c r="AK33" i="2"/>
  <c r="AF37" i="2"/>
  <c r="AA68" i="43"/>
  <c r="AA105" i="43" s="1"/>
  <c r="Y6" i="3"/>
  <c r="Y8" i="3" s="1"/>
  <c r="Y181" i="43"/>
  <c r="Y182" i="43" s="1"/>
  <c r="Y79" i="43"/>
  <c r="AB159" i="43"/>
  <c r="AB166" i="43" s="1"/>
  <c r="AB8" i="43"/>
  <c r="X56" i="3"/>
  <c r="P27" i="2" s="1"/>
  <c r="O69" i="3"/>
  <c r="AB14" i="43"/>
  <c r="AA46" i="43"/>
  <c r="Z70" i="43"/>
  <c r="Z175" i="43" s="1"/>
  <c r="Z176" i="43" s="1"/>
  <c r="AB9" i="43"/>
  <c r="AB190" i="43"/>
  <c r="AB16" i="43"/>
  <c r="AB160" i="43"/>
  <c r="AB167" i="43" s="1"/>
  <c r="AD63" i="43"/>
  <c r="AC66" i="43"/>
  <c r="AC81" i="43" s="1"/>
  <c r="AE63" i="43"/>
  <c r="AC10" i="43"/>
  <c r="AA75" i="43"/>
  <c r="Y203" i="43" s="1"/>
  <c r="AB164" i="43"/>
  <c r="AB171" i="43" s="1"/>
  <c r="AA178" i="43"/>
  <c r="AA179" i="43" s="1"/>
  <c r="AB189" i="43"/>
  <c r="AA109" i="43"/>
  <c r="AB46" i="43"/>
  <c r="AB178" i="43"/>
  <c r="AB179" i="43" s="1"/>
  <c r="AB17" i="43"/>
  <c r="AA9" i="43"/>
  <c r="AA160" i="43"/>
  <c r="AA167" i="43" s="1"/>
  <c r="AA190" i="43"/>
  <c r="AA128" i="43"/>
  <c r="AD139" i="43"/>
  <c r="AC43" i="43"/>
  <c r="AD140" i="43"/>
  <c r="AC44" i="43"/>
  <c r="AC40" i="43"/>
  <c r="AC29" i="43" s="1"/>
  <c r="AD136" i="43"/>
  <c r="AD138" i="43" s="1"/>
  <c r="AA8" i="43"/>
  <c r="AA189" i="43"/>
  <c r="AA159" i="43"/>
  <c r="AA166" i="43" s="1"/>
  <c r="AC138" i="43"/>
  <c r="AC61" i="43" s="1"/>
  <c r="AB75" i="43"/>
  <c r="AB131" i="43" s="1"/>
  <c r="Y111" i="43"/>
  <c r="AE137" i="43"/>
  <c r="AL34" i="2" l="1"/>
  <c r="Z77" i="43"/>
  <c r="Z111" i="43" s="1"/>
  <c r="Z110" i="43"/>
  <c r="AA22" i="43"/>
  <c r="AA6" i="3" s="1"/>
  <c r="AA8" i="3" s="1"/>
  <c r="AB105" i="43"/>
  <c r="AB107" i="43"/>
  <c r="Z22" i="43"/>
  <c r="Z6" i="3" s="1"/>
  <c r="Z8" i="3" s="1"/>
  <c r="AB76" i="43"/>
  <c r="AB20" i="43" s="1"/>
  <c r="AB175" i="43"/>
  <c r="AB176" i="43" s="1"/>
  <c r="AD61" i="43"/>
  <c r="AD16" i="43" s="1"/>
  <c r="AC62" i="43"/>
  <c r="AD62" i="43" s="1"/>
  <c r="AF74" i="43"/>
  <c r="AF12" i="43"/>
  <c r="AG65" i="43"/>
  <c r="AE199" i="43" s="1"/>
  <c r="AE12" i="43"/>
  <c r="AE74" i="43"/>
  <c r="AE19" i="43" s="1"/>
  <c r="AG99" i="43"/>
  <c r="AD29" i="43"/>
  <c r="AD81" i="43"/>
  <c r="AC113" i="43"/>
  <c r="K15" i="2"/>
  <c r="AF39" i="2"/>
  <c r="AF45" i="2"/>
  <c r="L14" i="2"/>
  <c r="L11" i="2"/>
  <c r="L12" i="2" s="1"/>
  <c r="P69" i="3"/>
  <c r="Q10" i="2"/>
  <c r="AK36" i="2"/>
  <c r="AL36" i="2"/>
  <c r="AD43" i="2"/>
  <c r="AD48" i="2" s="1"/>
  <c r="AD47" i="2"/>
  <c r="Y56" i="3"/>
  <c r="Q27" i="2" s="1"/>
  <c r="AA70" i="43"/>
  <c r="K28" i="2"/>
  <c r="K31" i="2"/>
  <c r="AC14" i="43"/>
  <c r="Z107" i="43"/>
  <c r="Z69" i="43"/>
  <c r="AA69" i="43" s="1"/>
  <c r="AA106" i="43" s="1"/>
  <c r="AC68" i="43"/>
  <c r="AC102" i="43"/>
  <c r="AD66" i="43"/>
  <c r="AD197" i="43"/>
  <c r="AB197" i="43"/>
  <c r="AC197" i="43"/>
  <c r="AD10" i="43"/>
  <c r="AD92" i="43"/>
  <c r="AA110" i="43"/>
  <c r="AE66" i="43"/>
  <c r="AE10" i="43"/>
  <c r="AA77" i="43"/>
  <c r="Z203" i="43"/>
  <c r="AA131" i="43"/>
  <c r="AA203" i="43"/>
  <c r="AD40" i="43"/>
  <c r="AE136" i="43"/>
  <c r="AE140" i="43"/>
  <c r="AH99" i="43" s="1"/>
  <c r="AD44" i="43"/>
  <c r="AD163" i="43"/>
  <c r="AD170" i="43" s="1"/>
  <c r="AD193" i="43"/>
  <c r="AD42" i="43"/>
  <c r="AC192" i="43"/>
  <c r="AC42" i="43"/>
  <c r="AC161" i="43"/>
  <c r="AC168" i="43" s="1"/>
  <c r="AC141" i="43"/>
  <c r="AC164" i="43" s="1"/>
  <c r="AC171" i="43" s="1"/>
  <c r="AC193" i="43"/>
  <c r="AF91" i="43"/>
  <c r="AC16" i="43"/>
  <c r="AE41" i="43"/>
  <c r="AE139" i="43"/>
  <c r="AD43" i="43"/>
  <c r="AD162" i="43"/>
  <c r="AD169" i="43" s="1"/>
  <c r="AB110" i="43"/>
  <c r="AD141" i="43"/>
  <c r="AD161" i="43"/>
  <c r="AD168" i="43" s="1"/>
  <c r="AD192" i="43"/>
  <c r="AF137" i="43"/>
  <c r="S10" i="2" l="1"/>
  <c r="S67" i="2" s="1"/>
  <c r="Z79" i="43"/>
  <c r="Z181" i="43"/>
  <c r="Z182" i="43" s="1"/>
  <c r="AA56" i="3"/>
  <c r="S27" i="2" s="1"/>
  <c r="R69" i="3"/>
  <c r="AA175" i="43"/>
  <c r="AA176" i="43" s="1"/>
  <c r="AB22" i="43"/>
  <c r="AB6" i="3" s="1"/>
  <c r="AB8" i="3" s="1"/>
  <c r="S69" i="3" s="1"/>
  <c r="Z56" i="3"/>
  <c r="R27" i="2" s="1"/>
  <c r="R10" i="2"/>
  <c r="AB77" i="43"/>
  <c r="AB181" i="43" s="1"/>
  <c r="AB182" i="43" s="1"/>
  <c r="AC76" i="43"/>
  <c r="AC20" i="43" s="1"/>
  <c r="AG100" i="43"/>
  <c r="AG12" i="43"/>
  <c r="AG199" i="43"/>
  <c r="AG74" i="43"/>
  <c r="AF19" i="43"/>
  <c r="AE162" i="43"/>
  <c r="AE169" i="43" s="1"/>
  <c r="AH95" i="43"/>
  <c r="AH100" i="43"/>
  <c r="AH65" i="43" s="1"/>
  <c r="AF199" i="43"/>
  <c r="AD121" i="43"/>
  <c r="AD55" i="43"/>
  <c r="AD56" i="43" s="1"/>
  <c r="M15" i="2"/>
  <c r="K13" i="2"/>
  <c r="K14" i="2" s="1"/>
  <c r="AD113" i="43"/>
  <c r="AE102" i="43"/>
  <c r="AE81" i="43"/>
  <c r="AE113" i="43" s="1"/>
  <c r="AF43" i="2"/>
  <c r="AF48" i="2" s="1"/>
  <c r="AF47" i="2"/>
  <c r="AA181" i="43"/>
  <c r="AA182" i="43" s="1"/>
  <c r="AA79" i="43"/>
  <c r="Y202" i="43"/>
  <c r="AA202" i="43"/>
  <c r="AA107" i="43"/>
  <c r="Z202" i="43"/>
  <c r="AA118" i="43"/>
  <c r="Y204" i="43"/>
  <c r="Z106" i="43"/>
  <c r="AC46" i="43"/>
  <c r="AE14" i="43"/>
  <c r="AD14" i="43"/>
  <c r="AD200" i="43"/>
  <c r="AB200" i="43"/>
  <c r="AD102" i="43"/>
  <c r="AD9" i="43"/>
  <c r="AC72" i="43"/>
  <c r="AD72" i="43" s="1"/>
  <c r="AC200" i="43"/>
  <c r="AD164" i="43"/>
  <c r="AD171" i="43" s="1"/>
  <c r="AD68" i="43"/>
  <c r="AD105" i="43" s="1"/>
  <c r="AC70" i="43"/>
  <c r="Z204" i="43"/>
  <c r="AA204" i="43"/>
  <c r="AA111" i="43"/>
  <c r="AF139" i="43"/>
  <c r="AE43" i="43"/>
  <c r="AC190" i="43"/>
  <c r="AC160" i="43"/>
  <c r="AC167" i="43" s="1"/>
  <c r="AC9" i="43"/>
  <c r="AE40" i="43"/>
  <c r="AE29" i="43" s="1"/>
  <c r="AF136" i="43"/>
  <c r="AD46" i="43"/>
  <c r="AF140" i="43"/>
  <c r="AI99" i="43" s="1"/>
  <c r="AI100" i="43" s="1"/>
  <c r="AI65" i="43" s="1"/>
  <c r="AE44" i="43"/>
  <c r="AE138" i="43"/>
  <c r="AF92" i="43"/>
  <c r="AF63" i="43" s="1"/>
  <c r="AG91" i="43"/>
  <c r="AF41" i="43"/>
  <c r="AC8" i="43"/>
  <c r="AC159" i="43"/>
  <c r="AC166" i="43" s="1"/>
  <c r="AC189" i="43"/>
  <c r="AE163" i="43"/>
  <c r="AE170" i="43" s="1"/>
  <c r="AD8" i="43"/>
  <c r="AG137" i="43"/>
  <c r="AD159" i="43"/>
  <c r="AD166" i="43" s="1"/>
  <c r="AD189" i="43"/>
  <c r="AB111" i="43" l="1"/>
  <c r="AB79" i="43"/>
  <c r="AB56" i="3"/>
  <c r="AD76" i="43"/>
  <c r="AD20" i="43" s="1"/>
  <c r="M31" i="2"/>
  <c r="M28" i="2"/>
  <c r="AG130" i="43"/>
  <c r="AG19" i="43"/>
  <c r="AH12" i="43"/>
  <c r="AH74" i="43"/>
  <c r="AH19" i="43" s="1"/>
  <c r="AJ99" i="43"/>
  <c r="AI74" i="43"/>
  <c r="AJ65" i="43"/>
  <c r="AH199" i="43" s="1"/>
  <c r="AI12" i="43"/>
  <c r="AF162" i="43"/>
  <c r="AF169" i="43" s="1"/>
  <c r="AI95" i="43"/>
  <c r="AJ95" i="43" s="1"/>
  <c r="AE61" i="43"/>
  <c r="AE62" i="43" s="1"/>
  <c r="AE72" i="43" s="1"/>
  <c r="L70" i="3"/>
  <c r="AD128" i="43"/>
  <c r="AD190" i="43"/>
  <c r="AC17" i="43"/>
  <c r="AD160" i="43"/>
  <c r="AD167" i="43" s="1"/>
  <c r="AC69" i="43"/>
  <c r="AD69" i="43" s="1"/>
  <c r="AD70" i="43"/>
  <c r="AG63" i="43"/>
  <c r="AG66" i="43" s="1"/>
  <c r="AF66" i="43"/>
  <c r="AF81" i="43" s="1"/>
  <c r="AF10" i="43"/>
  <c r="AE192" i="43"/>
  <c r="AE42" i="43"/>
  <c r="AH91" i="43"/>
  <c r="AH92" i="43" s="1"/>
  <c r="AE193" i="43"/>
  <c r="AE141" i="43"/>
  <c r="AE164" i="43" s="1"/>
  <c r="AE171" i="43" s="1"/>
  <c r="AE161" i="43"/>
  <c r="AE168" i="43" s="1"/>
  <c r="AG41" i="43"/>
  <c r="AF40" i="43"/>
  <c r="AF29" i="43" s="1"/>
  <c r="AG136" i="43"/>
  <c r="AC109" i="43"/>
  <c r="AC178" i="43"/>
  <c r="AC179" i="43" s="1"/>
  <c r="AD17" i="43"/>
  <c r="AC75" i="43"/>
  <c r="AG140" i="43"/>
  <c r="AF44" i="43"/>
  <c r="AF163" i="43"/>
  <c r="AF170" i="43" s="1"/>
  <c r="AC105" i="43"/>
  <c r="AF138" i="43"/>
  <c r="AG139" i="43"/>
  <c r="AF43" i="43"/>
  <c r="AH137" i="43"/>
  <c r="AH41" i="43" s="1"/>
  <c r="AI199" i="43" l="1"/>
  <c r="AE68" i="43"/>
  <c r="AE70" i="43" s="1"/>
  <c r="AE69" i="43" s="1"/>
  <c r="AE76" i="43"/>
  <c r="AE20" i="43" s="1"/>
  <c r="AF61" i="43"/>
  <c r="AF68" i="43" s="1"/>
  <c r="AJ74" i="43"/>
  <c r="AI19" i="43"/>
  <c r="AJ12" i="43"/>
  <c r="AJ100" i="43"/>
  <c r="AJ199" i="43"/>
  <c r="AG29" i="43"/>
  <c r="AG81" i="43"/>
  <c r="AG121" i="43" s="1"/>
  <c r="AF113" i="43"/>
  <c r="AC22" i="43"/>
  <c r="AC6" i="3" s="1"/>
  <c r="AC8" i="3" s="1"/>
  <c r="T69" i="3" s="1"/>
  <c r="AF197" i="43"/>
  <c r="AE16" i="43"/>
  <c r="AD22" i="43"/>
  <c r="AE46" i="43"/>
  <c r="AF14" i="43"/>
  <c r="AH63" i="43"/>
  <c r="AF161" i="43"/>
  <c r="AF168" i="43" s="1"/>
  <c r="AF42" i="43"/>
  <c r="AF141" i="43"/>
  <c r="AF164" i="43" s="1"/>
  <c r="AF171" i="43" s="1"/>
  <c r="AF193" i="43"/>
  <c r="AI91" i="43"/>
  <c r="AE8" i="43"/>
  <c r="AE189" i="43"/>
  <c r="AE159" i="43"/>
  <c r="AE166" i="43" s="1"/>
  <c r="AC175" i="43"/>
  <c r="AC176" i="43" s="1"/>
  <c r="AC107" i="43"/>
  <c r="AC106" i="43"/>
  <c r="AC202" i="43"/>
  <c r="AH140" i="43"/>
  <c r="AK99" i="43" s="1"/>
  <c r="AG44" i="43"/>
  <c r="AG163" i="43"/>
  <c r="AG170" i="43" s="1"/>
  <c r="AG40" i="43"/>
  <c r="AH136" i="43"/>
  <c r="AH138" i="43" s="1"/>
  <c r="AK91" i="43" s="1"/>
  <c r="AF192" i="43"/>
  <c r="AD109" i="43"/>
  <c r="AD178" i="43"/>
  <c r="AD179" i="43" s="1"/>
  <c r="AD75" i="43"/>
  <c r="AG197" i="43"/>
  <c r="AG92" i="43"/>
  <c r="AF200" i="43"/>
  <c r="AE197" i="43"/>
  <c r="AG10" i="43"/>
  <c r="AC131" i="43"/>
  <c r="AC77" i="43"/>
  <c r="AC79" i="43" s="1"/>
  <c r="AC110" i="43"/>
  <c r="AE160" i="43"/>
  <c r="AE167" i="43" s="1"/>
  <c r="AE9" i="43"/>
  <c r="AE17" i="43"/>
  <c r="AE190" i="43"/>
  <c r="AH139" i="43"/>
  <c r="AK95" i="43" s="1"/>
  <c r="AG43" i="43"/>
  <c r="AG162" i="43"/>
  <c r="AG169" i="43" s="1"/>
  <c r="AG138" i="43"/>
  <c r="AF102" i="43"/>
  <c r="AI137" i="43"/>
  <c r="AI41" i="43" s="1"/>
  <c r="AJ19" i="43" l="1"/>
  <c r="AJ130" i="43"/>
  <c r="AK100" i="43"/>
  <c r="AK65" i="43" s="1"/>
  <c r="AG61" i="43"/>
  <c r="AG8" i="43" s="1"/>
  <c r="AF62" i="43"/>
  <c r="AF9" i="43" s="1"/>
  <c r="AH61" i="43"/>
  <c r="AH62" i="43" s="1"/>
  <c r="AH72" i="43" s="1"/>
  <c r="AH17" i="43" s="1"/>
  <c r="AG55" i="43"/>
  <c r="AG56" i="43" s="1"/>
  <c r="AC56" i="3"/>
  <c r="AG113" i="43"/>
  <c r="AD6" i="3"/>
  <c r="AD8" i="3" s="1"/>
  <c r="U69" i="3" s="1"/>
  <c r="AF16" i="43"/>
  <c r="AE22" i="43"/>
  <c r="AG14" i="43"/>
  <c r="AF46" i="43"/>
  <c r="AK92" i="43"/>
  <c r="AK63" i="43" s="1"/>
  <c r="AH10" i="43"/>
  <c r="AH162" i="43"/>
  <c r="AH169" i="43" s="1"/>
  <c r="AH66" i="43"/>
  <c r="AF70" i="43"/>
  <c r="AG68" i="43"/>
  <c r="AG105" i="43" s="1"/>
  <c r="AH42" i="43"/>
  <c r="AC203" i="43"/>
  <c r="AD203" i="43"/>
  <c r="AD131" i="43"/>
  <c r="AB203" i="43"/>
  <c r="AD77" i="43"/>
  <c r="AD79" i="43" s="1"/>
  <c r="AD110" i="43"/>
  <c r="AD175" i="43"/>
  <c r="AD176" i="43" s="1"/>
  <c r="AD202" i="43"/>
  <c r="AB202" i="43"/>
  <c r="AD106" i="43"/>
  <c r="AD118" i="43"/>
  <c r="AD107" i="43"/>
  <c r="AG42" i="43"/>
  <c r="AG141" i="43"/>
  <c r="AG164" i="43" s="1"/>
  <c r="AG171" i="43" s="1"/>
  <c r="AG193" i="43"/>
  <c r="AG161" i="43"/>
  <c r="AG168" i="43" s="1"/>
  <c r="AI92" i="43"/>
  <c r="AI63" i="43" s="1"/>
  <c r="AJ91" i="43"/>
  <c r="AC181" i="43"/>
  <c r="AC182" i="43" s="1"/>
  <c r="AC111" i="43"/>
  <c r="AH40" i="43"/>
  <c r="AH29" i="43" s="1"/>
  <c r="AI136" i="43"/>
  <c r="AE105" i="43"/>
  <c r="AG192" i="43"/>
  <c r="AI140" i="43"/>
  <c r="AL99" i="43" s="1"/>
  <c r="AL100" i="43" s="1"/>
  <c r="AL65" i="43" s="1"/>
  <c r="AH44" i="43"/>
  <c r="AE178" i="43"/>
  <c r="AE179" i="43" s="1"/>
  <c r="AE109" i="43"/>
  <c r="AE75" i="43"/>
  <c r="AI139" i="43"/>
  <c r="AH43" i="43"/>
  <c r="AG200" i="43"/>
  <c r="AE200" i="43"/>
  <c r="AG102" i="43"/>
  <c r="AH163" i="43"/>
  <c r="AH170" i="43" s="1"/>
  <c r="AF8" i="43"/>
  <c r="AF159" i="43"/>
  <c r="AF166" i="43" s="1"/>
  <c r="AF189" i="43"/>
  <c r="AJ137" i="43"/>
  <c r="AK137" i="43" s="1"/>
  <c r="AH141" i="43"/>
  <c r="AH192" i="43"/>
  <c r="AH161" i="43"/>
  <c r="AH168" i="43" s="1"/>
  <c r="AH193" i="43"/>
  <c r="AF160" i="43" l="1"/>
  <c r="AF167" i="43" s="1"/>
  <c r="AF190" i="43"/>
  <c r="AH68" i="43"/>
  <c r="AH70" i="43" s="1"/>
  <c r="AH69" i="43" s="1"/>
  <c r="AK74" i="43"/>
  <c r="AK19" i="43" s="1"/>
  <c r="AK12" i="43"/>
  <c r="AK199" i="43"/>
  <c r="AM65" i="43"/>
  <c r="AL12" i="43"/>
  <c r="AL74" i="43"/>
  <c r="AL199" i="43"/>
  <c r="AI162" i="43"/>
  <c r="AI169" i="43" s="1"/>
  <c r="AL95" i="43"/>
  <c r="AM95" i="43" s="1"/>
  <c r="AM99" i="43"/>
  <c r="AG62" i="43"/>
  <c r="AG160" i="43" s="1"/>
  <c r="AG167" i="43" s="1"/>
  <c r="AF76" i="43"/>
  <c r="AF72" i="43"/>
  <c r="AF75" i="43" s="1"/>
  <c r="AG16" i="43"/>
  <c r="AH102" i="43"/>
  <c r="AH81" i="43"/>
  <c r="AH113" i="43" s="1"/>
  <c r="AG159" i="43"/>
  <c r="AG166" i="43" s="1"/>
  <c r="AD56" i="3"/>
  <c r="AE6" i="3"/>
  <c r="AE8" i="3" s="1"/>
  <c r="AG189" i="43"/>
  <c r="AH14" i="43"/>
  <c r="AG46" i="43"/>
  <c r="AK10" i="43"/>
  <c r="AK66" i="43"/>
  <c r="AK81" i="43" s="1"/>
  <c r="AH16" i="43"/>
  <c r="AL137" i="43"/>
  <c r="AK41" i="43"/>
  <c r="AI163" i="43"/>
  <c r="AI170" i="43" s="1"/>
  <c r="AJ41" i="43"/>
  <c r="AH190" i="43"/>
  <c r="AJ63" i="43"/>
  <c r="AJ66" i="43" s="1"/>
  <c r="AI66" i="43"/>
  <c r="AI81" i="43" s="1"/>
  <c r="AG70" i="43"/>
  <c r="AF69" i="43"/>
  <c r="AG69" i="43" s="1"/>
  <c r="AH46" i="43"/>
  <c r="AH178" i="43"/>
  <c r="AH179" i="43" s="1"/>
  <c r="AH75" i="43"/>
  <c r="AH109" i="43"/>
  <c r="AI10" i="43"/>
  <c r="AH160" i="43"/>
  <c r="AH167" i="43" s="1"/>
  <c r="AE175" i="43"/>
  <c r="AE176" i="43" s="1"/>
  <c r="AE107" i="43"/>
  <c r="AE106" i="43"/>
  <c r="AI40" i="43"/>
  <c r="AI29" i="43" s="1"/>
  <c r="AJ136" i="43"/>
  <c r="AK136" i="43" s="1"/>
  <c r="AI138" i="43"/>
  <c r="AL91" i="43" s="1"/>
  <c r="AF105" i="43"/>
  <c r="AD181" i="43"/>
  <c r="AD182" i="43" s="1"/>
  <c r="AB204" i="43"/>
  <c r="AD111" i="43"/>
  <c r="AD204" i="43"/>
  <c r="AC204" i="43"/>
  <c r="AH9" i="43"/>
  <c r="AJ139" i="43"/>
  <c r="AI43" i="43"/>
  <c r="AJ140" i="43"/>
  <c r="AI44" i="43"/>
  <c r="AE131" i="43"/>
  <c r="AE110" i="43"/>
  <c r="AE77" i="43"/>
  <c r="AE79" i="43" s="1"/>
  <c r="AH8" i="43"/>
  <c r="AH164" i="43"/>
  <c r="AH171" i="43" s="1"/>
  <c r="AH159" i="43"/>
  <c r="AH166" i="43" s="1"/>
  <c r="AH189" i="43"/>
  <c r="AG190" i="43" l="1"/>
  <c r="AH175" i="43"/>
  <c r="AH176" i="43" s="1"/>
  <c r="AG9" i="43"/>
  <c r="AG72" i="43"/>
  <c r="AG109" i="43" s="1"/>
  <c r="AF17" i="43"/>
  <c r="AK14" i="43"/>
  <c r="AL19" i="43"/>
  <c r="AM74" i="43"/>
  <c r="AF20" i="43"/>
  <c r="AG76" i="43"/>
  <c r="AF178" i="43"/>
  <c r="AF179" i="43" s="1"/>
  <c r="AF109" i="43"/>
  <c r="AM199" i="43"/>
  <c r="AM12" i="43"/>
  <c r="AM100" i="43"/>
  <c r="AI61" i="43"/>
  <c r="AI16" i="43" s="1"/>
  <c r="AJ29" i="43"/>
  <c r="AK113" i="43"/>
  <c r="V69" i="3"/>
  <c r="AJ81" i="43"/>
  <c r="AJ121" i="43" s="1"/>
  <c r="AI113" i="43"/>
  <c r="AE56" i="3"/>
  <c r="AI14" i="43"/>
  <c r="AI192" i="43"/>
  <c r="AK139" i="43"/>
  <c r="AN95" i="43" s="1"/>
  <c r="AM137" i="43"/>
  <c r="AN137" i="43" s="1"/>
  <c r="AL41" i="43"/>
  <c r="AK102" i="43"/>
  <c r="AL92" i="43"/>
  <c r="AL63" i="43" s="1"/>
  <c r="AM91" i="43"/>
  <c r="AK138" i="43"/>
  <c r="AN91" i="43" s="1"/>
  <c r="AL136" i="43"/>
  <c r="AK40" i="43"/>
  <c r="AK140" i="43"/>
  <c r="AN99" i="43" s="1"/>
  <c r="AJ40" i="43"/>
  <c r="AI141" i="43"/>
  <c r="AI164" i="43" s="1"/>
  <c r="AI171" i="43" s="1"/>
  <c r="AJ138" i="43"/>
  <c r="AJ141" i="43" s="1"/>
  <c r="AH110" i="43"/>
  <c r="AH131" i="43"/>
  <c r="AI193" i="43"/>
  <c r="AH105" i="43"/>
  <c r="AE111" i="43"/>
  <c r="AE181" i="43"/>
  <c r="AE182" i="43" s="1"/>
  <c r="AI161" i="43"/>
  <c r="AI168" i="43" s="1"/>
  <c r="AI42" i="43"/>
  <c r="AI102" i="43"/>
  <c r="AJ43" i="43"/>
  <c r="AJ162" i="43"/>
  <c r="AJ169" i="43" s="1"/>
  <c r="AJ197" i="43"/>
  <c r="AJ92" i="43"/>
  <c r="AI200" i="43"/>
  <c r="AJ10" i="43"/>
  <c r="AH197" i="43"/>
  <c r="AF107" i="43"/>
  <c r="AF175" i="43"/>
  <c r="AF176" i="43" s="1"/>
  <c r="AF106" i="43"/>
  <c r="AF110" i="43"/>
  <c r="AF131" i="43"/>
  <c r="AF77" i="43"/>
  <c r="AF79" i="43" s="1"/>
  <c r="AJ44" i="43"/>
  <c r="AJ163" i="43"/>
  <c r="AJ170" i="43" s="1"/>
  <c r="AI197" i="43"/>
  <c r="AH106" i="43"/>
  <c r="AH107" i="43"/>
  <c r="AG178" i="43" l="1"/>
  <c r="AG179" i="43" s="1"/>
  <c r="AG75" i="43"/>
  <c r="AF203" i="43" s="1"/>
  <c r="AN100" i="43"/>
  <c r="AN65" i="43" s="1"/>
  <c r="AF22" i="43"/>
  <c r="AF6" i="3" s="1"/>
  <c r="AF8" i="3" s="1"/>
  <c r="AM19" i="43"/>
  <c r="AM130" i="43"/>
  <c r="AI62" i="43"/>
  <c r="AJ62" i="43" s="1"/>
  <c r="AJ9" i="43" s="1"/>
  <c r="AJ61" i="43"/>
  <c r="AJ16" i="43" s="1"/>
  <c r="AG20" i="43"/>
  <c r="AH76" i="43"/>
  <c r="AG128" i="43"/>
  <c r="AG17" i="43"/>
  <c r="AK61" i="43"/>
  <c r="AK62" i="43" s="1"/>
  <c r="AK29" i="43"/>
  <c r="AJ55" i="43"/>
  <c r="AJ56" i="43" s="1"/>
  <c r="AJ113" i="43"/>
  <c r="AI46" i="43"/>
  <c r="AJ14" i="43"/>
  <c r="AK192" i="43"/>
  <c r="AK163" i="43"/>
  <c r="AK170" i="43" s="1"/>
  <c r="AK162" i="43"/>
  <c r="AK169" i="43" s="1"/>
  <c r="AO137" i="43"/>
  <c r="AN41" i="43"/>
  <c r="AN92" i="43"/>
  <c r="AN63" i="43" s="1"/>
  <c r="AL140" i="43"/>
  <c r="AK44" i="43"/>
  <c r="AM63" i="43"/>
  <c r="AL10" i="43"/>
  <c r="AL14" i="43" s="1"/>
  <c r="AL66" i="43"/>
  <c r="AL81" i="43" s="1"/>
  <c r="AL138" i="43"/>
  <c r="AO91" i="43" s="1"/>
  <c r="AO92" i="43" s="1"/>
  <c r="AO63" i="43" s="1"/>
  <c r="AM136" i="43"/>
  <c r="AN136" i="43" s="1"/>
  <c r="AL40" i="43"/>
  <c r="AL29" i="43" s="1"/>
  <c r="AL139" i="43"/>
  <c r="AK43" i="43"/>
  <c r="AJ192" i="43"/>
  <c r="AK161" i="43"/>
  <c r="AK168" i="43" s="1"/>
  <c r="AM41" i="43"/>
  <c r="AJ161" i="43"/>
  <c r="AJ168" i="43" s="1"/>
  <c r="AK141" i="43"/>
  <c r="AK164" i="43" s="1"/>
  <c r="AK171" i="43" s="1"/>
  <c r="AK42" i="43"/>
  <c r="AK193" i="43"/>
  <c r="AJ193" i="43"/>
  <c r="AJ42" i="43"/>
  <c r="AI68" i="43"/>
  <c r="AI8" i="43"/>
  <c r="AI189" i="43"/>
  <c r="AI159" i="43"/>
  <c r="AI166" i="43" s="1"/>
  <c r="AF181" i="43"/>
  <c r="AF182" i="43" s="1"/>
  <c r="AF111" i="43"/>
  <c r="AG175" i="43"/>
  <c r="AG176" i="43" s="1"/>
  <c r="AG106" i="43"/>
  <c r="AG118" i="43"/>
  <c r="AG107" i="43"/>
  <c r="AE202" i="43"/>
  <c r="AG202" i="43"/>
  <c r="AJ200" i="43"/>
  <c r="AJ102" i="43"/>
  <c r="AH200" i="43"/>
  <c r="AF202" i="43"/>
  <c r="AJ164" i="43"/>
  <c r="AJ171" i="43" s="1"/>
  <c r="AG131" i="43" l="1"/>
  <c r="AE203" i="43"/>
  <c r="AG203" i="43"/>
  <c r="AG110" i="43"/>
  <c r="AG77" i="43"/>
  <c r="AG79" i="43" s="1"/>
  <c r="AI76" i="43"/>
  <c r="AI20" i="43" s="1"/>
  <c r="AI9" i="43"/>
  <c r="AI190" i="43"/>
  <c r="AI72" i="43"/>
  <c r="AJ72" i="43" s="1"/>
  <c r="AJ17" i="43" s="1"/>
  <c r="AI160" i="43"/>
  <c r="AI167" i="43" s="1"/>
  <c r="W69" i="3"/>
  <c r="AF56" i="3"/>
  <c r="AL61" i="43"/>
  <c r="AM61" i="43" s="1"/>
  <c r="AL163" i="43"/>
  <c r="AL170" i="43" s="1"/>
  <c r="AO99" i="43"/>
  <c r="AH20" i="43"/>
  <c r="AH77" i="43"/>
  <c r="AL162" i="43"/>
  <c r="AL169" i="43" s="1"/>
  <c r="AO95" i="43"/>
  <c r="AP95" i="43" s="1"/>
  <c r="AN74" i="43"/>
  <c r="AN19" i="43" s="1"/>
  <c r="AN12" i="43"/>
  <c r="AM29" i="43"/>
  <c r="AG22" i="43"/>
  <c r="AG6" i="3" s="1"/>
  <c r="AG8" i="3" s="1"/>
  <c r="AM81" i="43"/>
  <c r="AL113" i="43"/>
  <c r="AJ46" i="43"/>
  <c r="AP63" i="43"/>
  <c r="AO197" i="43" s="1"/>
  <c r="AO10" i="43"/>
  <c r="AP91" i="43"/>
  <c r="AN138" i="43"/>
  <c r="AQ91" i="43" s="1"/>
  <c r="AO136" i="43"/>
  <c r="AN40" i="43"/>
  <c r="AJ8" i="43"/>
  <c r="AN10" i="43"/>
  <c r="AN66" i="43"/>
  <c r="AN81" i="43" s="1"/>
  <c r="AN113" i="43" s="1"/>
  <c r="AP137" i="43"/>
  <c r="AQ137" i="43" s="1"/>
  <c r="AO41" i="43"/>
  <c r="AL141" i="43"/>
  <c r="AL164" i="43" s="1"/>
  <c r="AL171" i="43" s="1"/>
  <c r="AL42" i="43"/>
  <c r="AL193" i="43"/>
  <c r="AK16" i="43"/>
  <c r="AK68" i="43"/>
  <c r="AK189" i="43"/>
  <c r="AK8" i="43"/>
  <c r="AK159" i="43"/>
  <c r="AK166" i="43" s="1"/>
  <c r="AM139" i="43"/>
  <c r="AL43" i="43"/>
  <c r="AL102" i="43"/>
  <c r="AL161" i="43"/>
  <c r="AL168" i="43" s="1"/>
  <c r="AM92" i="43"/>
  <c r="AM10" i="43"/>
  <c r="AM14" i="43" s="1"/>
  <c r="AM197" i="43"/>
  <c r="AM66" i="43"/>
  <c r="AL200" i="43" s="1"/>
  <c r="AK197" i="43"/>
  <c r="AK9" i="43"/>
  <c r="AK190" i="43"/>
  <c r="AK160" i="43"/>
  <c r="AK167" i="43" s="1"/>
  <c r="AK72" i="43"/>
  <c r="AL197" i="43"/>
  <c r="AM140" i="43"/>
  <c r="AL44" i="43"/>
  <c r="AL192" i="43"/>
  <c r="AK46" i="43"/>
  <c r="AM40" i="43"/>
  <c r="AM138" i="43"/>
  <c r="AJ190" i="43"/>
  <c r="AJ160" i="43"/>
  <c r="AJ167" i="43" s="1"/>
  <c r="AJ189" i="43"/>
  <c r="AJ159" i="43"/>
  <c r="AJ166" i="43" s="1"/>
  <c r="AJ68" i="43"/>
  <c r="AJ105" i="43" s="1"/>
  <c r="AI70" i="43"/>
  <c r="AI105" i="43"/>
  <c r="AF204" i="43" l="1"/>
  <c r="AJ76" i="43"/>
  <c r="AJ20" i="43" s="1"/>
  <c r="AJ22" i="43" s="1"/>
  <c r="AE204" i="43"/>
  <c r="AG111" i="43"/>
  <c r="AG204" i="43"/>
  <c r="AG181" i="43"/>
  <c r="AG182" i="43" s="1"/>
  <c r="AI75" i="43"/>
  <c r="AI110" i="43" s="1"/>
  <c r="AJ128" i="43"/>
  <c r="AI17" i="43"/>
  <c r="AJ178" i="43"/>
  <c r="AJ179" i="43" s="1"/>
  <c r="AJ75" i="43"/>
  <c r="AJ203" i="43" s="1"/>
  <c r="AI109" i="43"/>
  <c r="AJ109" i="43"/>
  <c r="AI178" i="43"/>
  <c r="AI179" i="43" s="1"/>
  <c r="X69" i="3"/>
  <c r="AG56" i="3"/>
  <c r="AH111" i="43"/>
  <c r="AH181" i="43"/>
  <c r="AH182" i="43" s="1"/>
  <c r="AH79" i="43"/>
  <c r="AH22" i="43"/>
  <c r="AH6" i="3" s="1"/>
  <c r="AH8" i="3" s="1"/>
  <c r="AO100" i="43"/>
  <c r="AO65" i="43" s="1"/>
  <c r="AP99" i="43"/>
  <c r="AM55" i="43"/>
  <c r="AM56" i="43" s="1"/>
  <c r="AL62" i="43"/>
  <c r="AM62" i="43" s="1"/>
  <c r="AN14" i="43"/>
  <c r="AN61" i="43"/>
  <c r="AN62" i="43" s="1"/>
  <c r="AN72" i="43" s="1"/>
  <c r="AM121" i="43"/>
  <c r="AN29" i="43"/>
  <c r="AM113" i="43"/>
  <c r="AL8" i="43"/>
  <c r="AN197" i="43"/>
  <c r="AL159" i="43"/>
  <c r="AL166" i="43" s="1"/>
  <c r="AL189" i="43"/>
  <c r="AN161" i="43"/>
  <c r="AN168" i="43" s="1"/>
  <c r="AN192" i="43"/>
  <c r="AL68" i="43"/>
  <c r="AL105" i="43" s="1"/>
  <c r="AL16" i="43"/>
  <c r="AR137" i="43"/>
  <c r="AQ41" i="43"/>
  <c r="AQ92" i="43"/>
  <c r="AQ63" i="43" s="1"/>
  <c r="AP41" i="43"/>
  <c r="AO138" i="43"/>
  <c r="AR91" i="43" s="1"/>
  <c r="AR92" i="43" s="1"/>
  <c r="AR63" i="43" s="1"/>
  <c r="AP136" i="43"/>
  <c r="AQ136" i="43" s="1"/>
  <c r="AO40" i="43"/>
  <c r="AO29" i="43" s="1"/>
  <c r="AN139" i="43"/>
  <c r="AQ95" i="43" s="1"/>
  <c r="AN102" i="43"/>
  <c r="AN42" i="43"/>
  <c r="AN193" i="43"/>
  <c r="AN140" i="43"/>
  <c r="AQ99" i="43" s="1"/>
  <c r="AP92" i="43"/>
  <c r="AP10" i="43"/>
  <c r="AP197" i="43"/>
  <c r="AM8" i="43"/>
  <c r="AM189" i="43"/>
  <c r="AM159" i="43"/>
  <c r="AM166" i="43" s="1"/>
  <c r="AM16" i="43"/>
  <c r="AM44" i="43"/>
  <c r="AM163" i="43"/>
  <c r="AM170" i="43" s="1"/>
  <c r="AM43" i="43"/>
  <c r="AM162" i="43"/>
  <c r="AM169" i="43" s="1"/>
  <c r="AK105" i="43"/>
  <c r="AK70" i="43"/>
  <c r="AL46" i="43"/>
  <c r="AM141" i="43"/>
  <c r="AM42" i="43"/>
  <c r="AM193" i="43"/>
  <c r="AM192" i="43"/>
  <c r="AM200" i="43"/>
  <c r="AM102" i="43"/>
  <c r="AK200" i="43"/>
  <c r="AK75" i="43"/>
  <c r="AK17" i="43"/>
  <c r="AK178" i="43"/>
  <c r="AK179" i="43" s="1"/>
  <c r="AK109" i="43"/>
  <c r="AM161" i="43"/>
  <c r="AM168" i="43" s="1"/>
  <c r="AI69" i="43"/>
  <c r="AJ70" i="43"/>
  <c r="AJ118" i="43" s="1"/>
  <c r="AI175" i="43"/>
  <c r="AI176" i="43" s="1"/>
  <c r="AI107" i="43"/>
  <c r="R264" i="43"/>
  <c r="R263" i="43"/>
  <c r="R262" i="43"/>
  <c r="R261" i="43"/>
  <c r="AJ4" i="43"/>
  <c r="AI4" i="43"/>
  <c r="AH4" i="43"/>
  <c r="AG4" i="43"/>
  <c r="AF4" i="43"/>
  <c r="AE4" i="43"/>
  <c r="AD4" i="43"/>
  <c r="AC4" i="43"/>
  <c r="AB4" i="43"/>
  <c r="AA4" i="43"/>
  <c r="Z4" i="43"/>
  <c r="Y4" i="43"/>
  <c r="X4" i="43"/>
  <c r="W4" i="43"/>
  <c r="V4" i="43"/>
  <c r="U4" i="43"/>
  <c r="T4" i="43"/>
  <c r="S4" i="43"/>
  <c r="R4" i="43"/>
  <c r="Q4" i="43"/>
  <c r="P4" i="43"/>
  <c r="O4" i="43"/>
  <c r="N4" i="43"/>
  <c r="M4" i="43"/>
  <c r="L4" i="43"/>
  <c r="K4" i="43"/>
  <c r="J4" i="43"/>
  <c r="I4" i="43"/>
  <c r="H4" i="43"/>
  <c r="G4" i="43"/>
  <c r="F4" i="43"/>
  <c r="E4" i="43"/>
  <c r="D4" i="43"/>
  <c r="B1" i="43"/>
  <c r="Q38" i="3"/>
  <c r="Q31" i="3"/>
  <c r="Q29" i="3"/>
  <c r="Q24" i="3"/>
  <c r="Q22" i="3"/>
  <c r="Q7" i="3"/>
  <c r="Q6" i="3"/>
  <c r="AJ41" i="3"/>
  <c r="AG41" i="3"/>
  <c r="AD41" i="3"/>
  <c r="AA41" i="3"/>
  <c r="X41" i="3"/>
  <c r="AJ35" i="3"/>
  <c r="AG35" i="3"/>
  <c r="AD35" i="3"/>
  <c r="AA35" i="3"/>
  <c r="X35" i="3"/>
  <c r="N7" i="3"/>
  <c r="L15" i="3"/>
  <c r="I106" i="3"/>
  <c r="L106" i="3"/>
  <c r="O106" i="3"/>
  <c r="M106" i="3"/>
  <c r="P106" i="3"/>
  <c r="R106" i="3"/>
  <c r="I119" i="3"/>
  <c r="M119" i="3"/>
  <c r="Q114" i="3"/>
  <c r="P119" i="3"/>
  <c r="L119" i="3"/>
  <c r="O118" i="3"/>
  <c r="N112" i="3"/>
  <c r="R118" i="3"/>
  <c r="Q9" i="4"/>
  <c r="Q105" i="3"/>
  <c r="R98" i="3"/>
  <c r="Q30" i="4"/>
  <c r="Q19" i="4"/>
  <c r="Q17" i="4"/>
  <c r="AK76" i="43" l="1"/>
  <c r="AK20" i="43" s="1"/>
  <c r="AI22" i="43"/>
  <c r="AI6" i="3" s="1"/>
  <c r="AI8" i="3" s="1"/>
  <c r="AH203" i="43"/>
  <c r="AI77" i="43"/>
  <c r="AI181" i="43" s="1"/>
  <c r="AI182" i="43" s="1"/>
  <c r="AI131" i="43"/>
  <c r="AI203" i="43"/>
  <c r="AJ110" i="43"/>
  <c r="AJ131" i="43"/>
  <c r="AJ77" i="43"/>
  <c r="AJ79" i="43" s="1"/>
  <c r="AL72" i="43"/>
  <c r="AM72" i="43" s="1"/>
  <c r="AM128" i="43" s="1"/>
  <c r="AL160" i="43"/>
  <c r="AL167" i="43" s="1"/>
  <c r="AL190" i="43"/>
  <c r="AL76" i="43"/>
  <c r="AL20" i="43" s="1"/>
  <c r="AL9" i="43"/>
  <c r="AN8" i="43"/>
  <c r="AP29" i="43"/>
  <c r="AP65" i="43"/>
  <c r="AO199" i="43" s="1"/>
  <c r="AO12" i="43"/>
  <c r="AO14" i="43" s="1"/>
  <c r="AO74" i="43"/>
  <c r="AO66" i="43"/>
  <c r="AH56" i="3"/>
  <c r="Y69" i="3"/>
  <c r="I20" i="2"/>
  <c r="I16" i="2"/>
  <c r="Q117" i="4"/>
  <c r="Q119" i="4"/>
  <c r="I53" i="2"/>
  <c r="Q118" i="3"/>
  <c r="Q154" i="4"/>
  <c r="I18" i="2"/>
  <c r="AQ100" i="43"/>
  <c r="AQ65" i="43" s="1"/>
  <c r="N118" i="3"/>
  <c r="L16" i="3"/>
  <c r="L74" i="3" s="1"/>
  <c r="R138" i="3"/>
  <c r="R134" i="3"/>
  <c r="R136" i="3"/>
  <c r="J36" i="2" s="1"/>
  <c r="R132" i="3"/>
  <c r="Q140" i="4"/>
  <c r="AO61" i="43"/>
  <c r="AO16" i="43" s="1"/>
  <c r="R265" i="43"/>
  <c r="R277" i="43" s="1"/>
  <c r="AJ6" i="3"/>
  <c r="AJ8" i="3" s="1"/>
  <c r="AN9" i="43"/>
  <c r="M18" i="3"/>
  <c r="M74" i="3"/>
  <c r="AK22" i="43"/>
  <c r="AK6" i="3" s="1"/>
  <c r="AK8" i="3" s="1"/>
  <c r="AL70" i="43"/>
  <c r="AM70" i="43" s="1"/>
  <c r="AN141" i="43"/>
  <c r="AN164" i="43" s="1"/>
  <c r="AN171" i="43" s="1"/>
  <c r="AM68" i="43"/>
  <c r="AM105" i="43" s="1"/>
  <c r="Q112" i="3"/>
  <c r="Q119" i="3" s="1"/>
  <c r="R119" i="3"/>
  <c r="Q32" i="3"/>
  <c r="AN189" i="43"/>
  <c r="AN68" i="43"/>
  <c r="AN70" i="43" s="1"/>
  <c r="AN160" i="43"/>
  <c r="AN167" i="43" s="1"/>
  <c r="AN190" i="43"/>
  <c r="AN159" i="43"/>
  <c r="AN166" i="43" s="1"/>
  <c r="AN16" i="43"/>
  <c r="AO192" i="43"/>
  <c r="AN162" i="43"/>
  <c r="AN169" i="43" s="1"/>
  <c r="AS137" i="43"/>
  <c r="AT137" i="43" s="1"/>
  <c r="AR41" i="43"/>
  <c r="AN163" i="43"/>
  <c r="AN170" i="43" s="1"/>
  <c r="AQ138" i="43"/>
  <c r="AT91" i="43" s="1"/>
  <c r="AR136" i="43"/>
  <c r="AQ40" i="43"/>
  <c r="AQ10" i="43"/>
  <c r="AS63" i="43"/>
  <c r="AQ197" i="43" s="1"/>
  <c r="AR10" i="43"/>
  <c r="AS91" i="43"/>
  <c r="AM164" i="43"/>
  <c r="AM171" i="43" s="1"/>
  <c r="AO139" i="43"/>
  <c r="AN43" i="43"/>
  <c r="AN75" i="43"/>
  <c r="AN109" i="43"/>
  <c r="AN17" i="43"/>
  <c r="AN178" i="43"/>
  <c r="AN179" i="43" s="1"/>
  <c r="AP40" i="43"/>
  <c r="AP138" i="43"/>
  <c r="AM46" i="43"/>
  <c r="AO140" i="43"/>
  <c r="AN44" i="43"/>
  <c r="AO42" i="43"/>
  <c r="AO193" i="43"/>
  <c r="AO161" i="43"/>
  <c r="AO168" i="43" s="1"/>
  <c r="AM190" i="43"/>
  <c r="AM160" i="43"/>
  <c r="AM167" i="43" s="1"/>
  <c r="AM9" i="43"/>
  <c r="AK107" i="43"/>
  <c r="AK175" i="43"/>
  <c r="AK176" i="43" s="1"/>
  <c r="AK69" i="43"/>
  <c r="AK106" i="43" s="1"/>
  <c r="AK110" i="43"/>
  <c r="AK131" i="43"/>
  <c r="AK77" i="43"/>
  <c r="AK79" i="43" s="1"/>
  <c r="AJ175" i="43"/>
  <c r="AJ176" i="43" s="1"/>
  <c r="AJ107" i="43"/>
  <c r="AJ202" i="43"/>
  <c r="AH202" i="43"/>
  <c r="AI202" i="43"/>
  <c r="AJ69" i="43"/>
  <c r="AJ106" i="43" s="1"/>
  <c r="AI106" i="43"/>
  <c r="Q8" i="3"/>
  <c r="T56" i="3" s="1"/>
  <c r="R289" i="43"/>
  <c r="R290" i="43"/>
  <c r="R288" i="43"/>
  <c r="R291" i="43"/>
  <c r="N119" i="3"/>
  <c r="O119" i="3"/>
  <c r="AM118" i="43" l="1"/>
  <c r="AI111" i="43"/>
  <c r="AI79" i="43"/>
  <c r="AI204" i="43"/>
  <c r="AH204" i="43"/>
  <c r="AM76" i="43"/>
  <c r="AM20" i="43" s="1"/>
  <c r="AJ204" i="43"/>
  <c r="AJ111" i="43"/>
  <c r="AJ181" i="43"/>
  <c r="AJ182" i="43" s="1"/>
  <c r="AL178" i="43"/>
  <c r="AL179" i="43" s="1"/>
  <c r="AL17" i="43"/>
  <c r="AL22" i="43" s="1"/>
  <c r="AL109" i="43"/>
  <c r="AP55" i="43"/>
  <c r="AP56" i="43" s="1"/>
  <c r="AL75" i="43"/>
  <c r="AL77" i="43" s="1"/>
  <c r="AL79" i="43" s="1"/>
  <c r="AQ12" i="43"/>
  <c r="AQ14" i="43" s="1"/>
  <c r="AQ74" i="43"/>
  <c r="AQ19" i="43" s="1"/>
  <c r="M75" i="3"/>
  <c r="E13" i="2"/>
  <c r="AQ66" i="43"/>
  <c r="AQ81" i="43" s="1"/>
  <c r="AQ113" i="43" s="1"/>
  <c r="I10" i="2"/>
  <c r="AO19" i="43"/>
  <c r="AP74" i="43"/>
  <c r="AO81" i="43"/>
  <c r="AO102" i="43"/>
  <c r="R137" i="3"/>
  <c r="J37" i="2" s="1"/>
  <c r="AQ61" i="43"/>
  <c r="AQ62" i="43" s="1"/>
  <c r="AP199" i="43"/>
  <c r="AP100" i="43"/>
  <c r="AP12" i="43"/>
  <c r="AP14" i="43" s="1"/>
  <c r="AN199" i="43"/>
  <c r="AP66" i="43"/>
  <c r="AP61" i="43"/>
  <c r="AP189" i="43" s="1"/>
  <c r="AO62" i="43"/>
  <c r="AP62" i="43" s="1"/>
  <c r="AO163" i="43"/>
  <c r="AO170" i="43" s="1"/>
  <c r="AR99" i="43"/>
  <c r="AO162" i="43"/>
  <c r="AO169" i="43" s="1"/>
  <c r="AR95" i="43"/>
  <c r="AS95" i="43" s="1"/>
  <c r="L18" i="3"/>
  <c r="AQ29" i="43"/>
  <c r="Z69" i="3"/>
  <c r="AA69" i="3"/>
  <c r="AL202" i="43"/>
  <c r="AI56" i="3"/>
  <c r="AJ56" i="3"/>
  <c r="AL107" i="43"/>
  <c r="AN105" i="43"/>
  <c r="AL69" i="43"/>
  <c r="AL106" i="43" s="1"/>
  <c r="AL175" i="43"/>
  <c r="AL176" i="43" s="1"/>
  <c r="Q55" i="4"/>
  <c r="Q54" i="4"/>
  <c r="AB24" i="2" s="1"/>
  <c r="Q74" i="3"/>
  <c r="Q79" i="3"/>
  <c r="Q80" i="3"/>
  <c r="I31" i="2" s="1"/>
  <c r="Q81" i="3"/>
  <c r="I32" i="2" s="1"/>
  <c r="L27" i="2"/>
  <c r="Q69" i="3"/>
  <c r="P18" i="3"/>
  <c r="S58" i="3" s="1"/>
  <c r="P57" i="3"/>
  <c r="P74" i="3"/>
  <c r="AB69" i="3"/>
  <c r="AK56" i="3"/>
  <c r="AO159" i="43"/>
  <c r="AO166" i="43" s="1"/>
  <c r="AO8" i="43"/>
  <c r="AO189" i="43"/>
  <c r="AQ161" i="43"/>
  <c r="AQ168" i="43" s="1"/>
  <c r="AO68" i="43"/>
  <c r="AO105" i="43" s="1"/>
  <c r="AQ192" i="43"/>
  <c r="AT92" i="43"/>
  <c r="AT63" i="43" s="1"/>
  <c r="AU137" i="43"/>
  <c r="AT41" i="43"/>
  <c r="AR40" i="43"/>
  <c r="AR29" i="43" s="1"/>
  <c r="AR138" i="43"/>
  <c r="AU91" i="43" s="1"/>
  <c r="AU92" i="43" s="1"/>
  <c r="AU63" i="43" s="1"/>
  <c r="AS136" i="43"/>
  <c r="AT136" i="43" s="1"/>
  <c r="AQ42" i="43"/>
  <c r="AQ193" i="43"/>
  <c r="AS10" i="43"/>
  <c r="AS197" i="43"/>
  <c r="AS92" i="43"/>
  <c r="AS41" i="43"/>
  <c r="AN46" i="43"/>
  <c r="AR197" i="43"/>
  <c r="AP139" i="43"/>
  <c r="AO43" i="43"/>
  <c r="AP140" i="43"/>
  <c r="AO44" i="43"/>
  <c r="AK202" i="43"/>
  <c r="AP42" i="43"/>
  <c r="AP193" i="43"/>
  <c r="AP161" i="43"/>
  <c r="AP168" i="43" s="1"/>
  <c r="AP192" i="43"/>
  <c r="AO141" i="43"/>
  <c r="AO164" i="43" s="1"/>
  <c r="AO171" i="43" s="1"/>
  <c r="AN107" i="43"/>
  <c r="AN175" i="43"/>
  <c r="AN176" i="43" s="1"/>
  <c r="AN69" i="43"/>
  <c r="AN106" i="43" s="1"/>
  <c r="AN110" i="43"/>
  <c r="AN131" i="43"/>
  <c r="AK111" i="43"/>
  <c r="AK181" i="43"/>
  <c r="AK182" i="43" s="1"/>
  <c r="AM75" i="43"/>
  <c r="AM109" i="43"/>
  <c r="AM17" i="43"/>
  <c r="AM178" i="43"/>
  <c r="AM179" i="43" s="1"/>
  <c r="AM202" i="43"/>
  <c r="AM175" i="43"/>
  <c r="AM176" i="43" s="1"/>
  <c r="AM107" i="43"/>
  <c r="Q18" i="3"/>
  <c r="T58" i="3" s="1"/>
  <c r="AN76" i="43" l="1"/>
  <c r="AN20" i="43" s="1"/>
  <c r="AN22" i="43" s="1"/>
  <c r="AN6" i="3" s="1"/>
  <c r="AN8" i="3" s="1"/>
  <c r="AL131" i="43"/>
  <c r="AO160" i="43"/>
  <c r="AO167" i="43" s="1"/>
  <c r="AO190" i="43"/>
  <c r="AO9" i="43"/>
  <c r="AL110" i="43"/>
  <c r="AL203" i="43"/>
  <c r="AQ102" i="43"/>
  <c r="AO72" i="43"/>
  <c r="AO17" i="43" s="1"/>
  <c r="AO76" i="43"/>
  <c r="AO20" i="43" s="1"/>
  <c r="AR100" i="43"/>
  <c r="AR65" i="43" s="1"/>
  <c r="AS99" i="43"/>
  <c r="H13" i="2"/>
  <c r="E14" i="2"/>
  <c r="E12" i="2"/>
  <c r="E17" i="2"/>
  <c r="E19" i="2" s="1"/>
  <c r="E21" i="2" s="1"/>
  <c r="E22" i="2" s="1"/>
  <c r="I13" i="2"/>
  <c r="AP19" i="43"/>
  <c r="AP130" i="43"/>
  <c r="L75" i="3"/>
  <c r="AO200" i="43"/>
  <c r="AP200" i="43"/>
  <c r="AP102" i="43"/>
  <c r="AN200" i="43"/>
  <c r="AO113" i="43"/>
  <c r="AP81" i="43"/>
  <c r="AR61" i="43"/>
  <c r="AS29" i="43"/>
  <c r="AM69" i="43"/>
  <c r="AM106" i="43" s="1"/>
  <c r="AP8" i="43"/>
  <c r="AL6" i="3"/>
  <c r="AL8" i="3" s="1"/>
  <c r="AP159" i="43"/>
  <c r="AP166" i="43" s="1"/>
  <c r="AP16" i="43"/>
  <c r="AM22" i="43"/>
  <c r="P75" i="3"/>
  <c r="P58" i="3"/>
  <c r="Q25" i="3"/>
  <c r="T60" i="3" s="1"/>
  <c r="Q75" i="3"/>
  <c r="AR161" i="43"/>
  <c r="AR168" i="43" s="1"/>
  <c r="AV91" i="43"/>
  <c r="AO70" i="43"/>
  <c r="AO175" i="43" s="1"/>
  <c r="AO176" i="43" s="1"/>
  <c r="AP68" i="43"/>
  <c r="AP105" i="43" s="1"/>
  <c r="AO46" i="43"/>
  <c r="AV137" i="43"/>
  <c r="AW137" i="43" s="1"/>
  <c r="AU41" i="43"/>
  <c r="AT138" i="43"/>
  <c r="AT61" i="43" s="1"/>
  <c r="AT62" i="43" s="1"/>
  <c r="AU136" i="43"/>
  <c r="AT40" i="43"/>
  <c r="AV63" i="43"/>
  <c r="AT197" i="43" s="1"/>
  <c r="AU10" i="43"/>
  <c r="AT10" i="43"/>
  <c r="AQ160" i="43"/>
  <c r="AQ167" i="43" s="1"/>
  <c r="AQ72" i="43"/>
  <c r="AQ190" i="43"/>
  <c r="AQ9" i="43"/>
  <c r="AQ140" i="43"/>
  <c r="AT99" i="43" s="1"/>
  <c r="AR42" i="43"/>
  <c r="AR193" i="43"/>
  <c r="AR192" i="43"/>
  <c r="AQ139" i="43"/>
  <c r="AT95" i="43" s="1"/>
  <c r="AQ189" i="43"/>
  <c r="AQ68" i="43"/>
  <c r="AQ16" i="43"/>
  <c r="AQ8" i="43"/>
  <c r="AQ159" i="43"/>
  <c r="AQ166" i="43" s="1"/>
  <c r="AS138" i="43"/>
  <c r="AS40" i="43"/>
  <c r="AP190" i="43"/>
  <c r="AP160" i="43"/>
  <c r="AP167" i="43" s="1"/>
  <c r="AP9" i="43"/>
  <c r="AP44" i="43"/>
  <c r="AP163" i="43"/>
  <c r="AP170" i="43" s="1"/>
  <c r="AP141" i="43"/>
  <c r="AP43" i="43"/>
  <c r="AP162" i="43"/>
  <c r="AP169" i="43" s="1"/>
  <c r="AM203" i="43"/>
  <c r="AM131" i="43"/>
  <c r="AM110" i="43"/>
  <c r="AM77" i="43"/>
  <c r="AM79" i="43" s="1"/>
  <c r="AK203" i="43"/>
  <c r="AL111" i="43"/>
  <c r="AL181" i="43"/>
  <c r="AL182" i="43" s="1"/>
  <c r="Q19" i="3"/>
  <c r="AN77" i="43" l="1"/>
  <c r="AN181" i="43" s="1"/>
  <c r="AN182" i="43" s="1"/>
  <c r="AO75" i="43"/>
  <c r="AO110" i="43" s="1"/>
  <c r="AP72" i="43"/>
  <c r="AP128" i="43" s="1"/>
  <c r="AO109" i="43"/>
  <c r="AO178" i="43"/>
  <c r="AO179" i="43" s="1"/>
  <c r="AP76" i="43"/>
  <c r="AP20" i="43" s="1"/>
  <c r="AS55" i="43"/>
  <c r="AS56" i="43" s="1"/>
  <c r="AR62" i="43"/>
  <c r="AS62" i="43" s="1"/>
  <c r="AS61" i="43"/>
  <c r="AT100" i="43"/>
  <c r="AT65" i="43" s="1"/>
  <c r="AP121" i="43"/>
  <c r="AP113" i="43"/>
  <c r="Q26" i="3"/>
  <c r="AT29" i="43"/>
  <c r="H14" i="2"/>
  <c r="H12" i="2"/>
  <c r="H17" i="2"/>
  <c r="H19" i="2" s="1"/>
  <c r="H21" i="2" s="1"/>
  <c r="H22" i="2" s="1"/>
  <c r="AS65" i="43"/>
  <c r="AR199" i="43" s="1"/>
  <c r="AR12" i="43"/>
  <c r="AR14" i="43" s="1"/>
  <c r="AR74" i="43"/>
  <c r="AR66" i="43"/>
  <c r="I14" i="2"/>
  <c r="I12" i="2"/>
  <c r="I17" i="2"/>
  <c r="I19" i="2" s="1"/>
  <c r="I21" i="2" s="1"/>
  <c r="I22" i="2" s="1"/>
  <c r="AL56" i="3"/>
  <c r="AC69" i="3"/>
  <c r="AM6" i="3"/>
  <c r="AM8" i="3" s="1"/>
  <c r="Q34" i="3"/>
  <c r="Q39" i="3" s="1"/>
  <c r="AQ163" i="43"/>
  <c r="AQ170" i="43" s="1"/>
  <c r="AQ162" i="43"/>
  <c r="AQ169" i="43" s="1"/>
  <c r="AO107" i="43"/>
  <c r="AO22" i="43"/>
  <c r="AO69" i="43"/>
  <c r="AO106" i="43" s="1"/>
  <c r="Q76" i="3"/>
  <c r="AN56" i="3"/>
  <c r="AE69" i="3"/>
  <c r="AP70" i="43"/>
  <c r="AP118" i="43" s="1"/>
  <c r="AT161" i="43"/>
  <c r="AT168" i="43" s="1"/>
  <c r="AT192" i="43"/>
  <c r="AW91" i="43"/>
  <c r="AX137" i="43"/>
  <c r="AW41" i="43"/>
  <c r="AT42" i="43"/>
  <c r="AT193" i="43"/>
  <c r="AU138" i="43"/>
  <c r="AU61" i="43" s="1"/>
  <c r="AV136" i="43"/>
  <c r="AW136" i="43" s="1"/>
  <c r="AU40" i="43"/>
  <c r="AU29" i="43" s="1"/>
  <c r="AT9" i="43"/>
  <c r="AT190" i="43"/>
  <c r="AT160" i="43"/>
  <c r="AT167" i="43" s="1"/>
  <c r="AT72" i="43"/>
  <c r="AV92" i="43"/>
  <c r="AV10" i="43"/>
  <c r="AV197" i="43"/>
  <c r="AV41" i="43"/>
  <c r="AP46" i="43"/>
  <c r="AU197" i="43"/>
  <c r="AS42" i="43"/>
  <c r="AS193" i="43"/>
  <c r="AS161" i="43"/>
  <c r="AS168" i="43" s="1"/>
  <c r="AR140" i="43"/>
  <c r="AQ44" i="43"/>
  <c r="AP164" i="43"/>
  <c r="AP171" i="43" s="1"/>
  <c r="AR16" i="43"/>
  <c r="AR8" i="43"/>
  <c r="AR159" i="43"/>
  <c r="AR166" i="43" s="1"/>
  <c r="AR68" i="43"/>
  <c r="AR189" i="43"/>
  <c r="AQ43" i="43"/>
  <c r="AR139" i="43"/>
  <c r="AQ141" i="43"/>
  <c r="AQ164" i="43" s="1"/>
  <c r="AQ171" i="43" s="1"/>
  <c r="AS192" i="43"/>
  <c r="AQ178" i="43"/>
  <c r="AQ179" i="43" s="1"/>
  <c r="AQ109" i="43"/>
  <c r="AQ17" i="43"/>
  <c r="AQ75" i="43"/>
  <c r="AQ105" i="43"/>
  <c r="AQ70" i="43"/>
  <c r="AM204" i="43"/>
  <c r="AM181" i="43"/>
  <c r="AM182" i="43" s="1"/>
  <c r="AM111" i="43"/>
  <c r="AK204" i="43"/>
  <c r="AL204" i="43"/>
  <c r="Q35" i="3"/>
  <c r="Q40" i="3" l="1"/>
  <c r="T62" i="3" s="1"/>
  <c r="AP109" i="43"/>
  <c r="AN79" i="43"/>
  <c r="AN111" i="43"/>
  <c r="AP75" i="43"/>
  <c r="AP131" i="43" s="1"/>
  <c r="AO77" i="43"/>
  <c r="AO79" i="43" s="1"/>
  <c r="AO131" i="43"/>
  <c r="AP178" i="43"/>
  <c r="AP179" i="43" s="1"/>
  <c r="AP17" i="43"/>
  <c r="AP22" i="43" s="1"/>
  <c r="AR9" i="43"/>
  <c r="AR190" i="43"/>
  <c r="AR76" i="43"/>
  <c r="AR20" i="43" s="1"/>
  <c r="AQ76" i="43"/>
  <c r="AQ20" i="43" s="1"/>
  <c r="AQ22" i="43" s="1"/>
  <c r="AQ6" i="3" s="1"/>
  <c r="AQ8" i="3" s="1"/>
  <c r="AR160" i="43"/>
  <c r="AR167" i="43" s="1"/>
  <c r="AR72" i="43"/>
  <c r="AR17" i="43" s="1"/>
  <c r="AV29" i="43"/>
  <c r="AU62" i="43"/>
  <c r="AV62" i="43" s="1"/>
  <c r="AV61" i="43"/>
  <c r="AR163" i="43"/>
  <c r="AR170" i="43" s="1"/>
  <c r="AU99" i="43"/>
  <c r="AR81" i="43"/>
  <c r="AR102" i="43"/>
  <c r="AR19" i="43"/>
  <c r="AS74" i="43"/>
  <c r="AR162" i="43"/>
  <c r="AR169" i="43" s="1"/>
  <c r="AU95" i="43"/>
  <c r="AV95" i="43" s="1"/>
  <c r="AS12" i="43"/>
  <c r="AS14" i="43" s="1"/>
  <c r="AS199" i="43"/>
  <c r="AS100" i="43"/>
  <c r="AS66" i="43"/>
  <c r="AQ199" i="43"/>
  <c r="AT74" i="43"/>
  <c r="AT19" i="43" s="1"/>
  <c r="AT12" i="43"/>
  <c r="AT14" i="43" s="1"/>
  <c r="AT66" i="43"/>
  <c r="AD69" i="3"/>
  <c r="AO202" i="43"/>
  <c r="AP175" i="43"/>
  <c r="AP176" i="43" s="1"/>
  <c r="AO6" i="3"/>
  <c r="AO8" i="3" s="1"/>
  <c r="AM56" i="3"/>
  <c r="AP69" i="43"/>
  <c r="AP106" i="43" s="1"/>
  <c r="AP202" i="43"/>
  <c r="AN202" i="43"/>
  <c r="AP107" i="43"/>
  <c r="Q77" i="3"/>
  <c r="AY137" i="43"/>
  <c r="AX41" i="43"/>
  <c r="AW92" i="43"/>
  <c r="AW63" i="43" s="1"/>
  <c r="AW138" i="43"/>
  <c r="AX136" i="43"/>
  <c r="AW40" i="43"/>
  <c r="AU192" i="43"/>
  <c r="AX91" i="43"/>
  <c r="AX92" i="43" s="1"/>
  <c r="AX63" i="43" s="1"/>
  <c r="AT17" i="43"/>
  <c r="AT178" i="43"/>
  <c r="AT179" i="43" s="1"/>
  <c r="AT109" i="43"/>
  <c r="AT16" i="43"/>
  <c r="AT68" i="43"/>
  <c r="AT189" i="43"/>
  <c r="AT8" i="43"/>
  <c r="AT159" i="43"/>
  <c r="AT166" i="43" s="1"/>
  <c r="AU42" i="43"/>
  <c r="AU193" i="43"/>
  <c r="AU161" i="43"/>
  <c r="AU168" i="43" s="1"/>
  <c r="AV40" i="43"/>
  <c r="AV138" i="43"/>
  <c r="AS16" i="43"/>
  <c r="AS159" i="43"/>
  <c r="AS166" i="43" s="1"/>
  <c r="AS8" i="43"/>
  <c r="AS189" i="43"/>
  <c r="AQ110" i="43"/>
  <c r="AQ131" i="43"/>
  <c r="AR43" i="43"/>
  <c r="AS139" i="43"/>
  <c r="AR141" i="43"/>
  <c r="AR164" i="43" s="1"/>
  <c r="AR171" i="43" s="1"/>
  <c r="AQ107" i="43"/>
  <c r="AQ175" i="43"/>
  <c r="AQ176" i="43" s="1"/>
  <c r="AQ69" i="43"/>
  <c r="AQ106" i="43" s="1"/>
  <c r="AQ46" i="43"/>
  <c r="AS140" i="43"/>
  <c r="AR44" i="43"/>
  <c r="AR105" i="43"/>
  <c r="AS68" i="43"/>
  <c r="AS105" i="43" s="1"/>
  <c r="AR70" i="43"/>
  <c r="AS190" i="43"/>
  <c r="AS160" i="43"/>
  <c r="AS167" i="43" s="1"/>
  <c r="AS9" i="43"/>
  <c r="Q41" i="3"/>
  <c r="AP203" i="43" l="1"/>
  <c r="AO203" i="43"/>
  <c r="AN203" i="43"/>
  <c r="AP77" i="43"/>
  <c r="AO204" i="43" s="1"/>
  <c r="AP110" i="43"/>
  <c r="AO181" i="43"/>
  <c r="AO182" i="43" s="1"/>
  <c r="AT75" i="43"/>
  <c r="AT110" i="43" s="1"/>
  <c r="AO111" i="43"/>
  <c r="AQ77" i="43"/>
  <c r="AQ79" i="43" s="1"/>
  <c r="AR109" i="43"/>
  <c r="AS72" i="43"/>
  <c r="AS128" i="43" s="1"/>
  <c r="AV55" i="43"/>
  <c r="AV56" i="43" s="1"/>
  <c r="AR178" i="43"/>
  <c r="AR179" i="43" s="1"/>
  <c r="AR75" i="43"/>
  <c r="AR77" i="43" s="1"/>
  <c r="AR79" i="43" s="1"/>
  <c r="AS76" i="43"/>
  <c r="AS20" i="43" s="1"/>
  <c r="AW61" i="43"/>
  <c r="AW62" i="43" s="1"/>
  <c r="AT81" i="43"/>
  <c r="AT113" i="43" s="1"/>
  <c r="AT102" i="43"/>
  <c r="AR200" i="43"/>
  <c r="AS102" i="43"/>
  <c r="AQ200" i="43"/>
  <c r="AS200" i="43"/>
  <c r="AS130" i="43"/>
  <c r="AS19" i="43"/>
  <c r="AS81" i="43"/>
  <c r="AR113" i="43"/>
  <c r="AU100" i="43"/>
  <c r="AU65" i="43" s="1"/>
  <c r="AV99" i="43"/>
  <c r="AW29" i="43"/>
  <c r="AO56" i="3"/>
  <c r="AF69" i="3"/>
  <c r="AP6" i="3"/>
  <c r="AP8" i="3" s="1"/>
  <c r="AR22" i="43"/>
  <c r="AQ56" i="3"/>
  <c r="AH69" i="3"/>
  <c r="AY63" i="43"/>
  <c r="AW197" i="43" s="1"/>
  <c r="AX10" i="43"/>
  <c r="AX138" i="43"/>
  <c r="AX161" i="43" s="1"/>
  <c r="AX168" i="43" s="1"/>
  <c r="AY136" i="43"/>
  <c r="AX40" i="43"/>
  <c r="AX29" i="43" s="1"/>
  <c r="AY41" i="43"/>
  <c r="AW42" i="43"/>
  <c r="AW193" i="43"/>
  <c r="AY91" i="43"/>
  <c r="AW10" i="43"/>
  <c r="AW161" i="43"/>
  <c r="AW168" i="43" s="1"/>
  <c r="AW192" i="43"/>
  <c r="AV42" i="43"/>
  <c r="AV161" i="43"/>
  <c r="AV168" i="43" s="1"/>
  <c r="AV193" i="43"/>
  <c r="AT140" i="43"/>
  <c r="AW99" i="43" s="1"/>
  <c r="AV192" i="43"/>
  <c r="AT105" i="43"/>
  <c r="AT70" i="43"/>
  <c r="AT139" i="43"/>
  <c r="AW95" i="43" s="1"/>
  <c r="AU16" i="43"/>
  <c r="AU68" i="43"/>
  <c r="AU8" i="43"/>
  <c r="AU189" i="43"/>
  <c r="AU159" i="43"/>
  <c r="AU166" i="43" s="1"/>
  <c r="AU9" i="43"/>
  <c r="AU190" i="43"/>
  <c r="AU160" i="43"/>
  <c r="AU167" i="43" s="1"/>
  <c r="AU72" i="43"/>
  <c r="AS44" i="43"/>
  <c r="AS163" i="43"/>
  <c r="AS170" i="43" s="1"/>
  <c r="AR107" i="43"/>
  <c r="AS70" i="43"/>
  <c r="AS118" i="43" s="1"/>
  <c r="AR175" i="43"/>
  <c r="AR176" i="43" s="1"/>
  <c r="AR69" i="43"/>
  <c r="AS43" i="43"/>
  <c r="AS162" i="43"/>
  <c r="AS169" i="43" s="1"/>
  <c r="AS141" i="43"/>
  <c r="AR46" i="43"/>
  <c r="F4" i="4"/>
  <c r="AP111" i="43" l="1"/>
  <c r="AP181" i="43"/>
  <c r="AP182" i="43" s="1"/>
  <c r="AP204" i="43"/>
  <c r="AT131" i="43"/>
  <c r="AN204" i="43"/>
  <c r="AP79" i="43"/>
  <c r="AQ111" i="43"/>
  <c r="AQ181" i="43"/>
  <c r="AQ182" i="43" s="1"/>
  <c r="AS109" i="43"/>
  <c r="AS17" i="43"/>
  <c r="AS22" i="43" s="1"/>
  <c r="AS178" i="43"/>
  <c r="AS179" i="43" s="1"/>
  <c r="AS75" i="43"/>
  <c r="AR203" i="43" s="1"/>
  <c r="AU76" i="43"/>
  <c r="AU20" i="43" s="1"/>
  <c r="AR131" i="43"/>
  <c r="AR110" i="43"/>
  <c r="AT76" i="43"/>
  <c r="AT77" i="43" s="1"/>
  <c r="AT79" i="43" s="1"/>
  <c r="AU74" i="43"/>
  <c r="AU12" i="43"/>
  <c r="AU14" i="43" s="1"/>
  <c r="AV65" i="43"/>
  <c r="AU66" i="43"/>
  <c r="AS121" i="43"/>
  <c r="AS113" i="43"/>
  <c r="AW100" i="43"/>
  <c r="AW65" i="43" s="1"/>
  <c r="AX61" i="43"/>
  <c r="AY29" i="43"/>
  <c r="AP56" i="3"/>
  <c r="AR202" i="43"/>
  <c r="AR6" i="3"/>
  <c r="AR8" i="3" s="1"/>
  <c r="AG69" i="3"/>
  <c r="AX192" i="43"/>
  <c r="AX197" i="43"/>
  <c r="AW16" i="43"/>
  <c r="AW68" i="43"/>
  <c r="AW159" i="43"/>
  <c r="AW166" i="43" s="1"/>
  <c r="AW189" i="43"/>
  <c r="AW8" i="43"/>
  <c r="AY40" i="43"/>
  <c r="AY138" i="43"/>
  <c r="AY192" i="43" s="1"/>
  <c r="AW9" i="43"/>
  <c r="AW190" i="43"/>
  <c r="AW160" i="43"/>
  <c r="AW167" i="43" s="1"/>
  <c r="AW72" i="43"/>
  <c r="AX42" i="43"/>
  <c r="AX193" i="43"/>
  <c r="AY92" i="43"/>
  <c r="AY10" i="43"/>
  <c r="AY197" i="43"/>
  <c r="AU105" i="43"/>
  <c r="AV68" i="43"/>
  <c r="AV105" i="43" s="1"/>
  <c r="AU70" i="43"/>
  <c r="AT107" i="43"/>
  <c r="AT69" i="43"/>
  <c r="AT106" i="43" s="1"/>
  <c r="AT175" i="43"/>
  <c r="AT176" i="43" s="1"/>
  <c r="AU139" i="43"/>
  <c r="AT43" i="43"/>
  <c r="AT141" i="43"/>
  <c r="AS164" i="43"/>
  <c r="AS171" i="43" s="1"/>
  <c r="AV190" i="43"/>
  <c r="AV160" i="43"/>
  <c r="AV167" i="43" s="1"/>
  <c r="AV9" i="43"/>
  <c r="AU140" i="43"/>
  <c r="AT44" i="43"/>
  <c r="AV8" i="43"/>
  <c r="AV189" i="43"/>
  <c r="AV159" i="43"/>
  <c r="AV166" i="43" s="1"/>
  <c r="AV16" i="43"/>
  <c r="AS46" i="43"/>
  <c r="AU109" i="43"/>
  <c r="AV72" i="43"/>
  <c r="AV128" i="43" s="1"/>
  <c r="AU17" i="43"/>
  <c r="AU178" i="43"/>
  <c r="AU179" i="43" s="1"/>
  <c r="AT162" i="43"/>
  <c r="AT169" i="43" s="1"/>
  <c r="AT163" i="43"/>
  <c r="AT170" i="43" s="1"/>
  <c r="AS69" i="43"/>
  <c r="AS106" i="43" s="1"/>
  <c r="AR106" i="43"/>
  <c r="AS202" i="43"/>
  <c r="AS175" i="43"/>
  <c r="AS176" i="43" s="1"/>
  <c r="AS107" i="43"/>
  <c r="AQ202" i="43"/>
  <c r="AR111" i="43"/>
  <c r="AR181" i="43"/>
  <c r="AR182" i="43" s="1"/>
  <c r="AQ203" i="43" l="1"/>
  <c r="AS77" i="43"/>
  <c r="AQ204" i="43" s="1"/>
  <c r="AS203" i="43"/>
  <c r="AS131" i="43"/>
  <c r="AS110" i="43"/>
  <c r="AT20" i="43"/>
  <c r="AT22" i="43" s="1"/>
  <c r="AT6" i="3" s="1"/>
  <c r="AT8" i="3" s="1"/>
  <c r="AV76" i="43"/>
  <c r="AV20" i="43" s="1"/>
  <c r="AU162" i="43"/>
  <c r="AU169" i="43" s="1"/>
  <c r="AX95" i="43"/>
  <c r="AY95" i="43" s="1"/>
  <c r="AY55" i="43"/>
  <c r="AY56" i="43" s="1"/>
  <c r="AX62" i="43"/>
  <c r="AX190" i="43" s="1"/>
  <c r="AY61" i="43"/>
  <c r="AU163" i="43"/>
  <c r="AU170" i="43" s="1"/>
  <c r="AX99" i="43"/>
  <c r="AV100" i="43"/>
  <c r="AV12" i="43"/>
  <c r="AV14" i="43" s="1"/>
  <c r="AV199" i="43"/>
  <c r="AV66" i="43"/>
  <c r="AT199" i="43"/>
  <c r="AW74" i="43"/>
  <c r="AW19" i="43" s="1"/>
  <c r="AW12" i="43"/>
  <c r="AW14" i="43" s="1"/>
  <c r="AW66" i="43"/>
  <c r="AV74" i="43"/>
  <c r="AU19" i="43"/>
  <c r="AU22" i="43" s="1"/>
  <c r="AU81" i="43"/>
  <c r="AU102" i="43"/>
  <c r="AU75" i="43"/>
  <c r="AU77" i="43" s="1"/>
  <c r="AU79" i="43" s="1"/>
  <c r="AU199" i="43"/>
  <c r="AR56" i="3"/>
  <c r="AT181" i="43"/>
  <c r="AT182" i="43" s="1"/>
  <c r="AI69" i="3"/>
  <c r="AT111" i="43"/>
  <c r="AS6" i="3"/>
  <c r="AS8" i="3" s="1"/>
  <c r="AY161" i="43"/>
  <c r="AY168" i="43" s="1"/>
  <c r="AW75" i="43"/>
  <c r="AW109" i="43"/>
  <c r="AW17" i="43"/>
  <c r="AW178" i="43"/>
  <c r="AW179" i="43" s="1"/>
  <c r="AX16" i="43"/>
  <c r="AX68" i="43"/>
  <c r="AX8" i="43"/>
  <c r="AX189" i="43"/>
  <c r="AX159" i="43"/>
  <c r="AX166" i="43" s="1"/>
  <c r="AY42" i="43"/>
  <c r="AY193" i="43"/>
  <c r="AW105" i="43"/>
  <c r="AW70" i="43"/>
  <c r="AT46" i="43"/>
  <c r="AU107" i="43"/>
  <c r="AV70" i="43"/>
  <c r="AV118" i="43" s="1"/>
  <c r="AU175" i="43"/>
  <c r="AU176" i="43" s="1"/>
  <c r="AU69" i="43"/>
  <c r="AV109" i="43"/>
  <c r="AV17" i="43"/>
  <c r="AV178" i="43"/>
  <c r="AV179" i="43" s="1"/>
  <c r="AV139" i="43"/>
  <c r="AU43" i="43"/>
  <c r="AU141" i="43"/>
  <c r="AU164" i="43" s="1"/>
  <c r="AU171" i="43" s="1"/>
  <c r="AV140" i="43"/>
  <c r="AU44" i="43"/>
  <c r="AT164" i="43"/>
  <c r="AT171" i="43" s="1"/>
  <c r="Q89" i="3"/>
  <c r="R49" i="3"/>
  <c r="R89" i="3"/>
  <c r="Q94" i="3"/>
  <c r="Q102" i="3"/>
  <c r="Q103" i="3"/>
  <c r="Q114" i="4" s="1"/>
  <c r="Q104" i="3"/>
  <c r="Q101" i="3"/>
  <c r="Q123" i="3"/>
  <c r="I31" i="4"/>
  <c r="P96" i="3"/>
  <c r="O98" i="3"/>
  <c r="M96" i="3"/>
  <c r="M98" i="3" s="1"/>
  <c r="L96" i="3"/>
  <c r="L98" i="3" s="1"/>
  <c r="N31" i="3"/>
  <c r="D4" i="4"/>
  <c r="E4" i="4"/>
  <c r="R179" i="4"/>
  <c r="R173" i="4"/>
  <c r="R164" i="4"/>
  <c r="R129" i="4"/>
  <c r="R116" i="4"/>
  <c r="R115" i="4"/>
  <c r="R87" i="4"/>
  <c r="R83" i="4"/>
  <c r="R79" i="4"/>
  <c r="Q45" i="4"/>
  <c r="Q164" i="4" s="1"/>
  <c r="Q44" i="4"/>
  <c r="Q43" i="4"/>
  <c r="Q36" i="4"/>
  <c r="Q35" i="4"/>
  <c r="Q34" i="4"/>
  <c r="Q33" i="4"/>
  <c r="Q29" i="4"/>
  <c r="Q28" i="4"/>
  <c r="Q27" i="4"/>
  <c r="Q26" i="4"/>
  <c r="Q25" i="4"/>
  <c r="Q18" i="4"/>
  <c r="Q16" i="4"/>
  <c r="Q15" i="4"/>
  <c r="Q14" i="4"/>
  <c r="Q8" i="4"/>
  <c r="Q7" i="4"/>
  <c r="Q6" i="4"/>
  <c r="Q20" i="4"/>
  <c r="Q11" i="4"/>
  <c r="U126" i="4" l="1"/>
  <c r="S126" i="4"/>
  <c r="U160" i="4"/>
  <c r="S160" i="4"/>
  <c r="S163" i="4" s="1"/>
  <c r="AR204" i="43"/>
  <c r="AS111" i="43"/>
  <c r="AS181" i="43"/>
  <c r="AS182" i="43" s="1"/>
  <c r="AS79" i="43"/>
  <c r="AX72" i="43"/>
  <c r="AX178" i="43" s="1"/>
  <c r="AX179" i="43" s="1"/>
  <c r="AS204" i="43"/>
  <c r="AW76" i="43"/>
  <c r="AW20" i="43" s="1"/>
  <c r="AW22" i="43" s="1"/>
  <c r="AX76" i="43"/>
  <c r="AX20" i="43" s="1"/>
  <c r="AX160" i="43"/>
  <c r="AX167" i="43" s="1"/>
  <c r="AU131" i="43"/>
  <c r="Q129" i="4"/>
  <c r="I53" i="4"/>
  <c r="AU110" i="43"/>
  <c r="AV19" i="43"/>
  <c r="AV22" i="43" s="1"/>
  <c r="AV130" i="43"/>
  <c r="AU200" i="43"/>
  <c r="AV200" i="43"/>
  <c r="AV102" i="43"/>
  <c r="AT200" i="43"/>
  <c r="N140" i="4"/>
  <c r="Q133" i="3"/>
  <c r="AV81" i="43"/>
  <c r="AU113" i="43"/>
  <c r="AW81" i="43"/>
  <c r="AW113" i="43" s="1"/>
  <c r="AW102" i="43"/>
  <c r="AX9" i="43"/>
  <c r="AY62" i="43"/>
  <c r="AY9" i="43" s="1"/>
  <c r="Q79" i="4"/>
  <c r="I51" i="2"/>
  <c r="Q87" i="4"/>
  <c r="I56" i="2"/>
  <c r="Q146" i="4"/>
  <c r="Q148" i="4" s="1"/>
  <c r="L138" i="3"/>
  <c r="L136" i="3"/>
  <c r="D36" i="2" s="1"/>
  <c r="L132" i="3"/>
  <c r="L134" i="3"/>
  <c r="L137" i="3" s="1"/>
  <c r="I52" i="2"/>
  <c r="I50" i="2"/>
  <c r="Q83" i="4"/>
  <c r="Q84" i="4" s="1"/>
  <c r="Q138" i="4"/>
  <c r="M136" i="3"/>
  <c r="E36" i="2" s="1"/>
  <c r="M138" i="3"/>
  <c r="M132" i="3"/>
  <c r="M134" i="3"/>
  <c r="M137" i="3" s="1"/>
  <c r="E37" i="2" s="1"/>
  <c r="I57" i="2"/>
  <c r="R52" i="3"/>
  <c r="AC13" i="2"/>
  <c r="R154" i="3"/>
  <c r="AC14" i="2" s="1"/>
  <c r="O132" i="3"/>
  <c r="O136" i="3"/>
  <c r="G36" i="2" s="1"/>
  <c r="O138" i="3"/>
  <c r="O134" i="3"/>
  <c r="R51" i="3"/>
  <c r="AC10" i="2"/>
  <c r="R140" i="3"/>
  <c r="R141" i="3" s="1"/>
  <c r="R153" i="3"/>
  <c r="AV75" i="43"/>
  <c r="AU203" i="43" s="1"/>
  <c r="AX100" i="43"/>
  <c r="AX65" i="43" s="1"/>
  <c r="AY99" i="43"/>
  <c r="AT56" i="3"/>
  <c r="AJ69" i="3"/>
  <c r="AU202" i="43"/>
  <c r="AS56" i="3"/>
  <c r="AK69" i="3"/>
  <c r="AU6" i="3"/>
  <c r="AU8" i="3" s="1"/>
  <c r="Q155" i="4"/>
  <c r="Q59" i="4"/>
  <c r="Q60" i="4"/>
  <c r="Q141" i="4"/>
  <c r="R80" i="4"/>
  <c r="R81" i="4"/>
  <c r="R84" i="4"/>
  <c r="R85" i="4"/>
  <c r="Q80" i="4"/>
  <c r="Q81" i="4"/>
  <c r="Q85" i="4"/>
  <c r="P98" i="3"/>
  <c r="Q96" i="3"/>
  <c r="Q98" i="3" s="1"/>
  <c r="AY8" i="43"/>
  <c r="AY189" i="43"/>
  <c r="AY159" i="43"/>
  <c r="AY166" i="43" s="1"/>
  <c r="AY16" i="43"/>
  <c r="AW140" i="43"/>
  <c r="AW163" i="43" s="1"/>
  <c r="AW170" i="43" s="1"/>
  <c r="AW139" i="43"/>
  <c r="AW162" i="43" s="1"/>
  <c r="AW169" i="43" s="1"/>
  <c r="AW107" i="43"/>
  <c r="AW175" i="43"/>
  <c r="AW176" i="43" s="1"/>
  <c r="AW69" i="43"/>
  <c r="AW106" i="43" s="1"/>
  <c r="AX105" i="43"/>
  <c r="AY68" i="43"/>
  <c r="AY105" i="43" s="1"/>
  <c r="AX70" i="43"/>
  <c r="AW110" i="43"/>
  <c r="AW131" i="43"/>
  <c r="AU111" i="43"/>
  <c r="AU181" i="43"/>
  <c r="AU182" i="43" s="1"/>
  <c r="AU46" i="43"/>
  <c r="AV44" i="43"/>
  <c r="AV163" i="43"/>
  <c r="AV170" i="43" s="1"/>
  <c r="AV202" i="43"/>
  <c r="AV175" i="43"/>
  <c r="AV176" i="43" s="1"/>
  <c r="AV107" i="43"/>
  <c r="AT202" i="43"/>
  <c r="AV43" i="43"/>
  <c r="AV141" i="43"/>
  <c r="AV162" i="43"/>
  <c r="AV169" i="43" s="1"/>
  <c r="AU106" i="43"/>
  <c r="AV69" i="43"/>
  <c r="AV106" i="43" s="1"/>
  <c r="Q107" i="4"/>
  <c r="Q106" i="3"/>
  <c r="J34" i="3"/>
  <c r="K34" i="3"/>
  <c r="Q52" i="3"/>
  <c r="Q88" i="3"/>
  <c r="R88" i="3"/>
  <c r="L121" i="3"/>
  <c r="Q91" i="4"/>
  <c r="Q68" i="4" s="1"/>
  <c r="Q70" i="4" s="1"/>
  <c r="Q21" i="4"/>
  <c r="Q31" i="4"/>
  <c r="Q37" i="4"/>
  <c r="Q46" i="4"/>
  <c r="R148" i="4"/>
  <c r="Q12" i="4"/>
  <c r="R91" i="4"/>
  <c r="S128" i="4" l="1"/>
  <c r="S131" i="4"/>
  <c r="R68" i="4"/>
  <c r="R70" i="4" s="1"/>
  <c r="S75" i="4" s="1"/>
  <c r="U92" i="4"/>
  <c r="S92" i="4"/>
  <c r="S96" i="4" s="1"/>
  <c r="AX109" i="43"/>
  <c r="AY72" i="43"/>
  <c r="AY178" i="43" s="1"/>
  <c r="AY179" i="43" s="1"/>
  <c r="AY160" i="43"/>
  <c r="AY167" i="43" s="1"/>
  <c r="AX17" i="43"/>
  <c r="AW77" i="43"/>
  <c r="AW79" i="43" s="1"/>
  <c r="AY76" i="43"/>
  <c r="AY20" i="43" s="1"/>
  <c r="AV131" i="43"/>
  <c r="AV203" i="43"/>
  <c r="AV110" i="43"/>
  <c r="AT203" i="43"/>
  <c r="AY190" i="43"/>
  <c r="AY65" i="43"/>
  <c r="AX199" i="43" s="1"/>
  <c r="AX74" i="43"/>
  <c r="AX12" i="43"/>
  <c r="AX14" i="43" s="1"/>
  <c r="AX66" i="43"/>
  <c r="AV113" i="43"/>
  <c r="AV121" i="43"/>
  <c r="Q56" i="4"/>
  <c r="Q132" i="3"/>
  <c r="Q138" i="3"/>
  <c r="Q136" i="3"/>
  <c r="I36" i="2" s="1"/>
  <c r="Q134" i="3"/>
  <c r="AC11" i="2"/>
  <c r="R148" i="3"/>
  <c r="AC16" i="2" s="1"/>
  <c r="R145" i="3"/>
  <c r="R144" i="3"/>
  <c r="AC19" i="2" s="1"/>
  <c r="R142" i="3"/>
  <c r="R143" i="3"/>
  <c r="AC18" i="2" s="1"/>
  <c r="O137" i="3"/>
  <c r="G37" i="2" s="1"/>
  <c r="P136" i="3"/>
  <c r="H36" i="2" s="1"/>
  <c r="P132" i="3"/>
  <c r="P138" i="3"/>
  <c r="P134" i="3"/>
  <c r="Q53" i="4"/>
  <c r="Q64" i="4"/>
  <c r="AB23" i="2" s="1"/>
  <c r="Q58" i="4"/>
  <c r="AB22" i="2"/>
  <c r="Q52" i="4"/>
  <c r="AV77" i="43"/>
  <c r="AT204" i="43" s="1"/>
  <c r="AL69" i="3"/>
  <c r="AU56" i="3"/>
  <c r="AW6" i="3"/>
  <c r="AW8" i="3" s="1"/>
  <c r="AV6" i="3"/>
  <c r="AV8" i="3" s="1"/>
  <c r="AV46" i="43"/>
  <c r="Q62" i="4"/>
  <c r="Q61" i="4"/>
  <c r="Q63" i="4"/>
  <c r="R95" i="4"/>
  <c r="R93" i="4"/>
  <c r="Q95" i="4"/>
  <c r="Q93" i="4"/>
  <c r="AX140" i="43"/>
  <c r="AX163" i="43" s="1"/>
  <c r="AX170" i="43" s="1"/>
  <c r="AW44" i="43"/>
  <c r="AX107" i="43"/>
  <c r="AY70" i="43"/>
  <c r="AY118" i="43" s="1"/>
  <c r="AX69" i="43"/>
  <c r="AX175" i="43"/>
  <c r="AX176" i="43" s="1"/>
  <c r="AX139" i="43"/>
  <c r="AW43" i="43"/>
  <c r="AW46" i="43" s="1"/>
  <c r="AW141" i="43"/>
  <c r="AW164" i="43" s="1"/>
  <c r="AW171" i="43" s="1"/>
  <c r="AV164" i="43"/>
  <c r="AV171" i="43" s="1"/>
  <c r="R121" i="3"/>
  <c r="Q91" i="3"/>
  <c r="Q121" i="3"/>
  <c r="R91" i="3"/>
  <c r="Q23" i="4"/>
  <c r="Q39" i="4"/>
  <c r="U96" i="4" l="1"/>
  <c r="U87" i="3"/>
  <c r="U90" i="3" s="1"/>
  <c r="AY128" i="43"/>
  <c r="AY109" i="43"/>
  <c r="AY17" i="43"/>
  <c r="AW181" i="43"/>
  <c r="AW182" i="43" s="1"/>
  <c r="AW111" i="43"/>
  <c r="AV204" i="43"/>
  <c r="AU204" i="43"/>
  <c r="AV181" i="43"/>
  <c r="AV182" i="43" s="1"/>
  <c r="AV79" i="43"/>
  <c r="AV111" i="43"/>
  <c r="AX81" i="43"/>
  <c r="AX102" i="43"/>
  <c r="I59" i="2"/>
  <c r="I58" i="2" s="1"/>
  <c r="Q65" i="4"/>
  <c r="P137" i="3"/>
  <c r="H37" i="2" s="1"/>
  <c r="AY74" i="43"/>
  <c r="AX19" i="43"/>
  <c r="AX22" i="43" s="1"/>
  <c r="AX6" i="3" s="1"/>
  <c r="AX8" i="3" s="1"/>
  <c r="AX75" i="43"/>
  <c r="Q137" i="3"/>
  <c r="I37" i="2" s="1"/>
  <c r="I55" i="2"/>
  <c r="I54" i="2" s="1"/>
  <c r="AY12" i="43"/>
  <c r="AY14" i="43" s="1"/>
  <c r="AY100" i="43"/>
  <c r="AY199" i="43"/>
  <c r="AY66" i="43"/>
  <c r="AW199" i="43"/>
  <c r="AV56" i="3"/>
  <c r="AN69" i="3"/>
  <c r="AX202" i="43"/>
  <c r="AM69" i="3"/>
  <c r="AW56" i="3"/>
  <c r="Q67" i="4"/>
  <c r="Q69" i="4"/>
  <c r="AA85" i="4"/>
  <c r="V85" i="4"/>
  <c r="V83" i="4" s="1"/>
  <c r="X83" i="4"/>
  <c r="X8" i="4" s="1"/>
  <c r="AX106" i="43"/>
  <c r="AY69" i="43"/>
  <c r="AY106" i="43" s="1"/>
  <c r="AY139" i="43"/>
  <c r="AX43" i="43"/>
  <c r="AX141" i="43"/>
  <c r="AX164" i="43" s="1"/>
  <c r="AX171" i="43" s="1"/>
  <c r="AY202" i="43"/>
  <c r="AY175" i="43"/>
  <c r="AY176" i="43" s="1"/>
  <c r="AY107" i="43"/>
  <c r="AW202" i="43"/>
  <c r="AX162" i="43"/>
  <c r="AX169" i="43" s="1"/>
  <c r="AY140" i="43"/>
  <c r="AX44" i="43"/>
  <c r="R19" i="3"/>
  <c r="R25" i="3"/>
  <c r="U60" i="3" s="1"/>
  <c r="R86" i="3"/>
  <c r="Q41" i="4"/>
  <c r="AO69" i="3" l="1"/>
  <c r="AX56" i="3"/>
  <c r="AW200" i="43"/>
  <c r="AY102" i="43"/>
  <c r="AY200" i="43"/>
  <c r="AY19" i="43"/>
  <c r="AY22" i="43" s="1"/>
  <c r="AY6" i="3" s="1"/>
  <c r="AY8" i="3" s="1"/>
  <c r="AP69" i="3" s="1"/>
  <c r="AY130" i="43"/>
  <c r="AY75" i="43"/>
  <c r="AX200" i="43"/>
  <c r="Q71" i="4"/>
  <c r="I60" i="2"/>
  <c r="AX110" i="43"/>
  <c r="AX77" i="43"/>
  <c r="AX131" i="43"/>
  <c r="AY81" i="43"/>
  <c r="AX113" i="43"/>
  <c r="W8" i="4"/>
  <c r="R26" i="3"/>
  <c r="R76" i="3"/>
  <c r="AX46" i="43"/>
  <c r="V84" i="4"/>
  <c r="V8" i="4"/>
  <c r="X84" i="4"/>
  <c r="W83" i="4"/>
  <c r="Y85" i="4"/>
  <c r="Y83" i="4" s="1"/>
  <c r="AD85" i="4"/>
  <c r="AA83" i="4"/>
  <c r="AA8" i="4" s="1"/>
  <c r="AY43" i="43"/>
  <c r="AY141" i="43"/>
  <c r="AY164" i="43" s="1"/>
  <c r="AY171" i="43" s="1"/>
  <c r="AY162" i="43"/>
  <c r="AY169" i="43" s="1"/>
  <c r="AY44" i="43"/>
  <c r="AY163" i="43"/>
  <c r="AY170" i="43" s="1"/>
  <c r="R34" i="3"/>
  <c r="R39" i="3" s="1"/>
  <c r="AY56" i="3" l="1"/>
  <c r="AX79" i="43"/>
  <c r="AX181" i="43"/>
  <c r="AX182" i="43" s="1"/>
  <c r="AX111" i="43"/>
  <c r="AW203" i="43"/>
  <c r="AY110" i="43"/>
  <c r="AY203" i="43"/>
  <c r="AY77" i="43"/>
  <c r="AX204" i="43" s="1"/>
  <c r="AY131" i="43"/>
  <c r="AY121" i="43"/>
  <c r="AY113" i="43"/>
  <c r="AX203" i="43"/>
  <c r="Z8" i="4"/>
  <c r="Y84" i="4"/>
  <c r="Y8" i="4"/>
  <c r="Z83" i="4"/>
  <c r="AA84" i="4"/>
  <c r="AG85" i="4"/>
  <c r="AB85" i="4"/>
  <c r="AB83" i="4" s="1"/>
  <c r="AD83" i="4"/>
  <c r="AD8" i="4" s="1"/>
  <c r="W85" i="4"/>
  <c r="W84" i="4"/>
  <c r="AY46" i="43"/>
  <c r="R35" i="3"/>
  <c r="R40" i="3"/>
  <c r="R9" i="6"/>
  <c r="D16" i="2"/>
  <c r="O64" i="4"/>
  <c r="Z23" i="2" s="1"/>
  <c r="L105" i="4"/>
  <c r="I105" i="4"/>
  <c r="P164" i="4"/>
  <c r="Q160" i="4" s="1"/>
  <c r="P129" i="4"/>
  <c r="Q126" i="4" s="1"/>
  <c r="P122" i="4"/>
  <c r="P103" i="4"/>
  <c r="P102" i="4"/>
  <c r="P110" i="4" s="1"/>
  <c r="P87" i="4"/>
  <c r="P83" i="4"/>
  <c r="P79" i="4"/>
  <c r="W102" i="3"/>
  <c r="V102" i="3"/>
  <c r="I151" i="4"/>
  <c r="O88" i="3"/>
  <c r="M88" i="3"/>
  <c r="L88" i="3"/>
  <c r="I88" i="3"/>
  <c r="P88" i="3"/>
  <c r="I154" i="4"/>
  <c r="I155" i="4" s="1"/>
  <c r="U62" i="3" l="1"/>
  <c r="R50" i="3"/>
  <c r="AW204" i="43"/>
  <c r="AY79" i="43"/>
  <c r="AY204" i="43"/>
  <c r="AY111" i="43"/>
  <c r="AY181" i="43"/>
  <c r="AY182" i="43" s="1"/>
  <c r="AC8" i="4"/>
  <c r="R47" i="3"/>
  <c r="R77" i="3"/>
  <c r="X102" i="3"/>
  <c r="AB84" i="4"/>
  <c r="AB8" i="4"/>
  <c r="Y102" i="3"/>
  <c r="V110" i="4"/>
  <c r="Z102" i="3"/>
  <c r="W110" i="4"/>
  <c r="AE85" i="4"/>
  <c r="AE83" i="4" s="1"/>
  <c r="AJ85" i="4"/>
  <c r="AG83" i="4"/>
  <c r="AG8" i="4" s="1"/>
  <c r="P80" i="4"/>
  <c r="P81" i="4"/>
  <c r="AC83" i="4"/>
  <c r="AD84" i="4"/>
  <c r="P85" i="4"/>
  <c r="P84" i="4"/>
  <c r="Z85" i="4"/>
  <c r="Z84" i="4"/>
  <c r="R45" i="3"/>
  <c r="R41" i="3"/>
  <c r="Q131" i="4"/>
  <c r="Q128" i="4"/>
  <c r="Q135" i="4"/>
  <c r="Q137" i="4" s="1"/>
  <c r="Q113" i="4"/>
  <c r="Q121" i="4"/>
  <c r="Q144" i="4"/>
  <c r="Q145" i="4" s="1"/>
  <c r="P157" i="4"/>
  <c r="P106" i="4"/>
  <c r="P148" i="4"/>
  <c r="P91" i="4"/>
  <c r="P68" i="4" s="1"/>
  <c r="P70" i="4" s="1"/>
  <c r="R147" i="3" l="1"/>
  <c r="AF8" i="4"/>
  <c r="Q75" i="4"/>
  <c r="AA110" i="4"/>
  <c r="AA102" i="3"/>
  <c r="AE84" i="4"/>
  <c r="AE8" i="4"/>
  <c r="AC102" i="3"/>
  <c r="Z110" i="4"/>
  <c r="AB102" i="3"/>
  <c r="Y110" i="4"/>
  <c r="AC85" i="4"/>
  <c r="AC84" i="4"/>
  <c r="AF83" i="4"/>
  <c r="AG84" i="4"/>
  <c r="Q92" i="4"/>
  <c r="Q96" i="4" s="1"/>
  <c r="P93" i="4"/>
  <c r="P95" i="4"/>
  <c r="AM85" i="4"/>
  <c r="AH85" i="4"/>
  <c r="AH83" i="4" s="1"/>
  <c r="AJ83" i="4"/>
  <c r="AJ8" i="4" s="1"/>
  <c r="Q87" i="3"/>
  <c r="P135" i="4"/>
  <c r="P137" i="4" s="1"/>
  <c r="R137" i="4" s="1"/>
  <c r="R135" i="4"/>
  <c r="N123" i="3"/>
  <c r="N101" i="3"/>
  <c r="N104" i="3"/>
  <c r="N103" i="3"/>
  <c r="N102" i="3"/>
  <c r="N97" i="3"/>
  <c r="N96" i="3"/>
  <c r="N95" i="3"/>
  <c r="N94" i="3"/>
  <c r="I98" i="3"/>
  <c r="I56" i="4" s="1"/>
  <c r="N20" i="3"/>
  <c r="N38" i="3"/>
  <c r="N29" i="3"/>
  <c r="N24" i="3"/>
  <c r="N22" i="3"/>
  <c r="N6" i="3"/>
  <c r="N8" i="3" s="1"/>
  <c r="R167" i="4"/>
  <c r="I170" i="4"/>
  <c r="Q167" i="4"/>
  <c r="P46" i="4"/>
  <c r="O46" i="4"/>
  <c r="L46" i="4"/>
  <c r="I46" i="4"/>
  <c r="P37" i="4"/>
  <c r="O37" i="4"/>
  <c r="L37" i="4"/>
  <c r="I37" i="4"/>
  <c r="P31" i="4"/>
  <c r="O31" i="4"/>
  <c r="L31" i="4"/>
  <c r="P21" i="4"/>
  <c r="O21" i="4"/>
  <c r="L21" i="4"/>
  <c r="I21" i="4"/>
  <c r="P12" i="4"/>
  <c r="O12" i="4"/>
  <c r="L12" i="4"/>
  <c r="I12" i="4"/>
  <c r="O73" i="4" l="1"/>
  <c r="G34" i="2" s="1"/>
  <c r="N105" i="4"/>
  <c r="F16" i="2"/>
  <c r="P52" i="4"/>
  <c r="F15" i="2"/>
  <c r="N131" i="3"/>
  <c r="P53" i="4"/>
  <c r="P56" i="4"/>
  <c r="F10" i="2"/>
  <c r="N117" i="4"/>
  <c r="I73" i="4"/>
  <c r="I61" i="4"/>
  <c r="I62" i="4"/>
  <c r="N133" i="3"/>
  <c r="L73" i="4"/>
  <c r="L61" i="4"/>
  <c r="L62" i="4"/>
  <c r="I52" i="4"/>
  <c r="P73" i="4"/>
  <c r="H34" i="2" s="1"/>
  <c r="P62" i="4"/>
  <c r="P61" i="4"/>
  <c r="Q73" i="4"/>
  <c r="I34" i="2" s="1"/>
  <c r="L52" i="4"/>
  <c r="F18" i="2"/>
  <c r="L53" i="4"/>
  <c r="L56" i="4"/>
  <c r="F20" i="2"/>
  <c r="AI8" i="4"/>
  <c r="N74" i="3"/>
  <c r="Q57" i="3"/>
  <c r="N79" i="3"/>
  <c r="N81" i="3"/>
  <c r="F32" i="2" s="1"/>
  <c r="N69" i="3"/>
  <c r="Q56" i="3"/>
  <c r="I27" i="2" s="1"/>
  <c r="N80" i="3"/>
  <c r="F31" i="2" s="1"/>
  <c r="Q59" i="3"/>
  <c r="I28" i="2" s="1"/>
  <c r="AD102" i="3"/>
  <c r="AH84" i="4"/>
  <c r="AH8" i="4"/>
  <c r="N32" i="3"/>
  <c r="N154" i="4"/>
  <c r="AE102" i="3"/>
  <c r="AB110" i="4"/>
  <c r="AC110" i="4"/>
  <c r="AD110" i="4"/>
  <c r="AF102" i="3"/>
  <c r="AF84" i="4"/>
  <c r="AF85" i="4"/>
  <c r="AP85" i="4"/>
  <c r="AK85" i="4"/>
  <c r="AK83" i="4" s="1"/>
  <c r="AM83" i="4"/>
  <c r="AM8" i="4" s="1"/>
  <c r="AJ84" i="4"/>
  <c r="AI83" i="4"/>
  <c r="N18" i="3"/>
  <c r="N106" i="3"/>
  <c r="M121" i="3"/>
  <c r="N98" i="3"/>
  <c r="O39" i="4"/>
  <c r="O121" i="3"/>
  <c r="L25" i="3"/>
  <c r="L39" i="4"/>
  <c r="P39" i="4"/>
  <c r="O23" i="4"/>
  <c r="P88" i="4"/>
  <c r="P97" i="4" s="1"/>
  <c r="P89" i="4"/>
  <c r="M25" i="3"/>
  <c r="P25" i="3"/>
  <c r="S60" i="3" s="1"/>
  <c r="P23" i="4"/>
  <c r="I39" i="4"/>
  <c r="L23" i="4"/>
  <c r="I23" i="4"/>
  <c r="N134" i="3" l="1"/>
  <c r="N137" i="3" s="1"/>
  <c r="F37" i="2" s="1"/>
  <c r="M76" i="3"/>
  <c r="L76" i="3"/>
  <c r="F13" i="2"/>
  <c r="G59" i="2"/>
  <c r="G58" i="2" s="1"/>
  <c r="N88" i="3"/>
  <c r="O67" i="4"/>
  <c r="G55" i="2"/>
  <c r="G54" i="2" s="1"/>
  <c r="I69" i="4"/>
  <c r="I74" i="4" s="1"/>
  <c r="I67" i="4"/>
  <c r="L69" i="4"/>
  <c r="L67" i="4"/>
  <c r="I65" i="4"/>
  <c r="H55" i="2"/>
  <c r="H54" i="2" s="1"/>
  <c r="P69" i="4"/>
  <c r="P67" i="4"/>
  <c r="H59" i="2"/>
  <c r="H58" i="2" s="1"/>
  <c r="P65" i="4"/>
  <c r="N132" i="3"/>
  <c r="N138" i="3"/>
  <c r="N136" i="3"/>
  <c r="F36" i="2" s="1"/>
  <c r="L65" i="4"/>
  <c r="AL8" i="4"/>
  <c r="N75" i="3"/>
  <c r="Q58" i="3"/>
  <c r="P76" i="3"/>
  <c r="P60" i="3"/>
  <c r="AG102" i="3"/>
  <c r="AK84" i="4"/>
  <c r="AK8" i="4"/>
  <c r="AF110" i="4"/>
  <c r="AI102" i="3"/>
  <c r="AG110" i="4"/>
  <c r="AH102" i="3"/>
  <c r="AE110" i="4"/>
  <c r="AN85" i="4"/>
  <c r="AN83" i="4" s="1"/>
  <c r="AS85" i="4"/>
  <c r="AP83" i="4"/>
  <c r="AP8" i="4" s="1"/>
  <c r="AL83" i="4"/>
  <c r="AM84" i="4"/>
  <c r="AI85" i="4"/>
  <c r="AI84" i="4"/>
  <c r="P34" i="3"/>
  <c r="P39" i="3" s="1"/>
  <c r="P26" i="3"/>
  <c r="L34" i="3"/>
  <c r="L39" i="3" s="1"/>
  <c r="L26" i="3"/>
  <c r="M34" i="3"/>
  <c r="M39" i="3" s="1"/>
  <c r="M26" i="3"/>
  <c r="O19" i="3"/>
  <c r="O25" i="3"/>
  <c r="O41" i="4"/>
  <c r="L41" i="4"/>
  <c r="L19" i="3"/>
  <c r="P41" i="4"/>
  <c r="I41" i="4"/>
  <c r="M19" i="3"/>
  <c r="P19" i="3"/>
  <c r="N25" i="3"/>
  <c r="I173" i="4"/>
  <c r="AJ118" i="4"/>
  <c r="AG118" i="4"/>
  <c r="AD118" i="4"/>
  <c r="AA118" i="4"/>
  <c r="X118" i="4"/>
  <c r="AJ116" i="4"/>
  <c r="AG116" i="4"/>
  <c r="AD116" i="4"/>
  <c r="AA116" i="4"/>
  <c r="X116" i="4"/>
  <c r="AJ115" i="4"/>
  <c r="AG115" i="4"/>
  <c r="AD115" i="4"/>
  <c r="AA115" i="4"/>
  <c r="X115" i="4"/>
  <c r="AJ106" i="4"/>
  <c r="AJ104" i="4"/>
  <c r="AJ103" i="4"/>
  <c r="AG106" i="4"/>
  <c r="AG104" i="4"/>
  <c r="AG103" i="4"/>
  <c r="AD106" i="4"/>
  <c r="AD104" i="4"/>
  <c r="AD103" i="4"/>
  <c r="AA106" i="4"/>
  <c r="AA104" i="4"/>
  <c r="AA103" i="4"/>
  <c r="X106" i="4"/>
  <c r="X104" i="4"/>
  <c r="X103" i="4"/>
  <c r="L103" i="4"/>
  <c r="I103" i="4"/>
  <c r="P91" i="3"/>
  <c r="AA90" i="3"/>
  <c r="X90" i="3"/>
  <c r="P89" i="3"/>
  <c r="O157" i="4"/>
  <c r="L157" i="4"/>
  <c r="I157" i="4"/>
  <c r="L74" i="4" l="1"/>
  <c r="P47" i="4"/>
  <c r="H60" i="2"/>
  <c r="P71" i="4"/>
  <c r="F14" i="2"/>
  <c r="F12" i="2"/>
  <c r="M35" i="3"/>
  <c r="L47" i="4"/>
  <c r="L71" i="4"/>
  <c r="Q74" i="4"/>
  <c r="I35" i="2" s="1"/>
  <c r="O47" i="4"/>
  <c r="G60" i="2"/>
  <c r="L35" i="3"/>
  <c r="I47" i="4"/>
  <c r="I71" i="4"/>
  <c r="P35" i="3"/>
  <c r="F17" i="2"/>
  <c r="F19" i="2" s="1"/>
  <c r="F21" i="2" s="1"/>
  <c r="F22" i="2" s="1"/>
  <c r="AO8" i="4"/>
  <c r="O60" i="3"/>
  <c r="O76" i="3"/>
  <c r="R60" i="3"/>
  <c r="N76" i="3"/>
  <c r="Q60" i="3"/>
  <c r="AJ102" i="3"/>
  <c r="AN84" i="4"/>
  <c r="AN8" i="4"/>
  <c r="AL102" i="3"/>
  <c r="AI110" i="4"/>
  <c r="AJ110" i="4"/>
  <c r="AK102" i="3"/>
  <c r="AH110" i="4"/>
  <c r="AL84" i="4"/>
  <c r="AL85" i="4"/>
  <c r="AP84" i="4"/>
  <c r="AO83" i="4"/>
  <c r="AV85" i="4"/>
  <c r="AQ85" i="4"/>
  <c r="AQ83" i="4" s="1"/>
  <c r="AS83" i="4"/>
  <c r="AS8" i="4" s="1"/>
  <c r="O34" i="3"/>
  <c r="O39" i="3" s="1"/>
  <c r="O26" i="3"/>
  <c r="N34" i="3"/>
  <c r="N39" i="3" s="1"/>
  <c r="N26" i="3"/>
  <c r="P40" i="3"/>
  <c r="S62" i="3" s="1"/>
  <c r="L40" i="3"/>
  <c r="N19" i="3"/>
  <c r="I121" i="3"/>
  <c r="P121" i="3"/>
  <c r="N35" i="3" l="1"/>
  <c r="O35" i="3"/>
  <c r="AR8" i="4"/>
  <c r="L41" i="3"/>
  <c r="L77" i="3"/>
  <c r="P41" i="3"/>
  <c r="P77" i="3"/>
  <c r="AM102" i="3"/>
  <c r="AQ84" i="4"/>
  <c r="AQ8" i="4"/>
  <c r="AK110" i="4"/>
  <c r="AN102" i="3"/>
  <c r="AO102" i="3"/>
  <c r="AL110" i="4"/>
  <c r="AM110" i="4"/>
  <c r="AY85" i="4"/>
  <c r="AT85" i="4"/>
  <c r="AT83" i="4" s="1"/>
  <c r="AV83" i="4"/>
  <c r="AV8" i="4" s="1"/>
  <c r="AO85" i="4"/>
  <c r="AO84" i="4"/>
  <c r="AR83" i="4"/>
  <c r="AS84" i="4"/>
  <c r="P45" i="3"/>
  <c r="Q45" i="3" s="1"/>
  <c r="Q44" i="3" s="1"/>
  <c r="L45" i="3"/>
  <c r="L47" i="3"/>
  <c r="O40" i="3"/>
  <c r="P47" i="3"/>
  <c r="P161" i="4"/>
  <c r="M40" i="3"/>
  <c r="N121" i="3"/>
  <c r="V11" i="4" l="1"/>
  <c r="P62" i="3"/>
  <c r="AU8" i="4"/>
  <c r="O41" i="3"/>
  <c r="O77" i="3"/>
  <c r="R62" i="3"/>
  <c r="M41" i="3"/>
  <c r="M77" i="3"/>
  <c r="AP102" i="3"/>
  <c r="AT84" i="4"/>
  <c r="AT8" i="4"/>
  <c r="AR102" i="3"/>
  <c r="AO110" i="4"/>
  <c r="AP110" i="4"/>
  <c r="AN110" i="4"/>
  <c r="AQ102" i="3"/>
  <c r="AV84" i="4"/>
  <c r="AU83" i="4"/>
  <c r="AR85" i="4"/>
  <c r="AR84" i="4"/>
  <c r="AW85" i="4"/>
  <c r="AW83" i="4" s="1"/>
  <c r="AY83" i="4"/>
  <c r="AY8" i="4" s="1"/>
  <c r="I47" i="3"/>
  <c r="M47" i="3"/>
  <c r="O45" i="3"/>
  <c r="O47" i="3"/>
  <c r="M45" i="3"/>
  <c r="X11" i="4" l="1"/>
  <c r="AX8" i="4"/>
  <c r="AS102" i="3"/>
  <c r="AW84" i="4"/>
  <c r="AW8" i="4"/>
  <c r="AQ110" i="4"/>
  <c r="AT102" i="3"/>
  <c r="AU102" i="3"/>
  <c r="AR110" i="4"/>
  <c r="AS110" i="4"/>
  <c r="AY84" i="4"/>
  <c r="AX83" i="4"/>
  <c r="AU85" i="4"/>
  <c r="AU84" i="4"/>
  <c r="N45" i="3"/>
  <c r="W11" i="4" l="1"/>
  <c r="Y11" i="4"/>
  <c r="AV102" i="3"/>
  <c r="AX102" i="3"/>
  <c r="AU110" i="4"/>
  <c r="AV110" i="4"/>
  <c r="AT110" i="4"/>
  <c r="AW102" i="3"/>
  <c r="AX85" i="4"/>
  <c r="AX84" i="4"/>
  <c r="AA11" i="4" l="1"/>
  <c r="AY102" i="3"/>
  <c r="AW110" i="4"/>
  <c r="AX110" i="4"/>
  <c r="AY110" i="4"/>
  <c r="Z11" i="4" l="1"/>
  <c r="AB11" i="4"/>
  <c r="AD11" i="4" l="1"/>
  <c r="I124" i="3"/>
  <c r="L122" i="3" s="1"/>
  <c r="L124" i="3" s="1"/>
  <c r="AC11" i="4" l="1"/>
  <c r="AE11" i="4"/>
  <c r="L125" i="3"/>
  <c r="O122" i="3"/>
  <c r="O124" i="3" s="1"/>
  <c r="AG11" i="4" l="1"/>
  <c r="O125" i="3"/>
  <c r="R122" i="3"/>
  <c r="R124" i="3" s="1"/>
  <c r="M122" i="3"/>
  <c r="M124" i="3" s="1"/>
  <c r="N122" i="3" s="1"/>
  <c r="N124" i="3" s="1"/>
  <c r="U122" i="3" l="1"/>
  <c r="U124" i="3" s="1"/>
  <c r="U125" i="3" s="1"/>
  <c r="S122" i="3"/>
  <c r="S124" i="3" s="1"/>
  <c r="T122" i="3" s="1"/>
  <c r="T124" i="3" s="1"/>
  <c r="T125" i="3" s="1"/>
  <c r="AF11" i="4"/>
  <c r="AH11" i="4"/>
  <c r="R125" i="3"/>
  <c r="P122" i="3"/>
  <c r="P124" i="3" s="1"/>
  <c r="Q122" i="3" s="1"/>
  <c r="Q124" i="3" s="1"/>
  <c r="Q125" i="3" s="1"/>
  <c r="AJ11" i="4" l="1"/>
  <c r="P86" i="3"/>
  <c r="AI11" i="4" l="1"/>
  <c r="AK11" i="4"/>
  <c r="O86" i="3"/>
  <c r="AM11" i="4" l="1"/>
  <c r="O135" i="4"/>
  <c r="O137" i="4" s="1"/>
  <c r="AJ173" i="4"/>
  <c r="AG173" i="4"/>
  <c r="AD173" i="4"/>
  <c r="AA173" i="4"/>
  <c r="X173" i="4"/>
  <c r="AJ168" i="4"/>
  <c r="AG168" i="4"/>
  <c r="AD168" i="4"/>
  <c r="AA168" i="4"/>
  <c r="X168" i="4"/>
  <c r="AJ169" i="4"/>
  <c r="AG169" i="4"/>
  <c r="AD169" i="4"/>
  <c r="AA169" i="4"/>
  <c r="X169" i="4"/>
  <c r="I167" i="4"/>
  <c r="AJ163" i="4"/>
  <c r="AG163" i="4"/>
  <c r="AD163" i="4"/>
  <c r="AA163" i="4"/>
  <c r="X163" i="4"/>
  <c r="L164" i="4"/>
  <c r="O160" i="4" s="1"/>
  <c r="I164" i="4"/>
  <c r="I160" i="4"/>
  <c r="O164" i="4"/>
  <c r="R160" i="4" s="1"/>
  <c r="AJ145" i="4"/>
  <c r="AG145" i="4"/>
  <c r="AD145" i="4"/>
  <c r="AA145" i="4"/>
  <c r="X145" i="4"/>
  <c r="I148" i="4"/>
  <c r="L129" i="4"/>
  <c r="I129" i="4"/>
  <c r="I126" i="4"/>
  <c r="O129" i="4"/>
  <c r="AA123" i="3"/>
  <c r="X123" i="3"/>
  <c r="O91" i="3"/>
  <c r="M91" i="3"/>
  <c r="L91" i="3"/>
  <c r="I91" i="3"/>
  <c r="O89" i="3"/>
  <c r="M89" i="3"/>
  <c r="L89" i="3"/>
  <c r="I89" i="3"/>
  <c r="D11" i="2"/>
  <c r="AN11" i="4" l="1"/>
  <c r="AL11" i="4"/>
  <c r="R126" i="4"/>
  <c r="R131" i="4" s="1"/>
  <c r="L126" i="4"/>
  <c r="L128" i="4" s="1"/>
  <c r="I128" i="4"/>
  <c r="R144" i="4"/>
  <c r="P144" i="4"/>
  <c r="P145" i="4" s="1"/>
  <c r="R145" i="4" s="1"/>
  <c r="O152" i="4"/>
  <c r="P152" i="4"/>
  <c r="P160" i="4"/>
  <c r="P163" i="4" s="1"/>
  <c r="P126" i="4"/>
  <c r="I144" i="4"/>
  <c r="O148" i="4"/>
  <c r="O144" i="4"/>
  <c r="L148" i="4"/>
  <c r="L152" i="4" s="1"/>
  <c r="L131" i="4"/>
  <c r="L160" i="4"/>
  <c r="L144" i="4"/>
  <c r="N89" i="3"/>
  <c r="N91" i="3"/>
  <c r="I169" i="4"/>
  <c r="I131" i="4"/>
  <c r="O126" i="4"/>
  <c r="O131" i="4" s="1"/>
  <c r="AP11" i="4" l="1"/>
  <c r="O128" i="4"/>
  <c r="P131" i="4"/>
  <c r="P128" i="4"/>
  <c r="R128" i="4" s="1"/>
  <c r="I152" i="4"/>
  <c r="L145" i="4"/>
  <c r="I145" i="4"/>
  <c r="O145" i="4"/>
  <c r="K57" i="2" l="1"/>
  <c r="AQ11" i="4"/>
  <c r="AO11" i="4"/>
  <c r="V131" i="4"/>
  <c r="Y131" i="4" s="1"/>
  <c r="AB131" i="4" s="1"/>
  <c r="AE131" i="4" s="1"/>
  <c r="AH131" i="4" s="1"/>
  <c r="AK131" i="4" s="1"/>
  <c r="AN131" i="4" s="1"/>
  <c r="AQ131" i="4" s="1"/>
  <c r="AT131" i="4" s="1"/>
  <c r="AW131" i="4" s="1"/>
  <c r="O57" i="3"/>
  <c r="AS11" i="4" l="1"/>
  <c r="X144" i="4"/>
  <c r="X146" i="4" s="1"/>
  <c r="X34" i="4" s="1"/>
  <c r="V144" i="4"/>
  <c r="V146" i="4" s="1"/>
  <c r="AA144" i="4"/>
  <c r="AA146" i="4" s="1"/>
  <c r="AA34" i="4" s="1"/>
  <c r="Y144" i="4" l="1"/>
  <c r="Y146" i="4" s="1"/>
  <c r="M57" i="2"/>
  <c r="Z34" i="4"/>
  <c r="S57" i="2"/>
  <c r="W34" i="4"/>
  <c r="P57" i="2"/>
  <c r="AR11" i="4"/>
  <c r="AT11" i="4"/>
  <c r="K52" i="2"/>
  <c r="Y151" i="4"/>
  <c r="Y30" i="3" s="1"/>
  <c r="Y34" i="4"/>
  <c r="V151" i="4"/>
  <c r="V30" i="3" s="1"/>
  <c r="V34" i="4"/>
  <c r="W144" i="4"/>
  <c r="W146" i="4" s="1"/>
  <c r="W151" i="4" s="1"/>
  <c r="W30" i="3" s="1"/>
  <c r="AB144" i="4"/>
  <c r="AB146" i="4" s="1"/>
  <c r="AD144" i="4"/>
  <c r="AD146" i="4" s="1"/>
  <c r="AD34" i="4" s="1"/>
  <c r="Z144" i="4"/>
  <c r="Z146" i="4" s="1"/>
  <c r="Z151" i="4" s="1"/>
  <c r="Z30" i="3" s="1"/>
  <c r="N57" i="2" l="1"/>
  <c r="O57" i="2"/>
  <c r="R57" i="2"/>
  <c r="AV11" i="4"/>
  <c r="Q57" i="2"/>
  <c r="AC34" i="4"/>
  <c r="X30" i="3"/>
  <c r="AB151" i="4"/>
  <c r="AB30" i="3" s="1"/>
  <c r="AB34" i="4"/>
  <c r="AA30" i="3"/>
  <c r="X151" i="4"/>
  <c r="AA151" i="4"/>
  <c r="AG144" i="4"/>
  <c r="AG146" i="4" s="1"/>
  <c r="AG34" i="4" s="1"/>
  <c r="AE144" i="4"/>
  <c r="AE146" i="4" s="1"/>
  <c r="AC144" i="4"/>
  <c r="AC146" i="4" s="1"/>
  <c r="AC151" i="4" s="1"/>
  <c r="AC30" i="3" s="1"/>
  <c r="AF34" i="4" l="1"/>
  <c r="AU11" i="4"/>
  <c r="AW11" i="4"/>
  <c r="AE151" i="4"/>
  <c r="AE30" i="3" s="1"/>
  <c r="AE34" i="4"/>
  <c r="AD30" i="3"/>
  <c r="AD151" i="4"/>
  <c r="AF144" i="4"/>
  <c r="AF146" i="4" s="1"/>
  <c r="AF151" i="4" s="1"/>
  <c r="AF30" i="3" s="1"/>
  <c r="AJ144" i="4"/>
  <c r="AJ146" i="4" s="1"/>
  <c r="AJ34" i="4" s="1"/>
  <c r="AH144" i="4"/>
  <c r="AH146" i="4" s="1"/>
  <c r="AY11" i="4" l="1"/>
  <c r="AG30" i="3"/>
  <c r="AI34" i="4"/>
  <c r="AH151" i="4"/>
  <c r="AH30" i="3" s="1"/>
  <c r="AH34" i="4"/>
  <c r="AK144" i="4"/>
  <c r="AK146" i="4" s="1"/>
  <c r="AK34" i="4" s="1"/>
  <c r="AM144" i="4"/>
  <c r="AM146" i="4" s="1"/>
  <c r="AM34" i="4" s="1"/>
  <c r="AG151" i="4"/>
  <c r="AI144" i="4"/>
  <c r="AI146" i="4" s="1"/>
  <c r="AI151" i="4" s="1"/>
  <c r="AI30" i="3" s="1"/>
  <c r="AJ30" i="3" l="1"/>
  <c r="AL34" i="4"/>
  <c r="AX11" i="4"/>
  <c r="AP144" i="4"/>
  <c r="AP146" i="4" s="1"/>
  <c r="AP34" i="4" s="1"/>
  <c r="AN144" i="4"/>
  <c r="AN146" i="4" s="1"/>
  <c r="AN34" i="4" s="1"/>
  <c r="AK151" i="4"/>
  <c r="AK30" i="3" s="1"/>
  <c r="AL144" i="4"/>
  <c r="AL146" i="4" s="1"/>
  <c r="AJ151" i="4"/>
  <c r="AO34" i="4" l="1"/>
  <c r="AQ144" i="4"/>
  <c r="AQ146" i="4" s="1"/>
  <c r="AQ34" i="4" s="1"/>
  <c r="AS144" i="4"/>
  <c r="AS146" i="4" s="1"/>
  <c r="AS34" i="4" s="1"/>
  <c r="AN151" i="4"/>
  <c r="AN30" i="3" s="1"/>
  <c r="AO144" i="4"/>
  <c r="AO146" i="4" s="1"/>
  <c r="AL151" i="4"/>
  <c r="AL30" i="3" s="1"/>
  <c r="AM30" i="3" s="1"/>
  <c r="AR34" i="4" l="1"/>
  <c r="AM151" i="4"/>
  <c r="AT144" i="4"/>
  <c r="AT146" i="4" s="1"/>
  <c r="AT34" i="4" s="1"/>
  <c r="AV144" i="4"/>
  <c r="AV146" i="4" s="1"/>
  <c r="AV34" i="4" s="1"/>
  <c r="AQ151" i="4"/>
  <c r="AQ30" i="3" s="1"/>
  <c r="AR144" i="4"/>
  <c r="AR146" i="4" s="1"/>
  <c r="AO151" i="4"/>
  <c r="AO30" i="3" s="1"/>
  <c r="AP30" i="3" s="1"/>
  <c r="AU34" i="4" l="1"/>
  <c r="AP151" i="4"/>
  <c r="AY144" i="4"/>
  <c r="AY146" i="4" s="1"/>
  <c r="AY34" i="4" s="1"/>
  <c r="AW144" i="4"/>
  <c r="AW146" i="4" s="1"/>
  <c r="AW34" i="4" s="1"/>
  <c r="AT151" i="4"/>
  <c r="AT30" i="3" s="1"/>
  <c r="AU144" i="4"/>
  <c r="AU146" i="4" s="1"/>
  <c r="AR151" i="4"/>
  <c r="AR30" i="3" s="1"/>
  <c r="AS30" i="3" s="1"/>
  <c r="AX34" i="4" l="1"/>
  <c r="AS151" i="4"/>
  <c r="AW151" i="4"/>
  <c r="AW30" i="3" s="1"/>
  <c r="AX144" i="4"/>
  <c r="AX146" i="4" s="1"/>
  <c r="AU151" i="4"/>
  <c r="AU30" i="3" s="1"/>
  <c r="AV30" i="3" s="1"/>
  <c r="I86" i="3"/>
  <c r="AV151" i="4" l="1"/>
  <c r="AX151" i="4"/>
  <c r="AX30" i="3" s="1"/>
  <c r="AY30" i="3" s="1"/>
  <c r="N86" i="3"/>
  <c r="G68" i="2"/>
  <c r="M86" i="3"/>
  <c r="O59" i="3"/>
  <c r="O58" i="3"/>
  <c r="D68" i="2"/>
  <c r="L86" i="3"/>
  <c r="E68" i="2"/>
  <c r="AY151" i="4" l="1"/>
  <c r="F68" i="2"/>
  <c r="E62" i="2" l="1"/>
  <c r="G62" i="2"/>
  <c r="L161" i="4"/>
  <c r="L163" i="4" s="1"/>
  <c r="I161" i="4"/>
  <c r="I163" i="4" s="1"/>
  <c r="O62" i="3"/>
  <c r="O161" i="4"/>
  <c r="O163" i="4" s="1"/>
  <c r="H30" i="6"/>
  <c r="G30" i="6"/>
  <c r="F30" i="6"/>
  <c r="E30" i="6"/>
  <c r="D30" i="6"/>
  <c r="C30" i="6"/>
  <c r="AI27" i="2"/>
  <c r="AF27" i="2"/>
  <c r="AC27" i="2"/>
  <c r="Z27" i="2"/>
  <c r="W27" i="2"/>
  <c r="AI9" i="2"/>
  <c r="AF9" i="2"/>
  <c r="AC9" i="2"/>
  <c r="Z9" i="2"/>
  <c r="W9" i="2"/>
  <c r="P66" i="2"/>
  <c r="M66" i="2"/>
  <c r="J66" i="2"/>
  <c r="G66" i="2"/>
  <c r="D66" i="2"/>
  <c r="P49" i="2"/>
  <c r="P40" i="2"/>
  <c r="M49" i="2"/>
  <c r="M40" i="2"/>
  <c r="J49" i="2"/>
  <c r="J40" i="2"/>
  <c r="G49" i="2"/>
  <c r="G40" i="2"/>
  <c r="D56" i="2"/>
  <c r="D51" i="2"/>
  <c r="D50" i="2"/>
  <c r="D49" i="2"/>
  <c r="D40" i="2"/>
  <c r="P26" i="2"/>
  <c r="M26" i="2"/>
  <c r="J26" i="2"/>
  <c r="G26" i="2"/>
  <c r="D26" i="2"/>
  <c r="P9" i="2"/>
  <c r="M9" i="2"/>
  <c r="J9" i="2"/>
  <c r="G9" i="2"/>
  <c r="D9" i="2"/>
  <c r="D20" i="2"/>
  <c r="D15" i="2"/>
  <c r="D74" i="2" l="1"/>
  <c r="O63" i="4"/>
  <c r="E70" i="2"/>
  <c r="G70" i="2"/>
  <c r="D70" i="2"/>
  <c r="G74" i="2"/>
  <c r="F70" i="2" l="1"/>
  <c r="C50" i="6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C20" i="6"/>
  <c r="C17" i="6"/>
  <c r="C9" i="6"/>
  <c r="L102" i="4"/>
  <c r="L110" i="4" s="1"/>
  <c r="O52" i="3"/>
  <c r="L49" i="3"/>
  <c r="I49" i="3"/>
  <c r="O49" i="3"/>
  <c r="N49" i="3"/>
  <c r="Y10" i="2" s="1"/>
  <c r="M49" i="3"/>
  <c r="X10" i="2" s="1"/>
  <c r="L113" i="4"/>
  <c r="L116" i="4"/>
  <c r="I116" i="4"/>
  <c r="L115" i="4"/>
  <c r="I115" i="4"/>
  <c r="O116" i="4"/>
  <c r="O115" i="4"/>
  <c r="O122" i="4"/>
  <c r="L122" i="4"/>
  <c r="I122" i="4"/>
  <c r="I107" i="4"/>
  <c r="I102" i="4"/>
  <c r="I110" i="4" s="1"/>
  <c r="L101" i="4"/>
  <c r="I101" i="4"/>
  <c r="O87" i="4"/>
  <c r="L87" i="4"/>
  <c r="I87" i="4"/>
  <c r="O83" i="4"/>
  <c r="L83" i="4"/>
  <c r="I83" i="4"/>
  <c r="L79" i="4"/>
  <c r="I79" i="4"/>
  <c r="O79" i="4"/>
  <c r="O53" i="4"/>
  <c r="G44" i="2"/>
  <c r="D44" i="2"/>
  <c r="G43" i="2"/>
  <c r="D43" i="2"/>
  <c r="M52" i="3"/>
  <c r="L52" i="3"/>
  <c r="B1" i="4"/>
  <c r="B1" i="6"/>
  <c r="B1" i="3"/>
  <c r="B1" i="2"/>
  <c r="O51" i="3" l="1"/>
  <c r="Z10" i="2"/>
  <c r="O151" i="3"/>
  <c r="Z20" i="2" s="1"/>
  <c r="O140" i="3"/>
  <c r="O153" i="3"/>
  <c r="O50" i="3"/>
  <c r="L150" i="3"/>
  <c r="L151" i="3"/>
  <c r="W20" i="2" s="1"/>
  <c r="L81" i="4"/>
  <c r="L80" i="4"/>
  <c r="I85" i="4"/>
  <c r="I84" i="4"/>
  <c r="I80" i="4"/>
  <c r="I81" i="4"/>
  <c r="L85" i="4"/>
  <c r="L84" i="4"/>
  <c r="O81" i="4"/>
  <c r="O80" i="4"/>
  <c r="O85" i="4"/>
  <c r="O84" i="4"/>
  <c r="C25" i="6"/>
  <c r="P109" i="4"/>
  <c r="R113" i="4"/>
  <c r="R121" i="4"/>
  <c r="P113" i="4"/>
  <c r="P118" i="4" s="1"/>
  <c r="P121" i="4"/>
  <c r="G28" i="2"/>
  <c r="I52" i="3"/>
  <c r="L91" i="4"/>
  <c r="L68" i="4" s="1"/>
  <c r="L70" i="4" s="1"/>
  <c r="L75" i="4" s="1"/>
  <c r="L121" i="4"/>
  <c r="O91" i="4"/>
  <c r="I106" i="4"/>
  <c r="D13" i="2"/>
  <c r="O109" i="4"/>
  <c r="I113" i="4"/>
  <c r="O113" i="4"/>
  <c r="I109" i="4"/>
  <c r="O121" i="4"/>
  <c r="O52" i="4"/>
  <c r="I91" i="4"/>
  <c r="I68" i="4" s="1"/>
  <c r="I70" i="4" s="1"/>
  <c r="I75" i="4" s="1"/>
  <c r="O62" i="4"/>
  <c r="O61" i="4"/>
  <c r="I121" i="4"/>
  <c r="O106" i="4"/>
  <c r="L109" i="4"/>
  <c r="W13" i="2"/>
  <c r="L106" i="4"/>
  <c r="O88" i="4"/>
  <c r="O97" i="4" s="1"/>
  <c r="O89" i="4"/>
  <c r="D67" i="2"/>
  <c r="I88" i="4"/>
  <c r="I97" i="4" s="1"/>
  <c r="I89" i="4"/>
  <c r="G41" i="2"/>
  <c r="G45" i="2" s="1"/>
  <c r="O56" i="4"/>
  <c r="G67" i="2"/>
  <c r="G27" i="2"/>
  <c r="L89" i="4"/>
  <c r="L88" i="4"/>
  <c r="L97" i="4" s="1"/>
  <c r="D41" i="2"/>
  <c r="D45" i="2" s="1"/>
  <c r="W10" i="2"/>
  <c r="D37" i="6" l="1"/>
  <c r="O141" i="3"/>
  <c r="L140" i="3"/>
  <c r="L141" i="3" s="1"/>
  <c r="Z11" i="2"/>
  <c r="C96" i="6"/>
  <c r="L95" i="4"/>
  <c r="L93" i="4"/>
  <c r="O93" i="4"/>
  <c r="O95" i="4"/>
  <c r="X81" i="4"/>
  <c r="I93" i="4"/>
  <c r="I95" i="4"/>
  <c r="P92" i="4"/>
  <c r="P96" i="4" s="1"/>
  <c r="R92" i="4"/>
  <c r="R96" i="4" s="1"/>
  <c r="W14" i="2"/>
  <c r="D75" i="2" s="1"/>
  <c r="G75" i="2"/>
  <c r="O68" i="4"/>
  <c r="O70" i="4" s="1"/>
  <c r="N52" i="3"/>
  <c r="O92" i="4"/>
  <c r="L92" i="4"/>
  <c r="I118" i="4"/>
  <c r="O69" i="4"/>
  <c r="I92" i="4"/>
  <c r="D59" i="2"/>
  <c r="D58" i="2" s="1"/>
  <c r="O65" i="4"/>
  <c r="D55" i="2"/>
  <c r="D54" i="2" s="1"/>
  <c r="D35" i="2"/>
  <c r="N87" i="3"/>
  <c r="G69" i="2"/>
  <c r="L118" i="4"/>
  <c r="M87" i="3"/>
  <c r="G42" i="2"/>
  <c r="G73" i="2" s="1"/>
  <c r="D42" i="2"/>
  <c r="D73" i="2" s="1"/>
  <c r="D37" i="2"/>
  <c r="D31" i="2"/>
  <c r="D69" i="2" s="1"/>
  <c r="D14" i="2"/>
  <c r="D12" i="2"/>
  <c r="D17" i="2"/>
  <c r="D19" i="2" s="1"/>
  <c r="D21" i="2" s="1"/>
  <c r="D62" i="2" s="1"/>
  <c r="C71" i="6"/>
  <c r="H44" i="6" s="1"/>
  <c r="L142" i="3" l="1"/>
  <c r="L145" i="3"/>
  <c r="L143" i="3"/>
  <c r="W18" i="2" s="1"/>
  <c r="D77" i="2" s="1"/>
  <c r="L144" i="3"/>
  <c r="W19" i="2" s="1"/>
  <c r="O74" i="4"/>
  <c r="G35" i="2" s="1"/>
  <c r="P74" i="4"/>
  <c r="H35" i="2" s="1"/>
  <c r="O144" i="3"/>
  <c r="Z19" i="2" s="1"/>
  <c r="O145" i="3"/>
  <c r="O143" i="3"/>
  <c r="Z18" i="2" s="1"/>
  <c r="G77" i="2" s="1"/>
  <c r="O142" i="3"/>
  <c r="O75" i="4"/>
  <c r="R75" i="4"/>
  <c r="P75" i="4"/>
  <c r="AA81" i="4"/>
  <c r="V81" i="4"/>
  <c r="V79" i="4" s="1"/>
  <c r="V7" i="4" s="1"/>
  <c r="X79" i="4"/>
  <c r="X7" i="4" s="1"/>
  <c r="I87" i="3"/>
  <c r="I96" i="4"/>
  <c r="L87" i="3"/>
  <c r="L96" i="4"/>
  <c r="O87" i="3"/>
  <c r="O96" i="4"/>
  <c r="R87" i="3"/>
  <c r="P87" i="3"/>
  <c r="M90" i="3"/>
  <c r="N90" i="3"/>
  <c r="W24" i="2"/>
  <c r="O71" i="4"/>
  <c r="O150" i="3" s="1"/>
  <c r="Z17" i="2" s="1"/>
  <c r="W17" i="2"/>
  <c r="D60" i="2"/>
  <c r="P90" i="3" l="1"/>
  <c r="O90" i="3"/>
  <c r="I90" i="3"/>
  <c r="L90" i="3"/>
  <c r="R90" i="3"/>
  <c r="K51" i="2"/>
  <c r="N51" i="2"/>
  <c r="W7" i="4"/>
  <c r="P51" i="2"/>
  <c r="D38" i="6"/>
  <c r="E37" i="6"/>
  <c r="X80" i="4"/>
  <c r="W79" i="4"/>
  <c r="V80" i="4"/>
  <c r="AD81" i="4"/>
  <c r="Y81" i="4"/>
  <c r="Y79" i="4" s="1"/>
  <c r="Y7" i="4" s="1"/>
  <c r="AA79" i="4"/>
  <c r="AA7" i="4" s="1"/>
  <c r="O51" i="2" l="1"/>
  <c r="Q51" i="2"/>
  <c r="Z7" i="4"/>
  <c r="S51" i="2"/>
  <c r="F37" i="6"/>
  <c r="E38" i="6"/>
  <c r="AG81" i="4"/>
  <c r="AB81" i="4"/>
  <c r="AB79" i="4" s="1"/>
  <c r="AB7" i="4" s="1"/>
  <c r="AD79" i="4"/>
  <c r="AD7" i="4" s="1"/>
  <c r="W81" i="4"/>
  <c r="W80" i="4"/>
  <c r="AA80" i="4"/>
  <c r="Z79" i="4"/>
  <c r="Y80" i="4"/>
  <c r="D34" i="2"/>
  <c r="D22" i="2"/>
  <c r="K16" i="2" l="1"/>
  <c r="K17" i="2" s="1"/>
  <c r="AC7" i="4"/>
  <c r="R51" i="2"/>
  <c r="G37" i="6"/>
  <c r="F38" i="6"/>
  <c r="AC79" i="4"/>
  <c r="AD80" i="4"/>
  <c r="AB80" i="4"/>
  <c r="Z80" i="4"/>
  <c r="Z81" i="4"/>
  <c r="AJ81" i="4"/>
  <c r="AE81" i="4"/>
  <c r="AE79" i="4" s="1"/>
  <c r="AE7" i="4" s="1"/>
  <c r="AG79" i="4"/>
  <c r="AG7" i="4" s="1"/>
  <c r="D32" i="2"/>
  <c r="D71" i="2" s="1"/>
  <c r="G29" i="2"/>
  <c r="W11" i="2"/>
  <c r="AF7" i="4" l="1"/>
  <c r="G38" i="6"/>
  <c r="H37" i="6"/>
  <c r="AF79" i="4"/>
  <c r="AG80" i="4"/>
  <c r="AM81" i="4"/>
  <c r="AH81" i="4"/>
  <c r="AH79" i="4" s="1"/>
  <c r="AH7" i="4" s="1"/>
  <c r="AJ79" i="4"/>
  <c r="AJ7" i="4" s="1"/>
  <c r="AC81" i="4"/>
  <c r="AC80" i="4"/>
  <c r="AE80" i="4"/>
  <c r="G71" i="2"/>
  <c r="W16" i="2"/>
  <c r="D76" i="2" s="1"/>
  <c r="AI7" i="4" l="1"/>
  <c r="H38" i="6"/>
  <c r="I37" i="6"/>
  <c r="AF81" i="4"/>
  <c r="AF80" i="4"/>
  <c r="AJ80" i="4"/>
  <c r="AI79" i="4"/>
  <c r="AH80" i="4"/>
  <c r="AP81" i="4"/>
  <c r="AK81" i="4"/>
  <c r="AK79" i="4" s="1"/>
  <c r="AK7" i="4" s="1"/>
  <c r="AM79" i="4"/>
  <c r="AM7" i="4" s="1"/>
  <c r="G76" i="2"/>
  <c r="I125" i="3"/>
  <c r="AL7" i="4" l="1"/>
  <c r="I38" i="6"/>
  <c r="J37" i="6"/>
  <c r="AM80" i="4"/>
  <c r="AL79" i="4"/>
  <c r="AI81" i="4"/>
  <c r="AI80" i="4"/>
  <c r="AK80" i="4"/>
  <c r="AS81" i="4"/>
  <c r="AN81" i="4"/>
  <c r="AN79" i="4" s="1"/>
  <c r="AN7" i="4" s="1"/>
  <c r="AP79" i="4"/>
  <c r="AP7" i="4" s="1"/>
  <c r="D46" i="2"/>
  <c r="AO7" i="4" l="1"/>
  <c r="K37" i="6"/>
  <c r="J38" i="6"/>
  <c r="AN80" i="4"/>
  <c r="AQ81" i="4"/>
  <c r="AQ79" i="4" s="1"/>
  <c r="AQ7" i="4" s="1"/>
  <c r="AV81" i="4"/>
  <c r="AS79" i="4"/>
  <c r="AS7" i="4" s="1"/>
  <c r="AL80" i="4"/>
  <c r="AL81" i="4"/>
  <c r="AP80" i="4"/>
  <c r="AO79" i="4"/>
  <c r="G46" i="2"/>
  <c r="N125" i="3"/>
  <c r="M125" i="3"/>
  <c r="AR7" i="4" l="1"/>
  <c r="L37" i="6"/>
  <c r="K38" i="6"/>
  <c r="AQ80" i="4"/>
  <c r="AO81" i="4"/>
  <c r="AO80" i="4"/>
  <c r="AR79" i="4"/>
  <c r="AS80" i="4"/>
  <c r="AT81" i="4"/>
  <c r="AT79" i="4" s="1"/>
  <c r="AT7" i="4" s="1"/>
  <c r="AY81" i="4"/>
  <c r="AV79" i="4"/>
  <c r="AV7" i="4" s="1"/>
  <c r="AU7" i="4" l="1"/>
  <c r="M37" i="6"/>
  <c r="L38" i="6"/>
  <c r="AV80" i="4"/>
  <c r="AU79" i="4"/>
  <c r="AW81" i="4"/>
  <c r="AW79" i="4" s="1"/>
  <c r="AW7" i="4" s="1"/>
  <c r="AY79" i="4"/>
  <c r="AY7" i="4" s="1"/>
  <c r="AT80" i="4"/>
  <c r="AR80" i="4"/>
  <c r="AR81" i="4"/>
  <c r="AX7" i="4" l="1"/>
  <c r="M38" i="6"/>
  <c r="N37" i="6"/>
  <c r="N38" i="6" s="1"/>
  <c r="AY80" i="4"/>
  <c r="AX79" i="4"/>
  <c r="AW80" i="4"/>
  <c r="AU81" i="4"/>
  <c r="AU80" i="4"/>
  <c r="AX81" i="4" l="1"/>
  <c r="AX80" i="4"/>
  <c r="J67" i="2"/>
  <c r="H62" i="2" l="1"/>
  <c r="H70" i="2" l="1"/>
  <c r="P125" i="3" l="1"/>
  <c r="P52" i="3" l="1"/>
  <c r="V105" i="4" l="1"/>
  <c r="V22" i="3" s="1"/>
  <c r="M52" i="2" l="1"/>
  <c r="X101" i="4"/>
  <c r="V101" i="4"/>
  <c r="H68" i="2" l="1"/>
  <c r="P49" i="3" l="1"/>
  <c r="P151" i="3" l="1"/>
  <c r="AA20" i="2" s="1"/>
  <c r="AA10" i="2"/>
  <c r="P150" i="3"/>
  <c r="AA17" i="2" s="1"/>
  <c r="P140" i="3"/>
  <c r="P141" i="3" s="1"/>
  <c r="P153" i="3"/>
  <c r="X102" i="4"/>
  <c r="X110" i="4" s="1"/>
  <c r="P145" i="3" l="1"/>
  <c r="P143" i="3"/>
  <c r="AA18" i="2" s="1"/>
  <c r="P144" i="3"/>
  <c r="AA19" i="2" s="1"/>
  <c r="P142" i="3"/>
  <c r="V107" i="4"/>
  <c r="V15" i="4" s="1"/>
  <c r="N52" i="2" l="1"/>
  <c r="W105" i="4"/>
  <c r="W22" i="3" s="1"/>
  <c r="X22" i="3" l="1"/>
  <c r="X105" i="4"/>
  <c r="O118" i="4" l="1"/>
  <c r="N40" i="3" l="1"/>
  <c r="N41" i="3" l="1"/>
  <c r="N77" i="3"/>
  <c r="Q62" i="3"/>
  <c r="N44" i="3"/>
  <c r="F62" i="2"/>
  <c r="I68" i="2" l="1"/>
  <c r="I70" i="3" l="1"/>
  <c r="J68" i="2"/>
  <c r="J69" i="2" l="1"/>
  <c r="K68" i="2" l="1"/>
  <c r="R31" i="4" l="1"/>
  <c r="R53" i="4" l="1"/>
  <c r="R56" i="4"/>
  <c r="R37" i="4" l="1"/>
  <c r="R21" i="4"/>
  <c r="R39" i="4" l="1"/>
  <c r="J59" i="2" l="1"/>
  <c r="J58" i="2" s="1"/>
  <c r="X126" i="4" l="1"/>
  <c r="V126" i="4"/>
  <c r="V128" i="4" s="1"/>
  <c r="V136" i="4" l="1"/>
  <c r="V111" i="3" s="1"/>
  <c r="X135" i="4"/>
  <c r="V135" i="4"/>
  <c r="V137" i="4"/>
  <c r="V129" i="4" l="1"/>
  <c r="V138" i="4"/>
  <c r="V35" i="4" s="1"/>
  <c r="L57" i="2" l="1"/>
  <c r="V37" i="4"/>
  <c r="W126" i="4"/>
  <c r="W128" i="4" s="1"/>
  <c r="X128" i="4" s="1"/>
  <c r="V16" i="4"/>
  <c r="W135" i="4"/>
  <c r="V140" i="4"/>
  <c r="V148" i="4"/>
  <c r="V31" i="3" l="1"/>
  <c r="V112" i="3"/>
  <c r="W137" i="4"/>
  <c r="X137" i="4" s="1"/>
  <c r="Y136" i="4" l="1"/>
  <c r="Y111" i="3" s="1"/>
  <c r="AB136" i="4" l="1"/>
  <c r="AB111" i="3" s="1"/>
  <c r="AE136" i="4" l="1"/>
  <c r="AE111" i="3" s="1"/>
  <c r="AH136" i="4" l="1"/>
  <c r="AH111" i="3" s="1"/>
  <c r="AK136" i="4" l="1"/>
  <c r="AK111" i="3" s="1"/>
  <c r="R46" i="4" l="1"/>
  <c r="S73" i="4" s="1"/>
  <c r="R73" i="4" l="1"/>
  <c r="J34" i="2" s="1"/>
  <c r="R62" i="4"/>
  <c r="R61" i="4"/>
  <c r="R65" i="4"/>
  <c r="J74" i="2" l="1"/>
  <c r="R12" i="4"/>
  <c r="R52" i="4" l="1"/>
  <c r="R23" i="4"/>
  <c r="J55" i="2" l="1"/>
  <c r="J54" i="2" s="1"/>
  <c r="R151" i="3"/>
  <c r="AC20" i="2" s="1"/>
  <c r="K18" i="2"/>
  <c r="K19" i="2" s="1"/>
  <c r="R69" i="4"/>
  <c r="R67" i="4"/>
  <c r="R41" i="4"/>
  <c r="J60" i="2" s="1"/>
  <c r="R74" i="4" l="1"/>
  <c r="J35" i="2" s="1"/>
  <c r="S74" i="4"/>
  <c r="AD24" i="2"/>
  <c r="R47" i="4"/>
  <c r="R71" i="4"/>
  <c r="R150" i="3" s="1"/>
  <c r="AC17" i="2" s="1"/>
  <c r="AN136" i="4"/>
  <c r="AN111" i="3" s="1"/>
  <c r="K20" i="2" l="1"/>
  <c r="K21" i="2" s="1"/>
  <c r="Q47" i="4"/>
  <c r="K62" i="2" l="1"/>
  <c r="K23" i="2" l="1"/>
  <c r="K22" i="2" s="1"/>
  <c r="K29" i="2"/>
  <c r="K70" i="2"/>
  <c r="S187" i="4"/>
  <c r="S183" i="4" s="1"/>
  <c r="S185" i="4" l="1"/>
  <c r="U183" i="4"/>
  <c r="U189" i="4" s="1"/>
  <c r="K32" i="2"/>
  <c r="U191" i="4" l="1"/>
  <c r="U185" i="4"/>
  <c r="K34" i="2" l="1"/>
  <c r="AQ136" i="4"/>
  <c r="AQ111" i="3" s="1"/>
  <c r="Q172" i="4"/>
  <c r="Q170" i="4" l="1"/>
  <c r="R185" i="4"/>
  <c r="R183" i="4"/>
  <c r="Q169" i="4"/>
  <c r="R169" i="4" s="1"/>
  <c r="R189" i="4" l="1"/>
  <c r="S189" i="4"/>
  <c r="V167" i="4"/>
  <c r="V170" i="4" s="1"/>
  <c r="X167" i="4"/>
  <c r="X170" i="4" s="1"/>
  <c r="C22" i="6" s="1"/>
  <c r="R190" i="4" l="1"/>
  <c r="U190" i="4"/>
  <c r="S179" i="4"/>
  <c r="C46" i="6"/>
  <c r="H74" i="6"/>
  <c r="E66" i="6"/>
  <c r="W167" i="4"/>
  <c r="W170" i="4" s="1"/>
  <c r="V172" i="4"/>
  <c r="S190" i="4"/>
  <c r="Y167" i="4"/>
  <c r="Y170" i="4" s="1"/>
  <c r="X172" i="4"/>
  <c r="AA167" i="4"/>
  <c r="AA170" i="4" s="1"/>
  <c r="H82" i="6" l="1"/>
  <c r="H90" i="6"/>
  <c r="S154" i="3"/>
  <c r="AD14" i="2" s="1"/>
  <c r="S52" i="3"/>
  <c r="AD10" i="2"/>
  <c r="V174" i="4"/>
  <c r="V49" i="3" s="1"/>
  <c r="X174" i="4"/>
  <c r="X49" i="3" s="1"/>
  <c r="AF10" i="2"/>
  <c r="AD13" i="2"/>
  <c r="S191" i="4"/>
  <c r="AD167" i="4"/>
  <c r="AD170" i="4" s="1"/>
  <c r="AB167" i="4"/>
  <c r="AB170" i="4" s="1"/>
  <c r="AA172" i="4"/>
  <c r="W172" i="4"/>
  <c r="Y172" i="4"/>
  <c r="Z167" i="4"/>
  <c r="Z170" i="4" s="1"/>
  <c r="W55" i="2"/>
  <c r="AG10" i="2" l="1"/>
  <c r="Y174" i="4"/>
  <c r="Y49" i="3" s="1"/>
  <c r="W174" i="4"/>
  <c r="W49" i="3" s="1"/>
  <c r="AD11" i="2"/>
  <c r="AE10" i="2"/>
  <c r="AA174" i="4"/>
  <c r="AA49" i="3" s="1"/>
  <c r="AI10" i="2"/>
  <c r="AD16" i="2"/>
  <c r="X140" i="3"/>
  <c r="V140" i="3"/>
  <c r="Z172" i="4"/>
  <c r="AB172" i="4"/>
  <c r="AC167" i="4"/>
  <c r="AC170" i="4" s="1"/>
  <c r="AD172" i="4"/>
  <c r="AE167" i="4"/>
  <c r="AE170" i="4" s="1"/>
  <c r="AG167" i="4"/>
  <c r="AG170" i="4" s="1"/>
  <c r="AH10" i="2" l="1"/>
  <c r="AJ10" i="2"/>
  <c r="Z174" i="4"/>
  <c r="Z49" i="3" s="1"/>
  <c r="AD174" i="4"/>
  <c r="AD49" i="3" s="1"/>
  <c r="AL10" i="2"/>
  <c r="AB174" i="4"/>
  <c r="AB49" i="3" s="1"/>
  <c r="AA140" i="3"/>
  <c r="W140" i="3"/>
  <c r="Y140" i="3"/>
  <c r="AC172" i="4"/>
  <c r="AG172" i="4"/>
  <c r="AH167" i="4"/>
  <c r="AH170" i="4" s="1"/>
  <c r="AJ167" i="4"/>
  <c r="AJ170" i="4" s="1"/>
  <c r="AF167" i="4"/>
  <c r="AF170" i="4" s="1"/>
  <c r="AE172" i="4"/>
  <c r="AG174" i="4" l="1"/>
  <c r="AG49" i="3" s="1"/>
  <c r="AK10" i="2"/>
  <c r="AE174" i="4"/>
  <c r="AE49" i="3" s="1"/>
  <c r="AD140" i="3"/>
  <c r="AC174" i="4"/>
  <c r="AC49" i="3" s="1"/>
  <c r="AB140" i="3"/>
  <c r="AG140" i="3"/>
  <c r="Z140" i="3"/>
  <c r="AT136" i="4"/>
  <c r="AT111" i="3" s="1"/>
  <c r="AK167" i="4"/>
  <c r="AK170" i="4" s="1"/>
  <c r="AM167" i="4"/>
  <c r="AM170" i="4" s="1"/>
  <c r="AF172" i="4"/>
  <c r="AJ172" i="4"/>
  <c r="AI167" i="4"/>
  <c r="AI170" i="4" s="1"/>
  <c r="AH172" i="4"/>
  <c r="AF174" i="4" l="1"/>
  <c r="AH174" i="4"/>
  <c r="AH49" i="3" s="1"/>
  <c r="AJ174" i="4"/>
  <c r="AJ49" i="3" s="1"/>
  <c r="AC140" i="3"/>
  <c r="AE140" i="3"/>
  <c r="AN167" i="4"/>
  <c r="AN170" i="4" s="1"/>
  <c r="AP167" i="4"/>
  <c r="AP170" i="4" s="1"/>
  <c r="AM172" i="4"/>
  <c r="AL167" i="4"/>
  <c r="AL170" i="4" s="1"/>
  <c r="AK172" i="4"/>
  <c r="AF49" i="3"/>
  <c r="AI172" i="4"/>
  <c r="AM174" i="4" l="1"/>
  <c r="AM49" i="3" s="1"/>
  <c r="AJ140" i="3"/>
  <c r="AI174" i="4"/>
  <c r="AI49" i="3" s="1"/>
  <c r="AK174" i="4"/>
  <c r="AK49" i="3" s="1"/>
  <c r="AH140" i="3"/>
  <c r="AF140" i="3"/>
  <c r="AQ167" i="4"/>
  <c r="AQ170" i="4" s="1"/>
  <c r="AS167" i="4"/>
  <c r="AS170" i="4" s="1"/>
  <c r="AP172" i="4"/>
  <c r="AO167" i="4"/>
  <c r="AO170" i="4" s="1"/>
  <c r="AN172" i="4"/>
  <c r="AL172" i="4"/>
  <c r="AM140" i="3" l="1"/>
  <c r="AP174" i="4"/>
  <c r="AP49" i="3" s="1"/>
  <c r="AL174" i="4"/>
  <c r="AL49" i="3" s="1"/>
  <c r="AK140" i="3"/>
  <c r="AN174" i="4"/>
  <c r="AN49" i="3" s="1"/>
  <c r="AL140" i="3"/>
  <c r="AI140" i="3"/>
  <c r="AT167" i="4"/>
  <c r="AT170" i="4" s="1"/>
  <c r="AV167" i="4"/>
  <c r="AV170" i="4" s="1"/>
  <c r="AR167" i="4"/>
  <c r="AR170" i="4" s="1"/>
  <c r="AQ172" i="4"/>
  <c r="AS172" i="4"/>
  <c r="AO172" i="4"/>
  <c r="AP140" i="3" l="1"/>
  <c r="AS174" i="4"/>
  <c r="AS49" i="3" s="1"/>
  <c r="AQ174" i="4"/>
  <c r="AQ49" i="3" s="1"/>
  <c r="AN140" i="3"/>
  <c r="AO174" i="4"/>
  <c r="AO49" i="3" s="1"/>
  <c r="AW167" i="4"/>
  <c r="AW170" i="4" s="1"/>
  <c r="AY167" i="4"/>
  <c r="AY170" i="4" s="1"/>
  <c r="AU167" i="4"/>
  <c r="AU170" i="4" s="1"/>
  <c r="AT172" i="4"/>
  <c r="AV172" i="4"/>
  <c r="AR172" i="4"/>
  <c r="Q174" i="4"/>
  <c r="AS140" i="3" l="1"/>
  <c r="AQ140" i="3"/>
  <c r="AR174" i="4"/>
  <c r="AR49" i="3" s="1"/>
  <c r="AV174" i="4"/>
  <c r="AV49" i="3" s="1"/>
  <c r="AT174" i="4"/>
  <c r="AT49" i="3" s="1"/>
  <c r="AO140" i="3"/>
  <c r="AY172" i="4"/>
  <c r="AX167" i="4"/>
  <c r="AX170" i="4" s="1"/>
  <c r="AW172" i="4"/>
  <c r="AU172" i="4"/>
  <c r="Q173" i="4"/>
  <c r="Q49" i="3"/>
  <c r="R191" i="4"/>
  <c r="AT140" i="3" l="1"/>
  <c r="AR140" i="3"/>
  <c r="AB10" i="2"/>
  <c r="Q151" i="3"/>
  <c r="AB20" i="2" s="1"/>
  <c r="Q150" i="3"/>
  <c r="AB17" i="2" s="1"/>
  <c r="Q140" i="3"/>
  <c r="Q141" i="3" s="1"/>
  <c r="Q51" i="3"/>
  <c r="Q50" i="3"/>
  <c r="Q153" i="3"/>
  <c r="AV140" i="3"/>
  <c r="AW174" i="4"/>
  <c r="AW49" i="3" s="1"/>
  <c r="AY174" i="4"/>
  <c r="AY49" i="3" s="1"/>
  <c r="AU174" i="4"/>
  <c r="AU49" i="3" s="1"/>
  <c r="AW136" i="4"/>
  <c r="AW111" i="3" s="1"/>
  <c r="AX172" i="4"/>
  <c r="J77" i="2"/>
  <c r="J75" i="2"/>
  <c r="Q145" i="3" l="1"/>
  <c r="Q143" i="3"/>
  <c r="AB18" i="2" s="1"/>
  <c r="Q144" i="3"/>
  <c r="AB19" i="2" s="1"/>
  <c r="Q142" i="3"/>
  <c r="AB11" i="2"/>
  <c r="AW140" i="3"/>
  <c r="AU140" i="3"/>
  <c r="AX174" i="4"/>
  <c r="AX49" i="3" s="1"/>
  <c r="AY140" i="3"/>
  <c r="AX140" i="3" l="1"/>
  <c r="J71" i="2" l="1"/>
  <c r="R187" i="4"/>
  <c r="R188" i="4" s="1"/>
  <c r="R122" i="4"/>
  <c r="R88" i="4"/>
  <c r="R97" i="4" s="1"/>
  <c r="J43" i="2"/>
  <c r="R105" i="4"/>
  <c r="R109" i="4" s="1"/>
  <c r="R154" i="4"/>
  <c r="R155" i="4" s="1"/>
  <c r="Q88" i="4"/>
  <c r="Q97" i="4" s="1"/>
  <c r="R89" i="4"/>
  <c r="J76" i="2"/>
  <c r="Q152" i="4"/>
  <c r="R152" i="4"/>
  <c r="J42" i="2"/>
  <c r="J73" i="2" s="1"/>
  <c r="J70" i="2"/>
  <c r="J44" i="2"/>
  <c r="Q103" i="4"/>
  <c r="R103" i="4"/>
  <c r="R102" i="4"/>
  <c r="R110" i="4" s="1"/>
  <c r="J41" i="2"/>
  <c r="J46" i="2"/>
  <c r="R161" i="4"/>
  <c r="R163" i="4" s="1"/>
  <c r="Q102" i="4"/>
  <c r="Q110" i="4" s="1"/>
  <c r="Q105" i="4"/>
  <c r="Q109" i="4" s="1"/>
  <c r="Q89" i="4"/>
  <c r="X89" i="4" l="1"/>
  <c r="Q118" i="4"/>
  <c r="R118" i="4" s="1"/>
  <c r="Q122" i="4"/>
  <c r="J45" i="2"/>
  <c r="R157" i="4"/>
  <c r="R106" i="4"/>
  <c r="Q106" i="4"/>
  <c r="Q157" i="4"/>
  <c r="J62" i="2"/>
  <c r="AA89" i="4" l="1"/>
  <c r="V89" i="4"/>
  <c r="Y89" i="4" l="1"/>
  <c r="AD89" i="4"/>
  <c r="AG89" i="4" l="1"/>
  <c r="AB89" i="4"/>
  <c r="AE89" i="4" l="1"/>
  <c r="AJ89" i="4"/>
  <c r="AM89" i="4" l="1"/>
  <c r="AH89" i="4"/>
  <c r="AK89" i="4" l="1"/>
  <c r="AP89" i="4"/>
  <c r="AS89" i="4" l="1"/>
  <c r="AN89" i="4"/>
  <c r="Q86" i="3"/>
  <c r="K53" i="2" l="1"/>
  <c r="AQ89" i="4"/>
  <c r="AV89" i="4"/>
  <c r="Q90" i="3"/>
  <c r="M67" i="2"/>
  <c r="L68" i="2"/>
  <c r="P67" i="2"/>
  <c r="V103" i="3" l="1"/>
  <c r="V106" i="3" s="1"/>
  <c r="AY89" i="4"/>
  <c r="AT89" i="4"/>
  <c r="W103" i="3"/>
  <c r="W106" i="3" s="1"/>
  <c r="C31" i="6"/>
  <c r="M68" i="2"/>
  <c r="M51" i="2" l="1"/>
  <c r="M13" i="2"/>
  <c r="M14" i="2" s="1"/>
  <c r="X103" i="3"/>
  <c r="W133" i="3"/>
  <c r="V133" i="3"/>
  <c r="AW89" i="4"/>
  <c r="X122" i="4"/>
  <c r="Q161" i="4"/>
  <c r="Q163" i="4" s="1"/>
  <c r="M69" i="2"/>
  <c r="I62" i="2"/>
  <c r="D33" i="6" l="1"/>
  <c r="X106" i="3"/>
  <c r="L51" i="2"/>
  <c r="X133" i="3"/>
  <c r="Y103" i="3"/>
  <c r="Y106" i="3" s="1"/>
  <c r="V113" i="4"/>
  <c r="V24" i="3" s="1"/>
  <c r="Z103" i="3"/>
  <c r="Z106" i="3" s="1"/>
  <c r="X113" i="4"/>
  <c r="X107" i="4"/>
  <c r="X109" i="4" s="1"/>
  <c r="I70" i="2"/>
  <c r="P43" i="2" l="1"/>
  <c r="N16" i="2"/>
  <c r="Z133" i="3"/>
  <c r="M53" i="2"/>
  <c r="Y133" i="3"/>
  <c r="AA103" i="3"/>
  <c r="Y105" i="4"/>
  <c r="Y22" i="3" s="1"/>
  <c r="X15" i="4"/>
  <c r="AA122" i="4"/>
  <c r="V119" i="4"/>
  <c r="E33" i="6" l="1"/>
  <c r="AA106" i="3"/>
  <c r="P52" i="2"/>
  <c r="L52" i="2"/>
  <c r="L53" i="2"/>
  <c r="AA133" i="3"/>
  <c r="AB103" i="3"/>
  <c r="AB106" i="3" s="1"/>
  <c r="W101" i="4"/>
  <c r="W107" i="4" s="1"/>
  <c r="AA101" i="4"/>
  <c r="Y101" i="4"/>
  <c r="Y107" i="4" s="1"/>
  <c r="Y15" i="4" s="1"/>
  <c r="V17" i="4"/>
  <c r="W15" i="4"/>
  <c r="AC103" i="3"/>
  <c r="AC106" i="3" s="1"/>
  <c r="W113" i="4"/>
  <c r="Q52" i="2" l="1"/>
  <c r="Z101" i="4"/>
  <c r="O52" i="2"/>
  <c r="AC133" i="3"/>
  <c r="S43" i="2"/>
  <c r="V21" i="4"/>
  <c r="N53" i="2"/>
  <c r="AB133" i="3"/>
  <c r="AD103" i="3"/>
  <c r="Z105" i="4"/>
  <c r="Z22" i="3" s="1"/>
  <c r="AD122" i="4"/>
  <c r="AD106" i="3" l="1"/>
  <c r="F33" i="6"/>
  <c r="AA22" i="3"/>
  <c r="AA105" i="4"/>
  <c r="AA107" i="4" s="1"/>
  <c r="AA15" i="4" s="1"/>
  <c r="AD133" i="3"/>
  <c r="AE103" i="3"/>
  <c r="AE106" i="3" s="1"/>
  <c r="AF103" i="3"/>
  <c r="AF106" i="3" s="1"/>
  <c r="AA109" i="4" l="1"/>
  <c r="S52" i="2"/>
  <c r="AF133" i="3"/>
  <c r="AE133" i="3"/>
  <c r="AG103" i="3"/>
  <c r="AD101" i="4"/>
  <c r="AB101" i="4"/>
  <c r="Z15" i="4"/>
  <c r="AG122" i="4"/>
  <c r="AB105" i="4"/>
  <c r="AB22" i="3" s="1"/>
  <c r="Y24" i="3"/>
  <c r="Z107" i="4"/>
  <c r="AG106" i="3" l="1"/>
  <c r="G33" i="6"/>
  <c r="AC101" i="4"/>
  <c r="R52" i="2"/>
  <c r="Q16" i="2"/>
  <c r="AG133" i="3"/>
  <c r="AH103" i="3"/>
  <c r="AH106" i="3" s="1"/>
  <c r="AI103" i="3"/>
  <c r="AI106" i="3" s="1"/>
  <c r="AI133" i="3" l="1"/>
  <c r="AH133" i="3"/>
  <c r="AJ103" i="3"/>
  <c r="AJ122" i="4"/>
  <c r="AB107" i="4"/>
  <c r="AB15" i="4" s="1"/>
  <c r="H33" i="6" l="1"/>
  <c r="AJ106" i="3"/>
  <c r="AJ133" i="3"/>
  <c r="AK103" i="3"/>
  <c r="AK106" i="3" s="1"/>
  <c r="AL103" i="3"/>
  <c r="AL106" i="3" s="1"/>
  <c r="AC105" i="4"/>
  <c r="AL133" i="3" l="1"/>
  <c r="AK133" i="3"/>
  <c r="AM103" i="3"/>
  <c r="AD105" i="4"/>
  <c r="AC22" i="3"/>
  <c r="AM122" i="4"/>
  <c r="I33" i="6" l="1"/>
  <c r="AM106" i="3"/>
  <c r="AD22" i="3"/>
  <c r="AM133" i="3"/>
  <c r="AN103" i="3"/>
  <c r="AN106" i="3" s="1"/>
  <c r="AD107" i="4"/>
  <c r="AD15" i="4" s="1"/>
  <c r="AO103" i="3"/>
  <c r="AO106" i="3" s="1"/>
  <c r="AB24" i="3"/>
  <c r="AC107" i="4"/>
  <c r="AC15" i="4" l="1"/>
  <c r="AF101" i="4" s="1"/>
  <c r="AE105" i="4"/>
  <c r="AE22" i="3" s="1"/>
  <c r="AD109" i="4"/>
  <c r="AO133" i="3"/>
  <c r="AN133" i="3"/>
  <c r="AP103" i="3"/>
  <c r="AG101" i="4"/>
  <c r="AE101" i="4"/>
  <c r="AP122" i="4"/>
  <c r="J33" i="6" l="1"/>
  <c r="AP106" i="3"/>
  <c r="AP133" i="3"/>
  <c r="AQ103" i="3"/>
  <c r="AQ106" i="3" s="1"/>
  <c r="AE107" i="4"/>
  <c r="AE15" i="4" s="1"/>
  <c r="AR103" i="3"/>
  <c r="AR106" i="3" s="1"/>
  <c r="AR133" i="3" l="1"/>
  <c r="AQ133" i="3"/>
  <c r="AS103" i="3"/>
  <c r="AF105" i="4"/>
  <c r="AF22" i="3" s="1"/>
  <c r="AS122" i="4"/>
  <c r="K33" i="6" l="1"/>
  <c r="AS106" i="3"/>
  <c r="AG22" i="3"/>
  <c r="AS133" i="3"/>
  <c r="AT103" i="3"/>
  <c r="AT106" i="3" s="1"/>
  <c r="AG105" i="4"/>
  <c r="AU103" i="3"/>
  <c r="AU106" i="3" s="1"/>
  <c r="AG107" i="4" l="1"/>
  <c r="AG15" i="4" s="1"/>
  <c r="AU133" i="3"/>
  <c r="V29" i="3"/>
  <c r="AT133" i="3"/>
  <c r="AV103" i="3"/>
  <c r="AV122" i="4"/>
  <c r="AH105" i="4"/>
  <c r="AH22" i="3" s="1"/>
  <c r="AE24" i="3"/>
  <c r="AF107" i="4"/>
  <c r="L33" i="6" l="1"/>
  <c r="AV106" i="3"/>
  <c r="AF15" i="4"/>
  <c r="AI101" i="4" s="1"/>
  <c r="AH101" i="4"/>
  <c r="AJ101" i="4"/>
  <c r="AG109" i="4"/>
  <c r="V32" i="3"/>
  <c r="N18" i="2"/>
  <c r="AV133" i="3"/>
  <c r="AW103" i="3"/>
  <c r="AW106" i="3" s="1"/>
  <c r="AY122" i="4"/>
  <c r="V157" i="4"/>
  <c r="AW133" i="3" l="1"/>
  <c r="AH107" i="4"/>
  <c r="AH15" i="4" s="1"/>
  <c r="V88" i="3"/>
  <c r="AI105" i="4" l="1"/>
  <c r="AI22" i="3" s="1"/>
  <c r="AJ22" i="3" s="1"/>
  <c r="AJ105" i="4"/>
  <c r="AJ107" i="4" l="1"/>
  <c r="AJ109" i="4" s="1"/>
  <c r="AK105" i="4" l="1"/>
  <c r="AK22" i="3" s="1"/>
  <c r="AJ15" i="4"/>
  <c r="AH24" i="3"/>
  <c r="AI107" i="4"/>
  <c r="AM101" i="4" l="1"/>
  <c r="AK101" i="4"/>
  <c r="AK107" i="4" s="1"/>
  <c r="AK15" i="4" s="1"/>
  <c r="AI15" i="4"/>
  <c r="AL101" i="4" l="1"/>
  <c r="AL105" i="4"/>
  <c r="AL22" i="3" s="1"/>
  <c r="AM22" i="3" l="1"/>
  <c r="AM105" i="4"/>
  <c r="AM107" i="4" l="1"/>
  <c r="AM109" i="4" s="1"/>
  <c r="AN105" i="4" l="1"/>
  <c r="AN22" i="3" s="1"/>
  <c r="AM15" i="4"/>
  <c r="AL107" i="4"/>
  <c r="AK24" i="3"/>
  <c r="AP101" i="4" l="1"/>
  <c r="AN101" i="4"/>
  <c r="AN107" i="4" s="1"/>
  <c r="AN15" i="4" s="1"/>
  <c r="AL15" i="4"/>
  <c r="AO101" i="4" l="1"/>
  <c r="AO105" i="4"/>
  <c r="AO22" i="3" s="1"/>
  <c r="AP22" i="3" l="1"/>
  <c r="AP105" i="4"/>
  <c r="AP107" i="4" l="1"/>
  <c r="AP109" i="4" s="1"/>
  <c r="AQ105" i="4" l="1"/>
  <c r="AQ22" i="3" s="1"/>
  <c r="AP15" i="4"/>
  <c r="AO107" i="4"/>
  <c r="AN24" i="3"/>
  <c r="AS101" i="4" l="1"/>
  <c r="AQ101" i="4"/>
  <c r="AO15" i="4"/>
  <c r="AR101" i="4" l="1"/>
  <c r="AQ107" i="4"/>
  <c r="AQ15" i="4" s="1"/>
  <c r="AR105" i="4" l="1"/>
  <c r="AR22" i="3" s="1"/>
  <c r="AS105" i="4" l="1"/>
  <c r="AS22" i="3"/>
  <c r="AS107" i="4"/>
  <c r="AS109" i="4" s="1"/>
  <c r="AT105" i="4" l="1"/>
  <c r="AT22" i="3" s="1"/>
  <c r="AS15" i="4"/>
  <c r="AR107" i="4"/>
  <c r="AQ24" i="3"/>
  <c r="AT101" i="4" l="1"/>
  <c r="AT107" i="4" s="1"/>
  <c r="AT15" i="4" s="1"/>
  <c r="AV101" i="4"/>
  <c r="AR15" i="4"/>
  <c r="AU101" i="4" l="1"/>
  <c r="AU105" i="4"/>
  <c r="AU22" i="3" s="1"/>
  <c r="AV22" i="3" l="1"/>
  <c r="AV105" i="4"/>
  <c r="AV107" i="4" l="1"/>
  <c r="AV109" i="4" s="1"/>
  <c r="AW105" i="4" l="1"/>
  <c r="AW22" i="3" s="1"/>
  <c r="AV15" i="4"/>
  <c r="AU107" i="4"/>
  <c r="AT24" i="3"/>
  <c r="AY101" i="4" l="1"/>
  <c r="AW101" i="4"/>
  <c r="AU15" i="4"/>
  <c r="AX101" i="4" l="1"/>
  <c r="AW107" i="4"/>
  <c r="AW15" i="4" s="1"/>
  <c r="AX105" i="4" l="1"/>
  <c r="AX22" i="3" s="1"/>
  <c r="AY22" i="3" l="1"/>
  <c r="AY105" i="4"/>
  <c r="AY107" i="4"/>
  <c r="AY15" i="4" s="1"/>
  <c r="AY109" i="4" l="1"/>
  <c r="AX15" i="4"/>
  <c r="AX107" i="4"/>
  <c r="AW24" i="3"/>
  <c r="V82" i="43" l="1"/>
  <c r="V24" i="43" s="1"/>
  <c r="W82" i="43"/>
  <c r="W124" i="43" s="1"/>
  <c r="V119" i="43" l="1"/>
  <c r="V124" i="43"/>
  <c r="V114" i="43"/>
  <c r="AG37" i="2"/>
  <c r="AG45" i="2" s="1"/>
  <c r="V184" i="43"/>
  <c r="V185" i="43" s="1"/>
  <c r="Z82" i="43"/>
  <c r="X121" i="43"/>
  <c r="X82" i="43"/>
  <c r="X124" i="43" s="1"/>
  <c r="W24" i="43"/>
  <c r="AH37" i="2" s="1"/>
  <c r="W119" i="43"/>
  <c r="W184" i="43"/>
  <c r="Y82" i="43"/>
  <c r="W114" i="43"/>
  <c r="Z119" i="43" l="1"/>
  <c r="Z124" i="43"/>
  <c r="Y119" i="43"/>
  <c r="Y124" i="43"/>
  <c r="V26" i="43"/>
  <c r="V36" i="43" s="1"/>
  <c r="V205" i="43"/>
  <c r="AG39" i="2"/>
  <c r="AG43" i="2" s="1"/>
  <c r="AG48" i="2" s="1"/>
  <c r="Z184" i="43"/>
  <c r="Z185" i="43" s="1"/>
  <c r="Z114" i="43"/>
  <c r="Z24" i="43"/>
  <c r="AK37" i="2" s="1"/>
  <c r="AK39" i="2" s="1"/>
  <c r="X119" i="43"/>
  <c r="W205" i="43"/>
  <c r="X24" i="43"/>
  <c r="X184" i="43"/>
  <c r="X185" i="43" s="1"/>
  <c r="AC82" i="43"/>
  <c r="X205" i="43"/>
  <c r="X114" i="43"/>
  <c r="W26" i="43"/>
  <c r="AH39" i="2"/>
  <c r="AH45" i="2"/>
  <c r="Y184" i="43"/>
  <c r="Y185" i="43" s="1"/>
  <c r="Y24" i="43"/>
  <c r="AJ37" i="2" s="1"/>
  <c r="W185" i="43"/>
  <c r="AB82" i="43"/>
  <c r="AA82" i="43"/>
  <c r="Y114" i="43"/>
  <c r="V31" i="43" l="1"/>
  <c r="V51" i="43" s="1"/>
  <c r="AC119" i="43"/>
  <c r="AC124" i="43"/>
  <c r="AB119" i="43"/>
  <c r="AB124" i="43"/>
  <c r="AA119" i="43"/>
  <c r="AA124" i="43"/>
  <c r="V50" i="43"/>
  <c r="AG47" i="2"/>
  <c r="Z26" i="43"/>
  <c r="Z31" i="43" s="1"/>
  <c r="Z51" i="43" s="1"/>
  <c r="AK45" i="2"/>
  <c r="W36" i="43"/>
  <c r="W53" i="43" s="1"/>
  <c r="AI37" i="2"/>
  <c r="AI45" i="2" s="1"/>
  <c r="X26" i="43"/>
  <c r="AC24" i="43"/>
  <c r="AC26" i="43" s="1"/>
  <c r="AC31" i="43" s="1"/>
  <c r="AC184" i="43"/>
  <c r="AC185" i="43" s="1"/>
  <c r="AC114" i="43"/>
  <c r="W50" i="43"/>
  <c r="W31" i="43"/>
  <c r="AK43" i="2"/>
  <c r="AK48" i="2" s="1"/>
  <c r="AK47" i="2"/>
  <c r="AH43" i="2"/>
  <c r="AH48" i="2" s="1"/>
  <c r="AH47" i="2"/>
  <c r="AJ39" i="2"/>
  <c r="AJ45" i="2"/>
  <c r="AF82" i="43"/>
  <c r="AF124" i="43" s="1"/>
  <c r="Y26" i="43"/>
  <c r="V53" i="43"/>
  <c r="AA184" i="43"/>
  <c r="AA185" i="43" s="1"/>
  <c r="AA24" i="43"/>
  <c r="AB184" i="43"/>
  <c r="AB185" i="43" s="1"/>
  <c r="AB24" i="43"/>
  <c r="AA205" i="43"/>
  <c r="Z205" i="43"/>
  <c r="Y205" i="43"/>
  <c r="AD82" i="43"/>
  <c r="AI82" i="43"/>
  <c r="AA114" i="43"/>
  <c r="AE82" i="43"/>
  <c r="AE124" i="43" s="1"/>
  <c r="AB114" i="43"/>
  <c r="V33" i="43" l="1"/>
  <c r="V20" i="3"/>
  <c r="N68" i="2" s="1"/>
  <c r="V35" i="43"/>
  <c r="AD119" i="43"/>
  <c r="AD124" i="43"/>
  <c r="AI119" i="43"/>
  <c r="AI124" i="43"/>
  <c r="D79" i="6"/>
  <c r="X50" i="43"/>
  <c r="Z33" i="43"/>
  <c r="Z18" i="3" s="1"/>
  <c r="Z36" i="43"/>
  <c r="Z35" i="43" s="1"/>
  <c r="Z50" i="43"/>
  <c r="Z20" i="3"/>
  <c r="W35" i="43"/>
  <c r="X31" i="43"/>
  <c r="AL37" i="2"/>
  <c r="AL39" i="2" s="1"/>
  <c r="AI39" i="2"/>
  <c r="AI43" i="2" s="1"/>
  <c r="AI48" i="2" s="1"/>
  <c r="X36" i="43"/>
  <c r="D87" i="6" s="1"/>
  <c r="W33" i="43"/>
  <c r="W51" i="43"/>
  <c r="W20" i="3"/>
  <c r="AJ43" i="2"/>
  <c r="AJ48" i="2" s="1"/>
  <c r="AJ47" i="2"/>
  <c r="V18" i="3"/>
  <c r="V265" i="43"/>
  <c r="AE24" i="43"/>
  <c r="AE26" i="43" s="1"/>
  <c r="AE50" i="43" s="1"/>
  <c r="AE119" i="43"/>
  <c r="AF184" i="43"/>
  <c r="AF185" i="43" s="1"/>
  <c r="AF119" i="43"/>
  <c r="AF114" i="43"/>
  <c r="AF24" i="43"/>
  <c r="AF26" i="43" s="1"/>
  <c r="AF31" i="43" s="1"/>
  <c r="AG82" i="43"/>
  <c r="AG124" i="43" s="1"/>
  <c r="AB26" i="43"/>
  <c r="AB31" i="43" s="1"/>
  <c r="Y36" i="43"/>
  <c r="Y53" i="43" s="1"/>
  <c r="M70" i="3"/>
  <c r="V131" i="3"/>
  <c r="AA26" i="43"/>
  <c r="Y50" i="43"/>
  <c r="V256" i="43"/>
  <c r="AC36" i="43"/>
  <c r="AC35" i="43" s="1"/>
  <c r="AC50" i="43"/>
  <c r="Y31" i="43"/>
  <c r="Y51" i="43" s="1"/>
  <c r="V52" i="43"/>
  <c r="AK82" i="43"/>
  <c r="AK124" i="43" s="1"/>
  <c r="AH82" i="43"/>
  <c r="AH124" i="43" s="1"/>
  <c r="AC33" i="43"/>
  <c r="AC20" i="3"/>
  <c r="AC51" i="43"/>
  <c r="AI184" i="43"/>
  <c r="AI24" i="43"/>
  <c r="AD184" i="43"/>
  <c r="AD185" i="43" s="1"/>
  <c r="AD24" i="43"/>
  <c r="AE184" i="43"/>
  <c r="AE185" i="43" s="1"/>
  <c r="AD205" i="43"/>
  <c r="AC205" i="43"/>
  <c r="AB205" i="43"/>
  <c r="AE114" i="43"/>
  <c r="AI114" i="43"/>
  <c r="AD114" i="43"/>
  <c r="V54" i="4" l="1"/>
  <c r="AG24" i="2" s="1"/>
  <c r="V80" i="3"/>
  <c r="N31" i="2" s="1"/>
  <c r="N15" i="2"/>
  <c r="V59" i="3"/>
  <c r="N28" i="2" s="1"/>
  <c r="T70" i="3"/>
  <c r="AA31" i="43"/>
  <c r="AA51" i="43" s="1"/>
  <c r="E79" i="6"/>
  <c r="F79" i="6" s="1"/>
  <c r="H79" i="6" s="1"/>
  <c r="Z53" i="43"/>
  <c r="Z265" i="43"/>
  <c r="Z259" i="43" s="1"/>
  <c r="X53" i="43"/>
  <c r="Z256" i="43"/>
  <c r="Z52" i="43"/>
  <c r="Q70" i="3"/>
  <c r="Z80" i="3"/>
  <c r="R31" i="2" s="1"/>
  <c r="R68" i="2"/>
  <c r="R15" i="2"/>
  <c r="Z131" i="3"/>
  <c r="X20" i="3"/>
  <c r="X51" i="43"/>
  <c r="X33" i="43"/>
  <c r="X52" i="43" s="1"/>
  <c r="AL45" i="2"/>
  <c r="AI47" i="2"/>
  <c r="X35" i="43"/>
  <c r="R13" i="2"/>
  <c r="AL82" i="43"/>
  <c r="AL124" i="43" s="1"/>
  <c r="O15" i="2"/>
  <c r="W131" i="3"/>
  <c r="W59" i="3"/>
  <c r="O28" i="2" s="1"/>
  <c r="O68" i="2"/>
  <c r="W80" i="3"/>
  <c r="O31" i="2" s="1"/>
  <c r="N70" i="3"/>
  <c r="W265" i="43"/>
  <c r="W52" i="43"/>
  <c r="W18" i="3"/>
  <c r="W256" i="43"/>
  <c r="Z59" i="3"/>
  <c r="R28" i="2" s="1"/>
  <c r="V86" i="3"/>
  <c r="V25" i="3"/>
  <c r="AI185" i="43"/>
  <c r="Z75" i="3"/>
  <c r="V58" i="3"/>
  <c r="N13" i="2"/>
  <c r="AL43" i="2"/>
  <c r="AL48" i="2" s="1"/>
  <c r="AL47" i="2"/>
  <c r="V262" i="43"/>
  <c r="V13" i="3" s="1"/>
  <c r="V259" i="43"/>
  <c r="V261" i="43"/>
  <c r="V263" i="43"/>
  <c r="V14" i="3" s="1"/>
  <c r="V260" i="43"/>
  <c r="V264" i="43"/>
  <c r="V75" i="3"/>
  <c r="AC18" i="3"/>
  <c r="AC265" i="43"/>
  <c r="AH119" i="43"/>
  <c r="AK184" i="43"/>
  <c r="AK119" i="43"/>
  <c r="AG24" i="43"/>
  <c r="AG26" i="43" s="1"/>
  <c r="AG50" i="43" s="1"/>
  <c r="AG119" i="43"/>
  <c r="AE31" i="43"/>
  <c r="AB50" i="43"/>
  <c r="AF205" i="43"/>
  <c r="V292" i="43"/>
  <c r="AE205" i="43"/>
  <c r="AA50" i="43"/>
  <c r="AG184" i="43"/>
  <c r="AG185" i="43" s="1"/>
  <c r="AG114" i="43"/>
  <c r="AG205" i="43"/>
  <c r="AF20" i="3"/>
  <c r="AA36" i="43"/>
  <c r="E87" i="6" s="1"/>
  <c r="F87" i="6" s="1"/>
  <c r="H87" i="6" s="1"/>
  <c r="AD26" i="43"/>
  <c r="AD50" i="43" s="1"/>
  <c r="AB20" i="3"/>
  <c r="S70" i="3" s="1"/>
  <c r="Y20" i="3"/>
  <c r="Y35" i="43"/>
  <c r="AF36" i="43"/>
  <c r="AF35" i="43" s="1"/>
  <c r="AF50" i="43"/>
  <c r="AI26" i="43"/>
  <c r="AI50" i="43" s="1"/>
  <c r="Y33" i="43"/>
  <c r="AE36" i="43"/>
  <c r="AE53" i="43" s="1"/>
  <c r="AB36" i="43"/>
  <c r="AB53" i="43" s="1"/>
  <c r="AC131" i="3"/>
  <c r="AC59" i="3"/>
  <c r="AC80" i="3"/>
  <c r="AK114" i="43"/>
  <c r="AK24" i="43"/>
  <c r="AK26" i="43" s="1"/>
  <c r="AK50" i="43" s="1"/>
  <c r="AC256" i="43"/>
  <c r="AN82" i="43"/>
  <c r="AC52" i="43"/>
  <c r="AH184" i="43"/>
  <c r="AM82" i="43"/>
  <c r="AH114" i="43"/>
  <c r="AH24" i="43"/>
  <c r="AC53" i="43"/>
  <c r="AF51" i="43"/>
  <c r="Z86" i="3"/>
  <c r="AB51" i="43"/>
  <c r="AF33" i="43"/>
  <c r="AB33" i="43"/>
  <c r="AJ82" i="43"/>
  <c r="AJ124" i="43" s="1"/>
  <c r="AM119" i="43" l="1"/>
  <c r="AM124" i="43"/>
  <c r="AN119" i="43"/>
  <c r="AN124" i="43"/>
  <c r="AA20" i="3"/>
  <c r="E71" i="6" s="1"/>
  <c r="AA33" i="43"/>
  <c r="AA256" i="43" s="1"/>
  <c r="Z263" i="43"/>
  <c r="Z14" i="3" s="1"/>
  <c r="AJ119" i="43"/>
  <c r="AJ83" i="43"/>
  <c r="O70" i="3"/>
  <c r="D71" i="6"/>
  <c r="C63" i="6"/>
  <c r="E63" i="6" s="1"/>
  <c r="Z264" i="43"/>
  <c r="Z15" i="3" s="1"/>
  <c r="Z274" i="43"/>
  <c r="Z262" i="43"/>
  <c r="Z13" i="3" s="1"/>
  <c r="Z260" i="43"/>
  <c r="Z11" i="3" s="1"/>
  <c r="Z261" i="43"/>
  <c r="Z12" i="3" s="1"/>
  <c r="Z292" i="43"/>
  <c r="D31" i="6"/>
  <c r="P15" i="2"/>
  <c r="X80" i="3"/>
  <c r="P31" i="2" s="1"/>
  <c r="P69" i="2" s="1"/>
  <c r="X131" i="3"/>
  <c r="X59" i="3"/>
  <c r="P28" i="2" s="1"/>
  <c r="P68" i="2"/>
  <c r="X256" i="43"/>
  <c r="R14" i="2"/>
  <c r="AF131" i="3"/>
  <c r="AC86" i="3"/>
  <c r="X18" i="3"/>
  <c r="AB131" i="3"/>
  <c r="V76" i="3"/>
  <c r="AL119" i="43"/>
  <c r="AL114" i="43"/>
  <c r="AL24" i="43"/>
  <c r="AL26" i="43" s="1"/>
  <c r="AL184" i="43"/>
  <c r="AL185" i="43" s="1"/>
  <c r="AO82" i="43"/>
  <c r="AO124" i="43" s="1"/>
  <c r="AQ82" i="43"/>
  <c r="Z58" i="3"/>
  <c r="V27" i="3"/>
  <c r="V60" i="3"/>
  <c r="V34" i="3"/>
  <c r="O13" i="2"/>
  <c r="W86" i="3"/>
  <c r="X86" i="3" s="1"/>
  <c r="W75" i="3"/>
  <c r="W58" i="3"/>
  <c r="W261" i="43"/>
  <c r="W264" i="43"/>
  <c r="X264" i="43" s="1"/>
  <c r="X291" i="43" s="1"/>
  <c r="W259" i="43"/>
  <c r="X259" i="43" s="1"/>
  <c r="W260" i="43"/>
  <c r="X260" i="43" s="1"/>
  <c r="W262" i="43"/>
  <c r="X262" i="43" s="1"/>
  <c r="X289" i="43" s="1"/>
  <c r="W292" i="43"/>
  <c r="W263" i="43"/>
  <c r="X263" i="43" s="1"/>
  <c r="X290" i="43" s="1"/>
  <c r="W274" i="43"/>
  <c r="V290" i="43"/>
  <c r="AK185" i="43"/>
  <c r="AC75" i="3"/>
  <c r="AC58" i="3"/>
  <c r="Z10" i="3"/>
  <c r="Z286" i="43"/>
  <c r="V11" i="3"/>
  <c r="N14" i="2"/>
  <c r="N17" i="2"/>
  <c r="N19" i="2" s="1"/>
  <c r="V10" i="3"/>
  <c r="V286" i="43"/>
  <c r="Q68" i="2"/>
  <c r="Q15" i="2"/>
  <c r="AE20" i="3"/>
  <c r="AG36" i="43"/>
  <c r="AG53" i="43" s="1"/>
  <c r="V15" i="3"/>
  <c r="AB18" i="3"/>
  <c r="AB265" i="43"/>
  <c r="AF18" i="3"/>
  <c r="AF265" i="43"/>
  <c r="AC261" i="43"/>
  <c r="AC12" i="3" s="1"/>
  <c r="AC263" i="43"/>
  <c r="AC14" i="3" s="1"/>
  <c r="AC260" i="43"/>
  <c r="AC262" i="43"/>
  <c r="AC259" i="43"/>
  <c r="AC264" i="43"/>
  <c r="AC15" i="3" s="1"/>
  <c r="Y18" i="3"/>
  <c r="Y265" i="43"/>
  <c r="V12" i="3"/>
  <c r="AI31" i="43"/>
  <c r="AI20" i="3" s="1"/>
  <c r="AB35" i="43"/>
  <c r="AE51" i="43"/>
  <c r="AG31" i="43"/>
  <c r="AG51" i="43" s="1"/>
  <c r="V288" i="43"/>
  <c r="AE33" i="43"/>
  <c r="V291" i="43"/>
  <c r="V289" i="43"/>
  <c r="Y52" i="43"/>
  <c r="W70" i="3"/>
  <c r="AB59" i="3"/>
  <c r="AF59" i="3"/>
  <c r="AB80" i="3"/>
  <c r="V287" i="43"/>
  <c r="AF80" i="3"/>
  <c r="AD36" i="43"/>
  <c r="AD31" i="43"/>
  <c r="AD51" i="43" s="1"/>
  <c r="AI36" i="43"/>
  <c r="AI53" i="43" s="1"/>
  <c r="AK36" i="43"/>
  <c r="AK53" i="43" s="1"/>
  <c r="Y131" i="3"/>
  <c r="Y80" i="3"/>
  <c r="Q31" i="2" s="1"/>
  <c r="P70" i="3"/>
  <c r="Y59" i="3"/>
  <c r="Q28" i="2" s="1"/>
  <c r="AK31" i="43"/>
  <c r="AK20" i="3" s="1"/>
  <c r="Y256" i="43"/>
  <c r="AH26" i="43"/>
  <c r="AH50" i="43" s="1"/>
  <c r="AC274" i="43"/>
  <c r="AH185" i="43"/>
  <c r="AN114" i="43"/>
  <c r="AN184" i="43"/>
  <c r="AN185" i="43" s="1"/>
  <c r="AN24" i="43"/>
  <c r="AC292" i="43"/>
  <c r="AP82" i="43"/>
  <c r="AP124" i="43" s="1"/>
  <c r="AM205" i="43"/>
  <c r="AM24" i="43"/>
  <c r="AM26" i="43" s="1"/>
  <c r="AM184" i="43"/>
  <c r="AM114" i="43"/>
  <c r="AK205" i="43"/>
  <c r="AL205" i="43"/>
  <c r="AF52" i="43"/>
  <c r="AF256" i="43"/>
  <c r="AB52" i="43"/>
  <c r="AB256" i="43"/>
  <c r="AE35" i="43"/>
  <c r="AF53" i="43"/>
  <c r="AA35" i="43"/>
  <c r="AA53" i="43"/>
  <c r="AJ184" i="43"/>
  <c r="AJ185" i="43" s="1"/>
  <c r="AJ24" i="43"/>
  <c r="AJ205" i="43"/>
  <c r="AH205" i="43"/>
  <c r="AI205" i="43"/>
  <c r="AJ114" i="43"/>
  <c r="AA80" i="3" l="1"/>
  <c r="S31" i="2" s="1"/>
  <c r="S69" i="2" s="1"/>
  <c r="E31" i="6"/>
  <c r="AA131" i="3"/>
  <c r="R70" i="3"/>
  <c r="S15" i="2"/>
  <c r="AA59" i="3"/>
  <c r="S28" i="2" s="1"/>
  <c r="S68" i="2"/>
  <c r="AQ119" i="43"/>
  <c r="AQ124" i="43"/>
  <c r="Z290" i="43"/>
  <c r="F71" i="6"/>
  <c r="H43" i="6" s="1"/>
  <c r="AL52" i="2" s="1"/>
  <c r="AA52" i="43"/>
  <c r="Z291" i="43"/>
  <c r="Z288" i="43"/>
  <c r="Z289" i="43"/>
  <c r="AC269" i="43"/>
  <c r="Z287" i="43"/>
  <c r="AC271" i="43"/>
  <c r="Z270" i="43"/>
  <c r="P13" i="2"/>
  <c r="P14" i="2" s="1"/>
  <c r="R11" i="2"/>
  <c r="R12" i="2" s="1"/>
  <c r="Y25" i="3"/>
  <c r="Y60" i="3" s="1"/>
  <c r="V38" i="3"/>
  <c r="AD18" i="3"/>
  <c r="AE131" i="3"/>
  <c r="X58" i="3"/>
  <c r="V61" i="3"/>
  <c r="N11" i="2"/>
  <c r="N12" i="2" s="1"/>
  <c r="X75" i="3"/>
  <c r="V55" i="4"/>
  <c r="AR82" i="43"/>
  <c r="AR124" i="43" s="1"/>
  <c r="AL36" i="43"/>
  <c r="AL50" i="43"/>
  <c r="AL31" i="43"/>
  <c r="Z272" i="43"/>
  <c r="AO119" i="43"/>
  <c r="AO114" i="43"/>
  <c r="AO184" i="43"/>
  <c r="AO185" i="43" s="1"/>
  <c r="AO24" i="43"/>
  <c r="AO26" i="43" s="1"/>
  <c r="AQ114" i="43"/>
  <c r="AS82" i="43"/>
  <c r="AQ184" i="43"/>
  <c r="AQ185" i="43" s="1"/>
  <c r="AQ24" i="43"/>
  <c r="AT82" i="43"/>
  <c r="AT124" i="43" s="1"/>
  <c r="Z273" i="43"/>
  <c r="Z268" i="43"/>
  <c r="Z79" i="3"/>
  <c r="Z269" i="43"/>
  <c r="V36" i="3"/>
  <c r="O14" i="2"/>
  <c r="W269" i="43"/>
  <c r="W11" i="3"/>
  <c r="W287" i="43"/>
  <c r="W268" i="43"/>
  <c r="W10" i="3"/>
  <c r="W286" i="43"/>
  <c r="W15" i="3"/>
  <c r="X15" i="3" s="1"/>
  <c r="W291" i="43"/>
  <c r="W273" i="43"/>
  <c r="W13" i="3"/>
  <c r="W289" i="43"/>
  <c r="W271" i="43"/>
  <c r="AF86" i="3"/>
  <c r="Z271" i="43"/>
  <c r="W14" i="3"/>
  <c r="X14" i="3" s="1"/>
  <c r="W290" i="43"/>
  <c r="W272" i="43"/>
  <c r="W12" i="3"/>
  <c r="W288" i="43"/>
  <c r="W270" i="43"/>
  <c r="X261" i="43"/>
  <c r="X288" i="43" s="1"/>
  <c r="AB75" i="3"/>
  <c r="AE80" i="3"/>
  <c r="V70" i="3"/>
  <c r="AE59" i="3"/>
  <c r="Z16" i="3"/>
  <c r="AC10" i="3"/>
  <c r="AC268" i="43"/>
  <c r="AC286" i="43"/>
  <c r="AF75" i="3"/>
  <c r="AF58" i="3"/>
  <c r="Y58" i="3"/>
  <c r="Q13" i="2"/>
  <c r="Y86" i="3"/>
  <c r="AA86" i="3" s="1"/>
  <c r="Y75" i="3"/>
  <c r="X286" i="43"/>
  <c r="AA18" i="3"/>
  <c r="V16" i="3"/>
  <c r="AG20" i="3"/>
  <c r="AG35" i="43"/>
  <c r="V79" i="3"/>
  <c r="AB58" i="3"/>
  <c r="AC13" i="3"/>
  <c r="AI33" i="43"/>
  <c r="AI52" i="43" s="1"/>
  <c r="AI51" i="43"/>
  <c r="AB25" i="3"/>
  <c r="Y261" i="43"/>
  <c r="AA261" i="43" s="1"/>
  <c r="Y263" i="43"/>
  <c r="AA263" i="43" s="1"/>
  <c r="Y260" i="43"/>
  <c r="Y262" i="43"/>
  <c r="Y289" i="43" s="1"/>
  <c r="Y259" i="43"/>
  <c r="Y264" i="43"/>
  <c r="AA264" i="43" s="1"/>
  <c r="AB86" i="3"/>
  <c r="AD86" i="3" s="1"/>
  <c r="AE18" i="3"/>
  <c r="AE265" i="43"/>
  <c r="AE292" i="43" s="1"/>
  <c r="AF264" i="43"/>
  <c r="AF15" i="3" s="1"/>
  <c r="AF262" i="43"/>
  <c r="AF261" i="43"/>
  <c r="AF12" i="3" s="1"/>
  <c r="AF263" i="43"/>
  <c r="AF14" i="3" s="1"/>
  <c r="AF260" i="43"/>
  <c r="AF269" i="43" s="1"/>
  <c r="AF259" i="43"/>
  <c r="AB263" i="43"/>
  <c r="AD263" i="43" s="1"/>
  <c r="AB260" i="43"/>
  <c r="AB262" i="43"/>
  <c r="AD262" i="43" s="1"/>
  <c r="AB259" i="43"/>
  <c r="AD259" i="43" s="1"/>
  <c r="AB261" i="43"/>
  <c r="AD261" i="43" s="1"/>
  <c r="AB264" i="43"/>
  <c r="AB15" i="3" s="1"/>
  <c r="AD15" i="3" s="1"/>
  <c r="AC289" i="43"/>
  <c r="AC11" i="3"/>
  <c r="AG33" i="43"/>
  <c r="AG52" i="43" s="1"/>
  <c r="AE256" i="43"/>
  <c r="Y274" i="43"/>
  <c r="AE52" i="43"/>
  <c r="AN205" i="43"/>
  <c r="AP119" i="43"/>
  <c r="Y292" i="43"/>
  <c r="Z70" i="3"/>
  <c r="X287" i="43"/>
  <c r="AI80" i="3"/>
  <c r="AC272" i="43"/>
  <c r="AI131" i="3"/>
  <c r="AD33" i="43"/>
  <c r="AD52" i="43" s="1"/>
  <c r="AI59" i="3"/>
  <c r="AC290" i="43"/>
  <c r="AH36" i="43"/>
  <c r="AH53" i="43" s="1"/>
  <c r="AK35" i="43"/>
  <c r="AK131" i="3"/>
  <c r="AK80" i="3"/>
  <c r="AB70" i="3"/>
  <c r="AJ26" i="43"/>
  <c r="AJ50" i="43" s="1"/>
  <c r="AK33" i="43"/>
  <c r="AH31" i="43"/>
  <c r="AK51" i="43"/>
  <c r="AD20" i="3"/>
  <c r="U70" i="3" s="1"/>
  <c r="AC270" i="43"/>
  <c r="AC288" i="43"/>
  <c r="AC287" i="43"/>
  <c r="AC273" i="43"/>
  <c r="AC291" i="43"/>
  <c r="AP205" i="43"/>
  <c r="AP24" i="43"/>
  <c r="AP184" i="43"/>
  <c r="AP185" i="43" s="1"/>
  <c r="AP114" i="43"/>
  <c r="AO205" i="43"/>
  <c r="AM185" i="43"/>
  <c r="AM50" i="43"/>
  <c r="AM36" i="43"/>
  <c r="AM31" i="43"/>
  <c r="AM20" i="3" s="1"/>
  <c r="AF292" i="43"/>
  <c r="AF274" i="43"/>
  <c r="AB292" i="43"/>
  <c r="AB274" i="43"/>
  <c r="AI35" i="43"/>
  <c r="AD35" i="43"/>
  <c r="AD53" i="43"/>
  <c r="H71" i="6" l="1"/>
  <c r="AS119" i="43"/>
  <c r="AS124" i="43"/>
  <c r="AS114" i="43"/>
  <c r="AR205" i="43"/>
  <c r="Y76" i="3"/>
  <c r="AD75" i="3"/>
  <c r="N20" i="2"/>
  <c r="N21" i="2" s="1"/>
  <c r="AE86" i="3"/>
  <c r="AG86" i="3" s="1"/>
  <c r="AB76" i="3"/>
  <c r="V89" i="3"/>
  <c r="V40" i="3"/>
  <c r="V50" i="3" s="1"/>
  <c r="X13" i="3"/>
  <c r="AA75" i="3"/>
  <c r="X11" i="3"/>
  <c r="X12" i="3"/>
  <c r="G31" i="6"/>
  <c r="Y27" i="3"/>
  <c r="AC79" i="3"/>
  <c r="V74" i="3"/>
  <c r="AQ205" i="43"/>
  <c r="AS24" i="43"/>
  <c r="AR119" i="43"/>
  <c r="AR114" i="43"/>
  <c r="AR184" i="43"/>
  <c r="AR185" i="43" s="1"/>
  <c r="AR24" i="43"/>
  <c r="AR26" i="43" s="1"/>
  <c r="AL20" i="3"/>
  <c r="AL51" i="43"/>
  <c r="AL33" i="43"/>
  <c r="AS184" i="43"/>
  <c r="AS185" i="43" s="1"/>
  <c r="AO36" i="43"/>
  <c r="AO50" i="43"/>
  <c r="AO31" i="43"/>
  <c r="AL53" i="43"/>
  <c r="AL35" i="43"/>
  <c r="AS205" i="43"/>
  <c r="AU82" i="43"/>
  <c r="AU124" i="43" s="1"/>
  <c r="AW82" i="43"/>
  <c r="AW124" i="43" s="1"/>
  <c r="AV82" i="43"/>
  <c r="AV124" i="43" s="1"/>
  <c r="AT119" i="43"/>
  <c r="AT24" i="43"/>
  <c r="AT114" i="43"/>
  <c r="AT184" i="43"/>
  <c r="AT185" i="43" s="1"/>
  <c r="X265" i="43"/>
  <c r="X282" i="43" s="1"/>
  <c r="W16" i="3"/>
  <c r="X10" i="3"/>
  <c r="AB14" i="3"/>
  <c r="AD14" i="3" s="1"/>
  <c r="W79" i="3"/>
  <c r="O11" i="2"/>
  <c r="O12" i="2" s="1"/>
  <c r="AF11" i="3"/>
  <c r="Z74" i="3"/>
  <c r="Y15" i="3"/>
  <c r="AA15" i="3" s="1"/>
  <c r="AC16" i="3"/>
  <c r="AE58" i="3"/>
  <c r="AB269" i="43"/>
  <c r="AB13" i="3"/>
  <c r="AA58" i="3"/>
  <c r="AG131" i="3"/>
  <c r="AF10" i="3"/>
  <c r="AF286" i="43"/>
  <c r="AF268" i="43"/>
  <c r="X70" i="3"/>
  <c r="AG80" i="3"/>
  <c r="AD260" i="43"/>
  <c r="S13" i="2"/>
  <c r="V87" i="4"/>
  <c r="V91" i="4" s="1"/>
  <c r="V68" i="4" s="1"/>
  <c r="V70" i="4" s="1"/>
  <c r="AD58" i="3"/>
  <c r="AB60" i="3"/>
  <c r="AD286" i="43"/>
  <c r="AB268" i="43"/>
  <c r="AB286" i="43"/>
  <c r="AB10" i="3"/>
  <c r="AB11" i="3"/>
  <c r="AA260" i="43"/>
  <c r="Y269" i="43"/>
  <c r="Q17" i="2"/>
  <c r="Y271" i="43"/>
  <c r="AA259" i="43"/>
  <c r="Y286" i="43"/>
  <c r="Y10" i="3"/>
  <c r="Y268" i="43"/>
  <c r="Q14" i="2"/>
  <c r="AE75" i="3"/>
  <c r="AE25" i="3"/>
  <c r="AG18" i="3"/>
  <c r="AE262" i="43"/>
  <c r="AG262" i="43" s="1"/>
  <c r="AE259" i="43"/>
  <c r="AE261" i="43"/>
  <c r="AE288" i="43" s="1"/>
  <c r="AE263" i="43"/>
  <c r="AE272" i="43" s="1"/>
  <c r="AE260" i="43"/>
  <c r="AG260" i="43" s="1"/>
  <c r="AE264" i="43"/>
  <c r="AG264" i="43" s="1"/>
  <c r="AF13" i="3"/>
  <c r="AD264" i="43"/>
  <c r="AB27" i="3"/>
  <c r="Y12" i="3"/>
  <c r="AK18" i="3"/>
  <c r="AK265" i="43"/>
  <c r="AI18" i="3"/>
  <c r="AI265" i="43"/>
  <c r="AI274" i="43" s="1"/>
  <c r="Y14" i="3"/>
  <c r="AA14" i="3" s="1"/>
  <c r="AI256" i="43"/>
  <c r="AB12" i="3"/>
  <c r="AG256" i="43"/>
  <c r="AA262" i="43"/>
  <c r="AA289" i="43" s="1"/>
  <c r="Y13" i="3"/>
  <c r="AE274" i="43"/>
  <c r="AA290" i="43"/>
  <c r="Y290" i="43"/>
  <c r="Y11" i="3"/>
  <c r="AJ31" i="43"/>
  <c r="AJ20" i="3" s="1"/>
  <c r="Y272" i="43"/>
  <c r="Y287" i="43"/>
  <c r="AA288" i="43"/>
  <c r="Y288" i="43"/>
  <c r="Y270" i="43"/>
  <c r="Y291" i="43"/>
  <c r="Y273" i="43"/>
  <c r="AA273" i="43"/>
  <c r="AH35" i="43"/>
  <c r="AD256" i="43"/>
  <c r="AK52" i="43"/>
  <c r="AK256" i="43"/>
  <c r="I31" i="6"/>
  <c r="AM131" i="3"/>
  <c r="AM80" i="3"/>
  <c r="AD70" i="3"/>
  <c r="AJ36" i="43"/>
  <c r="AD131" i="3"/>
  <c r="AD59" i="3"/>
  <c r="AD80" i="3"/>
  <c r="AH33" i="43"/>
  <c r="AH265" i="43" s="1"/>
  <c r="AH51" i="43"/>
  <c r="AH20" i="3"/>
  <c r="F31" i="6"/>
  <c r="AG59" i="3"/>
  <c r="AM51" i="43"/>
  <c r="AM33" i="43"/>
  <c r="AM53" i="43"/>
  <c r="AM35" i="43"/>
  <c r="AB290" i="43"/>
  <c r="AB272" i="43"/>
  <c r="AB270" i="43"/>
  <c r="AB288" i="43"/>
  <c r="AF289" i="43"/>
  <c r="AF271" i="43"/>
  <c r="AF287" i="43"/>
  <c r="AB287" i="43"/>
  <c r="AF290" i="43"/>
  <c r="AF272" i="43"/>
  <c r="AB289" i="43"/>
  <c r="AB271" i="43"/>
  <c r="AF288" i="43"/>
  <c r="AF270" i="43"/>
  <c r="AB291" i="43"/>
  <c r="AB273" i="43"/>
  <c r="AF291" i="43"/>
  <c r="AF273" i="43"/>
  <c r="N62" i="2" l="1"/>
  <c r="V62" i="3"/>
  <c r="V161" i="4"/>
  <c r="V77" i="3"/>
  <c r="V45" i="3"/>
  <c r="V187" i="4" s="1"/>
  <c r="V183" i="4" s="1"/>
  <c r="V185" i="4" s="1"/>
  <c r="V113" i="3" s="1"/>
  <c r="AD12" i="3"/>
  <c r="AE27" i="3"/>
  <c r="AB79" i="3"/>
  <c r="AD10" i="3"/>
  <c r="P11" i="2"/>
  <c r="P12" i="2" s="1"/>
  <c r="AB61" i="3"/>
  <c r="AA13" i="3"/>
  <c r="X278" i="43"/>
  <c r="V42" i="3"/>
  <c r="AC57" i="3"/>
  <c r="X16" i="3"/>
  <c r="X87" i="4" s="1"/>
  <c r="X91" i="4" s="1"/>
  <c r="X68" i="4" s="1"/>
  <c r="X79" i="3"/>
  <c r="AF79" i="3"/>
  <c r="AJ131" i="3"/>
  <c r="AA10" i="3"/>
  <c r="AD13" i="3"/>
  <c r="Z57" i="3"/>
  <c r="AA12" i="3"/>
  <c r="Y61" i="3"/>
  <c r="V65" i="3"/>
  <c r="AC74" i="3"/>
  <c r="AR36" i="43"/>
  <c r="AR31" i="43"/>
  <c r="AR50" i="43"/>
  <c r="X280" i="43"/>
  <c r="X281" i="43"/>
  <c r="AX82" i="43"/>
  <c r="AX124" i="43" s="1"/>
  <c r="AO53" i="43"/>
  <c r="AO35" i="43"/>
  <c r="AL265" i="43"/>
  <c r="AL256" i="43"/>
  <c r="AL52" i="43"/>
  <c r="AL18" i="3"/>
  <c r="X277" i="43"/>
  <c r="X292" i="43"/>
  <c r="AU119" i="43"/>
  <c r="AU114" i="43"/>
  <c r="AU24" i="43"/>
  <c r="AU26" i="43" s="1"/>
  <c r="AU184" i="43"/>
  <c r="AU185" i="43" s="1"/>
  <c r="AO20" i="3"/>
  <c r="AO33" i="43"/>
  <c r="AO51" i="43"/>
  <c r="AC70" i="3"/>
  <c r="AL131" i="3"/>
  <c r="AL80" i="3"/>
  <c r="AL59" i="3"/>
  <c r="AU205" i="43"/>
  <c r="AT205" i="43"/>
  <c r="AV205" i="43"/>
  <c r="AV119" i="43"/>
  <c r="AV114" i="43"/>
  <c r="AV24" i="43"/>
  <c r="AV184" i="43"/>
  <c r="AV185" i="43" s="1"/>
  <c r="X279" i="43"/>
  <c r="X283" i="43"/>
  <c r="AW119" i="43"/>
  <c r="AW24" i="43"/>
  <c r="AW114" i="43"/>
  <c r="AW184" i="43"/>
  <c r="AW185" i="43" s="1"/>
  <c r="V147" i="3"/>
  <c r="AE14" i="3"/>
  <c r="AG14" i="3" s="1"/>
  <c r="AG263" i="43"/>
  <c r="AG272" i="43" s="1"/>
  <c r="AG269" i="43"/>
  <c r="W74" i="3"/>
  <c r="W57" i="3"/>
  <c r="AE290" i="43"/>
  <c r="AD11" i="3"/>
  <c r="AA271" i="43"/>
  <c r="AG261" i="43"/>
  <c r="AG270" i="43" s="1"/>
  <c r="AE273" i="43"/>
  <c r="V88" i="4"/>
  <c r="V97" i="4" s="1"/>
  <c r="AF16" i="3"/>
  <c r="AE76" i="3"/>
  <c r="V95" i="4"/>
  <c r="AE60" i="3"/>
  <c r="AE12" i="3"/>
  <c r="AA265" i="43"/>
  <c r="AA278" i="43" s="1"/>
  <c r="AI292" i="43"/>
  <c r="V25" i="4"/>
  <c r="V93" i="4"/>
  <c r="AE11" i="3"/>
  <c r="AE269" i="43"/>
  <c r="AA11" i="3"/>
  <c r="Q11" i="2"/>
  <c r="Q12" i="2" s="1"/>
  <c r="AE13" i="3"/>
  <c r="AA268" i="43"/>
  <c r="AA286" i="43"/>
  <c r="AA287" i="43"/>
  <c r="AA269" i="43"/>
  <c r="AD268" i="43"/>
  <c r="AD269" i="43"/>
  <c r="AK86" i="3"/>
  <c r="S14" i="2"/>
  <c r="AG259" i="43"/>
  <c r="AE286" i="43"/>
  <c r="AE10" i="3"/>
  <c r="AE268" i="43"/>
  <c r="AG75" i="3"/>
  <c r="AG58" i="3"/>
  <c r="AK75" i="3"/>
  <c r="AK25" i="3"/>
  <c r="AI58" i="3"/>
  <c r="AI86" i="3"/>
  <c r="AI75" i="3"/>
  <c r="AE287" i="43"/>
  <c r="AH261" i="43"/>
  <c r="AH263" i="43"/>
  <c r="AH260" i="43"/>
  <c r="AH269" i="43" s="1"/>
  <c r="AH262" i="43"/>
  <c r="AH259" i="43"/>
  <c r="AH264" i="43"/>
  <c r="AK263" i="43"/>
  <c r="AK14" i="3" s="1"/>
  <c r="AK260" i="43"/>
  <c r="AK262" i="43"/>
  <c r="AK259" i="43"/>
  <c r="AK261" i="43"/>
  <c r="AK264" i="43"/>
  <c r="AK15" i="3" s="1"/>
  <c r="AB16" i="3"/>
  <c r="AE15" i="3"/>
  <c r="AG15" i="3" s="1"/>
  <c r="AD265" i="43"/>
  <c r="AD282" i="43" s="1"/>
  <c r="AI262" i="43"/>
  <c r="AI289" i="43" s="1"/>
  <c r="AI263" i="43"/>
  <c r="AI272" i="43" s="1"/>
  <c r="AI260" i="43"/>
  <c r="AI259" i="43"/>
  <c r="AI261" i="43"/>
  <c r="AI264" i="43"/>
  <c r="AE271" i="43"/>
  <c r="AA272" i="43"/>
  <c r="AE270" i="43"/>
  <c r="AG289" i="43"/>
  <c r="AG291" i="43"/>
  <c r="AE289" i="43"/>
  <c r="AE291" i="43"/>
  <c r="Y79" i="3"/>
  <c r="Y16" i="3"/>
  <c r="AA291" i="43"/>
  <c r="AJ33" i="43"/>
  <c r="AJ52" i="43" s="1"/>
  <c r="AJ51" i="43"/>
  <c r="AJ35" i="43"/>
  <c r="AA270" i="43"/>
  <c r="AJ53" i="43"/>
  <c r="AM59" i="3"/>
  <c r="AK292" i="43"/>
  <c r="AK59" i="3"/>
  <c r="AH80" i="3"/>
  <c r="AH59" i="3"/>
  <c r="Y70" i="3"/>
  <c r="AJ59" i="3"/>
  <c r="AH131" i="3"/>
  <c r="AH18" i="3"/>
  <c r="AH52" i="43"/>
  <c r="AH256" i="43"/>
  <c r="AK274" i="43"/>
  <c r="AJ80" i="3"/>
  <c r="AA70" i="3"/>
  <c r="AM52" i="43"/>
  <c r="AM256" i="43"/>
  <c r="AD289" i="43"/>
  <c r="AD271" i="43"/>
  <c r="AD270" i="43"/>
  <c r="AD288" i="43"/>
  <c r="AD291" i="43"/>
  <c r="AD273" i="43"/>
  <c r="AD287" i="43"/>
  <c r="AD272" i="43"/>
  <c r="AD290" i="43"/>
  <c r="AG287" i="43"/>
  <c r="H31" i="6"/>
  <c r="N70" i="2" l="1"/>
  <c r="V189" i="4"/>
  <c r="V190" i="4" s="1"/>
  <c r="V179" i="4"/>
  <c r="AG13" i="2" s="1"/>
  <c r="AM18" i="3"/>
  <c r="Y57" i="3"/>
  <c r="S11" i="2"/>
  <c r="S12" i="2" s="1"/>
  <c r="N23" i="2"/>
  <c r="N22" i="2" s="1"/>
  <c r="V51" i="3"/>
  <c r="V81" i="3"/>
  <c r="N32" i="2" s="1"/>
  <c r="M71" i="3"/>
  <c r="V63" i="3"/>
  <c r="N29" i="2" s="1"/>
  <c r="AK27" i="3"/>
  <c r="AG13" i="3"/>
  <c r="AG12" i="3"/>
  <c r="AE61" i="3"/>
  <c r="AF57" i="3"/>
  <c r="AB87" i="4"/>
  <c r="AB91" i="4" s="1"/>
  <c r="AB68" i="4" s="1"/>
  <c r="AG10" i="3"/>
  <c r="X74" i="3"/>
  <c r="AE79" i="3"/>
  <c r="AD16" i="3"/>
  <c r="AL58" i="3"/>
  <c r="AY82" i="43"/>
  <c r="AL259" i="43"/>
  <c r="AM259" i="43" s="1"/>
  <c r="AL292" i="43"/>
  <c r="AL261" i="43"/>
  <c r="AL270" i="43" s="1"/>
  <c r="AL262" i="43"/>
  <c r="AM262" i="43" s="1"/>
  <c r="AM289" i="43" s="1"/>
  <c r="AL264" i="43"/>
  <c r="AM264" i="43" s="1"/>
  <c r="AM291" i="43" s="1"/>
  <c r="AL260" i="43"/>
  <c r="AM260" i="43" s="1"/>
  <c r="AM287" i="43" s="1"/>
  <c r="AL263" i="43"/>
  <c r="AL272" i="43" s="1"/>
  <c r="AO18" i="3"/>
  <c r="AO52" i="43"/>
  <c r="AO265" i="43"/>
  <c r="AO256" i="43"/>
  <c r="AL274" i="43"/>
  <c r="AL86" i="3"/>
  <c r="AM86" i="3" s="1"/>
  <c r="AL75" i="3"/>
  <c r="AO59" i="3"/>
  <c r="AO80" i="3"/>
  <c r="AO131" i="3"/>
  <c r="AF70" i="3"/>
  <c r="AD79" i="3"/>
  <c r="AU36" i="43"/>
  <c r="AU31" i="43"/>
  <c r="AU50" i="43"/>
  <c r="AR20" i="3"/>
  <c r="AR51" i="43"/>
  <c r="AR33" i="43"/>
  <c r="AX119" i="43"/>
  <c r="AX184" i="43"/>
  <c r="AX185" i="43" s="1"/>
  <c r="AX114" i="43"/>
  <c r="AX24" i="43"/>
  <c r="AX26" i="43" s="1"/>
  <c r="AR35" i="43"/>
  <c r="AR53" i="43"/>
  <c r="AG290" i="43"/>
  <c r="X88" i="4"/>
  <c r="X97" i="4" s="1"/>
  <c r="W87" i="4"/>
  <c r="W89" i="4" s="1"/>
  <c r="X95" i="4"/>
  <c r="AG11" i="3"/>
  <c r="X25" i="4"/>
  <c r="X93" i="4"/>
  <c r="AG288" i="43"/>
  <c r="AF74" i="3"/>
  <c r="AK290" i="43"/>
  <c r="AA79" i="3"/>
  <c r="AJ256" i="43"/>
  <c r="AB74" i="3"/>
  <c r="AA283" i="43"/>
  <c r="AA282" i="43"/>
  <c r="AI287" i="43"/>
  <c r="AI269" i="43"/>
  <c r="AI270" i="43"/>
  <c r="AI288" i="43"/>
  <c r="AA277" i="43"/>
  <c r="AA281" i="43"/>
  <c r="AI286" i="43"/>
  <c r="AI268" i="43"/>
  <c r="AI10" i="3"/>
  <c r="AA280" i="43"/>
  <c r="AA16" i="3"/>
  <c r="AA279" i="43"/>
  <c r="AK269" i="43"/>
  <c r="AG268" i="43"/>
  <c r="AG286" i="43"/>
  <c r="AG265" i="43"/>
  <c r="AG292" i="43" s="1"/>
  <c r="AK76" i="3"/>
  <c r="AH10" i="3"/>
  <c r="AH268" i="43"/>
  <c r="AH286" i="43"/>
  <c r="AE16" i="3"/>
  <c r="AK286" i="43"/>
  <c r="AK10" i="3"/>
  <c r="AK268" i="43"/>
  <c r="V31" i="4"/>
  <c r="N56" i="2"/>
  <c r="AK13" i="3"/>
  <c r="AI290" i="43"/>
  <c r="AK12" i="3"/>
  <c r="AJ261" i="43"/>
  <c r="AI12" i="3"/>
  <c r="AJ264" i="43"/>
  <c r="AI15" i="3"/>
  <c r="AJ259" i="43"/>
  <c r="AJ263" i="43"/>
  <c r="AI14" i="3"/>
  <c r="AJ262" i="43"/>
  <c r="AI13" i="3"/>
  <c r="AD283" i="43"/>
  <c r="AD279" i="43"/>
  <c r="AD278" i="43"/>
  <c r="AD280" i="43"/>
  <c r="AD281" i="43"/>
  <c r="AD277" i="43"/>
  <c r="AI271" i="43"/>
  <c r="AI291" i="43"/>
  <c r="AI273" i="43"/>
  <c r="AJ260" i="43"/>
  <c r="AJ269" i="43" s="1"/>
  <c r="AI11" i="3"/>
  <c r="AG273" i="43"/>
  <c r="AA292" i="43"/>
  <c r="AA274" i="43"/>
  <c r="AG271" i="43"/>
  <c r="Y74" i="3"/>
  <c r="AK11" i="3"/>
  <c r="AB57" i="3"/>
  <c r="AK287" i="43"/>
  <c r="Y87" i="4"/>
  <c r="Y91" i="4" s="1"/>
  <c r="Y68" i="4" s="1"/>
  <c r="AK289" i="43"/>
  <c r="AK291" i="43"/>
  <c r="AK288" i="43"/>
  <c r="AH292" i="43"/>
  <c r="AH274" i="43"/>
  <c r="AH75" i="3"/>
  <c r="AJ18" i="3"/>
  <c r="AH86" i="3"/>
  <c r="AJ86" i="3" s="1"/>
  <c r="AH25" i="3"/>
  <c r="AH58" i="3"/>
  <c r="AK58" i="3"/>
  <c r="V162" i="4"/>
  <c r="V119" i="3"/>
  <c r="AD292" i="43"/>
  <c r="AD274" i="43"/>
  <c r="AW205" i="43" l="1"/>
  <c r="AY124" i="43"/>
  <c r="V191" i="4"/>
  <c r="V52" i="3"/>
  <c r="V154" i="3"/>
  <c r="AG14" i="2" s="1"/>
  <c r="AL273" i="43"/>
  <c r="AD74" i="3"/>
  <c r="AM75" i="3"/>
  <c r="AD87" i="4"/>
  <c r="AD91" i="4" s="1"/>
  <c r="AD68" i="4" s="1"/>
  <c r="AB25" i="4"/>
  <c r="AG16" i="3"/>
  <c r="AG57" i="3" s="1"/>
  <c r="V39" i="4"/>
  <c r="AA57" i="3"/>
  <c r="AG11" i="2"/>
  <c r="V148" i="3"/>
  <c r="AG16" i="2" s="1"/>
  <c r="V66" i="3"/>
  <c r="AG12" i="2" s="1"/>
  <c r="AB88" i="4"/>
  <c r="AB97" i="4" s="1"/>
  <c r="AE57" i="3"/>
  <c r="P56" i="2"/>
  <c r="AL269" i="43"/>
  <c r="AY119" i="43"/>
  <c r="AY205" i="43"/>
  <c r="AX205" i="43"/>
  <c r="AY184" i="43"/>
  <c r="AY185" i="43" s="1"/>
  <c r="AY24" i="43"/>
  <c r="AM263" i="43"/>
  <c r="AM290" i="43" s="1"/>
  <c r="AY114" i="43"/>
  <c r="AL268" i="43"/>
  <c r="AU35" i="43"/>
  <c r="AU53" i="43"/>
  <c r="AR256" i="43"/>
  <c r="AR18" i="3"/>
  <c r="AR52" i="43"/>
  <c r="AR265" i="43"/>
  <c r="AO259" i="43"/>
  <c r="AO292" i="43"/>
  <c r="AO261" i="43"/>
  <c r="AO274" i="43"/>
  <c r="AO260" i="43"/>
  <c r="AO262" i="43"/>
  <c r="AO264" i="43"/>
  <c r="AO263" i="43"/>
  <c r="AL288" i="43"/>
  <c r="AL12" i="3"/>
  <c r="AR80" i="3"/>
  <c r="AR59" i="3"/>
  <c r="AR131" i="3"/>
  <c r="AI70" i="3"/>
  <c r="AO86" i="3"/>
  <c r="AO75" i="3"/>
  <c r="AO58" i="3"/>
  <c r="AX31" i="43"/>
  <c r="AX50" i="43"/>
  <c r="AX36" i="43"/>
  <c r="AL13" i="3"/>
  <c r="AL289" i="43"/>
  <c r="AL14" i="3"/>
  <c r="AM14" i="3" s="1"/>
  <c r="AL290" i="43"/>
  <c r="AL10" i="3"/>
  <c r="AL286" i="43"/>
  <c r="AL291" i="43"/>
  <c r="AL15" i="3"/>
  <c r="AM15" i="3" s="1"/>
  <c r="AL271" i="43"/>
  <c r="AM261" i="43"/>
  <c r="AM288" i="43" s="1"/>
  <c r="AU20" i="3"/>
  <c r="AU33" i="43"/>
  <c r="AU51" i="43"/>
  <c r="AL11" i="3"/>
  <c r="AL287" i="43"/>
  <c r="W91" i="4"/>
  <c r="W68" i="4" s="1"/>
  <c r="W88" i="4"/>
  <c r="W97" i="4" s="1"/>
  <c r="AG79" i="3"/>
  <c r="X31" i="4"/>
  <c r="W25" i="4"/>
  <c r="AA74" i="3"/>
  <c r="AD57" i="3"/>
  <c r="AA87" i="4"/>
  <c r="AA91" i="4" s="1"/>
  <c r="AA68" i="4" s="1"/>
  <c r="AE74" i="3"/>
  <c r="AG280" i="43"/>
  <c r="AG282" i="43"/>
  <c r="AG283" i="43"/>
  <c r="AG277" i="43"/>
  <c r="AM269" i="43"/>
  <c r="AJ10" i="3"/>
  <c r="AE87" i="4"/>
  <c r="AE91" i="4" s="1"/>
  <c r="AE68" i="4" s="1"/>
  <c r="AJ268" i="43"/>
  <c r="AJ286" i="43"/>
  <c r="AM268" i="43"/>
  <c r="AM286" i="43"/>
  <c r="AG278" i="43"/>
  <c r="AG281" i="43"/>
  <c r="AG279" i="43"/>
  <c r="AJ265" i="43"/>
  <c r="AJ283" i="43" s="1"/>
  <c r="AI16" i="3"/>
  <c r="AI79" i="3"/>
  <c r="AK79" i="3"/>
  <c r="AK16" i="3"/>
  <c r="AG274" i="43"/>
  <c r="Y95" i="4"/>
  <c r="Y25" i="4"/>
  <c r="Y93" i="4"/>
  <c r="Y88" i="4"/>
  <c r="Y97" i="4" s="1"/>
  <c r="Y92" i="4"/>
  <c r="Y96" i="4" s="1"/>
  <c r="AM58" i="3"/>
  <c r="AJ75" i="3"/>
  <c r="AJ58" i="3"/>
  <c r="AH12" i="3"/>
  <c r="AH288" i="43"/>
  <c r="AH270" i="43"/>
  <c r="AH15" i="3"/>
  <c r="AJ15" i="3" s="1"/>
  <c r="AH273" i="43"/>
  <c r="AK273" i="43"/>
  <c r="AH291" i="43"/>
  <c r="AH76" i="3"/>
  <c r="AH60" i="3"/>
  <c r="AH27" i="3"/>
  <c r="AK60" i="3"/>
  <c r="AH11" i="3"/>
  <c r="AH287" i="43"/>
  <c r="AH14" i="3"/>
  <c r="AJ14" i="3" s="1"/>
  <c r="AH290" i="43"/>
  <c r="AK272" i="43"/>
  <c r="AH272" i="43"/>
  <c r="AK270" i="43"/>
  <c r="AH13" i="3"/>
  <c r="AH271" i="43"/>
  <c r="AH289" i="43"/>
  <c r="AK271" i="43"/>
  <c r="AB93" i="4"/>
  <c r="AB95" i="4"/>
  <c r="AD88" i="4" l="1"/>
  <c r="AD97" i="4" s="1"/>
  <c r="AD25" i="4"/>
  <c r="AC87" i="4"/>
  <c r="AC88" i="4" s="1"/>
  <c r="AC97" i="4" s="1"/>
  <c r="AD93" i="4"/>
  <c r="AD95" i="4"/>
  <c r="AB31" i="4"/>
  <c r="AM265" i="43"/>
  <c r="AM283" i="43" s="1"/>
  <c r="AG74" i="3"/>
  <c r="AM13" i="3"/>
  <c r="AM12" i="3"/>
  <c r="AJ12" i="3"/>
  <c r="W31" i="4"/>
  <c r="AK74" i="3"/>
  <c r="AM10" i="3"/>
  <c r="AL79" i="3"/>
  <c r="AJ13" i="3"/>
  <c r="N59" i="2"/>
  <c r="N58" i="2" s="1"/>
  <c r="AG87" i="4"/>
  <c r="AO11" i="3"/>
  <c r="AO287" i="43"/>
  <c r="AO269" i="43"/>
  <c r="AR58" i="3"/>
  <c r="AR86" i="3"/>
  <c r="AR75" i="3"/>
  <c r="AL16" i="3"/>
  <c r="AX53" i="43"/>
  <c r="AX35" i="43"/>
  <c r="AO270" i="43"/>
  <c r="AO288" i="43"/>
  <c r="AO12" i="3"/>
  <c r="AM11" i="3"/>
  <c r="AO14" i="3"/>
  <c r="AO272" i="43"/>
  <c r="AO290" i="43"/>
  <c r="AU265" i="43"/>
  <c r="AU52" i="43"/>
  <c r="AU18" i="3"/>
  <c r="AU256" i="43"/>
  <c r="AX20" i="3"/>
  <c r="AX33" i="43"/>
  <c r="AX51" i="43"/>
  <c r="AO15" i="3"/>
  <c r="AO291" i="43"/>
  <c r="AO273" i="43"/>
  <c r="AO268" i="43"/>
  <c r="AO10" i="3"/>
  <c r="AO286" i="43"/>
  <c r="AL70" i="3"/>
  <c r="AU131" i="3"/>
  <c r="AU80" i="3"/>
  <c r="AU59" i="3"/>
  <c r="AO271" i="43"/>
  <c r="AO13" i="3"/>
  <c r="AO289" i="43"/>
  <c r="AR262" i="43"/>
  <c r="AR274" i="43"/>
  <c r="AR264" i="43"/>
  <c r="AR259" i="43"/>
  <c r="AR292" i="43"/>
  <c r="AR261" i="43"/>
  <c r="AR263" i="43"/>
  <c r="AR260" i="43"/>
  <c r="W95" i="4"/>
  <c r="W92" i="4"/>
  <c r="W96" i="4" s="1"/>
  <c r="W93" i="4"/>
  <c r="O56" i="2"/>
  <c r="AB92" i="4"/>
  <c r="AB96" i="4" s="1"/>
  <c r="AJ277" i="43"/>
  <c r="Z87" i="4"/>
  <c r="Z88" i="4" s="1"/>
  <c r="Z97" i="4" s="1"/>
  <c r="AD92" i="4"/>
  <c r="AD96" i="4" s="1"/>
  <c r="AA92" i="4"/>
  <c r="AA96" i="4" s="1"/>
  <c r="AA95" i="4"/>
  <c r="AA88" i="4"/>
  <c r="AA97" i="4" s="1"/>
  <c r="AA25" i="4"/>
  <c r="AA93" i="4"/>
  <c r="AJ278" i="43"/>
  <c r="AJ279" i="43"/>
  <c r="AJ282" i="43"/>
  <c r="AJ280" i="43"/>
  <c r="AE92" i="4"/>
  <c r="AE96" i="4" s="1"/>
  <c r="AE88" i="4"/>
  <c r="AE97" i="4" s="1"/>
  <c r="AE93" i="4"/>
  <c r="Y31" i="4"/>
  <c r="Q56" i="2"/>
  <c r="AE95" i="4"/>
  <c r="AE25" i="4"/>
  <c r="AK87" i="4"/>
  <c r="AK88" i="4" s="1"/>
  <c r="AK97" i="4" s="1"/>
  <c r="AI74" i="3"/>
  <c r="AI57" i="3"/>
  <c r="AJ281" i="43"/>
  <c r="AH16" i="3"/>
  <c r="AH61" i="3"/>
  <c r="AK61" i="3"/>
  <c r="AH79" i="3"/>
  <c r="AJ11" i="3"/>
  <c r="AJ290" i="43"/>
  <c r="AJ272" i="43"/>
  <c r="AM272" i="43"/>
  <c r="AJ271" i="43"/>
  <c r="AJ289" i="43"/>
  <c r="AM271" i="43"/>
  <c r="AJ287" i="43"/>
  <c r="AM273" i="43"/>
  <c r="AJ291" i="43"/>
  <c r="AJ273" i="43"/>
  <c r="AJ288" i="43"/>
  <c r="AM270" i="43"/>
  <c r="AJ270" i="43"/>
  <c r="AC91" i="4" l="1"/>
  <c r="AC68" i="4" s="1"/>
  <c r="AD31" i="4"/>
  <c r="AC25" i="4"/>
  <c r="AC31" i="4" s="1"/>
  <c r="AC89" i="4"/>
  <c r="AM277" i="43"/>
  <c r="AM280" i="43"/>
  <c r="AM292" i="43"/>
  <c r="AM281" i="43"/>
  <c r="AM279" i="43"/>
  <c r="AM278" i="43"/>
  <c r="AM282" i="43"/>
  <c r="AG25" i="4"/>
  <c r="AG88" i="4"/>
  <c r="AG97" i="4" s="1"/>
  <c r="AG91" i="4"/>
  <c r="AF87" i="4"/>
  <c r="AM79" i="3"/>
  <c r="AJ16" i="3"/>
  <c r="S56" i="2"/>
  <c r="AO79" i="3"/>
  <c r="AE31" i="4"/>
  <c r="AL74" i="3"/>
  <c r="AL57" i="3"/>
  <c r="AU262" i="43"/>
  <c r="AU292" i="43"/>
  <c r="AU259" i="43"/>
  <c r="AU274" i="43"/>
  <c r="AU260" i="43"/>
  <c r="AU264" i="43"/>
  <c r="AU261" i="43"/>
  <c r="AU263" i="43"/>
  <c r="AR286" i="43"/>
  <c r="AR268" i="43"/>
  <c r="AR10" i="3"/>
  <c r="AX256" i="43"/>
  <c r="AX52" i="43"/>
  <c r="AX18" i="3"/>
  <c r="AX265" i="43"/>
  <c r="AR15" i="3"/>
  <c r="AR273" i="43"/>
  <c r="AR291" i="43"/>
  <c r="AX80" i="3"/>
  <c r="AX131" i="3"/>
  <c r="AO70" i="3"/>
  <c r="AX59" i="3"/>
  <c r="AO16" i="3"/>
  <c r="AR11" i="3"/>
  <c r="AR269" i="43"/>
  <c r="AR287" i="43"/>
  <c r="AR12" i="3"/>
  <c r="AR288" i="43"/>
  <c r="AR270" i="43"/>
  <c r="AR14" i="3"/>
  <c r="AR290" i="43"/>
  <c r="AR272" i="43"/>
  <c r="AR13" i="3"/>
  <c r="AR289" i="43"/>
  <c r="AR271" i="43"/>
  <c r="AU75" i="3"/>
  <c r="AU58" i="3"/>
  <c r="AU86" i="3"/>
  <c r="AM16" i="3"/>
  <c r="Z91" i="4"/>
  <c r="Z68" i="4" s="1"/>
  <c r="Z89" i="4"/>
  <c r="AA31" i="4"/>
  <c r="Z25" i="4"/>
  <c r="AK91" i="4"/>
  <c r="AK68" i="4" s="1"/>
  <c r="AK25" i="4"/>
  <c r="AM274" i="43"/>
  <c r="AJ292" i="43"/>
  <c r="AJ274" i="43"/>
  <c r="AJ79" i="3"/>
  <c r="AH74" i="3"/>
  <c r="AH87" i="4"/>
  <c r="AK57" i="3"/>
  <c r="AH57" i="3"/>
  <c r="E34" i="6"/>
  <c r="F34" i="6"/>
  <c r="AC95" i="4" l="1"/>
  <c r="AC92" i="4"/>
  <c r="AC96" i="4" s="1"/>
  <c r="AC93" i="4"/>
  <c r="AK31" i="4"/>
  <c r="AF89" i="4"/>
  <c r="AF88" i="4"/>
  <c r="AF97" i="4" s="1"/>
  <c r="AF91" i="4"/>
  <c r="AG68" i="4"/>
  <c r="AG92" i="4"/>
  <c r="AG93" i="4"/>
  <c r="AG95" i="4"/>
  <c r="Z31" i="4"/>
  <c r="AG31" i="4"/>
  <c r="AF25" i="4"/>
  <c r="AU268" i="43"/>
  <c r="AU286" i="43"/>
  <c r="AU10" i="3"/>
  <c r="AO57" i="3"/>
  <c r="AO74" i="3"/>
  <c r="AU12" i="3"/>
  <c r="AU288" i="43"/>
  <c r="AU270" i="43"/>
  <c r="AU13" i="3"/>
  <c r="AU271" i="43"/>
  <c r="AU289" i="43"/>
  <c r="AM87" i="4"/>
  <c r="AM74" i="3"/>
  <c r="AR79" i="3"/>
  <c r="AU14" i="3"/>
  <c r="AU290" i="43"/>
  <c r="AU272" i="43"/>
  <c r="AU15" i="3"/>
  <c r="AU291" i="43"/>
  <c r="AU273" i="43"/>
  <c r="AX58" i="3"/>
  <c r="AX86" i="3"/>
  <c r="AX75" i="3"/>
  <c r="AR16" i="3"/>
  <c r="AU287" i="43"/>
  <c r="AU269" i="43"/>
  <c r="AU11" i="3"/>
  <c r="AX260" i="43"/>
  <c r="AX259" i="43"/>
  <c r="AX264" i="43"/>
  <c r="AX261" i="43"/>
  <c r="AX263" i="43"/>
  <c r="AX262" i="43"/>
  <c r="AX292" i="43"/>
  <c r="AX274" i="43"/>
  <c r="Z95" i="4"/>
  <c r="Z92" i="4"/>
  <c r="Z93" i="4"/>
  <c r="R56" i="2"/>
  <c r="AK93" i="4"/>
  <c r="AK95" i="4"/>
  <c r="AJ74" i="3"/>
  <c r="AJ57" i="3"/>
  <c r="AJ87" i="4"/>
  <c r="AM57" i="3"/>
  <c r="AH91" i="4"/>
  <c r="AH25" i="4"/>
  <c r="AH88" i="4"/>
  <c r="AH97" i="4" s="1"/>
  <c r="AG96" i="4" l="1"/>
  <c r="G34" i="6"/>
  <c r="AU79" i="3"/>
  <c r="AF31" i="4"/>
  <c r="AF68" i="4"/>
  <c r="AF93" i="4"/>
  <c r="AF95" i="4"/>
  <c r="AF92" i="4"/>
  <c r="AH31" i="4"/>
  <c r="AL87" i="4"/>
  <c r="AM91" i="4"/>
  <c r="AM25" i="4"/>
  <c r="AM88" i="4"/>
  <c r="AM97" i="4" s="1"/>
  <c r="AX271" i="43"/>
  <c r="AX289" i="43"/>
  <c r="AX13" i="3"/>
  <c r="AX15" i="3"/>
  <c r="AX273" i="43"/>
  <c r="AX291" i="43"/>
  <c r="AR74" i="3"/>
  <c r="AR57" i="3"/>
  <c r="AX10" i="3"/>
  <c r="AX286" i="43"/>
  <c r="AX268" i="43"/>
  <c r="AX11" i="3"/>
  <c r="AX269" i="43"/>
  <c r="AX287" i="43"/>
  <c r="AU16" i="3"/>
  <c r="AX14" i="3"/>
  <c r="AX290" i="43"/>
  <c r="AX272" i="43"/>
  <c r="AX12" i="3"/>
  <c r="AX270" i="43"/>
  <c r="AX288" i="43"/>
  <c r="Z96" i="4"/>
  <c r="AH68" i="4"/>
  <c r="AH92" i="4"/>
  <c r="AH93" i="4"/>
  <c r="AH95" i="4"/>
  <c r="AJ25" i="4"/>
  <c r="AJ91" i="4"/>
  <c r="AI87" i="4"/>
  <c r="AJ88" i="4"/>
  <c r="AJ97" i="4" s="1"/>
  <c r="AX79" i="3" l="1"/>
  <c r="AF96" i="4"/>
  <c r="AL91" i="4"/>
  <c r="AL88" i="4"/>
  <c r="AL97" i="4" s="1"/>
  <c r="AL89" i="4"/>
  <c r="AM93" i="4"/>
  <c r="AM95" i="4"/>
  <c r="AM68" i="4"/>
  <c r="AU57" i="3"/>
  <c r="AU74" i="3"/>
  <c r="AX16" i="3"/>
  <c r="AM31" i="4"/>
  <c r="AL25" i="4"/>
  <c r="AI91" i="4"/>
  <c r="AI88" i="4"/>
  <c r="AI97" i="4" s="1"/>
  <c r="AI89" i="4"/>
  <c r="AH96" i="4"/>
  <c r="AJ31" i="4"/>
  <c r="AI25" i="4"/>
  <c r="AJ68" i="4"/>
  <c r="AM92" i="4"/>
  <c r="AJ95" i="4"/>
  <c r="AJ93" i="4"/>
  <c r="AK92" i="4"/>
  <c r="AJ92" i="4"/>
  <c r="AL31" i="4" l="1"/>
  <c r="AX74" i="3"/>
  <c r="AI31" i="4"/>
  <c r="X154" i="4"/>
  <c r="X157" i="4" s="1"/>
  <c r="W29" i="3"/>
  <c r="W157" i="4"/>
  <c r="AX57" i="3"/>
  <c r="AL93" i="4"/>
  <c r="AL92" i="4"/>
  <c r="AL68" i="4"/>
  <c r="AL95" i="4"/>
  <c r="AJ96" i="4"/>
  <c r="H34" i="6"/>
  <c r="AK96" i="4"/>
  <c r="AM96" i="4"/>
  <c r="I34" i="6"/>
  <c r="AI68" i="4"/>
  <c r="AI92" i="4"/>
  <c r="AI95" i="4"/>
  <c r="AI93" i="4"/>
  <c r="X29" i="3" l="1"/>
  <c r="AL96" i="4"/>
  <c r="AI96" i="4"/>
  <c r="R280" i="43" l="1"/>
  <c r="R281" i="43"/>
  <c r="R282" i="43"/>
  <c r="R278" i="43"/>
  <c r="R292" i="43"/>
  <c r="R283" i="43"/>
  <c r="R279" i="43"/>
  <c r="K11" i="2" l="1"/>
  <c r="K12" i="2" s="1"/>
  <c r="K37" i="2"/>
  <c r="K36" i="2"/>
  <c r="U262" i="43"/>
  <c r="V57" i="3"/>
  <c r="U263" i="43"/>
  <c r="U264" i="43"/>
  <c r="U260" i="43"/>
  <c r="U259" i="43"/>
  <c r="S261" i="43"/>
  <c r="S262" i="43"/>
  <c r="S289" i="43"/>
  <c r="S263" i="43"/>
  <c r="S290" i="43"/>
  <c r="S264" i="43"/>
  <c r="S260" i="43"/>
  <c r="V269" i="43" s="1"/>
  <c r="S259" i="43"/>
  <c r="V268" i="43" s="1"/>
  <c r="U286" i="43" l="1"/>
  <c r="U291" i="43"/>
  <c r="U261" i="43"/>
  <c r="U265" i="43" s="1"/>
  <c r="U287" i="43"/>
  <c r="U290" i="43"/>
  <c r="U289" i="43"/>
  <c r="S287" i="43"/>
  <c r="V272" i="43"/>
  <c r="V271" i="43"/>
  <c r="S87" i="3"/>
  <c r="V273" i="43"/>
  <c r="V270" i="43"/>
  <c r="S288" i="43"/>
  <c r="X269" i="43"/>
  <c r="S265" i="43"/>
  <c r="S282" i="43" s="1"/>
  <c r="S279" i="43"/>
  <c r="S286" i="43"/>
  <c r="X271" i="43"/>
  <c r="S125" i="3"/>
  <c r="K50" i="2"/>
  <c r="M11" i="2"/>
  <c r="M12" i="2" s="1"/>
  <c r="S291" i="43"/>
  <c r="X272" i="43"/>
  <c r="K56" i="2"/>
  <c r="U277" i="43" l="1"/>
  <c r="U282" i="43"/>
  <c r="U281" i="43"/>
  <c r="U278" i="43"/>
  <c r="U292" i="43"/>
  <c r="U283" i="43"/>
  <c r="U280" i="43"/>
  <c r="U279" i="43"/>
  <c r="U288" i="43"/>
  <c r="K59" i="2"/>
  <c r="K58" i="2" s="1"/>
  <c r="S90" i="3"/>
  <c r="AD22" i="2"/>
  <c r="AD23" i="2"/>
  <c r="X268" i="43"/>
  <c r="X270" i="43"/>
  <c r="S141" i="3"/>
  <c r="X57" i="3"/>
  <c r="S283" i="43"/>
  <c r="S281" i="43"/>
  <c r="V274" i="43"/>
  <c r="S280" i="43"/>
  <c r="S277" i="43"/>
  <c r="S292" i="43"/>
  <c r="S278" i="43"/>
  <c r="X273" i="43"/>
  <c r="S151" i="3" l="1"/>
  <c r="AD20" i="2" s="1"/>
  <c r="K35" i="2"/>
  <c r="K55" i="2"/>
  <c r="K54" i="2" s="1"/>
  <c r="X274" i="43"/>
  <c r="S143" i="3"/>
  <c r="AD18" i="2" s="1"/>
  <c r="S142" i="3"/>
  <c r="S145" i="3"/>
  <c r="S144" i="3"/>
  <c r="AD19" i="2" s="1"/>
  <c r="X92" i="4" l="1"/>
  <c r="V92" i="4"/>
  <c r="K60" i="2"/>
  <c r="S150" i="3"/>
  <c r="AD17" i="2" s="1"/>
  <c r="M56" i="2"/>
  <c r="D34" i="6" l="1"/>
  <c r="X96" i="4"/>
  <c r="V75" i="4"/>
  <c r="V87" i="3"/>
  <c r="V96" i="4"/>
  <c r="L56" i="2"/>
  <c r="C34" i="6"/>
  <c r="M59" i="2" l="1"/>
  <c r="M58" i="2" s="1"/>
  <c r="V91" i="3"/>
  <c r="V98" i="3" l="1"/>
  <c r="L59" i="2"/>
  <c r="L58" i="2" s="1"/>
  <c r="V136" i="3" l="1"/>
  <c r="N36" i="2" s="1"/>
  <c r="V121" i="3"/>
  <c r="V132" i="3"/>
  <c r="V56" i="4"/>
  <c r="V134" i="3"/>
  <c r="V138" i="3"/>
  <c r="V153" i="3" l="1"/>
  <c r="V137" i="3"/>
  <c r="N37" i="2" s="1"/>
  <c r="T162" i="4" l="1"/>
  <c r="AE14" i="2"/>
  <c r="AE13" i="2"/>
  <c r="U162" i="4" l="1"/>
  <c r="AF13" i="2"/>
  <c r="AF14" i="2" l="1"/>
  <c r="M75" i="2" s="1"/>
  <c r="X160" i="4" l="1"/>
  <c r="V160" i="4"/>
  <c r="V164" i="4" s="1"/>
  <c r="V45" i="4" l="1"/>
  <c r="W160" i="4"/>
  <c r="V46" i="4" l="1"/>
  <c r="V73" i="4" l="1"/>
  <c r="N34" i="2" s="1"/>
  <c r="V65" i="4"/>
  <c r="M50" i="2"/>
  <c r="H80" i="6" l="1"/>
  <c r="H81" i="6" s="1"/>
  <c r="H83" i="6" s="1"/>
  <c r="AF23" i="2"/>
  <c r="H88" i="6"/>
  <c r="H89" i="6" s="1"/>
  <c r="H91" i="6" s="1"/>
  <c r="AF22" i="2"/>
  <c r="M74" i="2" s="1"/>
  <c r="L50" i="2"/>
  <c r="Y29" i="3" l="1"/>
  <c r="Y157" i="4"/>
  <c r="M55" i="2"/>
  <c r="M54" i="2" s="1"/>
  <c r="AF20" i="2"/>
  <c r="AF18" i="2"/>
  <c r="M77" i="2" s="1"/>
  <c r="AE22" i="2"/>
  <c r="AE23" i="2"/>
  <c r="AE20" i="2" l="1"/>
  <c r="L55" i="2"/>
  <c r="L54" i="2" s="1"/>
  <c r="AE18" i="2"/>
  <c r="M60" i="2"/>
  <c r="AF17" i="2"/>
  <c r="AE17" i="2" l="1"/>
  <c r="L60" i="2"/>
  <c r="AN25" i="43" l="1"/>
  <c r="AN26" i="43" s="1"/>
  <c r="AN240" i="43"/>
  <c r="AQ241" i="43" s="1"/>
  <c r="AP213" i="43"/>
  <c r="AP226" i="43" s="1"/>
  <c r="AN243" i="43"/>
  <c r="AN244" i="43" s="1"/>
  <c r="AN211" i="43"/>
  <c r="AN224" i="43" s="1"/>
  <c r="AQ225" i="43"/>
  <c r="AN225" i="43"/>
  <c r="AQ213" i="43"/>
  <c r="AS213" i="43" s="1"/>
  <c r="AN227" i="43"/>
  <c r="AN230" i="43"/>
  <c r="AP211" i="43" l="1"/>
  <c r="AS224" i="43" s="1"/>
  <c r="AN241" i="43"/>
  <c r="AS226" i="43"/>
  <c r="AT213" i="43"/>
  <c r="AV213" i="43" s="1"/>
  <c r="AV226" i="43" s="1"/>
  <c r="AQ224" i="43"/>
  <c r="AQ214" i="43"/>
  <c r="AQ25" i="43" s="1"/>
  <c r="AQ26" i="43" s="1"/>
  <c r="AN36" i="43"/>
  <c r="AN31" i="43"/>
  <c r="AP224" i="43"/>
  <c r="AS214" i="43"/>
  <c r="AP212" i="43"/>
  <c r="AP229" i="43" s="1"/>
  <c r="AN50" i="43"/>
  <c r="AW213" i="43" l="1"/>
  <c r="AT214" i="43"/>
  <c r="AT227" i="43" s="1"/>
  <c r="AQ243" i="43"/>
  <c r="AQ244" i="43" s="1"/>
  <c r="AQ230" i="43"/>
  <c r="AQ227" i="43"/>
  <c r="AW214" i="43"/>
  <c r="AY213" i="43"/>
  <c r="AY226" i="43" s="1"/>
  <c r="AS25" i="43"/>
  <c r="AS26" i="43" s="1"/>
  <c r="AS250" i="43"/>
  <c r="AS243" i="43"/>
  <c r="AS230" i="43"/>
  <c r="AR250" i="43"/>
  <c r="AQ31" i="43"/>
  <c r="AQ36" i="43"/>
  <c r="AQ50" i="43"/>
  <c r="AQ250" i="43"/>
  <c r="AO249" i="43"/>
  <c r="AP225" i="43"/>
  <c r="AP249" i="43"/>
  <c r="AN249" i="43"/>
  <c r="AS225" i="43"/>
  <c r="AP214" i="43"/>
  <c r="AS227" i="43" s="1"/>
  <c r="AP240" i="43"/>
  <c r="AV214" i="43"/>
  <c r="AN51" i="43"/>
  <c r="AN33" i="43"/>
  <c r="AN20" i="3"/>
  <c r="AT230" i="43"/>
  <c r="AT243" i="43"/>
  <c r="AT244" i="43" s="1"/>
  <c r="AT25" i="43"/>
  <c r="AT26" i="43" s="1"/>
  <c r="AN35" i="43"/>
  <c r="AN53" i="43"/>
  <c r="AT36" i="43" l="1"/>
  <c r="AT31" i="43"/>
  <c r="AT50" i="43"/>
  <c r="AN52" i="43"/>
  <c r="AN18" i="3"/>
  <c r="AN256" i="43"/>
  <c r="AN265" i="43"/>
  <c r="AV227" i="43"/>
  <c r="AV243" i="43"/>
  <c r="AV244" i="43" s="1"/>
  <c r="AV250" i="43"/>
  <c r="AV25" i="43"/>
  <c r="AV26" i="43" s="1"/>
  <c r="AU250" i="43"/>
  <c r="AV230" i="43"/>
  <c r="AQ35" i="43"/>
  <c r="AQ53" i="43"/>
  <c r="AQ20" i="3"/>
  <c r="AQ51" i="43"/>
  <c r="AQ33" i="43"/>
  <c r="AT250" i="43"/>
  <c r="AY214" i="43"/>
  <c r="AW250" i="43" s="1"/>
  <c r="AS50" i="43"/>
  <c r="AS31" i="43"/>
  <c r="AS36" i="43"/>
  <c r="AS241" i="43"/>
  <c r="AP241" i="43"/>
  <c r="AE70" i="3"/>
  <c r="AN80" i="3"/>
  <c r="AN131" i="3"/>
  <c r="AN59" i="3"/>
  <c r="AO250" i="43"/>
  <c r="AP250" i="43"/>
  <c r="AN250" i="43"/>
  <c r="AP243" i="43"/>
  <c r="AP244" i="43" s="1"/>
  <c r="AP230" i="43"/>
  <c r="AP227" i="43"/>
  <c r="AP25" i="43"/>
  <c r="AP26" i="43" s="1"/>
  <c r="AW25" i="43"/>
  <c r="AW26" i="43" s="1"/>
  <c r="AW230" i="43"/>
  <c r="AW243" i="43"/>
  <c r="AW244" i="43" s="1"/>
  <c r="AW227" i="43"/>
  <c r="AS244" i="43" l="1"/>
  <c r="AV36" i="43"/>
  <c r="AV50" i="43"/>
  <c r="AV31" i="43"/>
  <c r="AN86" i="3"/>
  <c r="AP18" i="3"/>
  <c r="AN75" i="3"/>
  <c r="AN58" i="3"/>
  <c r="AN25" i="3"/>
  <c r="AQ256" i="43"/>
  <c r="AQ265" i="43"/>
  <c r="AQ52" i="43"/>
  <c r="AQ18" i="3"/>
  <c r="AW31" i="43"/>
  <c r="AW50" i="43"/>
  <c r="AW36" i="43"/>
  <c r="AS33" i="43"/>
  <c r="AS51" i="43"/>
  <c r="AS20" i="3"/>
  <c r="AP50" i="43"/>
  <c r="AP31" i="43"/>
  <c r="AP36" i="43"/>
  <c r="AH70" i="3"/>
  <c r="AQ131" i="3"/>
  <c r="AQ80" i="3"/>
  <c r="AQ59" i="3"/>
  <c r="AT33" i="43"/>
  <c r="AT51" i="43"/>
  <c r="AT20" i="3"/>
  <c r="AX250" i="43"/>
  <c r="AY25" i="43"/>
  <c r="AY26" i="43" s="1"/>
  <c r="AY230" i="43"/>
  <c r="AY227" i="43"/>
  <c r="AY250" i="43"/>
  <c r="AY243" i="43"/>
  <c r="AY244" i="43" s="1"/>
  <c r="AS35" i="43"/>
  <c r="AS53" i="43"/>
  <c r="AN264" i="43"/>
  <c r="AN260" i="43"/>
  <c r="AN261" i="43"/>
  <c r="AN259" i="43"/>
  <c r="AN274" i="43"/>
  <c r="AN262" i="43"/>
  <c r="AN292" i="43"/>
  <c r="AN263" i="43"/>
  <c r="AT53" i="43"/>
  <c r="AT35" i="43"/>
  <c r="AT265" i="43" l="1"/>
  <c r="AT52" i="43"/>
  <c r="AT18" i="3"/>
  <c r="AT256" i="43"/>
  <c r="AS256" i="43"/>
  <c r="AS52" i="43"/>
  <c r="AQ274" i="43"/>
  <c r="AQ261" i="43"/>
  <c r="AQ264" i="43"/>
  <c r="AQ292" i="43"/>
  <c r="AQ260" i="43"/>
  <c r="AQ259" i="43"/>
  <c r="AQ262" i="43"/>
  <c r="AQ263" i="43"/>
  <c r="AP75" i="3"/>
  <c r="AP58" i="3"/>
  <c r="AP86" i="3"/>
  <c r="AN270" i="43"/>
  <c r="AN288" i="43"/>
  <c r="AP261" i="43"/>
  <c r="AN12" i="3"/>
  <c r="AN269" i="43"/>
  <c r="AN287" i="43"/>
  <c r="AN11" i="3"/>
  <c r="AP260" i="43"/>
  <c r="AV33" i="43"/>
  <c r="AV51" i="43"/>
  <c r="AV20" i="3"/>
  <c r="AP53" i="43"/>
  <c r="AP35" i="43"/>
  <c r="AW35" i="43"/>
  <c r="AW53" i="43"/>
  <c r="AN13" i="3"/>
  <c r="AP262" i="43"/>
  <c r="AN289" i="43"/>
  <c r="AN271" i="43"/>
  <c r="AY50" i="43"/>
  <c r="AY36" i="43"/>
  <c r="AY31" i="43"/>
  <c r="AP33" i="43"/>
  <c r="AP51" i="43"/>
  <c r="AP20" i="3"/>
  <c r="AW20" i="3"/>
  <c r="AW51" i="43"/>
  <c r="AW33" i="43"/>
  <c r="AN60" i="3"/>
  <c r="AN76" i="3"/>
  <c r="AN27" i="3"/>
  <c r="AN14" i="3"/>
  <c r="AP14" i="3" s="1"/>
  <c r="AP263" i="43"/>
  <c r="AN290" i="43"/>
  <c r="AN272" i="43"/>
  <c r="AN291" i="43"/>
  <c r="AP264" i="43"/>
  <c r="AN273" i="43"/>
  <c r="AN15" i="3"/>
  <c r="AP15" i="3" s="1"/>
  <c r="AN286" i="43"/>
  <c r="AN10" i="3"/>
  <c r="AN268" i="43"/>
  <c r="AP259" i="43"/>
  <c r="AT80" i="3"/>
  <c r="AT131" i="3"/>
  <c r="AK70" i="3"/>
  <c r="AT59" i="3"/>
  <c r="K31" i="6"/>
  <c r="AJ70" i="3"/>
  <c r="AS80" i="3"/>
  <c r="AS131" i="3"/>
  <c r="AQ86" i="3"/>
  <c r="AS18" i="3"/>
  <c r="AQ58" i="3"/>
  <c r="AQ25" i="3"/>
  <c r="AQ75" i="3"/>
  <c r="AV35" i="43"/>
  <c r="AV53" i="43"/>
  <c r="AN61" i="3" l="1"/>
  <c r="AY35" i="43"/>
  <c r="AY53" i="43"/>
  <c r="AV256" i="43"/>
  <c r="AV52" i="43"/>
  <c r="AP270" i="43"/>
  <c r="AP288" i="43"/>
  <c r="AQ287" i="43"/>
  <c r="AQ11" i="3"/>
  <c r="AQ269" i="43"/>
  <c r="AS260" i="43"/>
  <c r="AW52" i="43"/>
  <c r="AW265" i="43"/>
  <c r="AW18" i="3"/>
  <c r="AW256" i="43"/>
  <c r="AQ10" i="3"/>
  <c r="AS259" i="43"/>
  <c r="AQ268" i="43"/>
  <c r="AQ286" i="43"/>
  <c r="AP273" i="43"/>
  <c r="AP291" i="43"/>
  <c r="AW80" i="3"/>
  <c r="AN70" i="3"/>
  <c r="AW59" i="3"/>
  <c r="AW131" i="3"/>
  <c r="AP269" i="43"/>
  <c r="AP287" i="43"/>
  <c r="AY33" i="43"/>
  <c r="AY20" i="3"/>
  <c r="AY51" i="43"/>
  <c r="AP268" i="43"/>
  <c r="AP265" i="43"/>
  <c r="AP278" i="43" s="1"/>
  <c r="AP286" i="43"/>
  <c r="AQ291" i="43"/>
  <c r="AQ273" i="43"/>
  <c r="AS264" i="43"/>
  <c r="AQ15" i="3"/>
  <c r="AS15" i="3" s="1"/>
  <c r="AT86" i="3"/>
  <c r="AT25" i="3"/>
  <c r="AT58" i="3"/>
  <c r="AT75" i="3"/>
  <c r="AV18" i="3"/>
  <c r="AP13" i="3"/>
  <c r="AQ27" i="3"/>
  <c r="AQ60" i="3"/>
  <c r="AQ76" i="3"/>
  <c r="AP10" i="3"/>
  <c r="AN16" i="3"/>
  <c r="J31" i="6"/>
  <c r="AG70" i="3"/>
  <c r="AP131" i="3"/>
  <c r="AP80" i="3"/>
  <c r="AP59" i="3"/>
  <c r="AQ14" i="3"/>
  <c r="AS14" i="3" s="1"/>
  <c r="AS263" i="43"/>
  <c r="AQ272" i="43"/>
  <c r="AQ290" i="43"/>
  <c r="AQ270" i="43"/>
  <c r="AQ12" i="3"/>
  <c r="AQ288" i="43"/>
  <c r="AS261" i="43"/>
  <c r="AP12" i="3"/>
  <c r="AP11" i="3"/>
  <c r="AN79" i="3"/>
  <c r="AS75" i="3"/>
  <c r="AS58" i="3"/>
  <c r="AS86" i="3"/>
  <c r="AS59" i="3"/>
  <c r="AP272" i="43"/>
  <c r="AP290" i="43"/>
  <c r="AP52" i="43"/>
  <c r="AP256" i="43"/>
  <c r="AP271" i="43"/>
  <c r="AP289" i="43"/>
  <c r="L31" i="6"/>
  <c r="AM70" i="3"/>
  <c r="AV59" i="3"/>
  <c r="AV131" i="3"/>
  <c r="AV80" i="3"/>
  <c r="AQ289" i="43"/>
  <c r="AQ271" i="43"/>
  <c r="AS262" i="43"/>
  <c r="AQ13" i="3"/>
  <c r="AT264" i="43"/>
  <c r="AT263" i="43"/>
  <c r="AT262" i="43"/>
  <c r="AT274" i="43"/>
  <c r="AT260" i="43"/>
  <c r="AT259" i="43"/>
  <c r="AT261" i="43"/>
  <c r="AT292" i="43"/>
  <c r="AP277" i="43" l="1"/>
  <c r="AP281" i="43"/>
  <c r="AT290" i="43"/>
  <c r="AT14" i="3"/>
  <c r="AV14" i="3" s="1"/>
  <c r="AV263" i="43"/>
  <c r="AT272" i="43"/>
  <c r="AN74" i="3"/>
  <c r="AN87" i="4"/>
  <c r="AN57" i="3"/>
  <c r="M31" i="6"/>
  <c r="AP70" i="3"/>
  <c r="AY59" i="3"/>
  <c r="AY131" i="3"/>
  <c r="AY80" i="3"/>
  <c r="AT271" i="43"/>
  <c r="AV262" i="43"/>
  <c r="AT289" i="43"/>
  <c r="AT13" i="3"/>
  <c r="AT27" i="3"/>
  <c r="AT60" i="3"/>
  <c r="AT76" i="3"/>
  <c r="AY256" i="43"/>
  <c r="AY52" i="43"/>
  <c r="AW86" i="3"/>
  <c r="AY18" i="3"/>
  <c r="AW25" i="3"/>
  <c r="AW58" i="3"/>
  <c r="AW75" i="3"/>
  <c r="AS11" i="3"/>
  <c r="AQ79" i="3"/>
  <c r="AP16" i="3"/>
  <c r="AV86" i="3"/>
  <c r="AP274" i="43"/>
  <c r="AP292" i="43"/>
  <c r="AP283" i="43"/>
  <c r="AW260" i="43"/>
  <c r="AW264" i="43"/>
  <c r="AW259" i="43"/>
  <c r="AW274" i="43"/>
  <c r="AW262" i="43"/>
  <c r="AW263" i="43"/>
  <c r="AW261" i="43"/>
  <c r="AW292" i="43"/>
  <c r="AP279" i="43"/>
  <c r="AV264" i="43"/>
  <c r="AT291" i="43"/>
  <c r="AT15" i="3"/>
  <c r="AV15" i="3" s="1"/>
  <c r="AT273" i="43"/>
  <c r="AV259" i="43"/>
  <c r="AT10" i="3"/>
  <c r="AT268" i="43"/>
  <c r="AT286" i="43"/>
  <c r="AS12" i="3"/>
  <c r="AV58" i="3"/>
  <c r="AV75" i="3"/>
  <c r="AS273" i="43"/>
  <c r="AS291" i="43"/>
  <c r="AS268" i="43"/>
  <c r="AS286" i="43"/>
  <c r="AS265" i="43"/>
  <c r="AS282" i="43" s="1"/>
  <c r="AS288" i="43"/>
  <c r="AS270" i="43"/>
  <c r="AS290" i="43"/>
  <c r="AS272" i="43"/>
  <c r="AV261" i="43"/>
  <c r="AT270" i="43"/>
  <c r="AT12" i="3"/>
  <c r="AT288" i="43"/>
  <c r="AS13" i="3"/>
  <c r="AT269" i="43"/>
  <c r="AT11" i="3"/>
  <c r="AT287" i="43"/>
  <c r="AV260" i="43"/>
  <c r="AS289" i="43"/>
  <c r="AS271" i="43"/>
  <c r="AP280" i="43"/>
  <c r="AP79" i="3"/>
  <c r="AQ61" i="3"/>
  <c r="AP282" i="43"/>
  <c r="AQ16" i="3"/>
  <c r="AS10" i="3"/>
  <c r="AS287" i="43"/>
  <c r="AS269" i="43"/>
  <c r="AS278" i="43" l="1"/>
  <c r="AS281" i="43"/>
  <c r="AS279" i="43"/>
  <c r="AV291" i="43"/>
  <c r="AV273" i="43"/>
  <c r="AV271" i="43"/>
  <c r="AV289" i="43"/>
  <c r="AY263" i="43"/>
  <c r="AW290" i="43"/>
  <c r="AW272" i="43"/>
  <c r="AW14" i="3"/>
  <c r="AY14" i="3" s="1"/>
  <c r="AP57" i="3"/>
  <c r="AP74" i="3"/>
  <c r="AP87" i="4"/>
  <c r="AV287" i="43"/>
  <c r="AV269" i="43"/>
  <c r="AW270" i="43"/>
  <c r="AW288" i="43"/>
  <c r="AW12" i="3"/>
  <c r="AY261" i="43"/>
  <c r="AV12" i="3"/>
  <c r="AS274" i="43"/>
  <c r="AS292" i="43"/>
  <c r="AS283" i="43"/>
  <c r="AW289" i="43"/>
  <c r="AY262" i="43"/>
  <c r="AW271" i="43"/>
  <c r="AW13" i="3"/>
  <c r="AW60" i="3"/>
  <c r="AW27" i="3"/>
  <c r="AW76" i="3"/>
  <c r="AV290" i="43"/>
  <c r="AV272" i="43"/>
  <c r="AN91" i="4"/>
  <c r="AN25" i="4"/>
  <c r="AN88" i="4"/>
  <c r="AN97" i="4" s="1"/>
  <c r="AT16" i="3"/>
  <c r="AV10" i="3"/>
  <c r="AT79" i="3"/>
  <c r="AV11" i="3"/>
  <c r="AV265" i="43"/>
  <c r="AV282" i="43" s="1"/>
  <c r="AV286" i="43"/>
  <c r="AV268" i="43"/>
  <c r="AV288" i="43"/>
  <c r="AV270" i="43"/>
  <c r="AS277" i="43"/>
  <c r="AS79" i="3"/>
  <c r="AY58" i="3"/>
  <c r="AY75" i="3"/>
  <c r="AW273" i="43"/>
  <c r="AY264" i="43"/>
  <c r="AW15" i="3"/>
  <c r="AY15" i="3" s="1"/>
  <c r="AW291" i="43"/>
  <c r="AW269" i="43"/>
  <c r="AW11" i="3"/>
  <c r="AY260" i="43"/>
  <c r="AW287" i="43"/>
  <c r="AS16" i="3"/>
  <c r="AQ74" i="3"/>
  <c r="AQ57" i="3"/>
  <c r="AQ87" i="4"/>
  <c r="AS280" i="43"/>
  <c r="AW286" i="43"/>
  <c r="AY259" i="43"/>
  <c r="AW268" i="43"/>
  <c r="AW10" i="3"/>
  <c r="AY86" i="3"/>
  <c r="AT61" i="3"/>
  <c r="AV13" i="3"/>
  <c r="AV278" i="43" l="1"/>
  <c r="AV281" i="43"/>
  <c r="AY271" i="43"/>
  <c r="AY289" i="43"/>
  <c r="AV280" i="43"/>
  <c r="AV79" i="3"/>
  <c r="AQ25" i="4"/>
  <c r="AQ91" i="4"/>
  <c r="AQ88" i="4"/>
  <c r="AQ97" i="4" s="1"/>
  <c r="AY288" i="43"/>
  <c r="AY270" i="43"/>
  <c r="AY286" i="43"/>
  <c r="AY265" i="43"/>
  <c r="AY279" i="43" s="1"/>
  <c r="AY268" i="43"/>
  <c r="AV274" i="43"/>
  <c r="AV283" i="43"/>
  <c r="AV292" i="43"/>
  <c r="AV279" i="43"/>
  <c r="AY291" i="43"/>
  <c r="AY273" i="43"/>
  <c r="AN68" i="4"/>
  <c r="AN95" i="4"/>
  <c r="AN93" i="4"/>
  <c r="AN92" i="4"/>
  <c r="AW16" i="3"/>
  <c r="AY10" i="3"/>
  <c r="AY12" i="3"/>
  <c r="AS87" i="4"/>
  <c r="AS74" i="3"/>
  <c r="AS57" i="3"/>
  <c r="AN31" i="4"/>
  <c r="AW61" i="3"/>
  <c r="AY287" i="43"/>
  <c r="AY269" i="43"/>
  <c r="AV277" i="43"/>
  <c r="AV16" i="3"/>
  <c r="AY11" i="3"/>
  <c r="AW79" i="3"/>
  <c r="AT87" i="4"/>
  <c r="AT57" i="3"/>
  <c r="AT74" i="3"/>
  <c r="AY13" i="3"/>
  <c r="AP91" i="4"/>
  <c r="AP88" i="4"/>
  <c r="AP97" i="4" s="1"/>
  <c r="AP25" i="4"/>
  <c r="AO87" i="4"/>
  <c r="AY272" i="43"/>
  <c r="AY290" i="43"/>
  <c r="AY282" i="43" l="1"/>
  <c r="AY280" i="43"/>
  <c r="AY277" i="43"/>
  <c r="AY281" i="43"/>
  <c r="AY278" i="43"/>
  <c r="AW87" i="4"/>
  <c r="AW74" i="3"/>
  <c r="AW57" i="3"/>
  <c r="AV87" i="4"/>
  <c r="AV74" i="3"/>
  <c r="AV57" i="3"/>
  <c r="AQ31" i="4"/>
  <c r="AT25" i="4"/>
  <c r="AT88" i="4"/>
  <c r="AT97" i="4" s="1"/>
  <c r="AT91" i="4"/>
  <c r="AY79" i="3"/>
  <c r="AS91" i="4"/>
  <c r="AS25" i="4"/>
  <c r="AS88" i="4"/>
  <c r="AS97" i="4" s="1"/>
  <c r="AR87" i="4"/>
  <c r="AN96" i="4"/>
  <c r="AP92" i="4"/>
  <c r="AP68" i="4"/>
  <c r="AP95" i="4"/>
  <c r="AP93" i="4"/>
  <c r="AY292" i="43"/>
  <c r="AY283" i="43"/>
  <c r="AY274" i="43"/>
  <c r="AY16" i="3"/>
  <c r="AO89" i="4"/>
  <c r="AO91" i="4"/>
  <c r="AO88" i="4"/>
  <c r="AO97" i="4" s="1"/>
  <c r="AP31" i="4"/>
  <c r="AO25" i="4"/>
  <c r="AQ68" i="4"/>
  <c r="AQ92" i="4"/>
  <c r="AQ95" i="4"/>
  <c r="AQ93" i="4"/>
  <c r="AV25" i="4" l="1"/>
  <c r="AV91" i="4"/>
  <c r="AU87" i="4"/>
  <c r="AV88" i="4"/>
  <c r="AV97" i="4" s="1"/>
  <c r="AQ96" i="4"/>
  <c r="AR25" i="4"/>
  <c r="AS31" i="4"/>
  <c r="AT31" i="4"/>
  <c r="AW91" i="4"/>
  <c r="AW25" i="4"/>
  <c r="AW88" i="4"/>
  <c r="AW97" i="4" s="1"/>
  <c r="AT95" i="4"/>
  <c r="AT68" i="4"/>
  <c r="AT93" i="4"/>
  <c r="AT92" i="4"/>
  <c r="AO95" i="4"/>
  <c r="AO93" i="4"/>
  <c r="AO92" i="4"/>
  <c r="AO68" i="4"/>
  <c r="AR88" i="4"/>
  <c r="AR97" i="4" s="1"/>
  <c r="AR89" i="4"/>
  <c r="AR91" i="4"/>
  <c r="AP96" i="4"/>
  <c r="J34" i="6"/>
  <c r="AS95" i="4"/>
  <c r="AS92" i="4"/>
  <c r="AS68" i="4"/>
  <c r="AS93" i="4"/>
  <c r="AY74" i="3"/>
  <c r="AY57" i="3"/>
  <c r="AY87" i="4"/>
  <c r="AO31" i="4"/>
  <c r="AR92" i="4" l="1"/>
  <c r="AR93" i="4"/>
  <c r="AR68" i="4"/>
  <c r="AR95" i="4"/>
  <c r="AO96" i="4"/>
  <c r="AU88" i="4"/>
  <c r="AU97" i="4" s="1"/>
  <c r="AU91" i="4"/>
  <c r="AU89" i="4"/>
  <c r="AW92" i="4"/>
  <c r="AW68" i="4"/>
  <c r="AW95" i="4"/>
  <c r="AW93" i="4"/>
  <c r="AV92" i="4"/>
  <c r="AV93" i="4"/>
  <c r="AV95" i="4"/>
  <c r="AV68" i="4"/>
  <c r="AT96" i="4"/>
  <c r="AY25" i="4"/>
  <c r="AY91" i="4"/>
  <c r="AX87" i="4"/>
  <c r="AY88" i="4"/>
  <c r="AY97" i="4" s="1"/>
  <c r="AS96" i="4"/>
  <c r="K34" i="6"/>
  <c r="AW31" i="4"/>
  <c r="AR31" i="4"/>
  <c r="AV31" i="4"/>
  <c r="AU25" i="4"/>
  <c r="AW96" i="4" l="1"/>
  <c r="AY68" i="4"/>
  <c r="AY93" i="4"/>
  <c r="AY95" i="4"/>
  <c r="AY92" i="4"/>
  <c r="M34" i="6" s="1"/>
  <c r="AX88" i="4"/>
  <c r="AX97" i="4" s="1"/>
  <c r="AX91" i="4"/>
  <c r="AX89" i="4"/>
  <c r="L34" i="6"/>
  <c r="AV96" i="4"/>
  <c r="AX25" i="4"/>
  <c r="AY31" i="4"/>
  <c r="AU68" i="4"/>
  <c r="AU92" i="4"/>
  <c r="AU95" i="4"/>
  <c r="AU93" i="4"/>
  <c r="AU31" i="4"/>
  <c r="AR96" i="4"/>
  <c r="AX68" i="4" l="1"/>
  <c r="AX93" i="4"/>
  <c r="AX92" i="4"/>
  <c r="AX95" i="4"/>
  <c r="AX31" i="4"/>
  <c r="AY96" i="4"/>
  <c r="AU96" i="4"/>
  <c r="AX96" i="4" l="1"/>
  <c r="AX103" i="3" l="1"/>
  <c r="U105" i="4"/>
  <c r="U109" i="4" s="1"/>
  <c r="M20" i="2"/>
  <c r="U151" i="4"/>
  <c r="U152" i="4" s="1"/>
  <c r="L29" i="2"/>
  <c r="L16" i="2"/>
  <c r="L17" i="2" s="1"/>
  <c r="AE16" i="2"/>
  <c r="L20" i="2"/>
  <c r="AF12" i="2"/>
  <c r="M46" i="2"/>
  <c r="L32" i="2"/>
  <c r="AE11" i="2"/>
  <c r="L70" i="2"/>
  <c r="U54" i="4"/>
  <c r="AF24" i="2" s="1"/>
  <c r="U74" i="4"/>
  <c r="M35" i="2" s="1"/>
  <c r="M43" i="2"/>
  <c r="M16" i="2"/>
  <c r="M17" i="2" s="1"/>
  <c r="T151" i="4"/>
  <c r="T152" i="4" s="1"/>
  <c r="L37" i="2"/>
  <c r="M37" i="2"/>
  <c r="AF11" i="2"/>
  <c r="AE19" i="2"/>
  <c r="T114" i="4"/>
  <c r="T122" i="4" s="1"/>
  <c r="V122" i="4" s="1"/>
  <c r="W122" i="4" s="1"/>
  <c r="Y122" i="4" s="1"/>
  <c r="Z122" i="4" s="1"/>
  <c r="AB122" i="4" s="1"/>
  <c r="AC122" i="4" s="1"/>
  <c r="AE122" i="4" s="1"/>
  <c r="AF122" i="4" s="1"/>
  <c r="AH122" i="4" s="1"/>
  <c r="AI122" i="4" s="1"/>
  <c r="AK122" i="4" s="1"/>
  <c r="AL122" i="4" s="1"/>
  <c r="AN122" i="4" s="1"/>
  <c r="AO122" i="4" s="1"/>
  <c r="AQ122" i="4" s="1"/>
  <c r="AR122" i="4" s="1"/>
  <c r="AT122" i="4" s="1"/>
  <c r="AU122" i="4" s="1"/>
  <c r="AW122" i="4" s="1"/>
  <c r="AX122" i="4" s="1"/>
  <c r="M29" i="2"/>
  <c r="M42" i="2"/>
  <c r="M73" i="2" s="1"/>
  <c r="U102" i="4"/>
  <c r="U110" i="4" s="1"/>
  <c r="U136" i="4"/>
  <c r="U127" i="4"/>
  <c r="U131" i="4" s="1"/>
  <c r="L23" i="2"/>
  <c r="U117" i="4"/>
  <c r="U121" i="4" s="1"/>
  <c r="T54" i="4"/>
  <c r="AE24" i="2" s="1"/>
  <c r="C33" i="6"/>
  <c r="M18" i="2"/>
  <c r="T73" i="4"/>
  <c r="L34" i="2" s="1"/>
  <c r="M70" i="2"/>
  <c r="U154" i="4"/>
  <c r="L36" i="2"/>
  <c r="U114" i="4"/>
  <c r="U122" i="4" s="1"/>
  <c r="M36" i="2"/>
  <c r="T103" i="4"/>
  <c r="U103" i="4"/>
  <c r="AF19" i="2"/>
  <c r="C32" i="6"/>
  <c r="U161" i="4"/>
  <c r="U163" i="4" s="1"/>
  <c r="T161" i="4"/>
  <c r="T163" i="4" s="1"/>
  <c r="U73" i="4"/>
  <c r="M34" i="2" s="1"/>
  <c r="T55" i="4"/>
  <c r="AF16" i="2"/>
  <c r="M76" i="2" s="1"/>
  <c r="T56" i="4"/>
  <c r="L18" i="2"/>
  <c r="M32" i="2"/>
  <c r="M71" i="2" s="1"/>
  <c r="T74" i="4"/>
  <c r="L35" i="2" s="1"/>
  <c r="T75" i="4"/>
  <c r="U187" i="4"/>
  <c r="U188" i="4" s="1"/>
  <c r="M44" i="2"/>
  <c r="V122" i="3"/>
  <c r="V124" i="3" s="1"/>
  <c r="W122" i="3" s="1"/>
  <c r="T102" i="4"/>
  <c r="T110" i="4" s="1"/>
  <c r="U56" i="4"/>
  <c r="M41" i="2"/>
  <c r="M23" i="2"/>
  <c r="T117" i="4"/>
  <c r="W117" i="4" s="1"/>
  <c r="T140" i="4"/>
  <c r="T141" i="4" s="1"/>
  <c r="U140" i="4"/>
  <c r="U141" i="4" s="1"/>
  <c r="U75" i="4"/>
  <c r="T154" i="4"/>
  <c r="L71" i="3"/>
  <c r="U55" i="4"/>
  <c r="T105" i="4"/>
  <c r="T109" i="4" s="1"/>
  <c r="T136" i="4"/>
  <c r="T137" i="4" s="1"/>
  <c r="U137" i="4" s="1"/>
  <c r="X122" i="3"/>
  <c r="T127" i="4"/>
  <c r="W127" i="4" s="1"/>
  <c r="AX106" i="3" l="1"/>
  <c r="AX133" i="3"/>
  <c r="AY103" i="3"/>
  <c r="C35" i="6"/>
  <c r="W129" i="4"/>
  <c r="W136" i="4"/>
  <c r="W111" i="3" s="1"/>
  <c r="X111" i="3" s="1"/>
  <c r="M19" i="2"/>
  <c r="M21" i="2" s="1"/>
  <c r="M62" i="2" s="1"/>
  <c r="X127" i="4"/>
  <c r="X129" i="4" s="1"/>
  <c r="X16" i="4" s="1"/>
  <c r="L19" i="2"/>
  <c r="M45" i="2"/>
  <c r="T106" i="4"/>
  <c r="W24" i="3"/>
  <c r="W119" i="4"/>
  <c r="X117" i="4"/>
  <c r="Z117" i="4"/>
  <c r="Y126" i="4"/>
  <c r="T157" i="4"/>
  <c r="T155" i="4"/>
  <c r="U157" i="4"/>
  <c r="U155" i="4"/>
  <c r="T121" i="4"/>
  <c r="V121" i="4" s="1"/>
  <c r="W121" i="4" s="1"/>
  <c r="Y121" i="4" s="1"/>
  <c r="Z121" i="4" s="1"/>
  <c r="AB121" i="4" s="1"/>
  <c r="AC121" i="4" s="1"/>
  <c r="AE121" i="4" s="1"/>
  <c r="AF121" i="4" s="1"/>
  <c r="AH121" i="4" s="1"/>
  <c r="AI121" i="4" s="1"/>
  <c r="AK121" i="4" s="1"/>
  <c r="AL121" i="4" s="1"/>
  <c r="AN121" i="4" s="1"/>
  <c r="AO121" i="4" s="1"/>
  <c r="AQ121" i="4" s="1"/>
  <c r="AR121" i="4" s="1"/>
  <c r="AT121" i="4" s="1"/>
  <c r="AU121" i="4" s="1"/>
  <c r="AW121" i="4" s="1"/>
  <c r="AX121" i="4" s="1"/>
  <c r="T131" i="4"/>
  <c r="W131" i="4" s="1"/>
  <c r="Z131" i="4" s="1"/>
  <c r="AC131" i="4" s="1"/>
  <c r="AF131" i="4" s="1"/>
  <c r="AI131" i="4" s="1"/>
  <c r="AL131" i="4" s="1"/>
  <c r="AO131" i="4" s="1"/>
  <c r="AR131" i="4" s="1"/>
  <c r="AU131" i="4" s="1"/>
  <c r="AX131" i="4" s="1"/>
  <c r="T128" i="4"/>
  <c r="U128" i="4" s="1"/>
  <c r="Z127" i="4"/>
  <c r="V6" i="4"/>
  <c r="V125" i="3" s="1"/>
  <c r="W23" i="3"/>
  <c r="U106" i="4"/>
  <c r="T118" i="4"/>
  <c r="U118" i="4" s="1"/>
  <c r="L21" i="2"/>
  <c r="M33" i="6" l="1"/>
  <c r="AY106" i="3"/>
  <c r="AY133" i="3"/>
  <c r="W138" i="4"/>
  <c r="W148" i="4" s="1"/>
  <c r="X136" i="4"/>
  <c r="X138" i="4" s="1"/>
  <c r="X148" i="4" s="1"/>
  <c r="X152" i="4" s="1"/>
  <c r="AA126" i="4"/>
  <c r="X131" i="4"/>
  <c r="M22" i="2"/>
  <c r="O16" i="2"/>
  <c r="O17" i="2" s="1"/>
  <c r="X23" i="3"/>
  <c r="W25" i="3"/>
  <c r="AC117" i="4"/>
  <c r="AA117" i="4"/>
  <c r="Z24" i="3"/>
  <c r="AA127" i="4"/>
  <c r="Z136" i="4"/>
  <c r="AC127" i="4"/>
  <c r="Z23" i="3"/>
  <c r="X119" i="4"/>
  <c r="X121" i="4" s="1"/>
  <c r="W16" i="4"/>
  <c r="Y128" i="4"/>
  <c r="Y137" i="4" s="1"/>
  <c r="Y129" i="4"/>
  <c r="L62" i="2"/>
  <c r="L22" i="2"/>
  <c r="V53" i="4"/>
  <c r="N50" i="2"/>
  <c r="V60" i="4"/>
  <c r="V12" i="4"/>
  <c r="V59" i="4"/>
  <c r="X24" i="3"/>
  <c r="W140" i="4" l="1"/>
  <c r="Y135" i="4"/>
  <c r="Y138" i="4" s="1"/>
  <c r="AA135" i="4"/>
  <c r="X35" i="4"/>
  <c r="W112" i="3"/>
  <c r="X112" i="3"/>
  <c r="AC24" i="3"/>
  <c r="AF117" i="4"/>
  <c r="AD117" i="4"/>
  <c r="V61" i="4"/>
  <c r="V62" i="4"/>
  <c r="V63" i="4"/>
  <c r="V141" i="3"/>
  <c r="Z111" i="3"/>
  <c r="AA136" i="4"/>
  <c r="V52" i="4"/>
  <c r="V23" i="4"/>
  <c r="Y16" i="4"/>
  <c r="Z126" i="4"/>
  <c r="Y148" i="4"/>
  <c r="Z135" i="4"/>
  <c r="Y140" i="4"/>
  <c r="Y35" i="4"/>
  <c r="W60" i="3"/>
  <c r="W27" i="3"/>
  <c r="W76" i="3"/>
  <c r="R16" i="2"/>
  <c r="R17" i="2" s="1"/>
  <c r="Z25" i="3"/>
  <c r="AA23" i="3"/>
  <c r="AD127" i="4"/>
  <c r="AF127" i="4"/>
  <c r="AC136" i="4"/>
  <c r="AC23" i="3"/>
  <c r="V64" i="4"/>
  <c r="AG23" i="2" s="1"/>
  <c r="AG22" i="2"/>
  <c r="V58" i="4"/>
  <c r="X17" i="4"/>
  <c r="Y113" i="4"/>
  <c r="Y119" i="4" s="1"/>
  <c r="AA113" i="4"/>
  <c r="AA119" i="4" s="1"/>
  <c r="AA24" i="3"/>
  <c r="P16" i="2"/>
  <c r="P17" i="2" s="1"/>
  <c r="X25" i="3"/>
  <c r="X37" i="4" l="1"/>
  <c r="X39" i="4" s="1"/>
  <c r="W35" i="4"/>
  <c r="W37" i="4" s="1"/>
  <c r="W39" i="4" s="1"/>
  <c r="X140" i="4"/>
  <c r="X141" i="4" s="1"/>
  <c r="W31" i="3"/>
  <c r="W87" i="3"/>
  <c r="Z128" i="4"/>
  <c r="Z129" i="4" s="1"/>
  <c r="AG117" i="4"/>
  <c r="AF24" i="3"/>
  <c r="AI117" i="4"/>
  <c r="AD113" i="4"/>
  <c r="AD119" i="4" s="1"/>
  <c r="AD121" i="4" s="1"/>
  <c r="AA17" i="4"/>
  <c r="AB113" i="4"/>
  <c r="AB119" i="4" s="1"/>
  <c r="Z113" i="4"/>
  <c r="Z119" i="4" s="1"/>
  <c r="Y17" i="4"/>
  <c r="V144" i="3"/>
  <c r="AG19" i="2" s="1"/>
  <c r="V143" i="3"/>
  <c r="AG18" i="2" s="1"/>
  <c r="V145" i="3"/>
  <c r="V142" i="3"/>
  <c r="P59" i="2"/>
  <c r="P58" i="2" s="1"/>
  <c r="V69" i="4"/>
  <c r="V74" i="4" s="1"/>
  <c r="N35" i="2" s="1"/>
  <c r="N55" i="2"/>
  <c r="N54" i="2" s="1"/>
  <c r="V67" i="4"/>
  <c r="V151" i="3"/>
  <c r="AG20" i="2" s="1"/>
  <c r="V41" i="4"/>
  <c r="AC25" i="3"/>
  <c r="AD23" i="3"/>
  <c r="Y37" i="4"/>
  <c r="X70" i="4"/>
  <c r="P53" i="2"/>
  <c r="W17" i="4"/>
  <c r="X21" i="4"/>
  <c r="Y112" i="3"/>
  <c r="Y31" i="3"/>
  <c r="AF23" i="3"/>
  <c r="AG127" i="4"/>
  <c r="AI127" i="4"/>
  <c r="AF136" i="4"/>
  <c r="Z27" i="3"/>
  <c r="Z76" i="3"/>
  <c r="Z60" i="3"/>
  <c r="AD24" i="3"/>
  <c r="S16" i="2"/>
  <c r="S17" i="2" s="1"/>
  <c r="AA25" i="3"/>
  <c r="AA121" i="4"/>
  <c r="AD136" i="4"/>
  <c r="AC111" i="3"/>
  <c r="X27" i="3"/>
  <c r="X76" i="3"/>
  <c r="X60" i="3"/>
  <c r="W61" i="3"/>
  <c r="AA111" i="3"/>
  <c r="W32" i="3" l="1"/>
  <c r="W88" i="3" s="1"/>
  <c r="X88" i="3" s="1"/>
  <c r="O18" i="2"/>
  <c r="O19" i="2" s="1"/>
  <c r="X31" i="3"/>
  <c r="X87" i="3"/>
  <c r="Q18" i="2"/>
  <c r="Q19" i="2" s="1"/>
  <c r="Y32" i="3"/>
  <c r="AJ127" i="4"/>
  <c r="AI23" i="3"/>
  <c r="AI136" i="4"/>
  <c r="AL127" i="4"/>
  <c r="AC113" i="4"/>
  <c r="AC119" i="4" s="1"/>
  <c r="AB17" i="4"/>
  <c r="AE113" i="4"/>
  <c r="AE119" i="4" s="1"/>
  <c r="AD17" i="4"/>
  <c r="AG113" i="4"/>
  <c r="AG119" i="4" s="1"/>
  <c r="AG121" i="4" s="1"/>
  <c r="Z137" i="4"/>
  <c r="AA128" i="4"/>
  <c r="AA129" i="4" s="1"/>
  <c r="O53" i="2"/>
  <c r="W70" i="4"/>
  <c r="W21" i="4"/>
  <c r="Y39" i="4"/>
  <c r="V47" i="4"/>
  <c r="N60" i="2"/>
  <c r="V71" i="4"/>
  <c r="V150" i="3" s="1"/>
  <c r="AG17" i="2" s="1"/>
  <c r="AG24" i="3"/>
  <c r="X61" i="3"/>
  <c r="AG136" i="4"/>
  <c r="AF111" i="3"/>
  <c r="AD111" i="3"/>
  <c r="Y87" i="3"/>
  <c r="O59" i="2"/>
  <c r="O58" i="2" s="1"/>
  <c r="AA60" i="3"/>
  <c r="AA76" i="3"/>
  <c r="AA27" i="3"/>
  <c r="AD25" i="3"/>
  <c r="Y70" i="4"/>
  <c r="Q53" i="2"/>
  <c r="S53" i="2"/>
  <c r="AA70" i="4"/>
  <c r="Z17" i="4"/>
  <c r="AF25" i="3"/>
  <c r="AG23" i="3"/>
  <c r="Z61" i="3"/>
  <c r="AC76" i="3"/>
  <c r="AC60" i="3"/>
  <c r="AC27" i="3"/>
  <c r="Y21" i="4"/>
  <c r="AJ117" i="4"/>
  <c r="AI24" i="3"/>
  <c r="AL117" i="4"/>
  <c r="P18" i="2" l="1"/>
  <c r="P19" i="2" s="1"/>
  <c r="X32" i="3"/>
  <c r="W34" i="3"/>
  <c r="W54" i="4"/>
  <c r="AH24" i="2" s="1"/>
  <c r="W55" i="4"/>
  <c r="AG111" i="3"/>
  <c r="AC61" i="3"/>
  <c r="AD126" i="4"/>
  <c r="AA16" i="4"/>
  <c r="AB126" i="4"/>
  <c r="AA131" i="4"/>
  <c r="AD27" i="3"/>
  <c r="AD60" i="3"/>
  <c r="AD76" i="3"/>
  <c r="Q59" i="2"/>
  <c r="Q58" i="2" s="1"/>
  <c r="Y54" i="4"/>
  <c r="AJ24" i="2" s="1"/>
  <c r="Y88" i="3"/>
  <c r="Y55" i="4"/>
  <c r="Y34" i="3"/>
  <c r="AL24" i="3"/>
  <c r="AM117" i="4"/>
  <c r="AO117" i="4"/>
  <c r="AG17" i="4"/>
  <c r="AH113" i="4"/>
  <c r="AH119" i="4" s="1"/>
  <c r="AJ113" i="4"/>
  <c r="AJ119" i="4" s="1"/>
  <c r="AJ121" i="4" s="1"/>
  <c r="AA137" i="4"/>
  <c r="AA138" i="4" s="1"/>
  <c r="Z138" i="4"/>
  <c r="AJ24" i="3"/>
  <c r="R53" i="2"/>
  <c r="Z70" i="4"/>
  <c r="AC17" i="4"/>
  <c r="AD70" i="4"/>
  <c r="AO127" i="4"/>
  <c r="AL136" i="4"/>
  <c r="AL23" i="3"/>
  <c r="AM127" i="4"/>
  <c r="AJ23" i="3"/>
  <c r="AI25" i="3"/>
  <c r="AG25" i="3"/>
  <c r="AB70" i="4"/>
  <c r="AF60" i="3"/>
  <c r="AF76" i="3"/>
  <c r="AF27" i="3"/>
  <c r="AA61" i="3"/>
  <c r="AF113" i="4"/>
  <c r="AF119" i="4" s="1"/>
  <c r="AE17" i="4"/>
  <c r="AJ136" i="4"/>
  <c r="AI111" i="3"/>
  <c r="W36" i="3" l="1"/>
  <c r="W38" i="3"/>
  <c r="X34" i="3"/>
  <c r="X36" i="3" s="1"/>
  <c r="X54" i="4"/>
  <c r="AI24" i="2" s="1"/>
  <c r="X55" i="4"/>
  <c r="AA21" i="4"/>
  <c r="Z16" i="4"/>
  <c r="AH17" i="4"/>
  <c r="AI113" i="4"/>
  <c r="AI119" i="4" s="1"/>
  <c r="AG76" i="3"/>
  <c r="AG60" i="3"/>
  <c r="AG27" i="3"/>
  <c r="AJ25" i="3"/>
  <c r="AO23" i="3"/>
  <c r="AR127" i="4"/>
  <c r="AO136" i="4"/>
  <c r="AP127" i="4"/>
  <c r="AA148" i="4"/>
  <c r="AA152" i="4" s="1"/>
  <c r="AB135" i="4"/>
  <c r="AD135" i="4"/>
  <c r="AA35" i="4"/>
  <c r="AF17" i="4"/>
  <c r="AG70" i="4"/>
  <c r="AM24" i="3"/>
  <c r="AD61" i="3"/>
  <c r="AC70" i="4"/>
  <c r="AE70" i="4"/>
  <c r="AL25" i="3"/>
  <c r="AM23" i="3"/>
  <c r="AO24" i="3"/>
  <c r="AP117" i="4"/>
  <c r="AR117" i="4"/>
  <c r="AM136" i="4"/>
  <c r="AL111" i="3"/>
  <c r="Y36" i="3"/>
  <c r="Y38" i="3"/>
  <c r="AJ17" i="4"/>
  <c r="AK113" i="4"/>
  <c r="AK119" i="4" s="1"/>
  <c r="AM113" i="4"/>
  <c r="AM119" i="4" s="1"/>
  <c r="AM121" i="4" s="1"/>
  <c r="AF61" i="3"/>
  <c r="AI27" i="3"/>
  <c r="AI76" i="3"/>
  <c r="AI60" i="3"/>
  <c r="Z148" i="4"/>
  <c r="Z140" i="4"/>
  <c r="AJ111" i="3"/>
  <c r="AB128" i="4"/>
  <c r="AB137" i="4" s="1"/>
  <c r="O20" i="2" l="1"/>
  <c r="O21" i="2" s="1"/>
  <c r="W89" i="3"/>
  <c r="X38" i="3"/>
  <c r="W40" i="3"/>
  <c r="AB129" i="4"/>
  <c r="AB16" i="4" s="1"/>
  <c r="AS117" i="4"/>
  <c r="AU117" i="4"/>
  <c r="AR24" i="3"/>
  <c r="AA37" i="4"/>
  <c r="Z35" i="4"/>
  <c r="AC126" i="4"/>
  <c r="AA140" i="4"/>
  <c r="AA141" i="4" s="1"/>
  <c r="Z31" i="3"/>
  <c r="Z112" i="3"/>
  <c r="AM111" i="3"/>
  <c r="AM25" i="3"/>
  <c r="Z21" i="4"/>
  <c r="AI61" i="3"/>
  <c r="AS127" i="4"/>
  <c r="AR136" i="4"/>
  <c r="AU127" i="4"/>
  <c r="AR23" i="3"/>
  <c r="Q20" i="2"/>
  <c r="Q21" i="2" s="1"/>
  <c r="Y89" i="3"/>
  <c r="Y91" i="3" s="1"/>
  <c r="Y40" i="3"/>
  <c r="AJ27" i="3"/>
  <c r="AJ76" i="3"/>
  <c r="AJ60" i="3"/>
  <c r="AF70" i="4"/>
  <c r="AL113" i="4"/>
  <c r="AL119" i="4" s="1"/>
  <c r="AK17" i="4"/>
  <c r="AH70" i="4"/>
  <c r="AI17" i="4"/>
  <c r="AJ70" i="4"/>
  <c r="AO25" i="3"/>
  <c r="AP23" i="3"/>
  <c r="AP24" i="3"/>
  <c r="AB138" i="4"/>
  <c r="AM17" i="4"/>
  <c r="AP113" i="4"/>
  <c r="AP119" i="4" s="1"/>
  <c r="AN113" i="4"/>
  <c r="AN119" i="4" s="1"/>
  <c r="AL27" i="3"/>
  <c r="AL76" i="3"/>
  <c r="AL60" i="3"/>
  <c r="AP136" i="4"/>
  <c r="AO111" i="3"/>
  <c r="AG61" i="3"/>
  <c r="D32" i="6" l="1"/>
  <c r="D35" i="6" s="1"/>
  <c r="D39" i="6" s="1"/>
  <c r="X40" i="3"/>
  <c r="P20" i="2"/>
  <c r="P21" i="2" s="1"/>
  <c r="P62" i="2" s="1"/>
  <c r="X39" i="3"/>
  <c r="X89" i="3"/>
  <c r="X91" i="3" s="1"/>
  <c r="X98" i="3" s="1"/>
  <c r="W91" i="3"/>
  <c r="W98" i="3" s="1"/>
  <c r="W45" i="3"/>
  <c r="W161" i="4"/>
  <c r="X161" i="4" s="1"/>
  <c r="W77" i="3"/>
  <c r="W50" i="3"/>
  <c r="W42" i="3"/>
  <c r="W62" i="3"/>
  <c r="O62" i="2"/>
  <c r="AB148" i="4"/>
  <c r="AB35" i="4"/>
  <c r="AC135" i="4"/>
  <c r="AB140" i="4"/>
  <c r="AP25" i="3"/>
  <c r="AS23" i="3"/>
  <c r="AR25" i="3"/>
  <c r="AO27" i="3"/>
  <c r="AO76" i="3"/>
  <c r="AO60" i="3"/>
  <c r="Y50" i="3"/>
  <c r="Y161" i="4"/>
  <c r="Y77" i="3"/>
  <c r="Y62" i="3"/>
  <c r="Y45" i="3"/>
  <c r="Y42" i="3"/>
  <c r="AA39" i="4"/>
  <c r="AP17" i="4"/>
  <c r="AQ113" i="4"/>
  <c r="AQ119" i="4" s="1"/>
  <c r="AS113" i="4"/>
  <c r="AS119" i="4" s="1"/>
  <c r="AS121" i="4" s="1"/>
  <c r="AI70" i="4"/>
  <c r="AC128" i="4"/>
  <c r="AC129" i="4" s="1"/>
  <c r="AS24" i="3"/>
  <c r="AK70" i="4"/>
  <c r="AA31" i="3"/>
  <c r="AU23" i="3"/>
  <c r="AV127" i="4"/>
  <c r="AU136" i="4"/>
  <c r="AX127" i="4"/>
  <c r="AM60" i="3"/>
  <c r="AM76" i="3"/>
  <c r="AM27" i="3"/>
  <c r="AN17" i="4"/>
  <c r="AO113" i="4"/>
  <c r="AO119" i="4" s="1"/>
  <c r="AR111" i="3"/>
  <c r="AS136" i="4"/>
  <c r="AL17" i="4"/>
  <c r="AM70" i="4"/>
  <c r="AJ61" i="3"/>
  <c r="Y98" i="3"/>
  <c r="AP121" i="4"/>
  <c r="AX117" i="4"/>
  <c r="AV117" i="4"/>
  <c r="AU24" i="3"/>
  <c r="Z37" i="4"/>
  <c r="AP111" i="3"/>
  <c r="AB21" i="4"/>
  <c r="AL61" i="3"/>
  <c r="Q62" i="2"/>
  <c r="AA112" i="3"/>
  <c r="Z87" i="3"/>
  <c r="W63" i="3" l="1"/>
  <c r="O29" i="2" s="1"/>
  <c r="N71" i="3"/>
  <c r="W81" i="3"/>
  <c r="O32" i="2" s="1"/>
  <c r="W51" i="3"/>
  <c r="O23" i="2"/>
  <c r="O22" i="2" s="1"/>
  <c r="W75" i="4"/>
  <c r="W56" i="4"/>
  <c r="W136" i="3"/>
  <c r="O36" i="2" s="1"/>
  <c r="W138" i="3"/>
  <c r="W132" i="3"/>
  <c r="W134" i="3"/>
  <c r="X132" i="3"/>
  <c r="X138" i="3"/>
  <c r="P41" i="2"/>
  <c r="X134" i="3"/>
  <c r="X56" i="4"/>
  <c r="X136" i="3"/>
  <c r="P36" i="2" s="1"/>
  <c r="W147" i="3"/>
  <c r="W65" i="3"/>
  <c r="X45" i="3"/>
  <c r="X50" i="3"/>
  <c r="X77" i="3"/>
  <c r="X62" i="3"/>
  <c r="X42" i="3"/>
  <c r="O70" i="2"/>
  <c r="W187" i="4"/>
  <c r="W183" i="4" s="1"/>
  <c r="AO61" i="3"/>
  <c r="AY117" i="4"/>
  <c r="AX24" i="3"/>
  <c r="AS111" i="3"/>
  <c r="Y65" i="3"/>
  <c r="Y147" i="3"/>
  <c r="Q70" i="2"/>
  <c r="Y187" i="4"/>
  <c r="Y183" i="4" s="1"/>
  <c r="AB31" i="3"/>
  <c r="AB112" i="3"/>
  <c r="AL70" i="4"/>
  <c r="AU25" i="3"/>
  <c r="AV23" i="3"/>
  <c r="AQ17" i="4"/>
  <c r="AR113" i="4"/>
  <c r="AR119" i="4" s="1"/>
  <c r="AN70" i="4"/>
  <c r="AY127" i="4"/>
  <c r="AX23" i="3"/>
  <c r="AX136" i="4"/>
  <c r="AM61" i="3"/>
  <c r="AC137" i="4"/>
  <c r="AD137" i="4" s="1"/>
  <c r="AD138" i="4" s="1"/>
  <c r="AD128" i="4"/>
  <c r="AD129" i="4" s="1"/>
  <c r="AP70" i="4"/>
  <c r="AO17" i="4"/>
  <c r="AB37" i="4"/>
  <c r="Z39" i="4"/>
  <c r="AV136" i="4"/>
  <c r="AU111" i="3"/>
  <c r="Q23" i="2"/>
  <c r="Q22" i="2" s="1"/>
  <c r="Y81" i="3"/>
  <c r="Q32" i="2" s="1"/>
  <c r="Y75" i="4"/>
  <c r="P71" i="3"/>
  <c r="Y51" i="3"/>
  <c r="Y63" i="3"/>
  <c r="Q29" i="2" s="1"/>
  <c r="AR60" i="3"/>
  <c r="AR76" i="3"/>
  <c r="AR27" i="3"/>
  <c r="AV113" i="4"/>
  <c r="AV119" i="4" s="1"/>
  <c r="AV121" i="4" s="1"/>
  <c r="AT113" i="4"/>
  <c r="AT119" i="4" s="1"/>
  <c r="AS17" i="4"/>
  <c r="AS25" i="3"/>
  <c r="AA87" i="3"/>
  <c r="AV24" i="3"/>
  <c r="Y56" i="4"/>
  <c r="Y136" i="3"/>
  <c r="Q36" i="2" s="1"/>
  <c r="Y132" i="3"/>
  <c r="Y134" i="3"/>
  <c r="Y138" i="3"/>
  <c r="S59" i="2"/>
  <c r="S58" i="2" s="1"/>
  <c r="AP76" i="3"/>
  <c r="AP60" i="3"/>
  <c r="AP27" i="3"/>
  <c r="X81" i="3" l="1"/>
  <c r="P32" i="2" s="1"/>
  <c r="P71" i="2" s="1"/>
  <c r="O71" i="3"/>
  <c r="X51" i="3"/>
  <c r="P23" i="2"/>
  <c r="P22" i="2" s="1"/>
  <c r="X63" i="3"/>
  <c r="P29" i="2" s="1"/>
  <c r="X75" i="4"/>
  <c r="W66" i="3"/>
  <c r="AH12" i="2" s="1"/>
  <c r="AH11" i="2"/>
  <c r="W148" i="3"/>
  <c r="AH16" i="2" s="1"/>
  <c r="X147" i="3"/>
  <c r="X65" i="3"/>
  <c r="W179" i="4"/>
  <c r="X183" i="4"/>
  <c r="W185" i="4"/>
  <c r="W189" i="4"/>
  <c r="X187" i="4"/>
  <c r="P70" i="2"/>
  <c r="W137" i="3"/>
  <c r="O37" i="2" s="1"/>
  <c r="W153" i="3"/>
  <c r="X137" i="3"/>
  <c r="P37" i="2" s="1"/>
  <c r="X153" i="3"/>
  <c r="P42" i="2"/>
  <c r="P73" i="2" s="1"/>
  <c r="AB87" i="3"/>
  <c r="Y137" i="3"/>
  <c r="Q37" i="2" s="1"/>
  <c r="Y153" i="3"/>
  <c r="Y66" i="3"/>
  <c r="AJ12" i="2" s="1"/>
  <c r="AJ11" i="2"/>
  <c r="Y148" i="3"/>
  <c r="AJ16" i="2" s="1"/>
  <c r="Y179" i="4"/>
  <c r="Y189" i="4"/>
  <c r="Y185" i="4"/>
  <c r="Y113" i="3" s="1"/>
  <c r="AS70" i="4"/>
  <c r="AR17" i="4"/>
  <c r="AV111" i="3"/>
  <c r="AT17" i="4"/>
  <c r="AU113" i="4"/>
  <c r="AU119" i="4" s="1"/>
  <c r="AE126" i="4"/>
  <c r="AD16" i="4"/>
  <c r="AG126" i="4"/>
  <c r="AD131" i="4"/>
  <c r="AX25" i="3"/>
  <c r="AY23" i="3"/>
  <c r="AC138" i="4"/>
  <c r="AY24" i="3"/>
  <c r="AV25" i="3"/>
  <c r="AO70" i="4"/>
  <c r="AS60" i="3"/>
  <c r="AS76" i="3"/>
  <c r="AS27" i="3"/>
  <c r="AB39" i="4"/>
  <c r="AU27" i="3"/>
  <c r="AU76" i="3"/>
  <c r="AU60" i="3"/>
  <c r="AP61" i="3"/>
  <c r="AR61" i="3"/>
  <c r="AY136" i="4"/>
  <c r="AX111" i="3"/>
  <c r="AQ70" i="4"/>
  <c r="AY113" i="4"/>
  <c r="AY119" i="4" s="1"/>
  <c r="AY17" i="4" s="1"/>
  <c r="AW113" i="4"/>
  <c r="AW119" i="4" s="1"/>
  <c r="AV17" i="4"/>
  <c r="R59" i="2"/>
  <c r="R58" i="2" s="1"/>
  <c r="AD35" i="4"/>
  <c r="AD148" i="4"/>
  <c r="AD152" i="4" s="1"/>
  <c r="AG135" i="4"/>
  <c r="AE135" i="4"/>
  <c r="AH13" i="2" l="1"/>
  <c r="W154" i="3"/>
  <c r="AH14" i="2" s="1"/>
  <c r="W52" i="3"/>
  <c r="X179" i="4"/>
  <c r="W113" i="3"/>
  <c r="X185" i="4"/>
  <c r="W190" i="4"/>
  <c r="W191" i="4"/>
  <c r="X148" i="3"/>
  <c r="AI16" i="2" s="1"/>
  <c r="P76" i="2" s="1"/>
  <c r="AI11" i="2"/>
  <c r="X66" i="3"/>
  <c r="C100" i="6"/>
  <c r="E100" i="6" s="1"/>
  <c r="D96" i="6"/>
  <c r="X188" i="4"/>
  <c r="X189" i="4"/>
  <c r="AX76" i="3"/>
  <c r="AX60" i="3"/>
  <c r="AX27" i="3"/>
  <c r="Y154" i="3"/>
  <c r="AJ14" i="2" s="1"/>
  <c r="AJ13" i="2"/>
  <c r="Y52" i="3"/>
  <c r="AY111" i="3"/>
  <c r="AR70" i="4"/>
  <c r="AU17" i="4"/>
  <c r="AV70" i="4"/>
  <c r="AC148" i="4"/>
  <c r="AC140" i="4"/>
  <c r="AX113" i="4"/>
  <c r="AX119" i="4" s="1"/>
  <c r="AW17" i="4"/>
  <c r="AV60" i="3"/>
  <c r="AV76" i="3"/>
  <c r="AV27" i="3"/>
  <c r="AC16" i="4"/>
  <c r="AD21" i="4"/>
  <c r="AY70" i="4"/>
  <c r="AX17" i="4"/>
  <c r="AE128" i="4"/>
  <c r="AE137" i="4" s="1"/>
  <c r="AE138" i="4" s="1"/>
  <c r="AE129" i="4"/>
  <c r="Y162" i="4"/>
  <c r="Y119" i="3"/>
  <c r="AT70" i="4"/>
  <c r="AU61" i="3"/>
  <c r="AC35" i="4"/>
  <c r="AD37" i="4"/>
  <c r="AY121" i="4"/>
  <c r="AS61" i="3"/>
  <c r="AY25" i="3"/>
  <c r="Y190" i="4"/>
  <c r="Y191" i="4"/>
  <c r="AI12" i="2" l="1"/>
  <c r="O149" i="3"/>
  <c r="X52" i="3"/>
  <c r="X178" i="4"/>
  <c r="X154" i="3"/>
  <c r="AI13" i="2"/>
  <c r="X113" i="3"/>
  <c r="X119" i="3" s="1"/>
  <c r="W119" i="3"/>
  <c r="W121" i="3" s="1"/>
  <c r="W124" i="3" s="1"/>
  <c r="W162" i="4"/>
  <c r="X190" i="4"/>
  <c r="X191" i="4"/>
  <c r="AE148" i="4"/>
  <c r="AE140" i="4"/>
  <c r="AF135" i="4"/>
  <c r="AE35" i="4"/>
  <c r="AC31" i="3"/>
  <c r="AD140" i="4"/>
  <c r="AD141" i="4" s="1"/>
  <c r="AC112" i="3"/>
  <c r="AX70" i="4"/>
  <c r="AU70" i="4"/>
  <c r="AE16" i="4"/>
  <c r="AF126" i="4"/>
  <c r="Y121" i="3"/>
  <c r="AV61" i="3"/>
  <c r="AW70" i="4"/>
  <c r="AC37" i="4"/>
  <c r="AX61" i="3"/>
  <c r="AY60" i="3"/>
  <c r="AY76" i="3"/>
  <c r="AY27" i="3"/>
  <c r="AD39" i="4"/>
  <c r="AC21" i="4"/>
  <c r="AI14" i="2" l="1"/>
  <c r="P75" i="2" s="1"/>
  <c r="C24" i="6"/>
  <c r="W164" i="4"/>
  <c r="X162" i="4"/>
  <c r="X164" i="4" s="1"/>
  <c r="P44" i="2"/>
  <c r="P45" i="2" s="1"/>
  <c r="X121" i="3"/>
  <c r="X124" i="3" s="1"/>
  <c r="P46" i="2" s="1"/>
  <c r="AC39" i="4"/>
  <c r="AF128" i="4"/>
  <c r="AF129" i="4" s="1"/>
  <c r="AE21" i="4"/>
  <c r="AD112" i="3"/>
  <c r="AC87" i="3"/>
  <c r="AY61" i="3"/>
  <c r="AD31" i="3"/>
  <c r="AE31" i="3"/>
  <c r="AE112" i="3"/>
  <c r="AE37" i="4"/>
  <c r="Y122" i="3" l="1"/>
  <c r="Y124" i="3" s="1"/>
  <c r="X6" i="4"/>
  <c r="X125" i="3" s="1"/>
  <c r="Y160" i="4"/>
  <c r="Y164" i="4" s="1"/>
  <c r="AA160" i="4"/>
  <c r="X45" i="4"/>
  <c r="AA122" i="3"/>
  <c r="AD87" i="3"/>
  <c r="AE87" i="3"/>
  <c r="X53" i="4"/>
  <c r="X155" i="4"/>
  <c r="X60" i="4"/>
  <c r="X12" i="4"/>
  <c r="W6" i="4"/>
  <c r="X59" i="4"/>
  <c r="AE39" i="4"/>
  <c r="AF137" i="4"/>
  <c r="AG128" i="4"/>
  <c r="AG129" i="4" s="1"/>
  <c r="Z122" i="3"/>
  <c r="Y6" i="4"/>
  <c r="Y125" i="3" s="1"/>
  <c r="P50" i="2" l="1"/>
  <c r="W45" i="4"/>
  <c r="W46" i="4" s="1"/>
  <c r="X46" i="4"/>
  <c r="X61" i="4" s="1"/>
  <c r="Y45" i="4"/>
  <c r="Y46" i="4" s="1"/>
  <c r="Z160" i="4"/>
  <c r="W60" i="4"/>
  <c r="W12" i="4"/>
  <c r="O50" i="2"/>
  <c r="W53" i="4"/>
  <c r="W59" i="4"/>
  <c r="W125" i="3"/>
  <c r="X52" i="4"/>
  <c r="X23" i="4"/>
  <c r="AG16" i="4"/>
  <c r="AH126" i="4"/>
  <c r="AJ126" i="4"/>
  <c r="AG131" i="4"/>
  <c r="X58" i="4"/>
  <c r="AI22" i="2"/>
  <c r="P74" i="2" s="1"/>
  <c r="X64" i="4"/>
  <c r="AI23" i="2" s="1"/>
  <c r="Y53" i="4"/>
  <c r="Q50" i="2"/>
  <c r="Y60" i="4"/>
  <c r="Z154" i="4"/>
  <c r="Y12" i="4"/>
  <c r="Y59" i="4"/>
  <c r="AG137" i="4"/>
  <c r="AG138" i="4" s="1"/>
  <c r="AF138" i="4"/>
  <c r="C23" i="6"/>
  <c r="X63" i="4"/>
  <c r="X141" i="3"/>
  <c r="X62" i="4"/>
  <c r="Y65" i="4"/>
  <c r="Y73" i="4"/>
  <c r="Q34" i="2" s="1"/>
  <c r="X73" i="4" l="1"/>
  <c r="P34" i="2" s="1"/>
  <c r="X65" i="4"/>
  <c r="W73" i="4"/>
  <c r="O34" i="2" s="1"/>
  <c r="W65" i="4"/>
  <c r="W62" i="4"/>
  <c r="W63" i="4"/>
  <c r="W61" i="4"/>
  <c r="W141" i="3"/>
  <c r="Y62" i="4"/>
  <c r="Y63" i="4"/>
  <c r="Y61" i="4"/>
  <c r="Y141" i="3"/>
  <c r="Y52" i="4"/>
  <c r="Y23" i="4"/>
  <c r="AG21" i="4"/>
  <c r="AF16" i="4"/>
  <c r="W52" i="4"/>
  <c r="W23" i="4"/>
  <c r="X144" i="3"/>
  <c r="AI19" i="2" s="1"/>
  <c r="X143" i="3"/>
  <c r="AI18" i="2" s="1"/>
  <c r="P77" i="2" s="1"/>
  <c r="X145" i="3"/>
  <c r="X142" i="3"/>
  <c r="AH128" i="4"/>
  <c r="AH137" i="4" s="1"/>
  <c r="AH129" i="4"/>
  <c r="X151" i="3"/>
  <c r="AI20" i="2" s="1"/>
  <c r="X67" i="4"/>
  <c r="X69" i="4"/>
  <c r="X74" i="4" s="1"/>
  <c r="P35" i="2" s="1"/>
  <c r="P55" i="2"/>
  <c r="P54" i="2" s="1"/>
  <c r="X41" i="4"/>
  <c r="Z157" i="4"/>
  <c r="Z29" i="3"/>
  <c r="AA154" i="4"/>
  <c r="E64" i="6"/>
  <c r="E65" i="6" s="1"/>
  <c r="E67" i="6" s="1"/>
  <c r="C44" i="6"/>
  <c r="W53" i="2" s="1"/>
  <c r="H72" i="6"/>
  <c r="H73" i="6" s="1"/>
  <c r="H75" i="6" s="1"/>
  <c r="Y64" i="4"/>
  <c r="AJ23" i="2" s="1"/>
  <c r="AJ22" i="2"/>
  <c r="Y58" i="4"/>
  <c r="W58" i="4"/>
  <c r="W64" i="4"/>
  <c r="AH23" i="2" s="1"/>
  <c r="AH22" i="2"/>
  <c r="AG148" i="4"/>
  <c r="AG152" i="4" s="1"/>
  <c r="AG35" i="4"/>
  <c r="AH135" i="4"/>
  <c r="AJ135" i="4"/>
  <c r="AF148" i="4"/>
  <c r="AF140" i="4"/>
  <c r="AH138" i="4" l="1"/>
  <c r="AG140" i="4"/>
  <c r="AG141" i="4" s="1"/>
  <c r="AF31" i="3"/>
  <c r="AF112" i="3"/>
  <c r="AF35" i="4"/>
  <c r="AG37" i="4"/>
  <c r="AF21" i="4"/>
  <c r="S9" i="6"/>
  <c r="H46" i="6"/>
  <c r="AL54" i="2" s="1"/>
  <c r="P60" i="2"/>
  <c r="X47" i="4"/>
  <c r="X71" i="4"/>
  <c r="X150" i="3" s="1"/>
  <c r="AI17" i="2" s="1"/>
  <c r="AH16" i="4"/>
  <c r="AI126" i="4"/>
  <c r="Y142" i="3"/>
  <c r="Y144" i="3"/>
  <c r="AJ19" i="2" s="1"/>
  <c r="Y145" i="3"/>
  <c r="Y143" i="3"/>
  <c r="AJ18" i="2" s="1"/>
  <c r="Y41" i="4"/>
  <c r="Y67" i="4"/>
  <c r="Y151" i="3"/>
  <c r="AJ20" i="2" s="1"/>
  <c r="Q55" i="2"/>
  <c r="Q54" i="2" s="1"/>
  <c r="Y69" i="4"/>
  <c r="Y74" i="4" s="1"/>
  <c r="Q35" i="2" s="1"/>
  <c r="W144" i="3"/>
  <c r="AH19" i="2" s="1"/>
  <c r="W145" i="3"/>
  <c r="W143" i="3"/>
  <c r="AH18" i="2" s="1"/>
  <c r="W142" i="3"/>
  <c r="AH148" i="4"/>
  <c r="AH140" i="4"/>
  <c r="AI135" i="4"/>
  <c r="AH35" i="4"/>
  <c r="AA157" i="4"/>
  <c r="R18" i="2"/>
  <c r="R19" i="2" s="1"/>
  <c r="AA29" i="3"/>
  <c r="Z32" i="3"/>
  <c r="W151" i="3"/>
  <c r="AH20" i="2" s="1"/>
  <c r="W41" i="4"/>
  <c r="O55" i="2"/>
  <c r="O54" i="2" s="1"/>
  <c r="W67" i="4"/>
  <c r="W69" i="4"/>
  <c r="W74" i="4" s="1"/>
  <c r="O35" i="2" s="1"/>
  <c r="AI128" i="4" l="1"/>
  <c r="AA32" i="3"/>
  <c r="S18" i="2"/>
  <c r="S19" i="2" s="1"/>
  <c r="AH21" i="4"/>
  <c r="AG112" i="3"/>
  <c r="AF87" i="3"/>
  <c r="Z88" i="3"/>
  <c r="Z54" i="4"/>
  <c r="AK24" i="2" s="1"/>
  <c r="Z34" i="3"/>
  <c r="Z55" i="4"/>
  <c r="AH37" i="4"/>
  <c r="AF37" i="4"/>
  <c r="Y71" i="4"/>
  <c r="Y150" i="3" s="1"/>
  <c r="AJ17" i="2" s="1"/>
  <c r="Q60" i="2"/>
  <c r="Y47" i="4"/>
  <c r="W71" i="4"/>
  <c r="W150" i="3" s="1"/>
  <c r="AH17" i="2" s="1"/>
  <c r="O60" i="2"/>
  <c r="W47" i="4"/>
  <c r="AG31" i="3"/>
  <c r="AH31" i="3"/>
  <c r="AH112" i="3"/>
  <c r="AG39" i="4"/>
  <c r="AI137" i="4" l="1"/>
  <c r="AJ128" i="4"/>
  <c r="AJ129" i="4" s="1"/>
  <c r="AA34" i="3"/>
  <c r="AA54" i="4"/>
  <c r="AL24" i="2" s="1"/>
  <c r="AA55" i="4"/>
  <c r="AI129" i="4"/>
  <c r="Z36" i="3"/>
  <c r="Z38" i="3"/>
  <c r="AH39" i="4"/>
  <c r="AA88" i="3"/>
  <c r="AH87" i="3"/>
  <c r="AF39" i="4"/>
  <c r="AG87" i="3"/>
  <c r="AA36" i="3" l="1"/>
  <c r="AK126" i="4"/>
  <c r="AM126" i="4"/>
  <c r="AJ16" i="4"/>
  <c r="AJ131" i="4"/>
  <c r="AJ137" i="4"/>
  <c r="AJ138" i="4" s="1"/>
  <c r="AI138" i="4"/>
  <c r="Z89" i="3"/>
  <c r="R20" i="2"/>
  <c r="R21" i="2" s="1"/>
  <c r="AA38" i="3"/>
  <c r="Z40" i="3"/>
  <c r="AJ148" i="4" l="1"/>
  <c r="AJ152" i="4" s="1"/>
  <c r="AK135" i="4"/>
  <c r="AM135" i="4"/>
  <c r="AJ35" i="4"/>
  <c r="AA39" i="3"/>
  <c r="S20" i="2"/>
  <c r="S21" i="2" s="1"/>
  <c r="E32" i="6"/>
  <c r="E35" i="6" s="1"/>
  <c r="E39" i="6" s="1"/>
  <c r="AA40" i="3"/>
  <c r="AI140" i="4"/>
  <c r="AI148" i="4"/>
  <c r="R62" i="2"/>
  <c r="AA89" i="3"/>
  <c r="AA91" i="3" s="1"/>
  <c r="Z91" i="3"/>
  <c r="Z161" i="4"/>
  <c r="Z50" i="3"/>
  <c r="Z45" i="3"/>
  <c r="Z62" i="3"/>
  <c r="Z42" i="3"/>
  <c r="Z77" i="3"/>
  <c r="AK128" i="4"/>
  <c r="AK137" i="4" s="1"/>
  <c r="AJ21" i="4"/>
  <c r="AI16" i="4"/>
  <c r="AJ140" i="4" l="1"/>
  <c r="AJ141" i="4" s="1"/>
  <c r="AI31" i="3"/>
  <c r="AI112" i="3"/>
  <c r="AK129" i="4"/>
  <c r="AA98" i="3"/>
  <c r="R70" i="2"/>
  <c r="Z187" i="4"/>
  <c r="Z183" i="4" s="1"/>
  <c r="AA50" i="3"/>
  <c r="AA77" i="3"/>
  <c r="AA45" i="3"/>
  <c r="AA42" i="3"/>
  <c r="AA62" i="3"/>
  <c r="Z98" i="3"/>
  <c r="AJ37" i="4"/>
  <c r="AI35" i="4"/>
  <c r="Z65" i="3"/>
  <c r="Z147" i="3"/>
  <c r="AK138" i="4"/>
  <c r="AI21" i="4"/>
  <c r="R23" i="2"/>
  <c r="R22" i="2" s="1"/>
  <c r="Z75" i="4"/>
  <c r="Z81" i="3"/>
  <c r="R32" i="2" s="1"/>
  <c r="Z63" i="3"/>
  <c r="R29" i="2" s="1"/>
  <c r="Q71" i="3"/>
  <c r="Z51" i="3"/>
  <c r="AA161" i="4"/>
  <c r="S62" i="2"/>
  <c r="AI37" i="4" l="1"/>
  <c r="AA136" i="3"/>
  <c r="S36" i="2" s="1"/>
  <c r="AA56" i="4"/>
  <c r="AA134" i="3"/>
  <c r="S41" i="2"/>
  <c r="AA138" i="3"/>
  <c r="AA132" i="3"/>
  <c r="AI87" i="3"/>
  <c r="AJ112" i="3"/>
  <c r="Z134" i="3"/>
  <c r="Z56" i="4"/>
  <c r="Z138" i="3"/>
  <c r="Z132" i="3"/>
  <c r="Z136" i="3"/>
  <c r="R36" i="2" s="1"/>
  <c r="AK148" i="4"/>
  <c r="AK140" i="4"/>
  <c r="AL135" i="4"/>
  <c r="AK35" i="4"/>
  <c r="AK11" i="2"/>
  <c r="Z66" i="3"/>
  <c r="AK12" i="2" s="1"/>
  <c r="Z148" i="3"/>
  <c r="AK16" i="2" s="1"/>
  <c r="AJ39" i="4"/>
  <c r="AA75" i="4"/>
  <c r="R71" i="3"/>
  <c r="AA63" i="3"/>
  <c r="S29" i="2" s="1"/>
  <c r="S23" i="2"/>
  <c r="S22" i="2" s="1"/>
  <c r="AA81" i="3"/>
  <c r="S32" i="2" s="1"/>
  <c r="S71" i="2" s="1"/>
  <c r="AA51" i="3"/>
  <c r="Z189" i="4"/>
  <c r="AA183" i="4"/>
  <c r="Z185" i="4"/>
  <c r="Z179" i="4"/>
  <c r="AJ31" i="3"/>
  <c r="AA65" i="3"/>
  <c r="AA147" i="3"/>
  <c r="AA187" i="4"/>
  <c r="S70" i="2"/>
  <c r="AL126" i="4"/>
  <c r="AK16" i="4"/>
  <c r="Z113" i="3" l="1"/>
  <c r="AA185" i="4"/>
  <c r="AA189" i="4"/>
  <c r="AA188" i="4"/>
  <c r="AI39" i="4"/>
  <c r="S42" i="2"/>
  <c r="S73" i="2" s="1"/>
  <c r="AA153" i="3"/>
  <c r="AA137" i="3"/>
  <c r="S37" i="2" s="1"/>
  <c r="Z190" i="4"/>
  <c r="Z191" i="4"/>
  <c r="AK112" i="3"/>
  <c r="AK31" i="3"/>
  <c r="AK21" i="4"/>
  <c r="AL128" i="4"/>
  <c r="AL129" i="4" s="1"/>
  <c r="Z154" i="3"/>
  <c r="AK14" i="2" s="1"/>
  <c r="AK13" i="2"/>
  <c r="AA179" i="4"/>
  <c r="Z52" i="3"/>
  <c r="AK37" i="4"/>
  <c r="AJ87" i="3"/>
  <c r="AA148" i="3"/>
  <c r="AL11" i="2"/>
  <c r="E96" i="6"/>
  <c r="F96" i="6" s="1"/>
  <c r="H96" i="6" s="1"/>
  <c r="AA66" i="3"/>
  <c r="Z153" i="3"/>
  <c r="Z137" i="3"/>
  <c r="R37" i="2" s="1"/>
  <c r="AA154" i="3" l="1"/>
  <c r="AL14" i="2" s="1"/>
  <c r="AA178" i="4"/>
  <c r="AL13" i="2"/>
  <c r="AA52" i="3"/>
  <c r="AK39" i="4"/>
  <c r="AA190" i="4"/>
  <c r="AA191" i="4"/>
  <c r="AL12" i="2"/>
  <c r="R149" i="3"/>
  <c r="AL137" i="4"/>
  <c r="AM128" i="4"/>
  <c r="AM129" i="4" s="1"/>
  <c r="AL16" i="2"/>
  <c r="AK87" i="3"/>
  <c r="Z162" i="4"/>
  <c r="AA113" i="3"/>
  <c r="Z119" i="3"/>
  <c r="AM137" i="4" l="1"/>
  <c r="AM138" i="4" s="1"/>
  <c r="AL138" i="4"/>
  <c r="AA162" i="4"/>
  <c r="AA164" i="4" s="1"/>
  <c r="Z164" i="4"/>
  <c r="AM16" i="4"/>
  <c r="AN126" i="4"/>
  <c r="AP126" i="4"/>
  <c r="AM131" i="4"/>
  <c r="Z121" i="3"/>
  <c r="AA119" i="3"/>
  <c r="AN128" i="4" l="1"/>
  <c r="AN137" i="4" s="1"/>
  <c r="AN129" i="4"/>
  <c r="AM21" i="4"/>
  <c r="AL16" i="4"/>
  <c r="AB160" i="4"/>
  <c r="AA45" i="4"/>
  <c r="AD160" i="4"/>
  <c r="AA121" i="3"/>
  <c r="S44" i="2"/>
  <c r="S45" i="2" s="1"/>
  <c r="Z124" i="3"/>
  <c r="AL140" i="4"/>
  <c r="AL148" i="4"/>
  <c r="AN135" i="4"/>
  <c r="AN138" i="4" s="1"/>
  <c r="AM148" i="4"/>
  <c r="AM152" i="4" s="1"/>
  <c r="AM35" i="4"/>
  <c r="AP135" i="4"/>
  <c r="AA124" i="3" l="1"/>
  <c r="AN148" i="4"/>
  <c r="AO135" i="4"/>
  <c r="AN140" i="4"/>
  <c r="AN35" i="4"/>
  <c r="Z45" i="4"/>
  <c r="AA46" i="4"/>
  <c r="AO126" i="4"/>
  <c r="AN16" i="4"/>
  <c r="AL31" i="3"/>
  <c r="AM140" i="4"/>
  <c r="AM141" i="4" s="1"/>
  <c r="AL112" i="3"/>
  <c r="AL21" i="4"/>
  <c r="AL35" i="4"/>
  <c r="AM37" i="4"/>
  <c r="AA65" i="4" l="1"/>
  <c r="AA73" i="4"/>
  <c r="S34" i="2" s="1"/>
  <c r="S46" i="2"/>
  <c r="AA6" i="4"/>
  <c r="AB122" i="3"/>
  <c r="AD122" i="3"/>
  <c r="AM31" i="3"/>
  <c r="AM39" i="4"/>
  <c r="AO128" i="4"/>
  <c r="AL37" i="4"/>
  <c r="AL87" i="3"/>
  <c r="AM112" i="3"/>
  <c r="Z46" i="4"/>
  <c r="AN37" i="4"/>
  <c r="AN21" i="4"/>
  <c r="AN31" i="3"/>
  <c r="AN112" i="3"/>
  <c r="AL39" i="4" l="1"/>
  <c r="AN39" i="4"/>
  <c r="AM87" i="3"/>
  <c r="AP128" i="4"/>
  <c r="AP129" i="4" s="1"/>
  <c r="AO137" i="4"/>
  <c r="AA12" i="4"/>
  <c r="AB154" i="4"/>
  <c r="AA53" i="4"/>
  <c r="Z6" i="4"/>
  <c r="S50" i="2"/>
  <c r="AA60" i="4"/>
  <c r="AA59" i="4"/>
  <c r="AA155" i="4"/>
  <c r="AN87" i="3"/>
  <c r="AO129" i="4"/>
  <c r="AA125" i="3"/>
  <c r="Z65" i="4"/>
  <c r="Z73" i="4"/>
  <c r="R34" i="2" s="1"/>
  <c r="AB157" i="4" l="1"/>
  <c r="AB29" i="3"/>
  <c r="AA64" i="4"/>
  <c r="AL23" i="2" s="1"/>
  <c r="AL22" i="2"/>
  <c r="AA58" i="4"/>
  <c r="AA141" i="3"/>
  <c r="AA63" i="4"/>
  <c r="AA62" i="4"/>
  <c r="AA61" i="4"/>
  <c r="AP137" i="4"/>
  <c r="AP138" i="4" s="1"/>
  <c r="AO138" i="4"/>
  <c r="AA52" i="4"/>
  <c r="AA23" i="4"/>
  <c r="Z53" i="4"/>
  <c r="Z60" i="4"/>
  <c r="R50" i="2"/>
  <c r="Z12" i="4"/>
  <c r="Z59" i="4"/>
  <c r="Z125" i="3"/>
  <c r="AP16" i="4"/>
  <c r="AQ126" i="4"/>
  <c r="AS126" i="4"/>
  <c r="AP131" i="4"/>
  <c r="AP148" i="4" l="1"/>
  <c r="AP152" i="4" s="1"/>
  <c r="AP35" i="4"/>
  <c r="AS135" i="4"/>
  <c r="AQ135" i="4"/>
  <c r="Z64" i="4"/>
  <c r="AK23" i="2" s="1"/>
  <c r="Z58" i="4"/>
  <c r="AK22" i="2"/>
  <c r="AA151" i="3"/>
  <c r="AL20" i="2" s="1"/>
  <c r="AA67" i="4"/>
  <c r="AA69" i="4"/>
  <c r="AA74" i="4" s="1"/>
  <c r="S35" i="2" s="1"/>
  <c r="AA41" i="4"/>
  <c r="S55" i="2"/>
  <c r="S54" i="2" s="1"/>
  <c r="AA143" i="3"/>
  <c r="AL18" i="2" s="1"/>
  <c r="AA144" i="3"/>
  <c r="AL19" i="2" s="1"/>
  <c r="AA145" i="3"/>
  <c r="AA142" i="3"/>
  <c r="Z52" i="4"/>
  <c r="Z23" i="4"/>
  <c r="AQ128" i="4"/>
  <c r="AQ137" i="4" s="1"/>
  <c r="Z61" i="4"/>
  <c r="Z63" i="4"/>
  <c r="Z141" i="3"/>
  <c r="Z62" i="4"/>
  <c r="AB32" i="3"/>
  <c r="AO16" i="4"/>
  <c r="AP21" i="4"/>
  <c r="AO148" i="4"/>
  <c r="AO140" i="4"/>
  <c r="AQ129" i="4" l="1"/>
  <c r="AA71" i="4"/>
  <c r="AA150" i="3" s="1"/>
  <c r="AL17" i="2" s="1"/>
  <c r="S60" i="2"/>
  <c r="AA47" i="4"/>
  <c r="AQ138" i="4"/>
  <c r="R55" i="2"/>
  <c r="R54" i="2" s="1"/>
  <c r="Z151" i="3"/>
  <c r="AK20" i="2" s="1"/>
  <c r="Z69" i="4"/>
  <c r="Z74" i="4" s="1"/>
  <c r="R35" i="2" s="1"/>
  <c r="Z67" i="4"/>
  <c r="Z41" i="4"/>
  <c r="AB55" i="4"/>
  <c r="AB54" i="4"/>
  <c r="AB88" i="3"/>
  <c r="AB34" i="3"/>
  <c r="Z143" i="3"/>
  <c r="AK18" i="2" s="1"/>
  <c r="Z144" i="3"/>
  <c r="AK19" i="2" s="1"/>
  <c r="Z142" i="3"/>
  <c r="Z145" i="3"/>
  <c r="AO21" i="4"/>
  <c r="AP37" i="4"/>
  <c r="AO35" i="4"/>
  <c r="AR126" i="4"/>
  <c r="AQ16" i="4"/>
  <c r="AO31" i="3"/>
  <c r="AP140" i="4"/>
  <c r="AP141" i="4" s="1"/>
  <c r="AO112" i="3"/>
  <c r="AQ21" i="4" l="1"/>
  <c r="AB38" i="3"/>
  <c r="AB36" i="3"/>
  <c r="AQ148" i="4"/>
  <c r="AQ35" i="4"/>
  <c r="AQ140" i="4"/>
  <c r="AR135" i="4"/>
  <c r="AO37" i="4"/>
  <c r="AP112" i="3"/>
  <c r="AO87" i="3"/>
  <c r="Z71" i="4"/>
  <c r="Z150" i="3" s="1"/>
  <c r="AK17" i="2" s="1"/>
  <c r="Z47" i="4"/>
  <c r="R60" i="2"/>
  <c r="AR128" i="4"/>
  <c r="AR129" i="4"/>
  <c r="AP31" i="3"/>
  <c r="AP39" i="4"/>
  <c r="AB89" i="3" l="1"/>
  <c r="AB91" i="3" s="1"/>
  <c r="AB40" i="3"/>
  <c r="AP87" i="3"/>
  <c r="AQ31" i="3"/>
  <c r="AQ112" i="3"/>
  <c r="AO39" i="4"/>
  <c r="AR137" i="4"/>
  <c r="AS137" i="4" s="1"/>
  <c r="AS138" i="4" s="1"/>
  <c r="AS128" i="4"/>
  <c r="AS129" i="4" s="1"/>
  <c r="AQ37" i="4"/>
  <c r="AT126" i="4" l="1"/>
  <c r="AV126" i="4"/>
  <c r="AS16" i="4"/>
  <c r="AS131" i="4"/>
  <c r="AB50" i="3"/>
  <c r="AB161" i="4"/>
  <c r="AB45" i="3"/>
  <c r="AB187" i="4" s="1"/>
  <c r="AB183" i="4" s="1"/>
  <c r="AB42" i="3"/>
  <c r="AB77" i="3"/>
  <c r="AB62" i="3"/>
  <c r="AQ39" i="4"/>
  <c r="AQ87" i="3"/>
  <c r="AS148" i="4"/>
  <c r="AS152" i="4" s="1"/>
  <c r="AV135" i="4"/>
  <c r="AS35" i="4"/>
  <c r="AT135" i="4"/>
  <c r="AR138" i="4"/>
  <c r="AB98" i="3"/>
  <c r="AB63" i="3" l="1"/>
  <c r="AB75" i="4"/>
  <c r="S71" i="3"/>
  <c r="AB81" i="3"/>
  <c r="AB51" i="3"/>
  <c r="AR148" i="4"/>
  <c r="AR140" i="4"/>
  <c r="AB179" i="4"/>
  <c r="AB189" i="4"/>
  <c r="AB185" i="4"/>
  <c r="AB113" i="3" s="1"/>
  <c r="AS21" i="4"/>
  <c r="AR16" i="4"/>
  <c r="AB56" i="4"/>
  <c r="AB138" i="3"/>
  <c r="AB136" i="3"/>
  <c r="AB132" i="3"/>
  <c r="AB134" i="3"/>
  <c r="AS37" i="4"/>
  <c r="AR35" i="4"/>
  <c r="AB147" i="3"/>
  <c r="AB65" i="3"/>
  <c r="AT128" i="4"/>
  <c r="AT137" i="4" s="1"/>
  <c r="AT138" i="4" s="1"/>
  <c r="AT148" i="4" l="1"/>
  <c r="AT35" i="4"/>
  <c r="AU135" i="4"/>
  <c r="AT140" i="4"/>
  <c r="AB190" i="4"/>
  <c r="AB191" i="4"/>
  <c r="AS39" i="4"/>
  <c r="AR21" i="4"/>
  <c r="AR37" i="4"/>
  <c r="AR31" i="3"/>
  <c r="AS140" i="4"/>
  <c r="AS141" i="4" s="1"/>
  <c r="AR112" i="3"/>
  <c r="AB153" i="3"/>
  <c r="AB137" i="3"/>
  <c r="AB154" i="3"/>
  <c r="AB52" i="3"/>
  <c r="AT129" i="4"/>
  <c r="AB162" i="4"/>
  <c r="AB164" i="4" s="1"/>
  <c r="AB119" i="3"/>
  <c r="AB148" i="3"/>
  <c r="AB66" i="3"/>
  <c r="AU126" i="4" l="1"/>
  <c r="AT16" i="4"/>
  <c r="AS31" i="3"/>
  <c r="AT31" i="3"/>
  <c r="AT112" i="3"/>
  <c r="AB121" i="3"/>
  <c r="AR39" i="4"/>
  <c r="AT37" i="4"/>
  <c r="AC160" i="4"/>
  <c r="AB45" i="4"/>
  <c r="AS112" i="3"/>
  <c r="AR87" i="3"/>
  <c r="AS87" i="3" l="1"/>
  <c r="AB46" i="4"/>
  <c r="AT87" i="3"/>
  <c r="AT21" i="4"/>
  <c r="AT39" i="4"/>
  <c r="AB124" i="3"/>
  <c r="AU128" i="4"/>
  <c r="AC122" i="3" l="1"/>
  <c r="AB6" i="4"/>
  <c r="AB65" i="4"/>
  <c r="AB73" i="4"/>
  <c r="AV128" i="4"/>
  <c r="AV129" i="4" s="1"/>
  <c r="AU137" i="4"/>
  <c r="AU129" i="4"/>
  <c r="AB53" i="4" l="1"/>
  <c r="AB60" i="4"/>
  <c r="AC154" i="4"/>
  <c r="AB12" i="4"/>
  <c r="AB59" i="4"/>
  <c r="AV137" i="4"/>
  <c r="AV138" i="4" s="1"/>
  <c r="AU138" i="4"/>
  <c r="AB125" i="3"/>
  <c r="AV16" i="4"/>
  <c r="AY126" i="4"/>
  <c r="AW126" i="4"/>
  <c r="AV131" i="4"/>
  <c r="AU16" i="4" l="1"/>
  <c r="AV21" i="4"/>
  <c r="AC157" i="4"/>
  <c r="AD154" i="4"/>
  <c r="AC29" i="3"/>
  <c r="AB62" i="4"/>
  <c r="AB141" i="3"/>
  <c r="AB61" i="4"/>
  <c r="AB63" i="4"/>
  <c r="AU148" i="4"/>
  <c r="AU140" i="4"/>
  <c r="AB52" i="4"/>
  <c r="AB23" i="4"/>
  <c r="AV148" i="4"/>
  <c r="AV152" i="4" s="1"/>
  <c r="AV35" i="4"/>
  <c r="AW135" i="4"/>
  <c r="AY135" i="4"/>
  <c r="AW128" i="4"/>
  <c r="AW137" i="4" s="1"/>
  <c r="AB64" i="4"/>
  <c r="AB58" i="4"/>
  <c r="AW129" i="4" l="1"/>
  <c r="AD157" i="4"/>
  <c r="AV37" i="4"/>
  <c r="AU35" i="4"/>
  <c r="AW16" i="4"/>
  <c r="AX126" i="4"/>
  <c r="AB69" i="4"/>
  <c r="AB74" i="4" s="1"/>
  <c r="AB151" i="3"/>
  <c r="AB67" i="4"/>
  <c r="AB41" i="4"/>
  <c r="AB144" i="3"/>
  <c r="AB142" i="3"/>
  <c r="AB145" i="3"/>
  <c r="AB143" i="3"/>
  <c r="AU21" i="4"/>
  <c r="AW138" i="4"/>
  <c r="AV140" i="4"/>
  <c r="AV141" i="4" s="1"/>
  <c r="AU31" i="3"/>
  <c r="AU112" i="3"/>
  <c r="AD29" i="3"/>
  <c r="AC32" i="3"/>
  <c r="AX128" i="4" l="1"/>
  <c r="AX129" i="4" s="1"/>
  <c r="AB47" i="4"/>
  <c r="AB71" i="4"/>
  <c r="AB150" i="3" s="1"/>
  <c r="AU37" i="4"/>
  <c r="AC54" i="4"/>
  <c r="AC88" i="3"/>
  <c r="AC34" i="3"/>
  <c r="AC55" i="4"/>
  <c r="AW148" i="4"/>
  <c r="AW35" i="4"/>
  <c r="AX135" i="4"/>
  <c r="AW140" i="4"/>
  <c r="AD32" i="3"/>
  <c r="AV39" i="4"/>
  <c r="AV112" i="3"/>
  <c r="AU87" i="3"/>
  <c r="AV31" i="3"/>
  <c r="AW21" i="4"/>
  <c r="AC38" i="3" l="1"/>
  <c r="AC36" i="3"/>
  <c r="AW31" i="3"/>
  <c r="AW112" i="3"/>
  <c r="AV87" i="3"/>
  <c r="AW37" i="4"/>
  <c r="AX137" i="4"/>
  <c r="AY137" i="4" s="1"/>
  <c r="AY138" i="4" s="1"/>
  <c r="AY128" i="4"/>
  <c r="AY129" i="4" s="1"/>
  <c r="AU39" i="4"/>
  <c r="AD88" i="3"/>
  <c r="AD34" i="3"/>
  <c r="AD54" i="4"/>
  <c r="AD55" i="4"/>
  <c r="AY16" i="4" l="1"/>
  <c r="AY131" i="4"/>
  <c r="AY148" i="4"/>
  <c r="AY152" i="4" s="1"/>
  <c r="AY35" i="4"/>
  <c r="AC89" i="3"/>
  <c r="AD38" i="3"/>
  <c r="AC40" i="3"/>
  <c r="AW39" i="4"/>
  <c r="AW87" i="3"/>
  <c r="AD36" i="3"/>
  <c r="AX138" i="4"/>
  <c r="AX35" i="4" l="1"/>
  <c r="AY37" i="4"/>
  <c r="F32" i="6"/>
  <c r="F35" i="6" s="1"/>
  <c r="F39" i="6" s="1"/>
  <c r="AD40" i="3"/>
  <c r="AD39" i="3"/>
  <c r="AX148" i="4"/>
  <c r="AX140" i="4"/>
  <c r="AC50" i="3"/>
  <c r="AC42" i="3"/>
  <c r="AC77" i="3"/>
  <c r="AC62" i="3"/>
  <c r="AC45" i="3"/>
  <c r="AC187" i="4" s="1"/>
  <c r="AC183" i="4" s="1"/>
  <c r="AC161" i="4"/>
  <c r="AD89" i="3"/>
  <c r="AD91" i="3" s="1"/>
  <c r="AC91" i="3"/>
  <c r="AX16" i="4"/>
  <c r="AY21" i="4"/>
  <c r="AC98" i="3" l="1"/>
  <c r="AD98" i="3"/>
  <c r="AD161" i="4"/>
  <c r="AC65" i="3"/>
  <c r="AC147" i="3"/>
  <c r="AY39" i="4"/>
  <c r="AX21" i="4"/>
  <c r="T71" i="3"/>
  <c r="AC63" i="3"/>
  <c r="AC81" i="3"/>
  <c r="AC51" i="3"/>
  <c r="AC75" i="4"/>
  <c r="AD45" i="3"/>
  <c r="AD187" i="4" s="1"/>
  <c r="AD62" i="3"/>
  <c r="AD77" i="3"/>
  <c r="AD42" i="3"/>
  <c r="AD50" i="3"/>
  <c r="AC189" i="4"/>
  <c r="AD183" i="4"/>
  <c r="AC179" i="4"/>
  <c r="AC185" i="4"/>
  <c r="AY140" i="4"/>
  <c r="AY141" i="4" s="1"/>
  <c r="AX31" i="3"/>
  <c r="AX112" i="3"/>
  <c r="AX37" i="4"/>
  <c r="AC52" i="3" l="1"/>
  <c r="AD179" i="4"/>
  <c r="AC154" i="3"/>
  <c r="AC190" i="4"/>
  <c r="AC191" i="4"/>
  <c r="AD134" i="3"/>
  <c r="AD138" i="3"/>
  <c r="AD136" i="3"/>
  <c r="AD56" i="4"/>
  <c r="AD132" i="3"/>
  <c r="AD188" i="4"/>
  <c r="AD189" i="4"/>
  <c r="AX39" i="4"/>
  <c r="AY112" i="3"/>
  <c r="AX87" i="3"/>
  <c r="AY31" i="3"/>
  <c r="AD147" i="3"/>
  <c r="AD65" i="3"/>
  <c r="AC134" i="3"/>
  <c r="AC136" i="3"/>
  <c r="AC138" i="3"/>
  <c r="AC132" i="3"/>
  <c r="AC56" i="4"/>
  <c r="AC113" i="3"/>
  <c r="AD185" i="4"/>
  <c r="AC66" i="3"/>
  <c r="AC148" i="3"/>
  <c r="U71" i="3"/>
  <c r="AD63" i="3"/>
  <c r="AD81" i="3"/>
  <c r="AD75" i="4"/>
  <c r="AD51" i="3"/>
  <c r="AD148" i="3" l="1"/>
  <c r="AD66" i="3"/>
  <c r="AD190" i="4"/>
  <c r="AD191" i="4"/>
  <c r="AD137" i="3"/>
  <c r="AD153" i="3"/>
  <c r="AD52" i="3"/>
  <c r="AD154" i="3"/>
  <c r="AD178" i="4"/>
  <c r="AC137" i="3"/>
  <c r="AC153" i="3"/>
  <c r="AY87" i="3"/>
  <c r="AD113" i="3"/>
  <c r="AC162" i="4"/>
  <c r="AC119" i="3"/>
  <c r="AC121" i="3" l="1"/>
  <c r="AD119" i="3"/>
  <c r="AD162" i="4"/>
  <c r="AD164" i="4" s="1"/>
  <c r="AC164" i="4"/>
  <c r="U149" i="3"/>
  <c r="AD121" i="3" l="1"/>
  <c r="AD45" i="4"/>
  <c r="AG160" i="4"/>
  <c r="AE160" i="4"/>
  <c r="AC124" i="3"/>
  <c r="AD46" i="4" l="1"/>
  <c r="AC45" i="4"/>
  <c r="AD124" i="3"/>
  <c r="AD65" i="4" l="1"/>
  <c r="AD73" i="4"/>
  <c r="AC46" i="4"/>
  <c r="AD6" i="4"/>
  <c r="AD125" i="3" s="1"/>
  <c r="AE122" i="3"/>
  <c r="AG122" i="3"/>
  <c r="AC65" i="4" l="1"/>
  <c r="AC73" i="4"/>
  <c r="AD60" i="4"/>
  <c r="AD53" i="4"/>
  <c r="AC6" i="4"/>
  <c r="AD12" i="4"/>
  <c r="AE154" i="4"/>
  <c r="AD59" i="4"/>
  <c r="AD155" i="4"/>
  <c r="AD58" i="4" l="1"/>
  <c r="AD64" i="4"/>
  <c r="AD52" i="4"/>
  <c r="AD23" i="4"/>
  <c r="AC12" i="4"/>
  <c r="AC60" i="4"/>
  <c r="AC53" i="4"/>
  <c r="AC59" i="4"/>
  <c r="AC125" i="3"/>
  <c r="AD61" i="4"/>
  <c r="AD63" i="4"/>
  <c r="AD141" i="3"/>
  <c r="AD62" i="4"/>
  <c r="AE157" i="4"/>
  <c r="AE29" i="3"/>
  <c r="AC52" i="4" l="1"/>
  <c r="AC23" i="4"/>
  <c r="AD41" i="4"/>
  <c r="AD69" i="4"/>
  <c r="AD74" i="4" s="1"/>
  <c r="AD151" i="3"/>
  <c r="AD67" i="4"/>
  <c r="AD143" i="3"/>
  <c r="AD142" i="3"/>
  <c r="AD144" i="3"/>
  <c r="AD145" i="3"/>
  <c r="AC63" i="4"/>
  <c r="AC61" i="4"/>
  <c r="AC141" i="3"/>
  <c r="AC62" i="4"/>
  <c r="AE32" i="3"/>
  <c r="AC64" i="4"/>
  <c r="AC58" i="4"/>
  <c r="AD71" i="4" l="1"/>
  <c r="AD150" i="3" s="1"/>
  <c r="AD47" i="4"/>
  <c r="AC41" i="4"/>
  <c r="AC67" i="4"/>
  <c r="AC69" i="4"/>
  <c r="AC74" i="4" s="1"/>
  <c r="AC151" i="3"/>
  <c r="AC142" i="3"/>
  <c r="AC144" i="3"/>
  <c r="AC143" i="3"/>
  <c r="AC145" i="3"/>
  <c r="AE55" i="4"/>
  <c r="AE54" i="4"/>
  <c r="AE88" i="3"/>
  <c r="AE34" i="3"/>
  <c r="AE36" i="3" l="1"/>
  <c r="AE38" i="3"/>
  <c r="AC71" i="4"/>
  <c r="AC150" i="3" s="1"/>
  <c r="AC47" i="4"/>
  <c r="AE89" i="3" l="1"/>
  <c r="AE91" i="3" s="1"/>
  <c r="AE40" i="3"/>
  <c r="AE50" i="3" l="1"/>
  <c r="AE45" i="3"/>
  <c r="AE187" i="4" s="1"/>
  <c r="AE183" i="4" s="1"/>
  <c r="AE42" i="3"/>
  <c r="AE77" i="3"/>
  <c r="AE62" i="3"/>
  <c r="AE161" i="4"/>
  <c r="AE98" i="3"/>
  <c r="AE56" i="4" l="1"/>
  <c r="AE132" i="3"/>
  <c r="AE136" i="3"/>
  <c r="AE138" i="3"/>
  <c r="AE134" i="3"/>
  <c r="V71" i="3"/>
  <c r="AE63" i="3"/>
  <c r="AE51" i="3"/>
  <c r="AE75" i="4"/>
  <c r="AE81" i="3"/>
  <c r="AE179" i="4"/>
  <c r="AE189" i="4"/>
  <c r="AE185" i="4"/>
  <c r="AE113" i="3" s="1"/>
  <c r="AE65" i="3"/>
  <c r="AE147" i="3"/>
  <c r="AE162" i="4" l="1"/>
  <c r="AE164" i="4" s="1"/>
  <c r="AE119" i="3"/>
  <c r="AE66" i="3"/>
  <c r="AE148" i="3"/>
  <c r="AE190" i="4"/>
  <c r="AE191" i="4"/>
  <c r="AE52" i="3"/>
  <c r="AE154" i="3"/>
  <c r="AE137" i="3"/>
  <c r="AE153" i="3"/>
  <c r="AE121" i="3" l="1"/>
  <c r="AF160" i="4"/>
  <c r="AE45" i="4"/>
  <c r="AE46" i="4" l="1"/>
  <c r="AE124" i="3"/>
  <c r="AF122" i="3" l="1"/>
  <c r="AE6" i="4"/>
  <c r="AE65" i="4"/>
  <c r="AE73" i="4"/>
  <c r="AE53" i="4" l="1"/>
  <c r="AE12" i="4"/>
  <c r="AE60" i="4"/>
  <c r="AF154" i="4"/>
  <c r="AE59" i="4"/>
  <c r="AE125" i="3"/>
  <c r="AE58" i="4" l="1"/>
  <c r="AE64" i="4"/>
  <c r="AE52" i="4"/>
  <c r="AE23" i="4"/>
  <c r="AE61" i="4"/>
  <c r="AE62" i="4"/>
  <c r="AE63" i="4"/>
  <c r="AE141" i="3"/>
  <c r="AG154" i="4"/>
  <c r="AF157" i="4"/>
  <c r="AF29" i="3"/>
  <c r="AG157" i="4" l="1"/>
  <c r="AE41" i="4"/>
  <c r="AE151" i="3"/>
  <c r="AE67" i="4"/>
  <c r="AE69" i="4"/>
  <c r="AE74" i="4" s="1"/>
  <c r="AE144" i="3"/>
  <c r="AE142" i="3"/>
  <c r="AE145" i="3"/>
  <c r="AE143" i="3"/>
  <c r="AG29" i="3"/>
  <c r="AF32" i="3"/>
  <c r="AE71" i="4" l="1"/>
  <c r="AE150" i="3" s="1"/>
  <c r="AE47" i="4"/>
  <c r="AF54" i="4"/>
  <c r="AF88" i="3"/>
  <c r="AF34" i="3"/>
  <c r="AF55" i="4"/>
  <c r="AG32" i="3"/>
  <c r="AF36" i="3" l="1"/>
  <c r="AF38" i="3"/>
  <c r="AG88" i="3"/>
  <c r="AG54" i="4"/>
  <c r="AG34" i="3"/>
  <c r="AG55" i="4"/>
  <c r="AF89" i="3" l="1"/>
  <c r="AG38" i="3"/>
  <c r="AF40" i="3"/>
  <c r="AG36" i="3"/>
  <c r="AF42" i="3" l="1"/>
  <c r="AF161" i="4"/>
  <c r="AF62" i="3"/>
  <c r="AF50" i="3"/>
  <c r="AF45" i="3"/>
  <c r="AF187" i="4" s="1"/>
  <c r="AF183" i="4" s="1"/>
  <c r="AF77" i="3"/>
  <c r="AG39" i="3"/>
  <c r="G32" i="6"/>
  <c r="G35" i="6" s="1"/>
  <c r="G39" i="6" s="1"/>
  <c r="AG40" i="3"/>
  <c r="AG89" i="3"/>
  <c r="AG91" i="3" s="1"/>
  <c r="AF91" i="3"/>
  <c r="AF147" i="3" l="1"/>
  <c r="AF65" i="3"/>
  <c r="AG161" i="4"/>
  <c r="AF51" i="3"/>
  <c r="AF63" i="3"/>
  <c r="W71" i="3"/>
  <c r="AF75" i="4"/>
  <c r="AF81" i="3"/>
  <c r="AF98" i="3"/>
  <c r="AG98" i="3"/>
  <c r="AG45" i="3"/>
  <c r="AG187" i="4" s="1"/>
  <c r="AG50" i="3"/>
  <c r="AG42" i="3"/>
  <c r="AG77" i="3"/>
  <c r="AG62" i="3"/>
  <c r="AF189" i="4"/>
  <c r="AG183" i="4"/>
  <c r="AF179" i="4"/>
  <c r="AF185" i="4"/>
  <c r="AF113" i="3" l="1"/>
  <c r="AG185" i="4"/>
  <c r="AF148" i="3"/>
  <c r="AF66" i="3"/>
  <c r="AG188" i="4"/>
  <c r="AG189" i="4"/>
  <c r="AG81" i="3"/>
  <c r="X71" i="3"/>
  <c r="AG75" i="4"/>
  <c r="AG63" i="3"/>
  <c r="AG51" i="3"/>
  <c r="AF52" i="3"/>
  <c r="AG179" i="4"/>
  <c r="AF154" i="3"/>
  <c r="AF134" i="3"/>
  <c r="AF136" i="3"/>
  <c r="AF138" i="3"/>
  <c r="AF56" i="4"/>
  <c r="AF132" i="3"/>
  <c r="AG147" i="3"/>
  <c r="AG65" i="3"/>
  <c r="AF190" i="4"/>
  <c r="AF191" i="4"/>
  <c r="AG56" i="4"/>
  <c r="AG134" i="3"/>
  <c r="AG136" i="3"/>
  <c r="AG138" i="3"/>
  <c r="AG132" i="3"/>
  <c r="AF137" i="3" l="1"/>
  <c r="AF153" i="3"/>
  <c r="AG178" i="4"/>
  <c r="AG52" i="3"/>
  <c r="AG154" i="3"/>
  <c r="AG137" i="3"/>
  <c r="AG153" i="3"/>
  <c r="AG148" i="3"/>
  <c r="AG66" i="3"/>
  <c r="AG191" i="4"/>
  <c r="AG190" i="4"/>
  <c r="AF162" i="4"/>
  <c r="AG113" i="3"/>
  <c r="AF119" i="3"/>
  <c r="X149" i="3" l="1"/>
  <c r="AG119" i="3"/>
  <c r="AF121" i="3"/>
  <c r="AG162" i="4"/>
  <c r="AG164" i="4" s="1"/>
  <c r="AF164" i="4"/>
  <c r="AH160" i="4" l="1"/>
  <c r="AJ160" i="4"/>
  <c r="AG45" i="4"/>
  <c r="AG121" i="3"/>
  <c r="AF124" i="3"/>
  <c r="AG124" i="3" l="1"/>
  <c r="AF45" i="4"/>
  <c r="AG46" i="4"/>
  <c r="AG65" i="4" l="1"/>
  <c r="AG73" i="4"/>
  <c r="AF46" i="4"/>
  <c r="AJ122" i="3"/>
  <c r="AH122" i="3"/>
  <c r="AG6" i="4"/>
  <c r="AG125" i="3" s="1"/>
  <c r="AF65" i="4" l="1"/>
  <c r="AF73" i="4"/>
  <c r="AG60" i="4"/>
  <c r="AG53" i="4"/>
  <c r="AG12" i="4"/>
  <c r="AF6" i="4"/>
  <c r="AH154" i="4"/>
  <c r="AG59" i="4"/>
  <c r="AG155" i="4"/>
  <c r="AG64" i="4" l="1"/>
  <c r="AG58" i="4"/>
  <c r="AH157" i="4"/>
  <c r="AH29" i="3"/>
  <c r="AG52" i="4"/>
  <c r="AG23" i="4"/>
  <c r="AG63" i="4"/>
  <c r="AG61" i="4"/>
  <c r="AG62" i="4"/>
  <c r="AG141" i="3"/>
  <c r="AF12" i="4"/>
  <c r="AF60" i="4"/>
  <c r="AF53" i="4"/>
  <c r="AF59" i="4"/>
  <c r="AF125" i="3"/>
  <c r="AF58" i="4" l="1"/>
  <c r="AF64" i="4"/>
  <c r="AG151" i="3"/>
  <c r="AG41" i="4"/>
  <c r="AG67" i="4"/>
  <c r="AG69" i="4"/>
  <c r="AG74" i="4" s="1"/>
  <c r="AF61" i="4"/>
  <c r="AF63" i="4"/>
  <c r="AF62" i="4"/>
  <c r="AF141" i="3"/>
  <c r="AF52" i="4"/>
  <c r="AF23" i="4"/>
  <c r="AH32" i="3"/>
  <c r="AG145" i="3"/>
  <c r="AG144" i="3"/>
  <c r="AG143" i="3"/>
  <c r="AG142" i="3"/>
  <c r="AF142" i="3" l="1"/>
  <c r="AF144" i="3"/>
  <c r="AF145" i="3"/>
  <c r="AF143" i="3"/>
  <c r="AF67" i="4"/>
  <c r="AF151" i="3"/>
  <c r="AF69" i="4"/>
  <c r="AF74" i="4" s="1"/>
  <c r="AF41" i="4"/>
  <c r="AH54" i="4"/>
  <c r="AH88" i="3"/>
  <c r="AH55" i="4"/>
  <c r="AH34" i="3"/>
  <c r="AG71" i="4"/>
  <c r="AG150" i="3" s="1"/>
  <c r="AG47" i="4"/>
  <c r="AH36" i="3" l="1"/>
  <c r="AH38" i="3"/>
  <c r="AF71" i="4"/>
  <c r="AF150" i="3" s="1"/>
  <c r="AF47" i="4"/>
  <c r="AH89" i="3" l="1"/>
  <c r="AH91" i="3" s="1"/>
  <c r="AH40" i="3"/>
  <c r="AH42" i="3" l="1"/>
  <c r="AH62" i="3"/>
  <c r="AH161" i="4"/>
  <c r="AH77" i="3"/>
  <c r="AH45" i="3"/>
  <c r="AH187" i="4" s="1"/>
  <c r="AH183" i="4" s="1"/>
  <c r="AH50" i="3"/>
  <c r="AH98" i="3"/>
  <c r="AH136" i="3" l="1"/>
  <c r="AH134" i="3"/>
  <c r="AH132" i="3"/>
  <c r="AH138" i="3"/>
  <c r="AH56" i="4"/>
  <c r="AH147" i="3"/>
  <c r="AH65" i="3"/>
  <c r="AH179" i="4"/>
  <c r="AH185" i="4"/>
  <c r="AH113" i="3" s="1"/>
  <c r="AH189" i="4"/>
  <c r="AH81" i="3"/>
  <c r="AH63" i="3"/>
  <c r="AH51" i="3"/>
  <c r="Y71" i="3"/>
  <c r="AH75" i="4"/>
  <c r="AH153" i="3" l="1"/>
  <c r="AH137" i="3"/>
  <c r="AH191" i="4"/>
  <c r="AH190" i="4"/>
  <c r="AH162" i="4"/>
  <c r="AH164" i="4" s="1"/>
  <c r="AH119" i="3"/>
  <c r="AH148" i="3"/>
  <c r="AH66" i="3"/>
  <c r="AH52" i="3"/>
  <c r="AH154" i="3"/>
  <c r="AI160" i="4" l="1"/>
  <c r="AH45" i="4"/>
  <c r="AH121" i="3"/>
  <c r="AH46" i="4" l="1"/>
  <c r="AH124" i="3"/>
  <c r="AI122" i="3" l="1"/>
  <c r="AH6" i="4"/>
  <c r="AH65" i="4"/>
  <c r="AH73" i="4"/>
  <c r="AH12" i="4" l="1"/>
  <c r="AH60" i="4"/>
  <c r="AH53" i="4"/>
  <c r="AI154" i="4"/>
  <c r="AH59" i="4"/>
  <c r="AH125" i="3"/>
  <c r="AI157" i="4" l="1"/>
  <c r="AJ154" i="4"/>
  <c r="AI29" i="3"/>
  <c r="AH58" i="4"/>
  <c r="AH64" i="4"/>
  <c r="AH61" i="4"/>
  <c r="AH63" i="4"/>
  <c r="AH141" i="3"/>
  <c r="AH62" i="4"/>
  <c r="AH52" i="4"/>
  <c r="AH23" i="4"/>
  <c r="AH145" i="3" l="1"/>
  <c r="AH144" i="3"/>
  <c r="AH142" i="3"/>
  <c r="AH143" i="3"/>
  <c r="AJ157" i="4"/>
  <c r="AJ29" i="3"/>
  <c r="AI32" i="3"/>
  <c r="AH67" i="4"/>
  <c r="AH41" i="4"/>
  <c r="AH69" i="4"/>
  <c r="AH74" i="4" s="1"/>
  <c r="AH151" i="3"/>
  <c r="AI88" i="3" l="1"/>
  <c r="AI54" i="4"/>
  <c r="AI34" i="3"/>
  <c r="AI55" i="4"/>
  <c r="AH71" i="4"/>
  <c r="AH150" i="3" s="1"/>
  <c r="AH47" i="4"/>
  <c r="AJ32" i="3"/>
  <c r="AI36" i="3" l="1"/>
  <c r="AI38" i="3"/>
  <c r="AJ34" i="3"/>
  <c r="AJ54" i="4"/>
  <c r="AJ55" i="4"/>
  <c r="AJ88" i="3"/>
  <c r="AI89" i="3" l="1"/>
  <c r="AI40" i="3"/>
  <c r="AJ38" i="3"/>
  <c r="AJ36" i="3"/>
  <c r="AI42" i="3" l="1"/>
  <c r="AI161" i="4"/>
  <c r="AI77" i="3"/>
  <c r="AI50" i="3"/>
  <c r="AI45" i="3"/>
  <c r="AI187" i="4" s="1"/>
  <c r="AI183" i="4" s="1"/>
  <c r="AI62" i="3"/>
  <c r="AJ39" i="3"/>
  <c r="H32" i="6"/>
  <c r="H35" i="6" s="1"/>
  <c r="H39" i="6" s="1"/>
  <c r="AJ40" i="3"/>
  <c r="AJ89" i="3"/>
  <c r="AJ91" i="3" s="1"/>
  <c r="AI91" i="3"/>
  <c r="AI65" i="3" l="1"/>
  <c r="AI147" i="3"/>
  <c r="AI98" i="3"/>
  <c r="AJ50" i="3"/>
  <c r="AJ77" i="3"/>
  <c r="AJ42" i="3"/>
  <c r="AJ62" i="3"/>
  <c r="AJ45" i="3"/>
  <c r="AJ187" i="4" s="1"/>
  <c r="AJ98" i="3"/>
  <c r="AJ161" i="4"/>
  <c r="AJ183" i="4"/>
  <c r="AI179" i="4"/>
  <c r="AI189" i="4"/>
  <c r="AI185" i="4"/>
  <c r="AI51" i="3"/>
  <c r="AI81" i="3"/>
  <c r="AI63" i="3"/>
  <c r="Z71" i="3"/>
  <c r="AI75" i="4"/>
  <c r="AJ81" i="3" l="1"/>
  <c r="AJ63" i="3"/>
  <c r="AA71" i="3"/>
  <c r="AJ75" i="4"/>
  <c r="AJ51" i="3"/>
  <c r="AJ185" i="4"/>
  <c r="AI113" i="3"/>
  <c r="AI134" i="3"/>
  <c r="AI132" i="3"/>
  <c r="AI138" i="3"/>
  <c r="AI56" i="4"/>
  <c r="AI136" i="3"/>
  <c r="AI66" i="3"/>
  <c r="AI148" i="3"/>
  <c r="AI191" i="4"/>
  <c r="AI190" i="4"/>
  <c r="AJ179" i="4"/>
  <c r="AI52" i="3"/>
  <c r="AI154" i="3"/>
  <c r="AJ189" i="4"/>
  <c r="AJ188" i="4"/>
  <c r="AJ136" i="3"/>
  <c r="AJ56" i="4"/>
  <c r="AJ132" i="3"/>
  <c r="AJ138" i="3"/>
  <c r="AJ134" i="3"/>
  <c r="AJ65" i="3"/>
  <c r="AJ147" i="3"/>
  <c r="AJ113" i="3" l="1"/>
  <c r="AI162" i="4"/>
  <c r="AI119" i="3"/>
  <c r="AI137" i="3"/>
  <c r="AI153" i="3"/>
  <c r="AJ191" i="4"/>
  <c r="AJ190" i="4"/>
  <c r="AJ137" i="3"/>
  <c r="AJ153" i="3"/>
  <c r="AJ52" i="3"/>
  <c r="AJ154" i="3"/>
  <c r="AJ178" i="4"/>
  <c r="AJ66" i="3"/>
  <c r="AJ148" i="3"/>
  <c r="AJ119" i="3" l="1"/>
  <c r="AI121" i="3"/>
  <c r="AA149" i="3"/>
  <c r="AJ162" i="4"/>
  <c r="AJ164" i="4" s="1"/>
  <c r="AI164" i="4"/>
  <c r="AI124" i="3" l="1"/>
  <c r="AK160" i="4"/>
  <c r="AM160" i="4"/>
  <c r="AJ45" i="4"/>
  <c r="AJ121" i="3"/>
  <c r="AJ46" i="4" l="1"/>
  <c r="AI45" i="4"/>
  <c r="AJ124" i="3"/>
  <c r="AJ6" i="4" l="1"/>
  <c r="AM122" i="3"/>
  <c r="AK122" i="3"/>
  <c r="AI46" i="4"/>
  <c r="AJ65" i="4"/>
  <c r="AJ73" i="4"/>
  <c r="AI65" i="4" l="1"/>
  <c r="AI73" i="4"/>
  <c r="AJ12" i="4"/>
  <c r="AJ53" i="4"/>
  <c r="AI6" i="4"/>
  <c r="AJ60" i="4"/>
  <c r="AK154" i="4"/>
  <c r="AJ59" i="4"/>
  <c r="AJ155" i="4"/>
  <c r="AJ125" i="3"/>
  <c r="AJ64" i="4" l="1"/>
  <c r="AJ58" i="4"/>
  <c r="AI12" i="4"/>
  <c r="AI60" i="4"/>
  <c r="AI53" i="4"/>
  <c r="AI59" i="4"/>
  <c r="AI125" i="3"/>
  <c r="AJ61" i="4"/>
  <c r="AJ141" i="3"/>
  <c r="AJ62" i="4"/>
  <c r="AJ63" i="4"/>
  <c r="AK157" i="4"/>
  <c r="AK29" i="3"/>
  <c r="AJ52" i="4"/>
  <c r="AJ23" i="4"/>
  <c r="AK32" i="3" l="1"/>
  <c r="AI64" i="4"/>
  <c r="AI58" i="4"/>
  <c r="AI52" i="4"/>
  <c r="AI23" i="4"/>
  <c r="AJ41" i="4"/>
  <c r="AJ151" i="3"/>
  <c r="AJ69" i="4"/>
  <c r="AJ74" i="4" s="1"/>
  <c r="AJ67" i="4"/>
  <c r="AI61" i="4"/>
  <c r="AI141" i="3"/>
  <c r="AI62" i="4"/>
  <c r="AI63" i="4"/>
  <c r="AJ142" i="3"/>
  <c r="AJ145" i="3"/>
  <c r="AJ143" i="3"/>
  <c r="AJ144" i="3"/>
  <c r="AJ71" i="4" l="1"/>
  <c r="AJ150" i="3" s="1"/>
  <c r="AJ47" i="4"/>
  <c r="AK34" i="3"/>
  <c r="AK55" i="4"/>
  <c r="AK54" i="4"/>
  <c r="AK88" i="3"/>
  <c r="AI142" i="3"/>
  <c r="AI143" i="3"/>
  <c r="AI145" i="3"/>
  <c r="AI144" i="3"/>
  <c r="AI41" i="4"/>
  <c r="AI151" i="3"/>
  <c r="AI69" i="4"/>
  <c r="AI74" i="4" s="1"/>
  <c r="AI67" i="4"/>
  <c r="AK38" i="3" l="1"/>
  <c r="AK36" i="3"/>
  <c r="AI71" i="4"/>
  <c r="AI150" i="3" s="1"/>
  <c r="AI47" i="4"/>
  <c r="AK89" i="3" l="1"/>
  <c r="AK91" i="3" s="1"/>
  <c r="AK40" i="3"/>
  <c r="AK98" i="3" l="1"/>
  <c r="AK42" i="3"/>
  <c r="AK62" i="3"/>
  <c r="AK50" i="3"/>
  <c r="AK77" i="3"/>
  <c r="AK45" i="3"/>
  <c r="AK187" i="4" s="1"/>
  <c r="AK183" i="4" s="1"/>
  <c r="AK161" i="4"/>
  <c r="AK185" i="4" l="1"/>
  <c r="AK113" i="3" s="1"/>
  <c r="AK179" i="4"/>
  <c r="AK189" i="4"/>
  <c r="AK132" i="3"/>
  <c r="AK138" i="3"/>
  <c r="AK56" i="4"/>
  <c r="AK134" i="3"/>
  <c r="AK136" i="3"/>
  <c r="AB71" i="3"/>
  <c r="AK51" i="3"/>
  <c r="AK63" i="3"/>
  <c r="AK81" i="3"/>
  <c r="AK75" i="4"/>
  <c r="AK147" i="3"/>
  <c r="AK65" i="3"/>
  <c r="AK66" i="3" l="1"/>
  <c r="AK148" i="3"/>
  <c r="AK191" i="4"/>
  <c r="AK190" i="4"/>
  <c r="AK52" i="3"/>
  <c r="AK154" i="3"/>
  <c r="AK137" i="3"/>
  <c r="AK153" i="3"/>
  <c r="AK162" i="4"/>
  <c r="AK164" i="4" s="1"/>
  <c r="AK119" i="3"/>
  <c r="AK121" i="3" l="1"/>
  <c r="AL160" i="4"/>
  <c r="AK45" i="4"/>
  <c r="AK46" i="4" l="1"/>
  <c r="AK124" i="3"/>
  <c r="AL122" i="3" l="1"/>
  <c r="AK6" i="4"/>
  <c r="AK65" i="4"/>
  <c r="AK73" i="4"/>
  <c r="AK53" i="4" l="1"/>
  <c r="AK60" i="4"/>
  <c r="AK12" i="4"/>
  <c r="AL154" i="4"/>
  <c r="AK59" i="4"/>
  <c r="AK125" i="3"/>
  <c r="AK58" i="4" l="1"/>
  <c r="AK64" i="4"/>
  <c r="AK62" i="4"/>
  <c r="AK63" i="4"/>
  <c r="AK141" i="3"/>
  <c r="AK61" i="4"/>
  <c r="AL157" i="4"/>
  <c r="AM154" i="4"/>
  <c r="AL29" i="3"/>
  <c r="AK52" i="4"/>
  <c r="AK23" i="4"/>
  <c r="AK41" i="4" l="1"/>
  <c r="AK69" i="4"/>
  <c r="AK74" i="4" s="1"/>
  <c r="AK67" i="4"/>
  <c r="AK151" i="3"/>
  <c r="AM29" i="3"/>
  <c r="AL32" i="3"/>
  <c r="AM157" i="4"/>
  <c r="AK143" i="3"/>
  <c r="AK145" i="3"/>
  <c r="AK144" i="3"/>
  <c r="AK142" i="3"/>
  <c r="AL88" i="3" l="1"/>
  <c r="AL34" i="3"/>
  <c r="AL54" i="4"/>
  <c r="AL55" i="4"/>
  <c r="AM32" i="3"/>
  <c r="AK47" i="4"/>
  <c r="AK71" i="4"/>
  <c r="AK150" i="3" s="1"/>
  <c r="AL38" i="3" l="1"/>
  <c r="AL36" i="3"/>
  <c r="AM34" i="3"/>
  <c r="AM54" i="4"/>
  <c r="AM55" i="4"/>
  <c r="AM88" i="3"/>
  <c r="AM36" i="3" l="1"/>
  <c r="AL89" i="3"/>
  <c r="AL40" i="3"/>
  <c r="AM38" i="3"/>
  <c r="AM40" i="3" l="1"/>
  <c r="AM39" i="3"/>
  <c r="I32" i="6"/>
  <c r="I35" i="6" s="1"/>
  <c r="I39" i="6" s="1"/>
  <c r="AL50" i="3"/>
  <c r="AL42" i="3"/>
  <c r="AL161" i="4"/>
  <c r="AL77" i="3"/>
  <c r="AL45" i="3"/>
  <c r="AL187" i="4" s="1"/>
  <c r="AL183" i="4" s="1"/>
  <c r="AL62" i="3"/>
  <c r="AM89" i="3"/>
  <c r="AM91" i="3" s="1"/>
  <c r="AL91" i="3"/>
  <c r="AM183" i="4" l="1"/>
  <c r="AL179" i="4"/>
  <c r="AL189" i="4"/>
  <c r="AL185" i="4"/>
  <c r="AL51" i="3"/>
  <c r="AC71" i="3"/>
  <c r="AL75" i="4"/>
  <c r="AL63" i="3"/>
  <c r="AL81" i="3"/>
  <c r="AL147" i="3"/>
  <c r="AL65" i="3"/>
  <c r="AL98" i="3"/>
  <c r="AM98" i="3"/>
  <c r="AM161" i="4"/>
  <c r="AM42" i="3"/>
  <c r="AM50" i="3"/>
  <c r="AM45" i="3"/>
  <c r="AM187" i="4" s="1"/>
  <c r="AM62" i="3"/>
  <c r="AM77" i="3"/>
  <c r="AM185" i="4" l="1"/>
  <c r="AL113" i="3"/>
  <c r="AL191" i="4"/>
  <c r="AL190" i="4"/>
  <c r="AM51" i="3"/>
  <c r="AM81" i="3"/>
  <c r="AD71" i="3"/>
  <c r="AM75" i="4"/>
  <c r="AM63" i="3"/>
  <c r="AL148" i="3"/>
  <c r="AL66" i="3"/>
  <c r="AM138" i="3"/>
  <c r="AM132" i="3"/>
  <c r="AM136" i="3"/>
  <c r="AM134" i="3"/>
  <c r="AM56" i="4"/>
  <c r="AL52" i="3"/>
  <c r="AL154" i="3"/>
  <c r="AM179" i="4"/>
  <c r="AM147" i="3"/>
  <c r="AM65" i="3"/>
  <c r="AL136" i="3"/>
  <c r="AL138" i="3"/>
  <c r="AL132" i="3"/>
  <c r="AL134" i="3"/>
  <c r="AL56" i="4"/>
  <c r="AM189" i="4"/>
  <c r="AM188" i="4"/>
  <c r="AM52" i="3" l="1"/>
  <c r="AM154" i="3"/>
  <c r="AM178" i="4"/>
  <c r="AM191" i="4"/>
  <c r="AM190" i="4"/>
  <c r="AL137" i="3"/>
  <c r="AL153" i="3"/>
  <c r="AM153" i="3"/>
  <c r="AM137" i="3"/>
  <c r="AM148" i="3"/>
  <c r="AM66" i="3"/>
  <c r="AM113" i="3"/>
  <c r="AL162" i="4"/>
  <c r="AL119" i="3"/>
  <c r="AL121" i="3" l="1"/>
  <c r="AM162" i="4"/>
  <c r="AM164" i="4" s="1"/>
  <c r="AL164" i="4"/>
  <c r="AM119" i="3"/>
  <c r="AD149" i="3"/>
  <c r="AN160" i="4" l="1"/>
  <c r="AM45" i="4"/>
  <c r="AP160" i="4"/>
  <c r="AM121" i="3"/>
  <c r="AL124" i="3"/>
  <c r="AM46" i="4" l="1"/>
  <c r="AL45" i="4"/>
  <c r="AM124" i="3"/>
  <c r="AM65" i="4" l="1"/>
  <c r="AM73" i="4"/>
  <c r="AM6" i="4"/>
  <c r="AP122" i="3"/>
  <c r="AN122" i="3"/>
  <c r="AL46" i="4"/>
  <c r="AM60" i="4" l="1"/>
  <c r="AM12" i="4"/>
  <c r="AL6" i="4"/>
  <c r="AM53" i="4"/>
  <c r="AN154" i="4"/>
  <c r="AM59" i="4"/>
  <c r="AM155" i="4"/>
  <c r="AM125" i="3"/>
  <c r="AL65" i="4"/>
  <c r="AL73" i="4"/>
  <c r="AM52" i="4" l="1"/>
  <c r="AM23" i="4"/>
  <c r="AN157" i="4"/>
  <c r="AN29" i="3"/>
  <c r="AM58" i="4"/>
  <c r="AM64" i="4"/>
  <c r="AL60" i="4"/>
  <c r="AL12" i="4"/>
  <c r="AL53" i="4"/>
  <c r="AL59" i="4"/>
  <c r="AL125" i="3"/>
  <c r="AM61" i="4"/>
  <c r="AM141" i="3"/>
  <c r="AM62" i="4"/>
  <c r="AM63" i="4"/>
  <c r="AM142" i="3" l="1"/>
  <c r="AM144" i="3"/>
  <c r="AM143" i="3"/>
  <c r="AM145" i="3"/>
  <c r="AL52" i="4"/>
  <c r="AL23" i="4"/>
  <c r="AM41" i="4"/>
  <c r="AM151" i="3"/>
  <c r="AM67" i="4"/>
  <c r="AM69" i="4"/>
  <c r="AM74" i="4" s="1"/>
  <c r="AL64" i="4"/>
  <c r="AL58" i="4"/>
  <c r="AL62" i="4"/>
  <c r="AL63" i="4"/>
  <c r="AL61" i="4"/>
  <c r="AL141" i="3"/>
  <c r="AN32" i="3"/>
  <c r="AN54" i="4" l="1"/>
  <c r="AN88" i="3"/>
  <c r="AN55" i="4"/>
  <c r="AN34" i="3"/>
  <c r="AL143" i="3"/>
  <c r="AL144" i="3"/>
  <c r="AL142" i="3"/>
  <c r="AL145" i="3"/>
  <c r="AM47" i="4"/>
  <c r="AM71" i="4"/>
  <c r="AM150" i="3" s="1"/>
  <c r="AL151" i="3"/>
  <c r="AL67" i="4"/>
  <c r="AL41" i="4"/>
  <c r="AL69" i="4"/>
  <c r="AL74" i="4" s="1"/>
  <c r="AN36" i="3" l="1"/>
  <c r="AN38" i="3"/>
  <c r="AL47" i="4"/>
  <c r="AL71" i="4"/>
  <c r="AL150" i="3" s="1"/>
  <c r="AN89" i="3" l="1"/>
  <c r="AN91" i="3" s="1"/>
  <c r="AN40" i="3"/>
  <c r="AN77" i="3" l="1"/>
  <c r="AN161" i="4"/>
  <c r="AN62" i="3"/>
  <c r="AN45" i="3"/>
  <c r="AN187" i="4" s="1"/>
  <c r="AN183" i="4" s="1"/>
  <c r="AN42" i="3"/>
  <c r="AN50" i="3"/>
  <c r="AN98" i="3"/>
  <c r="AN189" i="4" l="1"/>
  <c r="AN185" i="4"/>
  <c r="AN113" i="3" s="1"/>
  <c r="AN179" i="4"/>
  <c r="AN134" i="3"/>
  <c r="AN132" i="3"/>
  <c r="AN138" i="3"/>
  <c r="AN136" i="3"/>
  <c r="AN56" i="4"/>
  <c r="AN147" i="3"/>
  <c r="AN65" i="3"/>
  <c r="AN81" i="3"/>
  <c r="AE71" i="3"/>
  <c r="AN63" i="3"/>
  <c r="AN75" i="4"/>
  <c r="AN51" i="3"/>
  <c r="AN66" i="3" l="1"/>
  <c r="AN148" i="3"/>
  <c r="AN162" i="4"/>
  <c r="AN164" i="4" s="1"/>
  <c r="AN119" i="3"/>
  <c r="AN153" i="3"/>
  <c r="AN137" i="3"/>
  <c r="AN154" i="3"/>
  <c r="AN52" i="3"/>
  <c r="AN190" i="4"/>
  <c r="AN191" i="4"/>
  <c r="AN121" i="3" l="1"/>
  <c r="AO160" i="4"/>
  <c r="AN45" i="4"/>
  <c r="AN46" i="4" l="1"/>
  <c r="AN124" i="3"/>
  <c r="AN6" i="4" l="1"/>
  <c r="AO122" i="3"/>
  <c r="AN65" i="4"/>
  <c r="AN73" i="4"/>
  <c r="AN12" i="4" l="1"/>
  <c r="AN53" i="4"/>
  <c r="AN60" i="4"/>
  <c r="AO154" i="4"/>
  <c r="AN59" i="4"/>
  <c r="AN125" i="3"/>
  <c r="AO157" i="4" l="1"/>
  <c r="AP154" i="4"/>
  <c r="AO29" i="3"/>
  <c r="AN52" i="4"/>
  <c r="AN23" i="4"/>
  <c r="AN61" i="4"/>
  <c r="AN62" i="4"/>
  <c r="AN63" i="4"/>
  <c r="AN141" i="3"/>
  <c r="AN64" i="4"/>
  <c r="AN58" i="4"/>
  <c r="AO32" i="3" l="1"/>
  <c r="AP29" i="3"/>
  <c r="AN145" i="3"/>
  <c r="AN143" i="3"/>
  <c r="AN142" i="3"/>
  <c r="AN144" i="3"/>
  <c r="AP157" i="4"/>
  <c r="AN69" i="4"/>
  <c r="AN74" i="4" s="1"/>
  <c r="AN151" i="3"/>
  <c r="AN67" i="4"/>
  <c r="AN41" i="4"/>
  <c r="AP32" i="3" l="1"/>
  <c r="AO88" i="3"/>
  <c r="AO54" i="4"/>
  <c r="AO34" i="3"/>
  <c r="AO55" i="4"/>
  <c r="AN47" i="4"/>
  <c r="AN71" i="4"/>
  <c r="AN150" i="3" s="1"/>
  <c r="AO36" i="3" l="1"/>
  <c r="AO38" i="3"/>
  <c r="AP88" i="3"/>
  <c r="AP34" i="3"/>
  <c r="AP54" i="4"/>
  <c r="AP55" i="4"/>
  <c r="AO89" i="3" l="1"/>
  <c r="AP38" i="3"/>
  <c r="AO40" i="3"/>
  <c r="AP36" i="3"/>
  <c r="AP89" i="3" l="1"/>
  <c r="AP91" i="3" s="1"/>
  <c r="AO91" i="3"/>
  <c r="AO42" i="3"/>
  <c r="AO62" i="3"/>
  <c r="AO45" i="3"/>
  <c r="AO187" i="4" s="1"/>
  <c r="AO183" i="4" s="1"/>
  <c r="AO161" i="4"/>
  <c r="AO50" i="3"/>
  <c r="AO77" i="3"/>
  <c r="J32" i="6"/>
  <c r="J35" i="6" s="1"/>
  <c r="J39" i="6" s="1"/>
  <c r="AP39" i="3"/>
  <c r="AP40" i="3"/>
  <c r="AO185" i="4" l="1"/>
  <c r="AP183" i="4"/>
  <c r="AO189" i="4"/>
  <c r="AO179" i="4"/>
  <c r="AO98" i="3"/>
  <c r="AO51" i="3"/>
  <c r="AO63" i="3"/>
  <c r="AO81" i="3"/>
  <c r="AO75" i="4"/>
  <c r="AF71" i="3"/>
  <c r="AP50" i="3"/>
  <c r="AP45" i="3"/>
  <c r="AP187" i="4" s="1"/>
  <c r="AP42" i="3"/>
  <c r="AP62" i="3"/>
  <c r="AP77" i="3"/>
  <c r="AO147" i="3"/>
  <c r="AO65" i="3"/>
  <c r="AP161" i="4"/>
  <c r="AP98" i="3"/>
  <c r="AO191" i="4" l="1"/>
  <c r="AO190" i="4"/>
  <c r="AP132" i="3"/>
  <c r="AP136" i="3"/>
  <c r="AP138" i="3"/>
  <c r="AP134" i="3"/>
  <c r="AP56" i="4"/>
  <c r="AP147" i="3"/>
  <c r="AP65" i="3"/>
  <c r="AO136" i="3"/>
  <c r="AO132" i="3"/>
  <c r="AO134" i="3"/>
  <c r="AO56" i="4"/>
  <c r="AO138" i="3"/>
  <c r="AO52" i="3"/>
  <c r="AO154" i="3"/>
  <c r="AP179" i="4"/>
  <c r="AP63" i="3"/>
  <c r="AP51" i="3"/>
  <c r="AP81" i="3"/>
  <c r="AG71" i="3"/>
  <c r="AP75" i="4"/>
  <c r="AP189" i="4"/>
  <c r="AP188" i="4"/>
  <c r="AO148" i="3"/>
  <c r="AO66" i="3"/>
  <c r="AP185" i="4"/>
  <c r="AO113" i="3"/>
  <c r="AP113" i="3" l="1"/>
  <c r="AO162" i="4"/>
  <c r="AO119" i="3"/>
  <c r="AP148" i="3"/>
  <c r="AP66" i="3"/>
  <c r="AP191" i="4"/>
  <c r="AP190" i="4"/>
  <c r="AO137" i="3"/>
  <c r="AO153" i="3"/>
  <c r="AP178" i="4"/>
  <c r="AP52" i="3"/>
  <c r="AP154" i="3"/>
  <c r="AP153" i="3"/>
  <c r="AP137" i="3"/>
  <c r="AO121" i="3" l="1"/>
  <c r="AP162" i="4"/>
  <c r="AP164" i="4" s="1"/>
  <c r="AO164" i="4"/>
  <c r="AG149" i="3"/>
  <c r="AP119" i="3"/>
  <c r="AP121" i="3" l="1"/>
  <c r="AQ160" i="4"/>
  <c r="AP45" i="4"/>
  <c r="AS160" i="4"/>
  <c r="AO124" i="3"/>
  <c r="AP46" i="4" l="1"/>
  <c r="AO45" i="4"/>
  <c r="AP124" i="3"/>
  <c r="AO46" i="4" l="1"/>
  <c r="AP65" i="4"/>
  <c r="AP73" i="4"/>
  <c r="AS122" i="3"/>
  <c r="AQ122" i="3"/>
  <c r="AP6" i="4"/>
  <c r="AP125" i="3" s="1"/>
  <c r="AP60" i="4" l="1"/>
  <c r="AP12" i="4"/>
  <c r="AO6" i="4"/>
  <c r="AQ154" i="4"/>
  <c r="AP53" i="4"/>
  <c r="AP59" i="4"/>
  <c r="AP155" i="4"/>
  <c r="AO65" i="4"/>
  <c r="AO73" i="4"/>
  <c r="AP58" i="4" l="1"/>
  <c r="AP64" i="4"/>
  <c r="AO12" i="4"/>
  <c r="AO53" i="4"/>
  <c r="AO60" i="4"/>
  <c r="AO59" i="4"/>
  <c r="AO125" i="3"/>
  <c r="AP52" i="4"/>
  <c r="AP23" i="4"/>
  <c r="AP62" i="4"/>
  <c r="AP63" i="4"/>
  <c r="AP61" i="4"/>
  <c r="AP141" i="3"/>
  <c r="AQ157" i="4"/>
  <c r="AQ29" i="3"/>
  <c r="AP145" i="3" l="1"/>
  <c r="AP143" i="3"/>
  <c r="AP144" i="3"/>
  <c r="AP142" i="3"/>
  <c r="AQ32" i="3"/>
  <c r="AO52" i="4"/>
  <c r="AO23" i="4"/>
  <c r="AO141" i="3"/>
  <c r="AO62" i="4"/>
  <c r="AO61" i="4"/>
  <c r="AO63" i="4"/>
  <c r="AO58" i="4"/>
  <c r="AO64" i="4"/>
  <c r="AP69" i="4"/>
  <c r="AP74" i="4" s="1"/>
  <c r="AP151" i="3"/>
  <c r="AP67" i="4"/>
  <c r="AP41" i="4"/>
  <c r="AQ88" i="3" l="1"/>
  <c r="AQ54" i="4"/>
  <c r="AQ55" i="4"/>
  <c r="AQ34" i="3"/>
  <c r="AO41" i="4"/>
  <c r="AO151" i="3"/>
  <c r="AO67" i="4"/>
  <c r="AO69" i="4"/>
  <c r="AO74" i="4" s="1"/>
  <c r="AO142" i="3"/>
  <c r="AO144" i="3"/>
  <c r="AO143" i="3"/>
  <c r="AO145" i="3"/>
  <c r="AP71" i="4"/>
  <c r="AP150" i="3" s="1"/>
  <c r="AP47" i="4"/>
  <c r="AO47" i="4" l="1"/>
  <c r="AO71" i="4"/>
  <c r="AO150" i="3" s="1"/>
  <c r="AQ36" i="3"/>
  <c r="AQ38" i="3"/>
  <c r="AQ89" i="3" l="1"/>
  <c r="AQ91" i="3" s="1"/>
  <c r="AQ40" i="3"/>
  <c r="AQ42" i="3" l="1"/>
  <c r="AQ50" i="3"/>
  <c r="AQ77" i="3"/>
  <c r="AQ62" i="3"/>
  <c r="AQ161" i="4"/>
  <c r="AQ45" i="3"/>
  <c r="AQ187" i="4" s="1"/>
  <c r="AQ183" i="4" s="1"/>
  <c r="AQ98" i="3"/>
  <c r="AQ138" i="3" l="1"/>
  <c r="AQ136" i="3"/>
  <c r="AQ56" i="4"/>
  <c r="AQ134" i="3"/>
  <c r="AQ132" i="3"/>
  <c r="AQ179" i="4"/>
  <c r="AQ185" i="4"/>
  <c r="AQ113" i="3" s="1"/>
  <c r="AQ189" i="4"/>
  <c r="AQ65" i="3"/>
  <c r="AQ147" i="3"/>
  <c r="AQ81" i="3"/>
  <c r="AH71" i="3"/>
  <c r="AQ75" i="4"/>
  <c r="AQ51" i="3"/>
  <c r="AQ63" i="3"/>
  <c r="AQ162" i="4" l="1"/>
  <c r="AQ164" i="4" s="1"/>
  <c r="AQ119" i="3"/>
  <c r="AQ154" i="3"/>
  <c r="AQ52" i="3"/>
  <c r="AQ148" i="3"/>
  <c r="AQ66" i="3"/>
  <c r="AQ190" i="4"/>
  <c r="AQ191" i="4"/>
  <c r="AQ137" i="3"/>
  <c r="AQ153" i="3"/>
  <c r="AQ121" i="3" l="1"/>
  <c r="AQ45" i="4"/>
  <c r="AR160" i="4"/>
  <c r="AQ46" i="4" l="1"/>
  <c r="AQ124" i="3"/>
  <c r="AQ65" i="4" l="1"/>
  <c r="AQ73" i="4"/>
  <c r="AR122" i="3"/>
  <c r="AQ6" i="4"/>
  <c r="AQ125" i="3" s="1"/>
  <c r="AQ60" i="4" l="1"/>
  <c r="AQ12" i="4"/>
  <c r="AQ53" i="4"/>
  <c r="AR154" i="4"/>
  <c r="AQ59" i="4"/>
  <c r="AQ52" i="4" l="1"/>
  <c r="AQ23" i="4"/>
  <c r="AQ64" i="4"/>
  <c r="AQ58" i="4"/>
  <c r="AR157" i="4"/>
  <c r="AS154" i="4"/>
  <c r="AR29" i="3"/>
  <c r="AQ63" i="4"/>
  <c r="AQ61" i="4"/>
  <c r="AQ62" i="4"/>
  <c r="AQ141" i="3"/>
  <c r="AS29" i="3" l="1"/>
  <c r="AR32" i="3"/>
  <c r="AS157" i="4"/>
  <c r="AQ69" i="4"/>
  <c r="AQ74" i="4" s="1"/>
  <c r="AQ41" i="4"/>
  <c r="AQ151" i="3"/>
  <c r="AQ67" i="4"/>
  <c r="AQ144" i="3"/>
  <c r="AQ142" i="3"/>
  <c r="AQ143" i="3"/>
  <c r="AQ145" i="3"/>
  <c r="AR54" i="4" l="1"/>
  <c r="AR88" i="3"/>
  <c r="AR34" i="3"/>
  <c r="AR55" i="4"/>
  <c r="AQ47" i="4"/>
  <c r="AQ71" i="4"/>
  <c r="AQ150" i="3" s="1"/>
  <c r="AS32" i="3"/>
  <c r="AS88" i="3" l="1"/>
  <c r="AR36" i="3"/>
  <c r="AR38" i="3"/>
  <c r="AS34" i="3"/>
  <c r="AS54" i="4"/>
  <c r="AS55" i="4"/>
  <c r="AR89" i="3" l="1"/>
  <c r="AS38" i="3"/>
  <c r="AR40" i="3"/>
  <c r="AS36" i="3"/>
  <c r="K32" i="6" l="1"/>
  <c r="K35" i="6" s="1"/>
  <c r="K39" i="6" s="1"/>
  <c r="AS39" i="3"/>
  <c r="AS40" i="3"/>
  <c r="AR50" i="3"/>
  <c r="AR42" i="3"/>
  <c r="AR161" i="4"/>
  <c r="AR62" i="3"/>
  <c r="AR45" i="3"/>
  <c r="AR187" i="4" s="1"/>
  <c r="AR183" i="4" s="1"/>
  <c r="AR77" i="3"/>
  <c r="AS89" i="3"/>
  <c r="AS91" i="3" s="1"/>
  <c r="AR91" i="3"/>
  <c r="AR65" i="3" l="1"/>
  <c r="AR147" i="3"/>
  <c r="AR98" i="3"/>
  <c r="AS45" i="3"/>
  <c r="AS187" i="4" s="1"/>
  <c r="AS42" i="3"/>
  <c r="AS62" i="3"/>
  <c r="AS50" i="3"/>
  <c r="AS77" i="3"/>
  <c r="AR179" i="4"/>
  <c r="AR185" i="4"/>
  <c r="AR189" i="4"/>
  <c r="AS183" i="4"/>
  <c r="AS98" i="3"/>
  <c r="AS161" i="4"/>
  <c r="AR75" i="4"/>
  <c r="AR51" i="3"/>
  <c r="AR81" i="3"/>
  <c r="AR63" i="3"/>
  <c r="AI71" i="3"/>
  <c r="AR113" i="3" l="1"/>
  <c r="AS185" i="4"/>
  <c r="AS179" i="4"/>
  <c r="AR154" i="3"/>
  <c r="AR52" i="3"/>
  <c r="AS65" i="3"/>
  <c r="AS147" i="3"/>
  <c r="AR191" i="4"/>
  <c r="AR190" i="4"/>
  <c r="AS75" i="4"/>
  <c r="AS63" i="3"/>
  <c r="AJ71" i="3"/>
  <c r="AS81" i="3"/>
  <c r="AS51" i="3"/>
  <c r="AR138" i="3"/>
  <c r="AR132" i="3"/>
  <c r="AR134" i="3"/>
  <c r="AR56" i="4"/>
  <c r="AR136" i="3"/>
  <c r="AS138" i="3"/>
  <c r="AS134" i="3"/>
  <c r="AS56" i="4"/>
  <c r="AS136" i="3"/>
  <c r="AS132" i="3"/>
  <c r="AR148" i="3"/>
  <c r="AR66" i="3"/>
  <c r="AS188" i="4"/>
  <c r="AS189" i="4"/>
  <c r="AS190" i="4" l="1"/>
  <c r="AS191" i="4"/>
  <c r="AS154" i="3"/>
  <c r="AS52" i="3"/>
  <c r="AS178" i="4"/>
  <c r="AR153" i="3"/>
  <c r="AR137" i="3"/>
  <c r="AS66" i="3"/>
  <c r="AS148" i="3"/>
  <c r="AS153" i="3"/>
  <c r="AS137" i="3"/>
  <c r="AS113" i="3"/>
  <c r="AR162" i="4"/>
  <c r="AR119" i="3"/>
  <c r="AS162" i="4" l="1"/>
  <c r="AS164" i="4" s="1"/>
  <c r="AR164" i="4"/>
  <c r="AR121" i="3"/>
  <c r="AS119" i="3"/>
  <c r="AJ149" i="3"/>
  <c r="AS121" i="3" l="1"/>
  <c r="AR124" i="3"/>
  <c r="AS45" i="4"/>
  <c r="AV160" i="4"/>
  <c r="AT160" i="4"/>
  <c r="AS46" i="4" l="1"/>
  <c r="AR45" i="4"/>
  <c r="AS124" i="3"/>
  <c r="AT122" i="3" l="1"/>
  <c r="AS6" i="4"/>
  <c r="AV122" i="3"/>
  <c r="AR46" i="4"/>
  <c r="AS65" i="4"/>
  <c r="AS73" i="4"/>
  <c r="AS12" i="4" l="1"/>
  <c r="AS53" i="4"/>
  <c r="AR6" i="4"/>
  <c r="AS60" i="4"/>
  <c r="AT154" i="4"/>
  <c r="AS59" i="4"/>
  <c r="AS155" i="4"/>
  <c r="AR65" i="4"/>
  <c r="AR73" i="4"/>
  <c r="AS125" i="3"/>
  <c r="AS52" i="4" l="1"/>
  <c r="AS23" i="4"/>
  <c r="AT157" i="4"/>
  <c r="AT29" i="3"/>
  <c r="AS58" i="4"/>
  <c r="AS64" i="4"/>
  <c r="AR60" i="4"/>
  <c r="AR53" i="4"/>
  <c r="AR12" i="4"/>
  <c r="AR59" i="4"/>
  <c r="AR125" i="3"/>
  <c r="AS141" i="3"/>
  <c r="AS61" i="4"/>
  <c r="AS63" i="4"/>
  <c r="AS62" i="4"/>
  <c r="AR141" i="3" l="1"/>
  <c r="AR63" i="4"/>
  <c r="AR62" i="4"/>
  <c r="AR61" i="4"/>
  <c r="AR52" i="4"/>
  <c r="AR23" i="4"/>
  <c r="AS41" i="4"/>
  <c r="AS69" i="4"/>
  <c r="AS74" i="4" s="1"/>
  <c r="AS151" i="3"/>
  <c r="AS67" i="4"/>
  <c r="AT32" i="3"/>
  <c r="AS144" i="3"/>
  <c r="AS142" i="3"/>
  <c r="AS145" i="3"/>
  <c r="AS143" i="3"/>
  <c r="AR64" i="4"/>
  <c r="AR58" i="4"/>
  <c r="AT55" i="4" l="1"/>
  <c r="AT54" i="4"/>
  <c r="AT88" i="3"/>
  <c r="AT34" i="3"/>
  <c r="AS71" i="4"/>
  <c r="AS150" i="3" s="1"/>
  <c r="AS47" i="4"/>
  <c r="AR67" i="4"/>
  <c r="AR69" i="4"/>
  <c r="AR74" i="4" s="1"/>
  <c r="AR151" i="3"/>
  <c r="AR41" i="4"/>
  <c r="AR145" i="3"/>
  <c r="AR143" i="3"/>
  <c r="AR144" i="3"/>
  <c r="AR142" i="3"/>
  <c r="AR71" i="4" l="1"/>
  <c r="AR150" i="3" s="1"/>
  <c r="AR47" i="4"/>
  <c r="AT36" i="3"/>
  <c r="AT38" i="3"/>
  <c r="AT89" i="3" l="1"/>
  <c r="AT91" i="3" s="1"/>
  <c r="AT40" i="3"/>
  <c r="AT98" i="3" l="1"/>
  <c r="AT77" i="3"/>
  <c r="AT62" i="3"/>
  <c r="AT42" i="3"/>
  <c r="AT161" i="4"/>
  <c r="AT50" i="3"/>
  <c r="AT45" i="3"/>
  <c r="AT187" i="4" s="1"/>
  <c r="AT183" i="4" s="1"/>
  <c r="AK71" i="3" l="1"/>
  <c r="AT51" i="3"/>
  <c r="AT75" i="4"/>
  <c r="AT81" i="3"/>
  <c r="AT63" i="3"/>
  <c r="AT189" i="4"/>
  <c r="AT179" i="4"/>
  <c r="AT185" i="4"/>
  <c r="AT113" i="3" s="1"/>
  <c r="AT147" i="3"/>
  <c r="AT65" i="3"/>
  <c r="AT132" i="3"/>
  <c r="AT138" i="3"/>
  <c r="AT56" i="4"/>
  <c r="AT136" i="3"/>
  <c r="AT134" i="3"/>
  <c r="AT137" i="3" l="1"/>
  <c r="AT153" i="3"/>
  <c r="AT162" i="4"/>
  <c r="AT164" i="4" s="1"/>
  <c r="AT119" i="3"/>
  <c r="AT52" i="3"/>
  <c r="AT154" i="3"/>
  <c r="AT66" i="3"/>
  <c r="AT148" i="3"/>
  <c r="AT190" i="4"/>
  <c r="AT191" i="4"/>
  <c r="AU160" i="4" l="1"/>
  <c r="AT45" i="4"/>
  <c r="AT121" i="3"/>
  <c r="AT124" i="3" l="1"/>
  <c r="AT46" i="4"/>
  <c r="AT65" i="4" l="1"/>
  <c r="AT73" i="4"/>
  <c r="AU122" i="3"/>
  <c r="AT6" i="4"/>
  <c r="AT125" i="3" s="1"/>
  <c r="AT12" i="4" l="1"/>
  <c r="AT60" i="4"/>
  <c r="AT53" i="4"/>
  <c r="AU154" i="4"/>
  <c r="AT59" i="4"/>
  <c r="AU157" i="4" l="1"/>
  <c r="AV154" i="4"/>
  <c r="AU29" i="3"/>
  <c r="AT64" i="4"/>
  <c r="AT58" i="4"/>
  <c r="AT141" i="3"/>
  <c r="AT63" i="4"/>
  <c r="AT61" i="4"/>
  <c r="AT62" i="4"/>
  <c r="AT52" i="4"/>
  <c r="AT23" i="4"/>
  <c r="AV29" i="3" l="1"/>
  <c r="AU32" i="3"/>
  <c r="AV157" i="4"/>
  <c r="AT41" i="4"/>
  <c r="AT67" i="4"/>
  <c r="AT69" i="4"/>
  <c r="AT74" i="4" s="1"/>
  <c r="AT151" i="3"/>
  <c r="AT143" i="3"/>
  <c r="AT145" i="3"/>
  <c r="AT142" i="3"/>
  <c r="AT144" i="3"/>
  <c r="AT71" i="4" l="1"/>
  <c r="AT150" i="3" s="1"/>
  <c r="AT47" i="4"/>
  <c r="AU88" i="3"/>
  <c r="AU54" i="4"/>
  <c r="AU34" i="3"/>
  <c r="AU55" i="4"/>
  <c r="AV32" i="3"/>
  <c r="AV88" i="3" l="1"/>
  <c r="AV54" i="4"/>
  <c r="AV34" i="3"/>
  <c r="AV55" i="4"/>
  <c r="AU36" i="3"/>
  <c r="AU38" i="3"/>
  <c r="AV36" i="3" l="1"/>
  <c r="AU89" i="3"/>
  <c r="AU40" i="3"/>
  <c r="AV38" i="3"/>
  <c r="L32" i="6" l="1"/>
  <c r="L35" i="6" s="1"/>
  <c r="L39" i="6" s="1"/>
  <c r="AV39" i="3"/>
  <c r="AV40" i="3"/>
  <c r="AU50" i="3"/>
  <c r="AU62" i="3"/>
  <c r="AU161" i="4"/>
  <c r="AU42" i="3"/>
  <c r="AU45" i="3"/>
  <c r="AU187" i="4" s="1"/>
  <c r="AU183" i="4" s="1"/>
  <c r="AU77" i="3"/>
  <c r="AV89" i="3"/>
  <c r="AV91" i="3" s="1"/>
  <c r="AU91" i="3"/>
  <c r="AV183" i="4" l="1"/>
  <c r="AU179" i="4"/>
  <c r="AU189" i="4"/>
  <c r="AU185" i="4"/>
  <c r="AU75" i="4"/>
  <c r="AL71" i="3"/>
  <c r="AU63" i="3"/>
  <c r="AU81" i="3"/>
  <c r="AU51" i="3"/>
  <c r="AV161" i="4"/>
  <c r="AV50" i="3"/>
  <c r="AV42" i="3"/>
  <c r="AV45" i="3"/>
  <c r="AV187" i="4" s="1"/>
  <c r="AV62" i="3"/>
  <c r="AV77" i="3"/>
  <c r="AU98" i="3"/>
  <c r="AV98" i="3"/>
  <c r="AU147" i="3"/>
  <c r="AU65" i="3"/>
  <c r="AU190" i="4" l="1"/>
  <c r="AU191" i="4"/>
  <c r="AV65" i="3"/>
  <c r="AV147" i="3"/>
  <c r="AU52" i="3"/>
  <c r="AU154" i="3"/>
  <c r="AV179" i="4"/>
  <c r="AV188" i="4"/>
  <c r="AV189" i="4"/>
  <c r="AV56" i="4"/>
  <c r="AV132" i="3"/>
  <c r="AV138" i="3"/>
  <c r="AV134" i="3"/>
  <c r="AV136" i="3"/>
  <c r="AU66" i="3"/>
  <c r="AU148" i="3"/>
  <c r="AU56" i="4"/>
  <c r="AU132" i="3"/>
  <c r="AU134" i="3"/>
  <c r="AU136" i="3"/>
  <c r="AU138" i="3"/>
  <c r="AM71" i="3"/>
  <c r="AV75" i="4"/>
  <c r="AV51" i="3"/>
  <c r="AV81" i="3"/>
  <c r="AV63" i="3"/>
  <c r="AU113" i="3"/>
  <c r="AV185" i="4"/>
  <c r="AV113" i="3" l="1"/>
  <c r="AU162" i="4"/>
  <c r="AU119" i="3"/>
  <c r="AV190" i="4"/>
  <c r="AV191" i="4"/>
  <c r="AV66" i="3"/>
  <c r="AV148" i="3"/>
  <c r="AV137" i="3"/>
  <c r="AV153" i="3"/>
  <c r="AV178" i="4"/>
  <c r="AV52" i="3"/>
  <c r="AV154" i="3"/>
  <c r="AU153" i="3"/>
  <c r="AU137" i="3"/>
  <c r="AU121" i="3" l="1"/>
  <c r="AM149" i="3"/>
  <c r="AV162" i="4"/>
  <c r="AV164" i="4" s="1"/>
  <c r="AU164" i="4"/>
  <c r="AV119" i="3"/>
  <c r="AV121" i="3" l="1"/>
  <c r="AU124" i="3"/>
  <c r="AW160" i="4"/>
  <c r="AV45" i="4"/>
  <c r="AY160" i="4"/>
  <c r="AV46" i="4" l="1"/>
  <c r="AU45" i="4"/>
  <c r="AV124" i="3"/>
  <c r="AU46" i="4" l="1"/>
  <c r="AY122" i="3"/>
  <c r="AW122" i="3"/>
  <c r="AV6" i="4"/>
  <c r="AV65" i="4"/>
  <c r="AV73" i="4"/>
  <c r="AV12" i="4" l="1"/>
  <c r="AU6" i="4"/>
  <c r="AV60" i="4"/>
  <c r="AV53" i="4"/>
  <c r="AW154" i="4"/>
  <c r="AV59" i="4"/>
  <c r="AV155" i="4"/>
  <c r="AV125" i="3"/>
  <c r="AU65" i="4"/>
  <c r="AU73" i="4"/>
  <c r="AW157" i="4" l="1"/>
  <c r="AW29" i="3"/>
  <c r="AV64" i="4"/>
  <c r="AV58" i="4"/>
  <c r="AU60" i="4"/>
  <c r="AU12" i="4"/>
  <c r="AU53" i="4"/>
  <c r="AU59" i="4"/>
  <c r="AU125" i="3"/>
  <c r="AV52" i="4"/>
  <c r="AV23" i="4"/>
  <c r="AV141" i="3"/>
  <c r="AV61" i="4"/>
  <c r="AV63" i="4"/>
  <c r="AV62" i="4"/>
  <c r="AU64" i="4" l="1"/>
  <c r="AU58" i="4"/>
  <c r="AV142" i="3"/>
  <c r="AV143" i="3"/>
  <c r="AV145" i="3"/>
  <c r="AV144" i="3"/>
  <c r="AV69" i="4"/>
  <c r="AV74" i="4" s="1"/>
  <c r="AV67" i="4"/>
  <c r="AV151" i="3"/>
  <c r="AV41" i="4"/>
  <c r="AU61" i="4"/>
  <c r="AU62" i="4"/>
  <c r="AU63" i="4"/>
  <c r="AU141" i="3"/>
  <c r="AW32" i="3"/>
  <c r="AU52" i="4"/>
  <c r="AU23" i="4"/>
  <c r="AU143" i="3" l="1"/>
  <c r="AU142" i="3"/>
  <c r="AU145" i="3"/>
  <c r="AU144" i="3"/>
  <c r="AU69" i="4"/>
  <c r="AU74" i="4" s="1"/>
  <c r="AU67" i="4"/>
  <c r="AU151" i="3"/>
  <c r="AU41" i="4"/>
  <c r="AW55" i="4"/>
  <c r="AW54" i="4"/>
  <c r="AW88" i="3"/>
  <c r="AW34" i="3"/>
  <c r="AV47" i="4"/>
  <c r="AV71" i="4"/>
  <c r="AV150" i="3" s="1"/>
  <c r="AU71" i="4" l="1"/>
  <c r="AU150" i="3" s="1"/>
  <c r="AU47" i="4"/>
  <c r="AW36" i="3"/>
  <c r="AW38" i="3"/>
  <c r="AW89" i="3" l="1"/>
  <c r="AW91" i="3" s="1"/>
  <c r="AW40" i="3"/>
  <c r="AW42" i="3" l="1"/>
  <c r="AW161" i="4"/>
  <c r="AW62" i="3"/>
  <c r="AW50" i="3"/>
  <c r="AW45" i="3"/>
  <c r="AW187" i="4" s="1"/>
  <c r="AW183" i="4" s="1"/>
  <c r="AW77" i="3"/>
  <c r="AW98" i="3"/>
  <c r="AW147" i="3" l="1"/>
  <c r="AW65" i="3"/>
  <c r="AW134" i="3"/>
  <c r="AW132" i="3"/>
  <c r="AW56" i="4"/>
  <c r="AW138" i="3"/>
  <c r="AW136" i="3"/>
  <c r="AW189" i="4"/>
  <c r="AW185" i="4"/>
  <c r="AW113" i="3" s="1"/>
  <c r="AW179" i="4"/>
  <c r="AW51" i="3"/>
  <c r="AW63" i="3"/>
  <c r="AW75" i="4"/>
  <c r="AN71" i="3"/>
  <c r="AW81" i="3"/>
  <c r="AW66" i="3" l="1"/>
  <c r="AW148" i="3"/>
  <c r="AW153" i="3"/>
  <c r="AW137" i="3"/>
  <c r="AW154" i="3"/>
  <c r="AW52" i="3"/>
  <c r="AW162" i="4"/>
  <c r="AW164" i="4" s="1"/>
  <c r="AW119" i="3"/>
  <c r="AW191" i="4"/>
  <c r="AW190" i="4"/>
  <c r="AW121" i="3" l="1"/>
  <c r="AX160" i="4"/>
  <c r="AW45" i="4"/>
  <c r="AW46" i="4" l="1"/>
  <c r="AW124" i="3"/>
  <c r="AX122" i="3" l="1"/>
  <c r="AW6" i="4"/>
  <c r="AW65" i="4"/>
  <c r="AW73" i="4"/>
  <c r="AW12" i="4" l="1"/>
  <c r="AW60" i="4"/>
  <c r="AX154" i="4"/>
  <c r="AW53" i="4"/>
  <c r="AW59" i="4"/>
  <c r="AW125" i="3"/>
  <c r="AY154" i="4" l="1"/>
  <c r="AX157" i="4"/>
  <c r="AX29" i="3"/>
  <c r="AW52" i="4"/>
  <c r="AW23" i="4"/>
  <c r="AW58" i="4"/>
  <c r="AW64" i="4"/>
  <c r="AW62" i="4"/>
  <c r="AW61" i="4"/>
  <c r="AW63" i="4"/>
  <c r="AW141" i="3"/>
  <c r="AW145" i="3" l="1"/>
  <c r="AW143" i="3"/>
  <c r="AW142" i="3"/>
  <c r="AW144" i="3"/>
  <c r="AW41" i="4"/>
  <c r="AW151" i="3"/>
  <c r="AW67" i="4"/>
  <c r="AW69" i="4"/>
  <c r="AW74" i="4" s="1"/>
  <c r="AY29" i="3"/>
  <c r="AX32" i="3"/>
  <c r="AY157" i="4"/>
  <c r="AX88" i="3" l="1"/>
  <c r="AX54" i="4"/>
  <c r="AX34" i="3"/>
  <c r="AX55" i="4"/>
  <c r="AW47" i="4"/>
  <c r="AW71" i="4"/>
  <c r="AW150" i="3" s="1"/>
  <c r="AY32" i="3"/>
  <c r="AX38" i="3" l="1"/>
  <c r="AX36" i="3"/>
  <c r="AY34" i="3"/>
  <c r="AY54" i="4"/>
  <c r="AY55" i="4"/>
  <c r="AY88" i="3"/>
  <c r="AX89" i="3" l="1"/>
  <c r="AY38" i="3"/>
  <c r="AX40" i="3"/>
  <c r="AY36" i="3"/>
  <c r="AY89" i="3" l="1"/>
  <c r="AY91" i="3" s="1"/>
  <c r="AX91" i="3"/>
  <c r="AX42" i="3"/>
  <c r="AX62" i="3"/>
  <c r="AX50" i="3"/>
  <c r="AX77" i="3"/>
  <c r="AX161" i="4"/>
  <c r="AX45" i="3"/>
  <c r="AX187" i="4" s="1"/>
  <c r="AX183" i="4" s="1"/>
  <c r="M32" i="6"/>
  <c r="M35" i="6" s="1"/>
  <c r="AY40" i="3"/>
  <c r="AY39" i="3"/>
  <c r="N35" i="6" l="1"/>
  <c r="N39" i="6" s="1"/>
  <c r="M39" i="6"/>
  <c r="AX81" i="3"/>
  <c r="AX51" i="3"/>
  <c r="AO71" i="3"/>
  <c r="AX75" i="4"/>
  <c r="AX63" i="3"/>
  <c r="AX98" i="3"/>
  <c r="AX189" i="4"/>
  <c r="AY183" i="4"/>
  <c r="AX185" i="4"/>
  <c r="AX179" i="4"/>
  <c r="AY161" i="4"/>
  <c r="AY45" i="3"/>
  <c r="AY187" i="4" s="1"/>
  <c r="AY77" i="3"/>
  <c r="AY50" i="3"/>
  <c r="AY42" i="3"/>
  <c r="AY62" i="3"/>
  <c r="AX147" i="3"/>
  <c r="AX65" i="3"/>
  <c r="AY98" i="3"/>
  <c r="D40" i="6" l="1"/>
  <c r="C43" i="6" s="1"/>
  <c r="W52" i="2" s="1"/>
  <c r="AY179" i="4"/>
  <c r="AX154" i="3"/>
  <c r="AX52" i="3"/>
  <c r="AX190" i="4"/>
  <c r="AX191" i="4"/>
  <c r="AX148" i="3"/>
  <c r="AX66" i="3"/>
  <c r="AY63" i="3"/>
  <c r="AY81" i="3"/>
  <c r="AP71" i="3"/>
  <c r="AY75" i="4"/>
  <c r="AY51" i="3"/>
  <c r="AX132" i="3"/>
  <c r="AX136" i="3"/>
  <c r="AX134" i="3"/>
  <c r="AX138" i="3"/>
  <c r="AX56" i="4"/>
  <c r="AY185" i="4"/>
  <c r="AX113" i="3"/>
  <c r="AY189" i="4"/>
  <c r="AY188" i="4"/>
  <c r="AY138" i="3"/>
  <c r="AY136" i="3"/>
  <c r="AY132" i="3"/>
  <c r="AY134" i="3"/>
  <c r="AY56" i="4"/>
  <c r="AY65" i="3"/>
  <c r="AY147" i="3"/>
  <c r="C45" i="6" l="1"/>
  <c r="W54" i="2" s="1"/>
  <c r="AY66" i="3"/>
  <c r="AY148" i="3"/>
  <c r="AY149" i="3" s="1"/>
  <c r="AX137" i="3"/>
  <c r="AX153" i="3"/>
  <c r="AY190" i="4"/>
  <c r="AY191" i="4"/>
  <c r="AY153" i="3"/>
  <c r="AY137" i="3"/>
  <c r="AX162" i="4"/>
  <c r="AY113" i="3"/>
  <c r="AX119" i="3"/>
  <c r="AY178" i="4"/>
  <c r="AY52" i="3"/>
  <c r="AY154" i="3"/>
  <c r="C47" i="6" l="1"/>
  <c r="C48" i="6" s="1"/>
  <c r="AX121" i="3"/>
  <c r="AY119" i="3"/>
  <c r="AY162" i="4"/>
  <c r="AY164" i="4" s="1"/>
  <c r="AY45" i="4" s="1"/>
  <c r="AX164" i="4"/>
  <c r="AV149" i="3"/>
  <c r="AS149" i="3"/>
  <c r="AP149" i="3"/>
  <c r="W56" i="2" l="1"/>
  <c r="AY121" i="3"/>
  <c r="C51" i="6"/>
  <c r="S8" i="6"/>
  <c r="S10" i="6" s="1"/>
  <c r="W57" i="2"/>
  <c r="AY46" i="4"/>
  <c r="AX45" i="4"/>
  <c r="AX124" i="3"/>
  <c r="S13" i="6" l="1"/>
  <c r="W60" i="2"/>
  <c r="AX46" i="4"/>
  <c r="AY65" i="4"/>
  <c r="AY73" i="4"/>
  <c r="AY124" i="3"/>
  <c r="AX65" i="4" l="1"/>
  <c r="AX73" i="4"/>
  <c r="AY6" i="4"/>
  <c r="AY125" i="3" s="1"/>
  <c r="AY53" i="4" l="1"/>
  <c r="AX6" i="4"/>
  <c r="AY12" i="4"/>
  <c r="AY60" i="4"/>
  <c r="AY59" i="4"/>
  <c r="AY155" i="4"/>
  <c r="AY52" i="4" l="1"/>
  <c r="AY23" i="4"/>
  <c r="AY63" i="4"/>
  <c r="AY62" i="4"/>
  <c r="AY61" i="4"/>
  <c r="AY141" i="3"/>
  <c r="AY58" i="4"/>
  <c r="AY64" i="4"/>
  <c r="AX53" i="4"/>
  <c r="AX60" i="4"/>
  <c r="AX12" i="4"/>
  <c r="AX59" i="4"/>
  <c r="AX125" i="3"/>
  <c r="AY69" i="4" l="1"/>
  <c r="AY74" i="4" s="1"/>
  <c r="AY151" i="3"/>
  <c r="AY41" i="4"/>
  <c r="AY67" i="4"/>
  <c r="AX61" i="4"/>
  <c r="AX63" i="4"/>
  <c r="AX141" i="3"/>
  <c r="AX62" i="4"/>
  <c r="AX64" i="4"/>
  <c r="AX58" i="4"/>
  <c r="AX52" i="4"/>
  <c r="AX23" i="4"/>
  <c r="AY144" i="3"/>
  <c r="AY142" i="3"/>
  <c r="AY145" i="3"/>
  <c r="AY143" i="3"/>
  <c r="AX67" i="4" l="1"/>
  <c r="AX151" i="3"/>
  <c r="AX41" i="4"/>
  <c r="AX69" i="4"/>
  <c r="AX74" i="4" s="1"/>
  <c r="AY47" i="4"/>
  <c r="AY71" i="4"/>
  <c r="AY150" i="3" s="1"/>
  <c r="AX143" i="3"/>
  <c r="AX144" i="3"/>
  <c r="AX145" i="3"/>
  <c r="AX142" i="3"/>
  <c r="AX71" i="4" l="1"/>
  <c r="AX150" i="3" s="1"/>
  <c r="AX47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tc={F7E12977-B0FE-47FD-A567-9146F82D0B4F}</author>
    <author>Mayr, Elijah [GIR]</author>
  </authors>
  <commentList>
    <comment ref="O11" authorId="0" shapeId="0" xr:uid="{F7E12977-B0FE-47FD-A567-9146F82D0B4F}">
      <text>
        <t>[Threaded comment]
Your version of Excel allows you to read this threaded comment; however, any edits to it will get removed if the file is opened in a newer version of Excel. Learn more: https://go.microsoft.com/fwlink/?linkid=870924
Comment:
    Numbers from FY23 Accounts used.</t>
      </text>
    </comment>
    <comment ref="C114" authorId="1" shapeId="0" xr:uid="{225B2DAC-94F8-4B3D-8CA8-47B7DEDB3408}">
      <text>
        <r>
          <rPr>
            <b/>
            <sz val="9"/>
            <color indexed="81"/>
            <rFont val="Tahoma"/>
            <family val="2"/>
          </rPr>
          <t>Mayr, Elijah [GIR]:</t>
        </r>
        <r>
          <rPr>
            <sz val="9"/>
            <color indexed="81"/>
            <rFont val="Tahoma"/>
            <family val="2"/>
          </rPr>
          <t xml:space="preserve">
Consider consolidating into 'Other'</t>
        </r>
      </text>
    </comment>
  </commentList>
</comments>
</file>

<file path=xl/sharedStrings.xml><?xml version="1.0" encoding="utf-8"?>
<sst xmlns="http://schemas.openxmlformats.org/spreadsheetml/2006/main" count="901" uniqueCount="566">
  <si>
    <t>Australia Small &amp; Mid Cap</t>
  </si>
  <si>
    <t>Elise Bailey</t>
  </si>
  <si>
    <t>elise.bailey@gs.com</t>
  </si>
  <si>
    <t>+61 3 9679 1344</t>
  </si>
  <si>
    <t>Elijah Mayr</t>
  </si>
  <si>
    <t>elijah.mayr@gs.com</t>
  </si>
  <si>
    <t>+61 2 9321 8995</t>
  </si>
  <si>
    <t>Segment Analysis</t>
  </si>
  <si>
    <t>Year-end 30th June (A$m)</t>
  </si>
  <si>
    <t>Revenue</t>
  </si>
  <si>
    <t>-</t>
  </si>
  <si>
    <t>Check</t>
  </si>
  <si>
    <t>CoGS</t>
  </si>
  <si>
    <t>Other</t>
  </si>
  <si>
    <t>Reported Ebitda</t>
  </si>
  <si>
    <t>Reported NPAT</t>
  </si>
  <si>
    <t>Adjusted NPAT</t>
  </si>
  <si>
    <t>Revenue growth</t>
  </si>
  <si>
    <t>Gross margin</t>
  </si>
  <si>
    <t>Growth</t>
  </si>
  <si>
    <t>Ebitda</t>
  </si>
  <si>
    <t>Ebitda growth</t>
  </si>
  <si>
    <t>Margin</t>
  </si>
  <si>
    <t>Opex</t>
  </si>
  <si>
    <t>1H20A</t>
  </si>
  <si>
    <t>2H20A</t>
  </si>
  <si>
    <t>FY20A</t>
  </si>
  <si>
    <t>1H21A</t>
  </si>
  <si>
    <t>2H21A</t>
  </si>
  <si>
    <t>FY21A</t>
  </si>
  <si>
    <t>1H22A</t>
  </si>
  <si>
    <t>2H22A</t>
  </si>
  <si>
    <t>FY22A</t>
  </si>
  <si>
    <t>1H23A</t>
  </si>
  <si>
    <t>2H23A</t>
  </si>
  <si>
    <t>FY23A</t>
  </si>
  <si>
    <t>Goldman SMID Analysts</t>
  </si>
  <si>
    <t>Summary</t>
  </si>
  <si>
    <t>Profit &amp; Loss</t>
  </si>
  <si>
    <t>Valuation data</t>
  </si>
  <si>
    <t>A$m June y/e</t>
  </si>
  <si>
    <t>A$m</t>
  </si>
  <si>
    <t>Diluted no. of shares</t>
  </si>
  <si>
    <t>m</t>
  </si>
  <si>
    <t>cps</t>
  </si>
  <si>
    <t>%</t>
  </si>
  <si>
    <t>Dividends</t>
  </si>
  <si>
    <t>Adjustments</t>
  </si>
  <si>
    <t>Dividend yield</t>
  </si>
  <si>
    <t>EBIT</t>
  </si>
  <si>
    <t>Net interest</t>
  </si>
  <si>
    <t>PE</t>
  </si>
  <si>
    <t>x</t>
  </si>
  <si>
    <t>Pre-tax profit</t>
  </si>
  <si>
    <t>P/B</t>
  </si>
  <si>
    <t>Tax</t>
  </si>
  <si>
    <t>EV / Ebitda</t>
  </si>
  <si>
    <t>EV / Ebit</t>
  </si>
  <si>
    <t>Price / NTA</t>
  </si>
  <si>
    <t>Net debt</t>
  </si>
  <si>
    <t>Profitability ratios</t>
  </si>
  <si>
    <t>Segmental analysis</t>
  </si>
  <si>
    <t>ROE</t>
  </si>
  <si>
    <t>ROCE</t>
  </si>
  <si>
    <t>Cash conversion</t>
  </si>
  <si>
    <t>FCF Conversion</t>
  </si>
  <si>
    <t>Cashflow Statement</t>
  </si>
  <si>
    <t>Operating cash flow</t>
  </si>
  <si>
    <t>Investing cash flow</t>
  </si>
  <si>
    <t>Financing cash flow</t>
  </si>
  <si>
    <t>Net change in cash</t>
  </si>
  <si>
    <t>Closing cash balance</t>
  </si>
  <si>
    <t>Balance Sheet</t>
  </si>
  <si>
    <t>Cash</t>
  </si>
  <si>
    <t>Receivables</t>
  </si>
  <si>
    <t>Valuation</t>
  </si>
  <si>
    <t>PPE</t>
  </si>
  <si>
    <t>DCF valuation</t>
  </si>
  <si>
    <t>Intangibles</t>
  </si>
  <si>
    <t>EV (A$m)</t>
  </si>
  <si>
    <t>Other assets</t>
  </si>
  <si>
    <t>Net Debt (A$m)</t>
  </si>
  <si>
    <t>Applied multiple (x)</t>
  </si>
  <si>
    <t>Total assets</t>
  </si>
  <si>
    <t>Equity value (A$m)</t>
  </si>
  <si>
    <t>Payables</t>
  </si>
  <si>
    <t>EFPO (m)</t>
  </si>
  <si>
    <t>Net debt (A$m)</t>
  </si>
  <si>
    <t>Financial liabilities</t>
  </si>
  <si>
    <t>Intrinsic value (A$/sh)</t>
  </si>
  <si>
    <t>Target Price</t>
  </si>
  <si>
    <t>Target price (A$/sh)</t>
  </si>
  <si>
    <t>Total liabilities</t>
  </si>
  <si>
    <t>Net assets</t>
  </si>
  <si>
    <t>Marketing</t>
  </si>
  <si>
    <t>Key financials</t>
  </si>
  <si>
    <t>Statement of Income</t>
  </si>
  <si>
    <t>Depreciation</t>
  </si>
  <si>
    <t>Implied tax rate</t>
  </si>
  <si>
    <t>Check - NPAT</t>
  </si>
  <si>
    <t># Shares (diluted)</t>
  </si>
  <si>
    <t>Reported EPS (cps)</t>
  </si>
  <si>
    <t>Adjusted EPS (cps)</t>
  </si>
  <si>
    <t>DPS (cps)</t>
  </si>
  <si>
    <t>Statement of Income Analysis</t>
  </si>
  <si>
    <t>Opex growth</t>
  </si>
  <si>
    <t>Reported NPAT growth</t>
  </si>
  <si>
    <t>Reported EPS growth</t>
  </si>
  <si>
    <t>DPS growth</t>
  </si>
  <si>
    <t>Ebitda margin</t>
  </si>
  <si>
    <t>Ebit margin</t>
  </si>
  <si>
    <t>Reported NPAT margin</t>
  </si>
  <si>
    <t>Statement of Cash Flows</t>
  </si>
  <si>
    <t>Operating activities (forecast)</t>
  </si>
  <si>
    <t>- Increase in Working Capital</t>
  </si>
  <si>
    <t>- Net Interest Paid</t>
  </si>
  <si>
    <t>- Tax Paid</t>
  </si>
  <si>
    <t>+ Other</t>
  </si>
  <si>
    <t>Operating activities</t>
  </si>
  <si>
    <t>Receipts from customers</t>
  </si>
  <si>
    <t>Payments to suppliers &amp; employees</t>
  </si>
  <si>
    <t>Net Interest paid</t>
  </si>
  <si>
    <t>Investing activities</t>
  </si>
  <si>
    <t>Payments for PPE (capex)</t>
  </si>
  <si>
    <t>Financing activities</t>
  </si>
  <si>
    <t>Proceeds from borrowings</t>
  </si>
  <si>
    <t>Repayment of borrowings</t>
  </si>
  <si>
    <t>Net increase in cash</t>
  </si>
  <si>
    <t>Opening cash balance</t>
  </si>
  <si>
    <t>FX changes/other</t>
  </si>
  <si>
    <t>Key Metrics</t>
  </si>
  <si>
    <t>Share Price</t>
  </si>
  <si>
    <t>Capex</t>
  </si>
  <si>
    <t>Free cash flow (FCF)</t>
  </si>
  <si>
    <t>Free cash flow less dividends</t>
  </si>
  <si>
    <t>Market Cap</t>
  </si>
  <si>
    <t>Enterprise value</t>
  </si>
  <si>
    <t>EV / FCF</t>
  </si>
  <si>
    <t>PE (Reported)</t>
  </si>
  <si>
    <t>PE (Adjusted)</t>
  </si>
  <si>
    <t>PEG Multiple</t>
  </si>
  <si>
    <t>P / BV</t>
  </si>
  <si>
    <t>P / NTA</t>
  </si>
  <si>
    <t>FCF yield</t>
  </si>
  <si>
    <t>Dividend yield (%)</t>
  </si>
  <si>
    <t>Cash &amp; equivalents</t>
  </si>
  <si>
    <t>Inventories</t>
  </si>
  <si>
    <t>Other current assets</t>
  </si>
  <si>
    <t>Total current assets</t>
  </si>
  <si>
    <t>Intangible assets</t>
  </si>
  <si>
    <t>Other non-current assets</t>
  </si>
  <si>
    <t>Total non-current assets</t>
  </si>
  <si>
    <t>Trade and other payables</t>
  </si>
  <si>
    <t>Lease liabilities</t>
  </si>
  <si>
    <t>Provisions</t>
  </si>
  <si>
    <t>Total current liabilities</t>
  </si>
  <si>
    <t>Total non-current liabilities</t>
  </si>
  <si>
    <t>Reserves</t>
  </si>
  <si>
    <t>Retained earnings</t>
  </si>
  <si>
    <t>Total equity</t>
  </si>
  <si>
    <t>Current ratio</t>
  </si>
  <si>
    <t>Quick ratio</t>
  </si>
  <si>
    <t>CFO / current liabilities</t>
  </si>
  <si>
    <t>Net debt / equity</t>
  </si>
  <si>
    <t>Net debt / (net debt + equity)</t>
  </si>
  <si>
    <t>Debt / Equity</t>
  </si>
  <si>
    <t>Tangible Net Worth</t>
  </si>
  <si>
    <t>Working capital</t>
  </si>
  <si>
    <t>Capital employed</t>
  </si>
  <si>
    <t>Invested capital</t>
  </si>
  <si>
    <t>Book value (Net assets)</t>
  </si>
  <si>
    <t>ROIC</t>
  </si>
  <si>
    <t>Balance Sheet Forecasts</t>
  </si>
  <si>
    <t>Working Capital</t>
  </si>
  <si>
    <t>% Sales</t>
  </si>
  <si>
    <t>% Operating expenses</t>
  </si>
  <si>
    <t>Change in WC</t>
  </si>
  <si>
    <t>WC / Sales</t>
  </si>
  <si>
    <t>Change WC / Sales</t>
  </si>
  <si>
    <t>At cost:</t>
  </si>
  <si>
    <t>Opening balance</t>
  </si>
  <si>
    <t>Capex (+)</t>
  </si>
  <si>
    <t>Acquisitions (+)</t>
  </si>
  <si>
    <t>Disposals (-)</t>
  </si>
  <si>
    <t>Depreciation (-)</t>
  </si>
  <si>
    <t>Other (+/-)</t>
  </si>
  <si>
    <t>Total PP&amp;E</t>
  </si>
  <si>
    <t>Dep rate</t>
  </si>
  <si>
    <t>Capex / sales (%)</t>
  </si>
  <si>
    <t>Opening Balance</t>
  </si>
  <si>
    <t>Amortisation (-)</t>
  </si>
  <si>
    <t>Total intangibles</t>
  </si>
  <si>
    <t>Amort rate</t>
  </si>
  <si>
    <t>Capex / sales %</t>
  </si>
  <si>
    <t>Current</t>
  </si>
  <si>
    <t>BoP</t>
  </si>
  <si>
    <t>Increase / decrease</t>
  </si>
  <si>
    <t>EoP</t>
  </si>
  <si>
    <t>Interest</t>
  </si>
  <si>
    <t>Interest expense (A$mn)</t>
  </si>
  <si>
    <t>Effective rate % (AUD)</t>
  </si>
  <si>
    <t>Interest income</t>
  </si>
  <si>
    <t>Effective rate %</t>
  </si>
  <si>
    <t>Net Interest</t>
  </si>
  <si>
    <t>Retained Earnings</t>
  </si>
  <si>
    <t>BOP</t>
  </si>
  <si>
    <t>+NPAT</t>
  </si>
  <si>
    <t>- Dividends</t>
  </si>
  <si>
    <t>other</t>
  </si>
  <si>
    <t>Share Count</t>
  </si>
  <si>
    <t>Opening Shares</t>
  </si>
  <si>
    <t>DRP</t>
  </si>
  <si>
    <t>Shares issued</t>
  </si>
  <si>
    <t>Closing Shares</t>
  </si>
  <si>
    <t>EFPOWA (basic)</t>
  </si>
  <si>
    <t>Potential conversion under options schemes</t>
  </si>
  <si>
    <t>EFPOWA (diluted)</t>
  </si>
  <si>
    <t>DPS - Special</t>
  </si>
  <si>
    <t>DPS - ordinary</t>
  </si>
  <si>
    <t>Total DPS (cps)</t>
  </si>
  <si>
    <t>Franking</t>
  </si>
  <si>
    <t>Gross Dividends declared</t>
  </si>
  <si>
    <t>Value of DRP</t>
  </si>
  <si>
    <t>Net Dividends declared</t>
  </si>
  <si>
    <t>Payout Ratio (%)</t>
  </si>
  <si>
    <t>DPS</t>
  </si>
  <si>
    <t>Franked</t>
  </si>
  <si>
    <t>DRP take-up (%)</t>
  </si>
  <si>
    <t>DRP discount on SP (%)</t>
  </si>
  <si>
    <t>Number of shares (#m)</t>
  </si>
  <si>
    <t>Income &amp; Cash Flow</t>
  </si>
  <si>
    <t>Valuation Assumptions</t>
  </si>
  <si>
    <t>Source</t>
  </si>
  <si>
    <t>A$/sh</t>
  </si>
  <si>
    <t>Todays date</t>
  </si>
  <si>
    <t>Date of valuation</t>
  </si>
  <si>
    <t>EV/Ebitda</t>
  </si>
  <si>
    <t>Year end</t>
  </si>
  <si>
    <t>Year remaining</t>
  </si>
  <si>
    <t>Current share price</t>
  </si>
  <si>
    <t>Terminal growth rate</t>
  </si>
  <si>
    <t>Risk Free Rate</t>
  </si>
  <si>
    <t>Implied upside</t>
  </si>
  <si>
    <t>Market equity risk premium</t>
  </si>
  <si>
    <t>Beta</t>
  </si>
  <si>
    <t>Cost of equity</t>
  </si>
  <si>
    <t>Cost of debt (After Tax)</t>
  </si>
  <si>
    <t>Target Gearing</t>
  </si>
  <si>
    <t>Target Equity</t>
  </si>
  <si>
    <t>Tax rate</t>
  </si>
  <si>
    <t>Company</t>
  </si>
  <si>
    <t>Shares on issue EoP</t>
  </si>
  <si>
    <t>Net Debt</t>
  </si>
  <si>
    <t>WACC</t>
  </si>
  <si>
    <t>Discounted Cash Flow Valuation</t>
  </si>
  <si>
    <t>Financial Year</t>
  </si>
  <si>
    <t>Terminal</t>
  </si>
  <si>
    <t>Tax paid</t>
  </si>
  <si>
    <t>Change in working capital</t>
  </si>
  <si>
    <t>Free cash flow</t>
  </si>
  <si>
    <t>Period</t>
  </si>
  <si>
    <t>Discount Factor</t>
  </si>
  <si>
    <t>PV</t>
  </si>
  <si>
    <t>NPV</t>
  </si>
  <si>
    <t>Multiples Valuation</t>
  </si>
  <si>
    <t>FY1</t>
  </si>
  <si>
    <t>FY2</t>
  </si>
  <si>
    <t>Date</t>
  </si>
  <si>
    <t>Ebitda multiple</t>
  </si>
  <si>
    <t>PE multiple</t>
  </si>
  <si>
    <t>EFPO (#)</t>
  </si>
  <si>
    <t>Weight (%)</t>
  </si>
  <si>
    <t>Borrowings</t>
  </si>
  <si>
    <t>1H26E</t>
  </si>
  <si>
    <t>2H26E</t>
  </si>
  <si>
    <t>FY26E</t>
  </si>
  <si>
    <t>1H27E</t>
  </si>
  <si>
    <t>2H27E</t>
  </si>
  <si>
    <t>FY27E</t>
  </si>
  <si>
    <t>1H28E</t>
  </si>
  <si>
    <t>2H28E</t>
  </si>
  <si>
    <t>FY28E</t>
  </si>
  <si>
    <t>1H29E</t>
  </si>
  <si>
    <t>2H29E</t>
  </si>
  <si>
    <t>FY29E</t>
  </si>
  <si>
    <t>1H30E</t>
  </si>
  <si>
    <t>2H30E</t>
  </si>
  <si>
    <t>FY30E</t>
  </si>
  <si>
    <t>GS</t>
  </si>
  <si>
    <t>FactSet</t>
  </si>
  <si>
    <t>Peer multiples (mean)</t>
  </si>
  <si>
    <t>Target price (A$m)</t>
  </si>
  <si>
    <t>FY26E eps (cps)</t>
  </si>
  <si>
    <t>Cash conversion (CFO / Ebitda)</t>
  </si>
  <si>
    <t>FCF conversion (FCF / Ebitda)</t>
  </si>
  <si>
    <t>Ebitda / Interest</t>
  </si>
  <si>
    <t>Ebit / Interest</t>
  </si>
  <si>
    <t>Net debt / Ebitda</t>
  </si>
  <si>
    <t>Adj. Ebitda growth</t>
  </si>
  <si>
    <t>Adj. NPAT growth</t>
  </si>
  <si>
    <t>Adj. NPAT</t>
  </si>
  <si>
    <t>Adj. Ebitda</t>
  </si>
  <si>
    <t>Adj. NPAT margin</t>
  </si>
  <si>
    <t>FCF</t>
  </si>
  <si>
    <t>Adj. Ebitda margin</t>
  </si>
  <si>
    <t>Adj. diluted EPS</t>
  </si>
  <si>
    <t>Adj. EPS growth</t>
  </si>
  <si>
    <t>FY24A</t>
  </si>
  <si>
    <t>Ebit</t>
  </si>
  <si>
    <t>Pbt</t>
  </si>
  <si>
    <t>Reported Npat</t>
  </si>
  <si>
    <t>RoU assets</t>
  </si>
  <si>
    <t>Right-of-use assets</t>
  </si>
  <si>
    <t>Addition RoU</t>
  </si>
  <si>
    <t>Additional lease</t>
  </si>
  <si>
    <t>Depreciation rate</t>
  </si>
  <si>
    <t>Sales growth</t>
  </si>
  <si>
    <t>3yr CAGR - Adj. Ebitda</t>
  </si>
  <si>
    <t>1H24A</t>
  </si>
  <si>
    <t>Change in stores</t>
  </si>
  <si>
    <t>Total</t>
  </si>
  <si>
    <t>Contribution</t>
  </si>
  <si>
    <t>PE Multiple</t>
  </si>
  <si>
    <t>DSO</t>
  </si>
  <si>
    <t>DIO</t>
  </si>
  <si>
    <t>DPO</t>
  </si>
  <si>
    <t>WC days</t>
  </si>
  <si>
    <t>Interest expense (AASB16)</t>
  </si>
  <si>
    <t>Effective rate (%)</t>
  </si>
  <si>
    <t>Financial income</t>
  </si>
  <si>
    <t>Financial expense</t>
  </si>
  <si>
    <t>Net finance</t>
  </si>
  <si>
    <t>Principal repayment</t>
  </si>
  <si>
    <t>Net debt (ex-leases)</t>
  </si>
  <si>
    <t>Net debt / Ebitda (ex-leases)</t>
  </si>
  <si>
    <t>D&amp;A&amp;I</t>
  </si>
  <si>
    <t>FY26E Ebitda (A$m)</t>
  </si>
  <si>
    <t>Split</t>
  </si>
  <si>
    <t>Implied valuation (A$/sh)</t>
  </si>
  <si>
    <t>2H24A</t>
  </si>
  <si>
    <t>Guzman y Gomez (GYG.ASX)</t>
  </si>
  <si>
    <t>Marketing expense</t>
  </si>
  <si>
    <t>Amortisation</t>
  </si>
  <si>
    <t>Total comprehensive NPAT</t>
  </si>
  <si>
    <t>Other comprehensive income/expense</t>
  </si>
  <si>
    <t>Payment for purchase of business</t>
  </si>
  <si>
    <t>Proceeds from issue of shares</t>
  </si>
  <si>
    <t>Other revenue and income</t>
  </si>
  <si>
    <t>Income tax paid/refunded</t>
  </si>
  <si>
    <t>Proceeds from disposal of business</t>
  </si>
  <si>
    <t>Finance lease receivable</t>
  </si>
  <si>
    <t>Deferred tax assets</t>
  </si>
  <si>
    <t>Contract liabilities</t>
  </si>
  <si>
    <t>Income tax</t>
  </si>
  <si>
    <t>Issued capital</t>
  </si>
  <si>
    <t>Accumulated Losses</t>
  </si>
  <si>
    <t>Payments for share buy-backs</t>
  </si>
  <si>
    <t>Option fees received</t>
  </si>
  <si>
    <t>Lease incentives received</t>
  </si>
  <si>
    <t>Employee benefits expense</t>
  </si>
  <si>
    <t>Administrative expense</t>
  </si>
  <si>
    <t>Other expense</t>
  </si>
  <si>
    <t>Adj. Ebit</t>
  </si>
  <si>
    <t>Adj. Pbt</t>
  </si>
  <si>
    <t>Group Summary</t>
  </si>
  <si>
    <t>Adj. Npat</t>
  </si>
  <si>
    <t>Payments for intangibles (capex)</t>
  </si>
  <si>
    <t>Margins</t>
  </si>
  <si>
    <t>APAC segment</t>
  </si>
  <si>
    <t>Australia network sales</t>
  </si>
  <si>
    <t>Japan network sales</t>
  </si>
  <si>
    <t>Total APAC network sales</t>
  </si>
  <si>
    <t>Singapore network sales</t>
  </si>
  <si>
    <t>Australia SSSg</t>
  </si>
  <si>
    <t xml:space="preserve">Australia new stores </t>
  </si>
  <si>
    <t>Australia network sales growth</t>
  </si>
  <si>
    <t>Total APAC stores</t>
  </si>
  <si>
    <t>Network sales</t>
  </si>
  <si>
    <t>Australia corporate</t>
  </si>
  <si>
    <t>Australia franchisee</t>
  </si>
  <si>
    <t>Australia total</t>
  </si>
  <si>
    <t>Singapore franchisee</t>
  </si>
  <si>
    <t>Japan franchisee</t>
  </si>
  <si>
    <t>Store count</t>
  </si>
  <si>
    <t>Singapore master franchisee</t>
  </si>
  <si>
    <t>Japan master franchisee</t>
  </si>
  <si>
    <t>Singapore SSSg</t>
  </si>
  <si>
    <t xml:space="preserve">Singapore new stores </t>
  </si>
  <si>
    <t>Japan SSSg</t>
  </si>
  <si>
    <t xml:space="preserve">Japan new stores </t>
  </si>
  <si>
    <t>Total APAC network sales growth</t>
  </si>
  <si>
    <t>Singapore network sales growth</t>
  </si>
  <si>
    <t>Japan network sales growth</t>
  </si>
  <si>
    <t>Stores approved (during)</t>
  </si>
  <si>
    <t>Stores in pipeline (as at)</t>
  </si>
  <si>
    <t>Australia corporate revenue</t>
  </si>
  <si>
    <t>Australia corporate sales</t>
  </si>
  <si>
    <t>Franchisee rates</t>
  </si>
  <si>
    <t>Aus corporate sales</t>
  </si>
  <si>
    <t>Aus franchisee sales</t>
  </si>
  <si>
    <t>Aus corproate stores</t>
  </si>
  <si>
    <t>Aus franchisee stores</t>
  </si>
  <si>
    <t>Aus corporate sales per store</t>
  </si>
  <si>
    <t>Aus corporate sales per store growth</t>
  </si>
  <si>
    <t>Sales per store</t>
  </si>
  <si>
    <t>Aus franchisee sales per store</t>
  </si>
  <si>
    <t>Aus total sales per store</t>
  </si>
  <si>
    <t>Singapore master franchisee sales per store</t>
  </si>
  <si>
    <t>Japan master franchisee sales per store</t>
  </si>
  <si>
    <t>Aus franchisee sales per store growth</t>
  </si>
  <si>
    <t>Aus total sales per store growth</t>
  </si>
  <si>
    <t>Singapore master franchisee sales per store growth</t>
  </si>
  <si>
    <t>Japan master franchisee sales per store growth</t>
  </si>
  <si>
    <t>Financials</t>
  </si>
  <si>
    <t>Total APAC sales per store growth</t>
  </si>
  <si>
    <t>Total APAC sales per store</t>
  </si>
  <si>
    <t>Australia franchise revenue</t>
  </si>
  <si>
    <t>Singapore master franchise revenue</t>
  </si>
  <si>
    <t>Japan master franchise revenue</t>
  </si>
  <si>
    <t>Australia franchise sales</t>
  </si>
  <si>
    <t>APAC franchise revenue</t>
  </si>
  <si>
    <t>CoS Australia corporate</t>
  </si>
  <si>
    <t>Seasonality</t>
  </si>
  <si>
    <t>G&amp;A</t>
  </si>
  <si>
    <t>Adj. Australia segment Ebitda</t>
  </si>
  <si>
    <t>G&amp;A growth</t>
  </si>
  <si>
    <t>Australia corporate restaurant margin growth</t>
  </si>
  <si>
    <t>Australia corporate restaurant margin</t>
  </si>
  <si>
    <t>Adj. Australia segment Ebitda margin</t>
  </si>
  <si>
    <t>APAC royalty revenue</t>
  </si>
  <si>
    <t>APAC royalty revenue growth</t>
  </si>
  <si>
    <t>APAC franchise revenue growth</t>
  </si>
  <si>
    <t>Adj. Australia segment Ebitda growth</t>
  </si>
  <si>
    <t>Australia royalty revenue growth</t>
  </si>
  <si>
    <t>Australia corporate revenue growth</t>
  </si>
  <si>
    <t>CoS Australia corporate growth</t>
  </si>
  <si>
    <t>USA corporate revenue</t>
  </si>
  <si>
    <t>USA segment</t>
  </si>
  <si>
    <t>CoS USA corporate</t>
  </si>
  <si>
    <t>USA corporate restaurant margin</t>
  </si>
  <si>
    <t>Adj. USA segment Ebitda</t>
  </si>
  <si>
    <t>USA SSSg</t>
  </si>
  <si>
    <t xml:space="preserve">USA new stores </t>
  </si>
  <si>
    <t>USA network sales growth</t>
  </si>
  <si>
    <t>Store analysis</t>
  </si>
  <si>
    <t>USA corporate</t>
  </si>
  <si>
    <t>Change in USA corporate</t>
  </si>
  <si>
    <t>CoS USA corporate growth</t>
  </si>
  <si>
    <t>USA corporate restaurant margin growth</t>
  </si>
  <si>
    <t>Adj. USA segment Ebitda growth</t>
  </si>
  <si>
    <t>Growth &amp; margins</t>
  </si>
  <si>
    <t>Adj. USA segment Ebitda margin</t>
  </si>
  <si>
    <t>USA corporate sales per store</t>
  </si>
  <si>
    <t>USA corporate sales per store growth</t>
  </si>
  <si>
    <t>Earnings per store</t>
  </si>
  <si>
    <t>USA corporate margin per store</t>
  </si>
  <si>
    <t>USA corporate margin per store growth</t>
  </si>
  <si>
    <t>Adj. USA segment Ebitda per store</t>
  </si>
  <si>
    <t>Aus corporate margin per store</t>
  </si>
  <si>
    <t>Aus corporate margin per store growth</t>
  </si>
  <si>
    <t>Adj. Aus segment Ebitda per store (network)</t>
  </si>
  <si>
    <t>Aus royalty revenue per store</t>
  </si>
  <si>
    <t>Aus royalty revenue per store growth</t>
  </si>
  <si>
    <t>APAC franchise revenue per store</t>
  </si>
  <si>
    <t>APAC franchise revenue per store growth</t>
  </si>
  <si>
    <t>USA corporate sales</t>
  </si>
  <si>
    <t>Australia franchise</t>
  </si>
  <si>
    <t>Australia network</t>
  </si>
  <si>
    <t>Singapore master franchise</t>
  </si>
  <si>
    <t>Japan master franchise</t>
  </si>
  <si>
    <t>Network stores</t>
  </si>
  <si>
    <t>Total network sales</t>
  </si>
  <si>
    <t>Total network stores</t>
  </si>
  <si>
    <t>Adj. Group Ebitda</t>
  </si>
  <si>
    <t>Share based payments</t>
  </si>
  <si>
    <t>Rent and outgoings</t>
  </si>
  <si>
    <t>Statutory Ebitda</t>
  </si>
  <si>
    <t>GSe Ebitda</t>
  </si>
  <si>
    <t>Total revenue</t>
  </si>
  <si>
    <t>Cost of food and packaging</t>
  </si>
  <si>
    <t>% of revenue</t>
  </si>
  <si>
    <t>CoDB</t>
  </si>
  <si>
    <t>Total CoDB</t>
  </si>
  <si>
    <t>Pro Forma</t>
  </si>
  <si>
    <t>New franchise / corporate</t>
  </si>
  <si>
    <t>FY31E</t>
  </si>
  <si>
    <t>FY32E</t>
  </si>
  <si>
    <t>FY33E</t>
  </si>
  <si>
    <t>FY34E</t>
  </si>
  <si>
    <t>1H31E</t>
  </si>
  <si>
    <t>2H31E</t>
  </si>
  <si>
    <t>1H32E</t>
  </si>
  <si>
    <t>2H32E</t>
  </si>
  <si>
    <t>1H33E</t>
  </si>
  <si>
    <t>2H33E</t>
  </si>
  <si>
    <t>1H34E</t>
  </si>
  <si>
    <t>2H34E</t>
  </si>
  <si>
    <t>1H35E</t>
  </si>
  <si>
    <t>2H35E</t>
  </si>
  <si>
    <t>FY35E</t>
  </si>
  <si>
    <t>Depreciation (PPE)</t>
  </si>
  <si>
    <t>Depreciation (RoU)</t>
  </si>
  <si>
    <t>Financial expense (leases)</t>
  </si>
  <si>
    <t>Payments of lease liabilities (interest)</t>
  </si>
  <si>
    <t>Payments of lease liabilities (principal)</t>
  </si>
  <si>
    <t>Term deposit</t>
  </si>
  <si>
    <t>Ebit growth</t>
  </si>
  <si>
    <t>Adj. Ebit growth</t>
  </si>
  <si>
    <t>3yr CAGR - Revenue</t>
  </si>
  <si>
    <t>3yr CAGR - Adj. Npat</t>
  </si>
  <si>
    <t>Opex / Revenue</t>
  </si>
  <si>
    <t>CFO / Revenue</t>
  </si>
  <si>
    <t>EV / Revenue</t>
  </si>
  <si>
    <t>EV/Ebitda Valuation</t>
  </si>
  <si>
    <t>Australia franchisee royalty</t>
  </si>
  <si>
    <t>Singapore master franchisee royalty</t>
  </si>
  <si>
    <t>Japan master franchisee royalty</t>
  </si>
  <si>
    <t>Group Franchise royalty rate</t>
  </si>
  <si>
    <t>Adj. Group Ebitda margin</t>
  </si>
  <si>
    <t>Statutory Ebitda margin</t>
  </si>
  <si>
    <t>GSe Ebitda (pre AASB16 &amp; AASB2) margin</t>
  </si>
  <si>
    <t>Franchise fee revenue</t>
  </si>
  <si>
    <t>APAC revenue</t>
  </si>
  <si>
    <t>APAC franchise fee revenue</t>
  </si>
  <si>
    <t>Operating items</t>
  </si>
  <si>
    <t>Group revenue</t>
  </si>
  <si>
    <t>Adj. Segment Ebitda</t>
  </si>
  <si>
    <t>1H25A</t>
  </si>
  <si>
    <t>Singapore master</t>
  </si>
  <si>
    <t>Japan master</t>
  </si>
  <si>
    <t>APAC royalty</t>
  </si>
  <si>
    <t>Adj. Australia segment</t>
  </si>
  <si>
    <t>Adj. USA segment</t>
  </si>
  <si>
    <t>Adj. Australia margin</t>
  </si>
  <si>
    <t>Adj. USA margin</t>
  </si>
  <si>
    <t>Adj. Group margin</t>
  </si>
  <si>
    <t>Share payments</t>
  </si>
  <si>
    <t>Adj. Segment margin</t>
  </si>
  <si>
    <t>DCF Valuation (A$/sh)</t>
  </si>
  <si>
    <t>Multiple Valuation (A$/sh)</t>
  </si>
  <si>
    <t>Adj. Segment Ebitda margin</t>
  </si>
  <si>
    <t>Adj. Npat growth</t>
  </si>
  <si>
    <t>G&amp;A to network sales</t>
  </si>
  <si>
    <t>Reported G&amp;A (preso)</t>
  </si>
  <si>
    <t>Reported franchise revenue (preso)</t>
  </si>
  <si>
    <t>Reported G&amp; to network sales</t>
  </si>
  <si>
    <t>Rent / avg. stores</t>
  </si>
  <si>
    <t>Net cash (ex-leases)</t>
  </si>
  <si>
    <t>Weighting (%)</t>
  </si>
  <si>
    <t>POST-AASB16</t>
  </si>
  <si>
    <t>PRE-AASB16 ex-SBP</t>
  </si>
  <si>
    <t>PRE-AASB16</t>
  </si>
  <si>
    <t>APAC SSSg</t>
  </si>
  <si>
    <t>FY25A</t>
  </si>
  <si>
    <t>USA network sales</t>
  </si>
  <si>
    <t>% corproate revenue</t>
  </si>
  <si>
    <t xml:space="preserve"> </t>
  </si>
  <si>
    <t>2H25A</t>
  </si>
  <si>
    <t>Blended Ebitda (A$m)</t>
  </si>
  <si>
    <t>FY27E Ebitda (A$m)</t>
  </si>
  <si>
    <t>Blended eps (A$m)</t>
  </si>
  <si>
    <t>FY27E eps (cps)</t>
  </si>
  <si>
    <t>Aus Segment Ebitda / network sales</t>
  </si>
  <si>
    <t>EV / Ebitda Multiple valuation</t>
  </si>
  <si>
    <t>USA stores</t>
  </si>
  <si>
    <t>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</si>
</sst>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5" formatCode="0.0%"/>
    <numFmt numFmtId="166" formatCode="#,##0.0;\-#,##0.0;\-"/>
    <numFmt numFmtId="167" formatCode="0.0"/>
    <numFmt numFmtId="168" formatCode="#,##0;\-#,##0;\-"/>
    <numFmt numFmtId="169" formatCode="#,##0.00;\-#,##0.00;\-"/>
    <numFmt numFmtId="170" formatCode="d/mm/yy"/>
    <numFmt numFmtId="171" formatCode="#,##0.000;\-#,##0.000;\-"/>
    <numFmt numFmtId="172" formatCode="#,##0.0000;\-#,##0.0000;\-"/>
    <numFmt numFmtId="174" formatCode="#,##0.0"/>
    <numFmt numFmtId="175" formatCode="#,##0.000_ ;\-#,##0.000\ "/>
  </numFmts>
  <fonts count="4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22"/>
      <name val="Arial"/>
      <family val="2"/>
    </font>
    <font>
      <b/>
      <sz val="14"/>
      <name val="Arial"/>
      <family val="2"/>
    </font>
    <font>
      <sz val="8"/>
      <name val="Helv"/>
    </font>
    <font>
      <u/>
      <sz val="10"/>
      <color indexed="12"/>
      <name val="Arial"/>
      <family val="2"/>
    </font>
    <font>
      <u/>
      <sz val="10"/>
      <color theme="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b/>
      <sz val="10"/>
      <name val="Arial"/>
      <family val="2"/>
    </font>
    <font>
      <b/>
      <sz val="10"/>
      <color theme="0"/>
      <name val="Arial"/>
      <family val="2"/>
    </font>
    <font>
      <b/>
      <sz val="10"/>
      <color rgb="FF2E2E2E"/>
      <name val="Arial"/>
      <family val="2"/>
    </font>
    <font>
      <sz val="10"/>
      <color rgb="FF2C2C2C"/>
      <name val="Arial"/>
      <family val="2"/>
    </font>
    <font>
      <b/>
      <sz val="10"/>
      <color rgb="FF2C2C2C"/>
      <name val="Arial"/>
      <family val="2"/>
    </font>
    <font>
      <b/>
      <i/>
      <sz val="10"/>
      <color rgb="FF2E2E2E"/>
      <name val="Arial"/>
      <family val="2"/>
    </font>
    <font>
      <b/>
      <sz val="10"/>
      <color rgb="FF1E1E1E"/>
      <name val="Arial"/>
      <family val="2"/>
    </font>
    <font>
      <sz val="10"/>
      <name val="Arial"/>
      <family val="2"/>
    </font>
    <font>
      <sz val="10"/>
      <color theme="4" tint="0.249977111117893"/>
      <name val="Arial"/>
      <family val="2"/>
    </font>
    <font>
      <b/>
      <sz val="10"/>
      <color theme="4" tint="0.249977111117893"/>
      <name val="Arial"/>
      <family val="2"/>
    </font>
    <font>
      <b/>
      <i/>
      <sz val="10"/>
      <color rgb="FFFF0000"/>
      <name val="Arial"/>
      <family val="2"/>
    </font>
    <font>
      <b/>
      <i/>
      <sz val="10"/>
      <color theme="4" tint="0.249977111117893"/>
      <name val="Arial"/>
      <family val="2"/>
    </font>
    <font>
      <i/>
      <sz val="10"/>
      <color theme="4" tint="0.249977111117893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sz val="10"/>
      <color rgb="FFFF0000"/>
      <name val="Arial"/>
      <family val="2"/>
    </font>
    <font>
      <sz val="10"/>
      <color rgb="FF0A0AFE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u/>
      <sz val="10"/>
      <name val="Arial"/>
      <family val="2"/>
    </font>
    <font>
      <b/>
      <sz val="10"/>
      <color theme="2"/>
      <name val="Arial"/>
      <family val="2"/>
    </font>
    <font>
      <sz val="10"/>
      <color theme="2"/>
      <name val="Arial"/>
      <family val="2"/>
    </font>
    <font>
      <i/>
      <sz val="10"/>
      <color rgb="FF2E2E2E"/>
      <name val="Arial"/>
      <family val="2"/>
    </font>
    <font>
      <sz val="10"/>
      <color rgb="FF2E2E2E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10"/>
      <color theme="6"/>
      <name val="Arial"/>
      <family val="2"/>
    </font>
    <font>
      <b/>
      <i/>
      <sz val="10"/>
      <color theme="6"/>
      <name val="Arial"/>
      <family val="2"/>
    </font>
    <font>
      <b/>
      <i/>
      <sz val="10"/>
      <color rgb="FF0070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0F3FC"/>
        <bgColor indexed="64"/>
      </patternFill>
    </fill>
    <fill>
      <patternFill patternType="solid">
        <fgColor rgb="FFE7EBF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417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2" borderId="0" xfId="0" applyFont="1" applyFill="1"/>
    <xf numFmtId="0" fontId="7" fillId="0" borderId="0" xfId="3" applyFont="1" applyFill="1" applyAlignment="1" applyProtection="1"/>
    <xf numFmtId="0" fontId="9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1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vertical="center" wrapText="1"/>
    </xf>
    <xf numFmtId="0" fontId="15" fillId="2" borderId="0" xfId="0" applyFont="1" applyFill="1"/>
    <xf numFmtId="0" fontId="16" fillId="3" borderId="0" xfId="0" applyFont="1" applyFill="1"/>
    <xf numFmtId="0" fontId="8" fillId="4" borderId="0" xfId="0" applyFont="1" applyFill="1" applyAlignment="1">
      <alignment vertical="center" wrapText="1"/>
    </xf>
    <xf numFmtId="0" fontId="16" fillId="3" borderId="0" xfId="0" applyFont="1" applyFill="1" applyAlignment="1">
      <alignment horizontal="right"/>
    </xf>
    <xf numFmtId="0" fontId="8" fillId="0" borderId="0" xfId="0" applyFont="1"/>
    <xf numFmtId="0" fontId="16" fillId="3" borderId="0" xfId="0" applyFont="1" applyFill="1" applyAlignment="1">
      <alignment horizontal="left"/>
    </xf>
    <xf numFmtId="0" fontId="22" fillId="0" borderId="0" xfId="0" applyFont="1"/>
    <xf numFmtId="0" fontId="15" fillId="0" borderId="0" xfId="2" applyFont="1"/>
    <xf numFmtId="0" fontId="22" fillId="0" borderId="0" xfId="2" quotePrefix="1" applyFont="1"/>
    <xf numFmtId="0" fontId="8" fillId="0" borderId="0" xfId="0" applyFont="1" applyAlignment="1">
      <alignment wrapText="1"/>
    </xf>
    <xf numFmtId="0" fontId="9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166" fontId="8" fillId="0" borderId="0" xfId="0" applyNumberFormat="1" applyFont="1" applyAlignment="1">
      <alignment vertical="center" wrapText="1"/>
    </xf>
    <xf numFmtId="166" fontId="8" fillId="0" borderId="0" xfId="0" applyNumberFormat="1" applyFont="1"/>
    <xf numFmtId="166" fontId="23" fillId="0" borderId="0" xfId="0" applyNumberFormat="1" applyFont="1" applyAlignment="1">
      <alignment horizontal="right" vertical="center" wrapText="1"/>
    </xf>
    <xf numFmtId="166" fontId="8" fillId="0" borderId="0" xfId="0" applyNumberFormat="1" applyFont="1" applyAlignment="1">
      <alignment horizontal="right" vertical="center" wrapText="1"/>
    </xf>
    <xf numFmtId="166" fontId="17" fillId="4" borderId="0" xfId="0" applyNumberFormat="1" applyFont="1" applyFill="1" applyAlignment="1">
      <alignment horizontal="right" vertical="center" wrapText="1"/>
    </xf>
    <xf numFmtId="166" fontId="9" fillId="0" borderId="2" xfId="0" applyNumberFormat="1" applyFont="1" applyBorder="1" applyAlignment="1">
      <alignment vertical="center" wrapText="1"/>
    </xf>
    <xf numFmtId="166" fontId="8" fillId="0" borderId="2" xfId="0" applyNumberFormat="1" applyFont="1" applyBorder="1" applyAlignment="1">
      <alignment vertical="center" wrapText="1"/>
    </xf>
    <xf numFmtId="166" fontId="17" fillId="4" borderId="2" xfId="0" applyNumberFormat="1" applyFont="1" applyFill="1" applyBorder="1" applyAlignment="1">
      <alignment horizontal="right" vertical="center" wrapText="1"/>
    </xf>
    <xf numFmtId="166" fontId="9" fillId="0" borderId="2" xfId="0" applyNumberFormat="1" applyFont="1" applyBorder="1" applyAlignment="1">
      <alignment horizontal="right" vertical="center" wrapText="1"/>
    </xf>
    <xf numFmtId="166" fontId="11" fillId="0" borderId="0" xfId="0" applyNumberFormat="1" applyFont="1" applyAlignment="1">
      <alignment vertical="center" wrapText="1"/>
    </xf>
    <xf numFmtId="166" fontId="11" fillId="0" borderId="0" xfId="0" applyNumberFormat="1" applyFont="1" applyAlignment="1">
      <alignment horizontal="right" vertical="center" wrapText="1"/>
    </xf>
    <xf numFmtId="166" fontId="19" fillId="5" borderId="2" xfId="0" applyNumberFormat="1" applyFont="1" applyFill="1" applyBorder="1" applyAlignment="1">
      <alignment vertical="center" wrapText="1"/>
    </xf>
    <xf numFmtId="166" fontId="8" fillId="5" borderId="2" xfId="0" applyNumberFormat="1" applyFont="1" applyFill="1" applyBorder="1" applyAlignment="1">
      <alignment vertical="center" wrapText="1"/>
    </xf>
    <xf numFmtId="166" fontId="25" fillId="4" borderId="0" xfId="0" applyNumberFormat="1" applyFont="1" applyFill="1" applyAlignment="1">
      <alignment horizontal="right" vertical="center" wrapText="1"/>
    </xf>
    <xf numFmtId="0" fontId="12" fillId="0" borderId="2" xfId="0" applyFont="1" applyBorder="1" applyAlignment="1">
      <alignment vertical="center" wrapText="1"/>
    </xf>
    <xf numFmtId="166" fontId="8" fillId="4" borderId="0" xfId="0" applyNumberFormat="1" applyFont="1" applyFill="1" applyAlignment="1">
      <alignment horizontal="right" vertical="center" wrapText="1"/>
    </xf>
    <xf numFmtId="166" fontId="8" fillId="0" borderId="2" xfId="0" applyNumberFormat="1" applyFont="1" applyBorder="1" applyAlignment="1">
      <alignment horizontal="right" vertical="center" wrapText="1"/>
    </xf>
    <xf numFmtId="165" fontId="13" fillId="0" borderId="0" xfId="0" applyNumberFormat="1" applyFont="1" applyAlignment="1">
      <alignment horizontal="right" vertical="center" wrapText="1"/>
    </xf>
    <xf numFmtId="165" fontId="20" fillId="4" borderId="0" xfId="0" applyNumberFormat="1" applyFont="1" applyFill="1" applyAlignment="1">
      <alignment horizontal="right" vertical="center" wrapText="1"/>
    </xf>
    <xf numFmtId="165" fontId="11" fillId="0" borderId="0" xfId="0" applyNumberFormat="1" applyFont="1" applyAlignment="1">
      <alignment horizontal="right" vertical="center" wrapText="1"/>
    </xf>
    <xf numFmtId="167" fontId="8" fillId="4" borderId="0" xfId="0" applyNumberFormat="1" applyFont="1" applyFill="1" applyAlignment="1">
      <alignment vertical="center" wrapText="1"/>
    </xf>
    <xf numFmtId="167" fontId="8" fillId="0" borderId="0" xfId="0" applyNumberFormat="1" applyFont="1" applyAlignment="1">
      <alignment vertical="center" wrapText="1"/>
    </xf>
    <xf numFmtId="9" fontId="13" fillId="0" borderId="0" xfId="0" applyNumberFormat="1" applyFont="1" applyAlignment="1">
      <alignment vertical="center" wrapText="1"/>
    </xf>
    <xf numFmtId="166" fontId="8" fillId="0" borderId="1" xfId="0" applyNumberFormat="1" applyFont="1" applyBorder="1" applyAlignment="1">
      <alignment vertical="center" wrapText="1"/>
    </xf>
    <xf numFmtId="166" fontId="8" fillId="0" borderId="1" xfId="0" applyNumberFormat="1" applyFont="1" applyBorder="1" applyAlignment="1">
      <alignment horizontal="right" vertical="center" wrapText="1"/>
    </xf>
    <xf numFmtId="166" fontId="17" fillId="4" borderId="1" xfId="0" applyNumberFormat="1" applyFont="1" applyFill="1" applyBorder="1" applyAlignment="1">
      <alignment horizontal="right" vertical="center" wrapText="1"/>
    </xf>
    <xf numFmtId="166" fontId="9" fillId="0" borderId="1" xfId="0" applyNumberFormat="1" applyFont="1" applyBorder="1" applyAlignment="1">
      <alignment vertical="center" wrapText="1"/>
    </xf>
    <xf numFmtId="9" fontId="8" fillId="0" borderId="0" xfId="1" applyFont="1" applyBorder="1"/>
    <xf numFmtId="165" fontId="8" fillId="0" borderId="0" xfId="1" applyNumberFormat="1" applyFont="1" applyBorder="1"/>
    <xf numFmtId="9" fontId="8" fillId="0" borderId="0" xfId="1" applyFont="1" applyBorder="1" applyAlignment="1">
      <alignment vertical="center" wrapText="1"/>
    </xf>
    <xf numFmtId="9" fontId="8" fillId="0" borderId="0" xfId="1" applyFont="1" applyBorder="1" applyAlignment="1">
      <alignment horizontal="right" vertical="center" wrapText="1"/>
    </xf>
    <xf numFmtId="9" fontId="24" fillId="4" borderId="0" xfId="1" applyFont="1" applyFill="1" applyBorder="1" applyAlignment="1">
      <alignment horizontal="right" vertical="center" wrapText="1"/>
    </xf>
    <xf numFmtId="9" fontId="23" fillId="0" borderId="0" xfId="1" applyFont="1" applyBorder="1" applyAlignment="1">
      <alignment horizontal="right" vertical="center" wrapText="1"/>
    </xf>
    <xf numFmtId="9" fontId="17" fillId="4" borderId="0" xfId="1" applyFont="1" applyFill="1" applyBorder="1" applyAlignment="1">
      <alignment horizontal="right" vertical="center" wrapText="1"/>
    </xf>
    <xf numFmtId="9" fontId="13" fillId="0" borderId="0" xfId="1" applyFont="1" applyFill="1" applyBorder="1"/>
    <xf numFmtId="0" fontId="8" fillId="0" borderId="0" xfId="0" applyFont="1" applyAlignment="1">
      <alignment horizontal="center" vertical="center" wrapText="1"/>
    </xf>
    <xf numFmtId="165" fontId="8" fillId="0" borderId="0" xfId="1" applyNumberFormat="1" applyFont="1" applyBorder="1" applyAlignment="1">
      <alignment vertical="center" wrapText="1"/>
    </xf>
    <xf numFmtId="165" fontId="13" fillId="0" borderId="0" xfId="1" applyNumberFormat="1" applyFont="1" applyBorder="1" applyAlignment="1">
      <alignment horizontal="right" vertical="center" wrapText="1"/>
    </xf>
    <xf numFmtId="0" fontId="9" fillId="0" borderId="0" xfId="0" applyFont="1" applyAlignment="1">
      <alignment vertical="center"/>
    </xf>
    <xf numFmtId="165" fontId="23" fillId="0" borderId="0" xfId="1" applyNumberFormat="1" applyFont="1" applyBorder="1" applyAlignment="1">
      <alignment horizontal="right" vertical="center" wrapText="1"/>
    </xf>
    <xf numFmtId="165" fontId="8" fillId="0" borderId="0" xfId="1" applyNumberFormat="1" applyFont="1" applyBorder="1" applyAlignment="1">
      <alignment horizontal="right" vertical="center" wrapText="1"/>
    </xf>
    <xf numFmtId="0" fontId="13" fillId="0" borderId="0" xfId="0" applyFont="1"/>
    <xf numFmtId="165" fontId="27" fillId="0" borderId="0" xfId="1" applyNumberFormat="1" applyFont="1" applyBorder="1" applyAlignment="1">
      <alignment horizontal="right" vertical="center" wrapText="1"/>
    </xf>
    <xf numFmtId="165" fontId="26" fillId="4" borderId="0" xfId="1" applyNumberFormat="1" applyFont="1" applyFill="1" applyBorder="1" applyAlignment="1">
      <alignment horizontal="right" vertical="center" wrapText="1"/>
    </xf>
    <xf numFmtId="0" fontId="13" fillId="4" borderId="0" xfId="0" applyFont="1" applyFill="1" applyAlignment="1">
      <alignment vertical="center" wrapText="1"/>
    </xf>
    <xf numFmtId="169" fontId="8" fillId="0" borderId="0" xfId="0" applyNumberFormat="1" applyFont="1" applyAlignment="1">
      <alignment horizontal="right" vertical="center" wrapText="1"/>
    </xf>
    <xf numFmtId="0" fontId="8" fillId="0" borderId="2" xfId="0" applyFont="1" applyBorder="1"/>
    <xf numFmtId="165" fontId="8" fillId="4" borderId="0" xfId="1" applyNumberFormat="1" applyFont="1" applyFill="1" applyBorder="1" applyAlignment="1">
      <alignment vertical="center" wrapText="1"/>
    </xf>
    <xf numFmtId="165" fontId="17" fillId="4" borderId="0" xfId="1" applyNumberFormat="1" applyFont="1" applyFill="1" applyBorder="1" applyAlignment="1">
      <alignment horizontal="right" vertical="center" wrapText="1"/>
    </xf>
    <xf numFmtId="165" fontId="8" fillId="0" borderId="2" xfId="1" applyNumberFormat="1" applyFont="1" applyBorder="1" applyAlignment="1">
      <alignment horizontal="right" vertical="center" wrapText="1"/>
    </xf>
    <xf numFmtId="165" fontId="17" fillId="4" borderId="2" xfId="1" applyNumberFormat="1" applyFont="1" applyFill="1" applyBorder="1" applyAlignment="1">
      <alignment horizontal="right" vertical="center" wrapText="1"/>
    </xf>
    <xf numFmtId="0" fontId="9" fillId="0" borderId="0" xfId="0" applyFont="1" applyAlignment="1">
      <alignment horizontal="center" vertical="center" wrapText="1"/>
    </xf>
    <xf numFmtId="9" fontId="8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9" fontId="8" fillId="0" borderId="0" xfId="0" applyNumberFormat="1" applyFont="1" applyAlignment="1">
      <alignment horizontal="right" vertical="center"/>
    </xf>
    <xf numFmtId="0" fontId="9" fillId="0" borderId="0" xfId="0" applyFont="1" applyAlignment="1">
      <alignment horizontal="center" vertical="center"/>
    </xf>
    <xf numFmtId="0" fontId="21" fillId="6" borderId="2" xfId="0" applyFont="1" applyFill="1" applyBorder="1" applyAlignment="1">
      <alignment vertical="center"/>
    </xf>
    <xf numFmtId="169" fontId="23" fillId="0" borderId="0" xfId="0" applyNumberFormat="1" applyFont="1" applyAlignment="1">
      <alignment horizontal="right" vertical="center" wrapText="1"/>
    </xf>
    <xf numFmtId="170" fontId="8" fillId="0" borderId="0" xfId="0" applyNumberFormat="1" applyFont="1" applyAlignment="1">
      <alignment horizontal="right" vertical="center"/>
    </xf>
    <xf numFmtId="170" fontId="23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167" fontId="8" fillId="0" borderId="0" xfId="0" applyNumberFormat="1" applyFont="1" applyAlignment="1">
      <alignment horizontal="right" vertical="center"/>
    </xf>
    <xf numFmtId="165" fontId="21" fillId="6" borderId="2" xfId="0" applyNumberFormat="1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8" fillId="0" borderId="2" xfId="0" applyFont="1" applyBorder="1" applyAlignment="1">
      <alignment vertical="center"/>
    </xf>
    <xf numFmtId="2" fontId="8" fillId="0" borderId="0" xfId="0" applyNumberFormat="1" applyFont="1" applyAlignment="1">
      <alignment horizontal="center" vertical="center"/>
    </xf>
    <xf numFmtId="166" fontId="9" fillId="0" borderId="0" xfId="0" applyNumberFormat="1" applyFont="1" applyAlignment="1">
      <alignment horizontal="right" vertical="center"/>
    </xf>
    <xf numFmtId="166" fontId="8" fillId="0" borderId="0" xfId="0" applyNumberFormat="1" applyFont="1" applyAlignment="1">
      <alignment vertical="center"/>
    </xf>
    <xf numFmtId="166" fontId="8" fillId="0" borderId="0" xfId="0" applyNumberFormat="1" applyFont="1" applyAlignment="1">
      <alignment horizontal="right" vertical="center"/>
    </xf>
    <xf numFmtId="166" fontId="9" fillId="0" borderId="1" xfId="0" applyNumberFormat="1" applyFont="1" applyBorder="1" applyAlignment="1">
      <alignment horizontal="right" vertical="center"/>
    </xf>
    <xf numFmtId="166" fontId="9" fillId="0" borderId="2" xfId="0" applyNumberFormat="1" applyFont="1" applyBorder="1" applyAlignment="1">
      <alignment horizontal="right" vertical="center"/>
    </xf>
    <xf numFmtId="166" fontId="8" fillId="0" borderId="2" xfId="0" applyNumberFormat="1" applyFont="1" applyBorder="1" applyAlignment="1">
      <alignment vertical="center"/>
    </xf>
    <xf numFmtId="166" fontId="16" fillId="3" borderId="0" xfId="0" applyNumberFormat="1" applyFont="1" applyFill="1"/>
    <xf numFmtId="166" fontId="8" fillId="0" borderId="0" xfId="0" applyNumberFormat="1" applyFont="1" applyAlignment="1">
      <alignment horizontal="center" vertical="center"/>
    </xf>
    <xf numFmtId="169" fontId="8" fillId="0" borderId="0" xfId="0" applyNumberFormat="1" applyFont="1" applyAlignment="1">
      <alignment horizontal="right" vertical="center"/>
    </xf>
    <xf numFmtId="169" fontId="8" fillId="0" borderId="2" xfId="0" applyNumberFormat="1" applyFont="1" applyBorder="1" applyAlignment="1">
      <alignment horizontal="right" vertical="center"/>
    </xf>
    <xf numFmtId="2" fontId="21" fillId="6" borderId="2" xfId="0" applyNumberFormat="1" applyFont="1" applyFill="1" applyBorder="1" applyAlignment="1">
      <alignment vertical="center"/>
    </xf>
    <xf numFmtId="0" fontId="16" fillId="3" borderId="0" xfId="0" applyFont="1" applyFill="1" applyAlignment="1">
      <alignment horizontal="center" vertical="center" wrapText="1"/>
    </xf>
    <xf numFmtId="0" fontId="9" fillId="0" borderId="3" xfId="0" applyFont="1" applyBorder="1" applyAlignment="1">
      <alignment vertical="center"/>
    </xf>
    <xf numFmtId="166" fontId="9" fillId="0" borderId="3" xfId="0" applyNumberFormat="1" applyFont="1" applyBorder="1" applyAlignment="1">
      <alignment horizontal="right" vertical="center"/>
    </xf>
    <xf numFmtId="166" fontId="9" fillId="0" borderId="3" xfId="0" applyNumberFormat="1" applyFont="1" applyBorder="1" applyAlignment="1">
      <alignment vertical="center"/>
    </xf>
    <xf numFmtId="0" fontId="21" fillId="0" borderId="2" xfId="0" applyFont="1" applyBorder="1" applyAlignment="1">
      <alignment vertical="center"/>
    </xf>
    <xf numFmtId="165" fontId="21" fillId="0" borderId="2" xfId="1" applyNumberFormat="1" applyFont="1" applyFill="1" applyBorder="1" applyAlignment="1">
      <alignment vertical="center"/>
    </xf>
    <xf numFmtId="165" fontId="9" fillId="0" borderId="2" xfId="0" applyNumberFormat="1" applyFont="1" applyBorder="1" applyAlignment="1">
      <alignment horizontal="right" vertical="center"/>
    </xf>
    <xf numFmtId="169" fontId="17" fillId="4" borderId="0" xfId="0" applyNumberFormat="1" applyFont="1" applyFill="1" applyAlignment="1">
      <alignment horizontal="right" vertical="center" wrapText="1"/>
    </xf>
    <xf numFmtId="9" fontId="8" fillId="0" borderId="0" xfId="0" applyNumberFormat="1" applyFont="1"/>
    <xf numFmtId="9" fontId="13" fillId="0" borderId="0" xfId="0" applyNumberFormat="1" applyFont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16" fillId="8" borderId="0" xfId="0" applyFont="1" applyFill="1"/>
    <xf numFmtId="168" fontId="8" fillId="0" borderId="0" xfId="0" applyNumberFormat="1" applyFont="1" applyAlignment="1">
      <alignment horizontal="center" vertical="center" wrapText="1"/>
    </xf>
    <xf numFmtId="168" fontId="9" fillId="0" borderId="0" xfId="0" applyNumberFormat="1" applyFont="1" applyAlignment="1">
      <alignment horizontal="center" vertical="center" wrapText="1"/>
    </xf>
    <xf numFmtId="168" fontId="13" fillId="0" borderId="0" xfId="0" applyNumberFormat="1" applyFont="1" applyAlignment="1">
      <alignment horizontal="center" vertical="center" wrapText="1"/>
    </xf>
    <xf numFmtId="168" fontId="12" fillId="0" borderId="2" xfId="0" applyNumberFormat="1" applyFont="1" applyBorder="1" applyAlignment="1">
      <alignment horizontal="center" vertical="center" wrapText="1"/>
    </xf>
    <xf numFmtId="168" fontId="9" fillId="0" borderId="2" xfId="0" applyNumberFormat="1" applyFont="1" applyBorder="1" applyAlignment="1">
      <alignment horizontal="center" vertical="center" wrapText="1"/>
    </xf>
    <xf numFmtId="168" fontId="8" fillId="0" borderId="0" xfId="0" applyNumberFormat="1" applyFont="1" applyAlignment="1">
      <alignment vertical="center" wrapText="1"/>
    </xf>
    <xf numFmtId="0" fontId="16" fillId="8" borderId="0" xfId="0" applyFont="1" applyFill="1" applyAlignment="1">
      <alignment horizontal="center"/>
    </xf>
    <xf numFmtId="165" fontId="8" fillId="0" borderId="0" xfId="0" applyNumberFormat="1" applyFont="1" applyAlignment="1">
      <alignment horizontal="center" vertical="center" wrapText="1"/>
    </xf>
    <xf numFmtId="0" fontId="16" fillId="3" borderId="0" xfId="0" applyFont="1" applyFill="1" applyAlignment="1">
      <alignment horizontal="center"/>
    </xf>
    <xf numFmtId="0" fontId="8" fillId="0" borderId="0" xfId="0" applyFont="1" applyAlignment="1">
      <alignment horizontal="center"/>
    </xf>
    <xf numFmtId="0" fontId="13" fillId="0" borderId="0" xfId="0" applyFont="1" applyAlignment="1">
      <alignment horizontal="left" vertical="center" wrapText="1" indent="1"/>
    </xf>
    <xf numFmtId="1" fontId="8" fillId="0" borderId="0" xfId="0" applyNumberFormat="1" applyFont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/>
    </xf>
    <xf numFmtId="9" fontId="13" fillId="0" borderId="0" xfId="1" applyFont="1" applyBorder="1" applyAlignment="1">
      <alignment horizontal="center" vertical="center" wrapText="1"/>
    </xf>
    <xf numFmtId="0" fontId="22" fillId="0" borderId="0" xfId="0" applyFont="1" applyAlignment="1">
      <alignment vertical="center" wrapText="1"/>
    </xf>
    <xf numFmtId="0" fontId="29" fillId="0" borderId="0" xfId="0" applyFont="1" applyAlignment="1">
      <alignment vertical="center" wrapText="1"/>
    </xf>
    <xf numFmtId="166" fontId="24" fillId="4" borderId="0" xfId="0" applyNumberFormat="1" applyFont="1" applyFill="1" applyAlignment="1">
      <alignment horizontal="right" vertical="center" wrapText="1"/>
    </xf>
    <xf numFmtId="168" fontId="8" fillId="0" borderId="0" xfId="0" applyNumberFormat="1" applyFont="1" applyAlignment="1">
      <alignment horizontal="right" vertical="center" wrapText="1"/>
    </xf>
    <xf numFmtId="168" fontId="24" fillId="4" borderId="0" xfId="0" applyNumberFormat="1" applyFont="1" applyFill="1" applyAlignment="1">
      <alignment horizontal="right" vertical="center" wrapText="1"/>
    </xf>
    <xf numFmtId="166" fontId="9" fillId="0" borderId="0" xfId="0" applyNumberFormat="1" applyFont="1"/>
    <xf numFmtId="9" fontId="20" fillId="4" borderId="0" xfId="0" applyNumberFormat="1" applyFont="1" applyFill="1" applyAlignment="1">
      <alignment horizontal="right" vertical="center" wrapText="1"/>
    </xf>
    <xf numFmtId="9" fontId="13" fillId="0" borderId="0" xfId="0" applyNumberFormat="1" applyFont="1" applyAlignment="1">
      <alignment horizontal="right" vertical="center" wrapText="1"/>
    </xf>
    <xf numFmtId="166" fontId="22" fillId="0" borderId="0" xfId="0" applyNumberFormat="1" applyFont="1"/>
    <xf numFmtId="165" fontId="28" fillId="4" borderId="0" xfId="0" applyNumberFormat="1" applyFont="1" applyFill="1" applyAlignment="1">
      <alignment horizontal="right" vertical="center" wrapText="1"/>
    </xf>
    <xf numFmtId="166" fontId="10" fillId="0" borderId="0" xfId="0" applyNumberFormat="1" applyFont="1" applyAlignment="1">
      <alignment horizontal="right" vertical="center" wrapText="1"/>
    </xf>
    <xf numFmtId="0" fontId="13" fillId="0" borderId="2" xfId="0" applyFont="1" applyBorder="1" applyAlignment="1">
      <alignment vertical="center" wrapText="1"/>
    </xf>
    <xf numFmtId="166" fontId="22" fillId="0" borderId="0" xfId="0" applyNumberFormat="1" applyFont="1" applyAlignment="1">
      <alignment horizontal="right" vertical="center" wrapText="1"/>
    </xf>
    <xf numFmtId="166" fontId="15" fillId="4" borderId="0" xfId="0" applyNumberFormat="1" applyFont="1" applyFill="1" applyAlignment="1">
      <alignment horizontal="right" vertical="center" wrapText="1"/>
    </xf>
    <xf numFmtId="166" fontId="10" fillId="0" borderId="0" xfId="0" applyNumberFormat="1" applyFont="1"/>
    <xf numFmtId="166" fontId="10" fillId="0" borderId="0" xfId="0" applyNumberFormat="1" applyFont="1" applyAlignment="1">
      <alignment vertical="center" wrapText="1"/>
    </xf>
    <xf numFmtId="166" fontId="30" fillId="4" borderId="0" xfId="0" applyNumberFormat="1" applyFont="1" applyFill="1" applyAlignment="1">
      <alignment horizontal="right" vertical="center" wrapText="1"/>
    </xf>
    <xf numFmtId="166" fontId="18" fillId="5" borderId="2" xfId="0" applyNumberFormat="1" applyFont="1" applyFill="1" applyBorder="1" applyAlignment="1">
      <alignment horizontal="right" vertical="center" wrapText="1"/>
    </xf>
    <xf numFmtId="166" fontId="19" fillId="5" borderId="2" xfId="0" applyNumberFormat="1" applyFont="1" applyFill="1" applyBorder="1" applyAlignment="1">
      <alignment horizontal="right" vertical="center" wrapText="1"/>
    </xf>
    <xf numFmtId="165" fontId="13" fillId="0" borderId="0" xfId="1" applyNumberFormat="1" applyFont="1" applyBorder="1" applyAlignment="1">
      <alignment vertical="center" wrapText="1"/>
    </xf>
    <xf numFmtId="165" fontId="20" fillId="4" borderId="0" xfId="1" applyNumberFormat="1" applyFont="1" applyFill="1" applyBorder="1" applyAlignment="1">
      <alignment horizontal="right" vertical="center" wrapText="1"/>
    </xf>
    <xf numFmtId="165" fontId="11" fillId="0" borderId="0" xfId="1" applyNumberFormat="1" applyFont="1" applyBorder="1" applyAlignment="1">
      <alignment horizontal="right" vertical="center" wrapText="1"/>
    </xf>
    <xf numFmtId="166" fontId="10" fillId="4" borderId="0" xfId="0" applyNumberFormat="1" applyFont="1" applyFill="1" applyAlignment="1">
      <alignment horizontal="right" vertical="center" wrapText="1"/>
    </xf>
    <xf numFmtId="166" fontId="9" fillId="0" borderId="0" xfId="0" applyNumberFormat="1" applyFont="1" applyAlignment="1">
      <alignment vertical="center" wrapText="1"/>
    </xf>
    <xf numFmtId="166" fontId="24" fillId="4" borderId="1" xfId="0" applyNumberFormat="1" applyFont="1" applyFill="1" applyBorder="1" applyAlignment="1">
      <alignment horizontal="right" vertical="center" wrapText="1"/>
    </xf>
    <xf numFmtId="168" fontId="11" fillId="0" borderId="0" xfId="0" applyNumberFormat="1" applyFont="1" applyAlignment="1">
      <alignment horizontal="right" vertical="center" wrapText="1"/>
    </xf>
    <xf numFmtId="2" fontId="21" fillId="6" borderId="2" xfId="0" applyNumberFormat="1" applyFont="1" applyFill="1" applyBorder="1" applyAlignment="1">
      <alignment horizontal="center" vertical="center"/>
    </xf>
    <xf numFmtId="0" fontId="16" fillId="8" borderId="0" xfId="0" applyFont="1" applyFill="1" applyAlignment="1">
      <alignment horizontal="left"/>
    </xf>
    <xf numFmtId="0" fontId="8" fillId="0" borderId="0" xfId="0" applyFont="1" applyAlignment="1">
      <alignment horizontal="right" vertical="center" wrapText="1"/>
    </xf>
    <xf numFmtId="0" fontId="31" fillId="0" borderId="0" xfId="0" applyFont="1" applyAlignment="1">
      <alignment horizontal="right" vertical="center" wrapText="1"/>
    </xf>
    <xf numFmtId="0" fontId="17" fillId="4" borderId="0" xfId="0" applyFont="1" applyFill="1" applyAlignment="1">
      <alignment horizontal="right" vertical="center" wrapText="1"/>
    </xf>
    <xf numFmtId="0" fontId="9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165" fontId="20" fillId="4" borderId="2" xfId="1" applyNumberFormat="1" applyFont="1" applyFill="1" applyBorder="1" applyAlignment="1">
      <alignment horizontal="right" vertical="center" wrapText="1"/>
    </xf>
    <xf numFmtId="165" fontId="12" fillId="0" borderId="2" xfId="1" applyNumberFormat="1" applyFont="1" applyBorder="1" applyAlignment="1">
      <alignment horizontal="right" vertical="center" wrapText="1"/>
    </xf>
    <xf numFmtId="165" fontId="27" fillId="0" borderId="0" xfId="1" applyNumberFormat="1" applyFont="1" applyAlignment="1">
      <alignment horizontal="right" vertical="center" wrapText="1"/>
    </xf>
    <xf numFmtId="165" fontId="13" fillId="0" borderId="0" xfId="1" applyNumberFormat="1" applyFont="1" applyAlignment="1">
      <alignment horizontal="right" vertical="center" wrapText="1"/>
    </xf>
    <xf numFmtId="165" fontId="26" fillId="4" borderId="0" xfId="1" applyNumberFormat="1" applyFont="1" applyFill="1" applyAlignment="1">
      <alignment horizontal="right" vertical="center" wrapText="1"/>
    </xf>
    <xf numFmtId="166" fontId="22" fillId="0" borderId="1" xfId="0" applyNumberFormat="1" applyFont="1" applyBorder="1" applyAlignment="1">
      <alignment horizontal="right" vertical="center" wrapText="1"/>
    </xf>
    <xf numFmtId="166" fontId="15" fillId="4" borderId="1" xfId="0" applyNumberFormat="1" applyFont="1" applyFill="1" applyBorder="1" applyAlignment="1">
      <alignment horizontal="right" vertical="center" wrapText="1"/>
    </xf>
    <xf numFmtId="166" fontId="15" fillId="4" borderId="2" xfId="0" applyNumberFormat="1" applyFont="1" applyFill="1" applyBorder="1" applyAlignment="1">
      <alignment horizontal="right" vertical="center" wrapText="1"/>
    </xf>
    <xf numFmtId="166" fontId="23" fillId="0" borderId="2" xfId="0" applyNumberFormat="1" applyFont="1" applyBorder="1" applyAlignment="1">
      <alignment horizontal="right" vertical="center" wrapText="1"/>
    </xf>
    <xf numFmtId="166" fontId="24" fillId="4" borderId="2" xfId="0" applyNumberFormat="1" applyFont="1" applyFill="1" applyBorder="1" applyAlignment="1">
      <alignment horizontal="right" vertical="center" wrapText="1"/>
    </xf>
    <xf numFmtId="166" fontId="22" fillId="0" borderId="2" xfId="0" applyNumberFormat="1" applyFont="1" applyBorder="1" applyAlignment="1">
      <alignment horizontal="right" vertical="center" wrapText="1"/>
    </xf>
    <xf numFmtId="172" fontId="11" fillId="0" borderId="0" xfId="0" applyNumberFormat="1" applyFont="1" applyAlignment="1">
      <alignment horizontal="right" vertical="center" wrapText="1"/>
    </xf>
    <xf numFmtId="9" fontId="20" fillId="4" borderId="2" xfId="0" applyNumberFormat="1" applyFont="1" applyFill="1" applyBorder="1" applyAlignment="1">
      <alignment horizontal="right" vertical="center" wrapText="1"/>
    </xf>
    <xf numFmtId="9" fontId="13" fillId="0" borderId="2" xfId="0" applyNumberFormat="1" applyFont="1" applyBorder="1" applyAlignment="1">
      <alignment horizontal="right" vertical="center" wrapText="1"/>
    </xf>
    <xf numFmtId="9" fontId="11" fillId="0" borderId="2" xfId="0" applyNumberFormat="1" applyFont="1" applyBorder="1" applyAlignment="1">
      <alignment horizontal="right" vertical="center" wrapText="1"/>
    </xf>
    <xf numFmtId="168" fontId="8" fillId="0" borderId="0" xfId="0" applyNumberFormat="1" applyFont="1" applyAlignment="1">
      <alignment horizontal="center" vertical="center"/>
    </xf>
    <xf numFmtId="3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169" fontId="8" fillId="0" borderId="0" xfId="0" applyNumberFormat="1" applyFont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2" xfId="0" applyFont="1" applyBorder="1" applyAlignment="1">
      <alignment horizontal="center" vertical="center"/>
    </xf>
    <xf numFmtId="169" fontId="9" fillId="0" borderId="2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6" fontId="9" fillId="0" borderId="0" xfId="0" applyNumberFormat="1" applyFont="1" applyAlignment="1">
      <alignment horizontal="right" vertical="center" wrapText="1"/>
    </xf>
    <xf numFmtId="166" fontId="33" fillId="5" borderId="2" xfId="0" applyNumberFormat="1" applyFont="1" applyFill="1" applyBorder="1" applyAlignment="1">
      <alignment horizontal="right" vertical="center" wrapText="1"/>
    </xf>
    <xf numFmtId="166" fontId="32" fillId="5" borderId="2" xfId="0" applyNumberFormat="1" applyFont="1" applyFill="1" applyBorder="1" applyAlignment="1">
      <alignment horizontal="right" vertical="center" wrapText="1"/>
    </xf>
    <xf numFmtId="166" fontId="22" fillId="0" borderId="0" xfId="0" applyNumberFormat="1" applyFont="1" applyAlignment="1">
      <alignment vertical="center" wrapText="1"/>
    </xf>
    <xf numFmtId="166" fontId="29" fillId="0" borderId="0" xfId="0" applyNumberFormat="1" applyFont="1"/>
    <xf numFmtId="166" fontId="29" fillId="0" borderId="0" xfId="0" applyNumberFormat="1" applyFont="1" applyAlignment="1">
      <alignment horizontal="right" vertical="center" wrapText="1"/>
    </xf>
    <xf numFmtId="165" fontId="29" fillId="0" borderId="0" xfId="1" applyNumberFormat="1" applyFont="1" applyAlignment="1">
      <alignment horizontal="right" vertical="center" wrapText="1"/>
    </xf>
    <xf numFmtId="165" fontId="28" fillId="4" borderId="0" xfId="1" applyNumberFormat="1" applyFont="1" applyFill="1" applyAlignment="1">
      <alignment horizontal="right" vertical="center" wrapText="1"/>
    </xf>
    <xf numFmtId="0" fontId="29" fillId="0" borderId="0" xfId="0" applyFont="1"/>
    <xf numFmtId="0" fontId="34" fillId="0" borderId="0" xfId="0" applyFont="1" applyAlignment="1">
      <alignment vertical="center" wrapText="1"/>
    </xf>
    <xf numFmtId="165" fontId="8" fillId="0" borderId="0" xfId="1" applyNumberFormat="1" applyFont="1" applyAlignment="1">
      <alignment horizontal="right" vertical="center" wrapText="1"/>
    </xf>
    <xf numFmtId="165" fontId="17" fillId="4" borderId="0" xfId="1" applyNumberFormat="1" applyFont="1" applyFill="1" applyAlignment="1">
      <alignment horizontal="right" vertical="center" wrapText="1"/>
    </xf>
    <xf numFmtId="166" fontId="22" fillId="5" borderId="2" xfId="0" applyNumberFormat="1" applyFont="1" applyFill="1" applyBorder="1" applyAlignment="1">
      <alignment horizontal="right" vertical="center" wrapText="1"/>
    </xf>
    <xf numFmtId="166" fontId="15" fillId="5" borderId="2" xfId="0" applyNumberFormat="1" applyFont="1" applyFill="1" applyBorder="1" applyAlignment="1">
      <alignment horizontal="right" vertical="center" wrapText="1"/>
    </xf>
    <xf numFmtId="165" fontId="13" fillId="0" borderId="0" xfId="1" applyNumberFormat="1" applyFont="1" applyBorder="1" applyAlignment="1">
      <alignment horizontal="center" vertical="center" wrapText="1"/>
    </xf>
    <xf numFmtId="166" fontId="23" fillId="0" borderId="0" xfId="0" applyNumberFormat="1" applyFont="1" applyAlignment="1">
      <alignment vertical="center" wrapText="1"/>
    </xf>
    <xf numFmtId="166" fontId="23" fillId="0" borderId="0" xfId="0" applyNumberFormat="1" applyFont="1" applyAlignment="1">
      <alignment horizontal="center" vertical="center" wrapText="1"/>
    </xf>
    <xf numFmtId="9" fontId="22" fillId="0" borderId="0" xfId="1" applyFont="1" applyBorder="1" applyAlignment="1">
      <alignment horizontal="center" vertical="center" wrapText="1"/>
    </xf>
    <xf numFmtId="172" fontId="25" fillId="4" borderId="0" xfId="0" applyNumberFormat="1" applyFont="1" applyFill="1" applyAlignment="1">
      <alignment horizontal="right" vertical="center" wrapText="1"/>
    </xf>
    <xf numFmtId="166" fontId="35" fillId="4" borderId="0" xfId="0" applyNumberFormat="1" applyFont="1" applyFill="1" applyAlignment="1">
      <alignment horizontal="right" vertical="center" wrapText="1"/>
    </xf>
    <xf numFmtId="165" fontId="35" fillId="4" borderId="0" xfId="1" applyNumberFormat="1" applyFont="1" applyFill="1" applyBorder="1" applyAlignment="1">
      <alignment horizontal="right" vertical="center" wrapText="1"/>
    </xf>
    <xf numFmtId="169" fontId="35" fillId="4" borderId="0" xfId="0" applyNumberFormat="1" applyFont="1" applyFill="1" applyAlignment="1">
      <alignment horizontal="right" vertical="center" wrapText="1"/>
    </xf>
    <xf numFmtId="166" fontId="35" fillId="4" borderId="2" xfId="0" applyNumberFormat="1" applyFont="1" applyFill="1" applyBorder="1" applyAlignment="1">
      <alignment horizontal="right" vertical="center" wrapText="1"/>
    </xf>
    <xf numFmtId="9" fontId="35" fillId="4" borderId="0" xfId="1" applyFont="1" applyFill="1" applyBorder="1" applyAlignment="1">
      <alignment horizontal="right" vertical="center" wrapText="1"/>
    </xf>
    <xf numFmtId="0" fontId="36" fillId="4" borderId="0" xfId="0" applyFont="1" applyFill="1" applyAlignment="1">
      <alignment vertical="center" wrapText="1"/>
    </xf>
    <xf numFmtId="166" fontId="33" fillId="0" borderId="0" xfId="0" applyNumberFormat="1" applyFont="1" applyAlignment="1">
      <alignment horizontal="right" vertical="center" wrapText="1"/>
    </xf>
    <xf numFmtId="166" fontId="36" fillId="0" borderId="0" xfId="0" applyNumberFormat="1" applyFont="1" applyAlignment="1">
      <alignment horizontal="right" vertical="center" wrapText="1"/>
    </xf>
    <xf numFmtId="166" fontId="22" fillId="4" borderId="0" xfId="0" applyNumberFormat="1" applyFont="1" applyFill="1" applyAlignment="1">
      <alignment horizontal="right" vertical="center" wrapText="1"/>
    </xf>
    <xf numFmtId="165" fontId="13" fillId="0" borderId="0" xfId="1" applyNumberFormat="1" applyFont="1" applyFill="1" applyBorder="1" applyAlignment="1">
      <alignment horizontal="right" vertical="center" wrapText="1"/>
    </xf>
    <xf numFmtId="0" fontId="8" fillId="0" borderId="0" xfId="1" applyNumberFormat="1" applyFont="1" applyBorder="1" applyAlignment="1">
      <alignment vertical="center" wrapText="1"/>
    </xf>
    <xf numFmtId="166" fontId="15" fillId="0" borderId="2" xfId="0" applyNumberFormat="1" applyFont="1" applyBorder="1" applyAlignment="1">
      <alignment vertical="center" wrapText="1"/>
    </xf>
    <xf numFmtId="166" fontId="22" fillId="0" borderId="2" xfId="0" applyNumberFormat="1" applyFont="1" applyBorder="1" applyAlignment="1">
      <alignment vertical="center" wrapText="1"/>
    </xf>
    <xf numFmtId="165" fontId="12" fillId="0" borderId="2" xfId="1" applyNumberFormat="1" applyFont="1" applyFill="1" applyBorder="1" applyAlignment="1">
      <alignment horizontal="right" vertical="center" wrapText="1"/>
    </xf>
    <xf numFmtId="165" fontId="27" fillId="0" borderId="0" xfId="1" applyNumberFormat="1" applyFont="1" applyFill="1" applyAlignment="1">
      <alignment horizontal="right" vertical="center" wrapText="1"/>
    </xf>
    <xf numFmtId="165" fontId="13" fillId="0" borderId="0" xfId="1" applyNumberFormat="1" applyFont="1" applyFill="1" applyAlignment="1">
      <alignment horizontal="right" vertical="center" wrapText="1"/>
    </xf>
    <xf numFmtId="168" fontId="23" fillId="0" borderId="0" xfId="0" applyNumberFormat="1" applyFont="1" applyAlignment="1">
      <alignment horizontal="right" vertical="center" wrapText="1"/>
    </xf>
    <xf numFmtId="165" fontId="29" fillId="0" borderId="0" xfId="1" applyNumberFormat="1" applyFont="1" applyFill="1" applyAlignment="1">
      <alignment horizontal="right" vertical="center" wrapText="1"/>
    </xf>
    <xf numFmtId="168" fontId="22" fillId="0" borderId="0" xfId="0" applyNumberFormat="1" applyFont="1" applyAlignment="1">
      <alignment horizontal="right" vertical="center" wrapText="1"/>
    </xf>
    <xf numFmtId="166" fontId="13" fillId="0" borderId="0" xfId="0" applyNumberFormat="1" applyFont="1" applyAlignment="1">
      <alignment vertical="center" wrapText="1"/>
    </xf>
    <xf numFmtId="166" fontId="13" fillId="0" borderId="0" xfId="0" applyNumberFormat="1" applyFont="1" applyAlignment="1">
      <alignment horizontal="right" vertical="center" wrapText="1"/>
    </xf>
    <xf numFmtId="166" fontId="29" fillId="4" borderId="0" xfId="0" applyNumberFormat="1" applyFont="1" applyFill="1" applyAlignment="1">
      <alignment horizontal="right" vertical="center" wrapText="1"/>
    </xf>
    <xf numFmtId="0" fontId="8" fillId="0" borderId="0" xfId="1" applyNumberFormat="1" applyFont="1" applyBorder="1" applyAlignment="1">
      <alignment horizontal="right" vertical="center" wrapText="1"/>
    </xf>
    <xf numFmtId="0" fontId="38" fillId="4" borderId="0" xfId="1" applyNumberFormat="1" applyFont="1" applyFill="1" applyBorder="1" applyAlignment="1">
      <alignment horizontal="right" vertical="center" wrapText="1"/>
    </xf>
    <xf numFmtId="165" fontId="37" fillId="4" borderId="0" xfId="1" applyNumberFormat="1" applyFont="1" applyFill="1" applyBorder="1" applyAlignment="1">
      <alignment horizontal="right" vertical="center" wrapText="1"/>
    </xf>
    <xf numFmtId="9" fontId="22" fillId="4" borderId="0" xfId="1" applyFont="1" applyFill="1" applyAlignment="1">
      <alignment horizontal="right" vertical="center" wrapText="1"/>
    </xf>
    <xf numFmtId="9" fontId="29" fillId="4" borderId="0" xfId="1" applyFont="1" applyFill="1" applyAlignment="1">
      <alignment horizontal="right" vertical="center" wrapText="1"/>
    </xf>
    <xf numFmtId="9" fontId="37" fillId="4" borderId="0" xfId="1" applyFont="1" applyFill="1" applyBorder="1" applyAlignment="1">
      <alignment horizontal="right" vertical="center" wrapText="1"/>
    </xf>
    <xf numFmtId="166" fontId="15" fillId="0" borderId="1" xfId="0" applyNumberFormat="1" applyFont="1" applyBorder="1" applyAlignment="1">
      <alignment horizontal="right" vertical="center" wrapText="1"/>
    </xf>
    <xf numFmtId="166" fontId="9" fillId="0" borderId="1" xfId="0" applyNumberFormat="1" applyFont="1" applyBorder="1" applyAlignment="1">
      <alignment horizontal="right" vertical="center" wrapText="1"/>
    </xf>
    <xf numFmtId="166" fontId="28" fillId="4" borderId="1" xfId="0" applyNumberFormat="1" applyFont="1" applyFill="1" applyBorder="1" applyAlignment="1">
      <alignment horizontal="right" vertical="center" wrapText="1"/>
    </xf>
    <xf numFmtId="9" fontId="28" fillId="4" borderId="1" xfId="1" applyFont="1" applyFill="1" applyBorder="1" applyAlignment="1">
      <alignment horizontal="right" vertical="center" wrapText="1"/>
    </xf>
    <xf numFmtId="9" fontId="15" fillId="0" borderId="1" xfId="1" applyFont="1" applyFill="1" applyBorder="1" applyAlignment="1">
      <alignment horizontal="right" vertical="center" wrapText="1"/>
    </xf>
    <xf numFmtId="9" fontId="9" fillId="0" borderId="1" xfId="1" applyFont="1" applyFill="1" applyBorder="1" applyAlignment="1">
      <alignment horizontal="right" vertical="center" wrapText="1"/>
    </xf>
    <xf numFmtId="165" fontId="28" fillId="4" borderId="0" xfId="1" applyNumberFormat="1" applyFont="1" applyFill="1" applyBorder="1" applyAlignment="1">
      <alignment horizontal="right" vertical="center" wrapText="1"/>
    </xf>
    <xf numFmtId="165" fontId="29" fillId="0" borderId="0" xfId="1" applyNumberFormat="1" applyFont="1" applyFill="1" applyBorder="1" applyAlignment="1">
      <alignment horizontal="right" vertical="center" wrapText="1"/>
    </xf>
    <xf numFmtId="0" fontId="32" fillId="4" borderId="0" xfId="1" applyNumberFormat="1" applyFont="1" applyFill="1" applyBorder="1" applyAlignment="1">
      <alignment horizontal="right" vertical="center" wrapText="1"/>
    </xf>
    <xf numFmtId="0" fontId="32" fillId="0" borderId="0" xfId="1" applyNumberFormat="1" applyFont="1" applyFill="1" applyBorder="1" applyAlignment="1">
      <alignment horizontal="right" vertical="center" wrapText="1"/>
    </xf>
    <xf numFmtId="167" fontId="8" fillId="0" borderId="0" xfId="1" applyNumberFormat="1" applyFont="1" applyFill="1" applyBorder="1" applyAlignment="1">
      <alignment horizontal="right" vertical="center" wrapText="1"/>
    </xf>
    <xf numFmtId="167" fontId="32" fillId="4" borderId="0" xfId="1" applyNumberFormat="1" applyFont="1" applyFill="1" applyBorder="1" applyAlignment="1">
      <alignment horizontal="right" vertical="center" wrapText="1"/>
    </xf>
    <xf numFmtId="167" fontId="17" fillId="4" borderId="0" xfId="1" applyNumberFormat="1" applyFont="1" applyFill="1" applyBorder="1" applyAlignment="1">
      <alignment horizontal="right" vertical="center" wrapText="1"/>
    </xf>
    <xf numFmtId="0" fontId="32" fillId="4" borderId="0" xfId="0" applyFont="1" applyFill="1" applyAlignment="1">
      <alignment vertical="center" wrapText="1"/>
    </xf>
    <xf numFmtId="0" fontId="32" fillId="0" borderId="0" xfId="0" applyFont="1" applyAlignment="1">
      <alignment vertical="center" wrapText="1"/>
    </xf>
    <xf numFmtId="166" fontId="17" fillId="0" borderId="1" xfId="0" applyNumberFormat="1" applyFont="1" applyBorder="1" applyAlignment="1">
      <alignment horizontal="right" vertical="center" wrapText="1"/>
    </xf>
    <xf numFmtId="166" fontId="32" fillId="4" borderId="0" xfId="0" applyNumberFormat="1" applyFont="1" applyFill="1" applyAlignment="1">
      <alignment horizontal="right" vertical="center" wrapText="1"/>
    </xf>
    <xf numFmtId="171" fontId="22" fillId="0" borderId="0" xfId="0" applyNumberFormat="1" applyFont="1" applyAlignment="1">
      <alignment horizontal="right" vertical="center" wrapText="1"/>
    </xf>
    <xf numFmtId="0" fontId="22" fillId="4" borderId="0" xfId="0" applyFont="1" applyFill="1" applyAlignment="1">
      <alignment vertical="center" wrapText="1"/>
    </xf>
    <xf numFmtId="166" fontId="15" fillId="0" borderId="2" xfId="0" applyNumberFormat="1" applyFont="1" applyBorder="1" applyAlignment="1">
      <alignment horizontal="right" vertical="center" wrapText="1"/>
    </xf>
    <xf numFmtId="167" fontId="22" fillId="4" borderId="0" xfId="0" applyNumberFormat="1" applyFont="1" applyFill="1" applyAlignment="1">
      <alignment vertical="center" wrapText="1"/>
    </xf>
    <xf numFmtId="167" fontId="22" fillId="0" borderId="0" xfId="0" applyNumberFormat="1" applyFont="1" applyAlignment="1">
      <alignment vertical="center" wrapText="1"/>
    </xf>
    <xf numFmtId="165" fontId="15" fillId="4" borderId="0" xfId="1" applyNumberFormat="1" applyFont="1" applyFill="1" applyBorder="1" applyAlignment="1">
      <alignment horizontal="right" vertical="center" wrapText="1"/>
    </xf>
    <xf numFmtId="165" fontId="22" fillId="0" borderId="0" xfId="1" applyNumberFormat="1" applyFont="1" applyBorder="1" applyAlignment="1">
      <alignment horizontal="right" vertical="center" wrapText="1"/>
    </xf>
    <xf numFmtId="165" fontId="15" fillId="4" borderId="2" xfId="1" applyNumberFormat="1" applyFont="1" applyFill="1" applyBorder="1" applyAlignment="1">
      <alignment horizontal="right" vertical="center" wrapText="1"/>
    </xf>
    <xf numFmtId="165" fontId="22" fillId="0" borderId="2" xfId="1" applyNumberFormat="1" applyFont="1" applyBorder="1" applyAlignment="1">
      <alignment horizontal="right" vertical="center" wrapText="1"/>
    </xf>
    <xf numFmtId="165" fontId="22" fillId="4" borderId="0" xfId="1" applyNumberFormat="1" applyFont="1" applyFill="1" applyBorder="1" applyAlignment="1">
      <alignment vertical="center" wrapText="1"/>
    </xf>
    <xf numFmtId="165" fontId="22" fillId="0" borderId="0" xfId="1" applyNumberFormat="1" applyFont="1" applyBorder="1" applyAlignment="1">
      <alignment vertical="center" wrapText="1"/>
    </xf>
    <xf numFmtId="167" fontId="32" fillId="4" borderId="0" xfId="0" applyNumberFormat="1" applyFont="1" applyFill="1" applyAlignment="1">
      <alignment vertical="center" wrapText="1"/>
    </xf>
    <xf numFmtId="168" fontId="32" fillId="4" borderId="0" xfId="0" applyNumberFormat="1" applyFont="1" applyFill="1" applyAlignment="1">
      <alignment horizontal="right" vertical="center" wrapText="1"/>
    </xf>
    <xf numFmtId="168" fontId="22" fillId="0" borderId="0" xfId="0" applyNumberFormat="1" applyFont="1"/>
    <xf numFmtId="168" fontId="15" fillId="4" borderId="0" xfId="0" applyNumberFormat="1" applyFont="1" applyFill="1" applyAlignment="1">
      <alignment horizontal="right" vertical="center" wrapText="1"/>
    </xf>
    <xf numFmtId="0" fontId="22" fillId="0" borderId="1" xfId="0" applyFont="1" applyBorder="1" applyAlignment="1">
      <alignment vertical="center" wrapText="1"/>
    </xf>
    <xf numFmtId="168" fontId="22" fillId="0" borderId="1" xfId="0" applyNumberFormat="1" applyFont="1" applyBorder="1" applyAlignment="1">
      <alignment horizontal="right" vertical="center" wrapText="1"/>
    </xf>
    <xf numFmtId="167" fontId="8" fillId="0" borderId="0" xfId="0" applyNumberFormat="1" applyFont="1" applyAlignment="1">
      <alignment horizontal="right" vertical="center" wrapText="1"/>
    </xf>
    <xf numFmtId="0" fontId="15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166" fontId="15" fillId="0" borderId="0" xfId="0" applyNumberFormat="1" applyFont="1" applyAlignment="1">
      <alignment horizontal="right" vertical="center" wrapText="1"/>
    </xf>
    <xf numFmtId="166" fontId="28" fillId="4" borderId="0" xfId="0" applyNumberFormat="1" applyFont="1" applyFill="1" applyAlignment="1">
      <alignment horizontal="right" vertical="center" wrapText="1"/>
    </xf>
    <xf numFmtId="9" fontId="28" fillId="4" borderId="0" xfId="1" applyFont="1" applyFill="1" applyAlignment="1">
      <alignment horizontal="right" vertical="center" wrapText="1"/>
    </xf>
    <xf numFmtId="9" fontId="29" fillId="0" borderId="0" xfId="1" applyFont="1" applyFill="1" applyAlignment="1">
      <alignment horizontal="right" vertical="center" wrapText="1"/>
    </xf>
    <xf numFmtId="165" fontId="29" fillId="0" borderId="0" xfId="1" applyNumberFormat="1" applyFont="1"/>
    <xf numFmtId="165" fontId="29" fillId="0" borderId="0" xfId="1" applyNumberFormat="1" applyFont="1" applyAlignment="1">
      <alignment vertical="center" wrapText="1"/>
    </xf>
    <xf numFmtId="165" fontId="12" fillId="0" borderId="1" xfId="1" applyNumberFormat="1" applyFont="1" applyBorder="1" applyAlignment="1">
      <alignment vertical="center" wrapText="1"/>
    </xf>
    <xf numFmtId="165" fontId="29" fillId="0" borderId="1" xfId="1" applyNumberFormat="1" applyFont="1" applyBorder="1" applyAlignment="1">
      <alignment vertical="center" wrapText="1"/>
    </xf>
    <xf numFmtId="165" fontId="29" fillId="0" borderId="1" xfId="1" applyNumberFormat="1" applyFont="1" applyBorder="1" applyAlignment="1">
      <alignment horizontal="right" vertical="center" wrapText="1"/>
    </xf>
    <xf numFmtId="165" fontId="28" fillId="4" borderId="1" xfId="1" applyNumberFormat="1" applyFont="1" applyFill="1" applyBorder="1" applyAlignment="1">
      <alignment horizontal="right" vertical="center" wrapText="1"/>
    </xf>
    <xf numFmtId="165" fontId="29" fillId="0" borderId="1" xfId="1" applyNumberFormat="1" applyFont="1" applyFill="1" applyBorder="1" applyAlignment="1">
      <alignment horizontal="right" vertical="center" wrapText="1"/>
    </xf>
    <xf numFmtId="168" fontId="15" fillId="4" borderId="1" xfId="0" applyNumberFormat="1" applyFont="1" applyFill="1" applyBorder="1" applyAlignment="1">
      <alignment horizontal="right" vertical="center" wrapText="1"/>
    </xf>
    <xf numFmtId="168" fontId="15" fillId="0" borderId="1" xfId="0" applyNumberFormat="1" applyFont="1" applyBorder="1" applyAlignment="1">
      <alignment horizontal="right" vertical="center" wrapText="1"/>
    </xf>
    <xf numFmtId="168" fontId="10" fillId="0" borderId="0" xfId="0" applyNumberFormat="1" applyFont="1" applyAlignment="1">
      <alignment horizontal="right" vertical="center" wrapText="1"/>
    </xf>
    <xf numFmtId="165" fontId="22" fillId="0" borderId="0" xfId="1" applyNumberFormat="1" applyFont="1" applyFill="1" applyAlignment="1">
      <alignment horizontal="right" vertical="center" wrapText="1"/>
    </xf>
    <xf numFmtId="165" fontId="11" fillId="0" borderId="1" xfId="1" applyNumberFormat="1" applyFont="1" applyBorder="1" applyAlignment="1">
      <alignment horizontal="right" vertical="center" wrapText="1"/>
    </xf>
    <xf numFmtId="167" fontId="24" fillId="4" borderId="0" xfId="0" applyNumberFormat="1" applyFont="1" applyFill="1" applyAlignment="1">
      <alignment horizontal="right" vertical="center" wrapText="1"/>
    </xf>
    <xf numFmtId="167" fontId="23" fillId="0" borderId="0" xfId="0" applyNumberFormat="1" applyFont="1" applyAlignment="1">
      <alignment horizontal="right" vertical="center" wrapText="1"/>
    </xf>
    <xf numFmtId="174" fontId="22" fillId="0" borderId="0" xfId="0" applyNumberFormat="1" applyFont="1" applyAlignment="1">
      <alignment horizontal="right" vertical="center" wrapText="1"/>
    </xf>
    <xf numFmtId="174" fontId="15" fillId="0" borderId="1" xfId="0" applyNumberFormat="1" applyFont="1" applyBorder="1" applyAlignment="1">
      <alignment horizontal="right" vertical="center" wrapText="1"/>
    </xf>
    <xf numFmtId="174" fontId="15" fillId="4" borderId="1" xfId="0" applyNumberFormat="1" applyFont="1" applyFill="1" applyBorder="1" applyAlignment="1">
      <alignment horizontal="right" vertical="center" wrapText="1"/>
    </xf>
    <xf numFmtId="165" fontId="41" fillId="0" borderId="0" xfId="1" applyNumberFormat="1" applyFont="1" applyFill="1" applyAlignment="1">
      <alignment horizontal="right" vertical="center" wrapText="1"/>
    </xf>
    <xf numFmtId="165" fontId="42" fillId="4" borderId="0" xfId="1" applyNumberFormat="1" applyFont="1" applyFill="1" applyAlignment="1">
      <alignment horizontal="right" vertical="center" wrapText="1"/>
    </xf>
    <xf numFmtId="167" fontId="32" fillId="4" borderId="1" xfId="0" applyNumberFormat="1" applyFont="1" applyFill="1" applyBorder="1" applyAlignment="1">
      <alignment horizontal="right" vertical="center" wrapText="1"/>
    </xf>
    <xf numFmtId="167" fontId="33" fillId="0" borderId="1" xfId="0" applyNumberFormat="1" applyFont="1" applyBorder="1" applyAlignment="1">
      <alignment horizontal="right" vertical="center" wrapText="1"/>
    </xf>
    <xf numFmtId="167" fontId="22" fillId="0" borderId="1" xfId="0" applyNumberFormat="1" applyFont="1" applyBorder="1" applyAlignment="1">
      <alignment horizontal="right" vertical="center" wrapText="1"/>
    </xf>
    <xf numFmtId="174" fontId="22" fillId="0" borderId="1" xfId="0" applyNumberFormat="1" applyFont="1" applyBorder="1" applyAlignment="1">
      <alignment horizontal="right" vertical="center" wrapText="1"/>
    </xf>
    <xf numFmtId="9" fontId="15" fillId="4" borderId="0" xfId="1" applyFont="1" applyFill="1" applyAlignment="1">
      <alignment horizontal="right" vertical="center" wrapText="1"/>
    </xf>
    <xf numFmtId="169" fontId="22" fillId="0" borderId="0" xfId="0" applyNumberFormat="1" applyFont="1" applyAlignment="1">
      <alignment horizontal="right" vertical="center" wrapText="1"/>
    </xf>
    <xf numFmtId="169" fontId="22" fillId="0" borderId="1" xfId="0" applyNumberFormat="1" applyFont="1" applyBorder="1" applyAlignment="1">
      <alignment horizontal="right" vertical="center" wrapText="1"/>
    </xf>
    <xf numFmtId="169" fontId="15" fillId="4" borderId="0" xfId="0" applyNumberFormat="1" applyFont="1" applyFill="1" applyAlignment="1">
      <alignment horizontal="right" vertical="center" wrapText="1"/>
    </xf>
    <xf numFmtId="169" fontId="15" fillId="4" borderId="1" xfId="0" applyNumberFormat="1" applyFont="1" applyFill="1" applyBorder="1" applyAlignment="1">
      <alignment horizontal="right" vertical="center" wrapText="1"/>
    </xf>
    <xf numFmtId="169" fontId="15" fillId="0" borderId="1" xfId="0" applyNumberFormat="1" applyFont="1" applyBorder="1" applyAlignment="1">
      <alignment horizontal="right" vertical="center" wrapText="1"/>
    </xf>
    <xf numFmtId="166" fontId="23" fillId="0" borderId="1" xfId="0" applyNumberFormat="1" applyFont="1" applyBorder="1" applyAlignment="1">
      <alignment horizontal="right" vertical="center" wrapText="1"/>
    </xf>
    <xf numFmtId="167" fontId="32" fillId="4" borderId="1" xfId="0" applyNumberFormat="1" applyFont="1" applyFill="1" applyBorder="1" applyAlignment="1">
      <alignment vertical="center" wrapText="1"/>
    </xf>
    <xf numFmtId="165" fontId="15" fillId="4" borderId="0" xfId="1" applyNumberFormat="1" applyFont="1" applyFill="1" applyAlignment="1">
      <alignment horizontal="right" vertical="center" wrapText="1"/>
    </xf>
    <xf numFmtId="0" fontId="28" fillId="0" borderId="0" xfId="0" applyFont="1" applyAlignment="1">
      <alignment vertical="center" wrapText="1"/>
    </xf>
    <xf numFmtId="166" fontId="28" fillId="0" borderId="0" xfId="0" applyNumberFormat="1" applyFont="1" applyAlignment="1">
      <alignment horizontal="right" vertical="center" wrapText="1"/>
    </xf>
    <xf numFmtId="0" fontId="13" fillId="0" borderId="1" xfId="0" applyFont="1" applyBorder="1" applyAlignment="1">
      <alignment vertical="center" wrapText="1"/>
    </xf>
    <xf numFmtId="0" fontId="28" fillId="0" borderId="1" xfId="0" applyFont="1" applyBorder="1" applyAlignment="1">
      <alignment vertical="center" wrapText="1"/>
    </xf>
    <xf numFmtId="166" fontId="28" fillId="0" borderId="1" xfId="0" applyNumberFormat="1" applyFont="1" applyBorder="1" applyAlignment="1">
      <alignment horizontal="right" vertical="center" wrapText="1"/>
    </xf>
    <xf numFmtId="0" fontId="29" fillId="0" borderId="1" xfId="0" applyFont="1" applyBorder="1" applyAlignment="1">
      <alignment vertical="center" wrapText="1"/>
    </xf>
    <xf numFmtId="166" fontId="29" fillId="0" borderId="1" xfId="0" applyNumberFormat="1" applyFont="1" applyBorder="1" applyAlignment="1">
      <alignment horizontal="right" vertical="center" wrapText="1"/>
    </xf>
    <xf numFmtId="9" fontId="29" fillId="0" borderId="1" xfId="1" applyFont="1" applyFill="1" applyBorder="1" applyAlignment="1">
      <alignment horizontal="right" vertical="center" wrapText="1"/>
    </xf>
    <xf numFmtId="165" fontId="13" fillId="0" borderId="1" xfId="1" applyNumberFormat="1" applyFont="1" applyBorder="1" applyAlignment="1">
      <alignment vertical="center" wrapText="1"/>
    </xf>
    <xf numFmtId="165" fontId="12" fillId="0" borderId="2" xfId="1" applyNumberFormat="1" applyFont="1" applyBorder="1" applyAlignment="1">
      <alignment vertical="center" wrapText="1"/>
    </xf>
    <xf numFmtId="165" fontId="13" fillId="0" borderId="2" xfId="1" applyNumberFormat="1" applyFont="1" applyBorder="1" applyAlignment="1">
      <alignment vertical="center" wrapText="1"/>
    </xf>
    <xf numFmtId="165" fontId="13" fillId="0" borderId="0" xfId="1" applyNumberFormat="1" applyFont="1"/>
    <xf numFmtId="0" fontId="12" fillId="0" borderId="1" xfId="0" applyFont="1" applyBorder="1" applyAlignment="1">
      <alignment vertical="center" wrapText="1"/>
    </xf>
    <xf numFmtId="167" fontId="15" fillId="4" borderId="0" xfId="0" applyNumberFormat="1" applyFont="1" applyFill="1" applyAlignment="1">
      <alignment vertical="center" wrapText="1"/>
    </xf>
    <xf numFmtId="166" fontId="32" fillId="4" borderId="2" xfId="0" applyNumberFormat="1" applyFont="1" applyFill="1" applyBorder="1" applyAlignment="1">
      <alignment horizontal="right" vertical="center" wrapText="1"/>
    </xf>
    <xf numFmtId="166" fontId="33" fillId="0" borderId="2" xfId="0" applyNumberFormat="1" applyFont="1" applyBorder="1" applyAlignment="1">
      <alignment horizontal="right" vertical="center" wrapText="1"/>
    </xf>
    <xf numFmtId="0" fontId="8" fillId="0" borderId="3" xfId="0" applyFont="1" applyBorder="1" applyAlignment="1">
      <alignment vertical="center" wrapText="1"/>
    </xf>
    <xf numFmtId="0" fontId="22" fillId="0" borderId="3" xfId="0" applyFont="1" applyBorder="1" applyAlignment="1">
      <alignment vertical="center" wrapText="1"/>
    </xf>
    <xf numFmtId="166" fontId="22" fillId="0" borderId="3" xfId="0" applyNumberFormat="1" applyFont="1" applyBorder="1" applyAlignment="1">
      <alignment horizontal="right" vertical="center" wrapText="1"/>
    </xf>
    <xf numFmtId="166" fontId="15" fillId="4" borderId="3" xfId="0" applyNumberFormat="1" applyFont="1" applyFill="1" applyBorder="1" applyAlignment="1">
      <alignment horizontal="right" vertical="center" wrapText="1"/>
    </xf>
    <xf numFmtId="168" fontId="24" fillId="4" borderId="3" xfId="0" applyNumberFormat="1" applyFont="1" applyFill="1" applyBorder="1" applyAlignment="1">
      <alignment horizontal="right" vertical="center" wrapText="1"/>
    </xf>
    <xf numFmtId="168" fontId="23" fillId="0" borderId="3" xfId="0" applyNumberFormat="1" applyFont="1" applyBorder="1" applyAlignment="1">
      <alignment horizontal="right" vertical="center" wrapText="1"/>
    </xf>
    <xf numFmtId="168" fontId="8" fillId="0" borderId="3" xfId="0" applyNumberFormat="1" applyFont="1" applyBorder="1" applyAlignment="1">
      <alignment horizontal="right" vertical="center" wrapText="1"/>
    </xf>
    <xf numFmtId="168" fontId="22" fillId="0" borderId="3" xfId="0" applyNumberFormat="1" applyFont="1" applyBorder="1"/>
    <xf numFmtId="168" fontId="22" fillId="0" borderId="3" xfId="0" applyNumberFormat="1" applyFont="1" applyBorder="1" applyAlignment="1">
      <alignment horizontal="right" vertical="center" wrapText="1"/>
    </xf>
    <xf numFmtId="168" fontId="15" fillId="4" borderId="3" xfId="0" applyNumberFormat="1" applyFont="1" applyFill="1" applyBorder="1" applyAlignment="1">
      <alignment horizontal="right" vertical="center" wrapText="1"/>
    </xf>
    <xf numFmtId="165" fontId="15" fillId="4" borderId="1" xfId="1" applyNumberFormat="1" applyFont="1" applyFill="1" applyBorder="1" applyAlignment="1">
      <alignment horizontal="right" vertical="center" wrapText="1"/>
    </xf>
    <xf numFmtId="165" fontId="29" fillId="0" borderId="2" xfId="1" applyNumberFormat="1" applyFont="1" applyBorder="1" applyAlignment="1">
      <alignment vertical="center" wrapText="1"/>
    </xf>
    <xf numFmtId="165" fontId="29" fillId="0" borderId="2" xfId="1" applyNumberFormat="1" applyFont="1" applyBorder="1" applyAlignment="1">
      <alignment horizontal="right" vertical="center" wrapText="1"/>
    </xf>
    <xf numFmtId="165" fontId="28" fillId="4" borderId="2" xfId="1" applyNumberFormat="1" applyFont="1" applyFill="1" applyBorder="1" applyAlignment="1">
      <alignment horizontal="right" vertical="center" wrapText="1"/>
    </xf>
    <xf numFmtId="165" fontId="29" fillId="0" borderId="2" xfId="1" applyNumberFormat="1" applyFont="1" applyFill="1" applyBorder="1" applyAlignment="1">
      <alignment horizontal="right" vertical="center" wrapText="1"/>
    </xf>
    <xf numFmtId="165" fontId="11" fillId="0" borderId="2" xfId="1" applyNumberFormat="1" applyFont="1" applyBorder="1" applyAlignment="1">
      <alignment horizontal="right" vertical="center" wrapText="1"/>
    </xf>
    <xf numFmtId="167" fontId="15" fillId="4" borderId="1" xfId="0" applyNumberFormat="1" applyFont="1" applyFill="1" applyBorder="1" applyAlignment="1">
      <alignment vertical="center" wrapText="1"/>
    </xf>
    <xf numFmtId="168" fontId="15" fillId="4" borderId="0" xfId="0" applyNumberFormat="1" applyFont="1" applyFill="1" applyAlignment="1">
      <alignment vertical="center" wrapText="1"/>
    </xf>
    <xf numFmtId="168" fontId="15" fillId="4" borderId="1" xfId="0" applyNumberFormat="1" applyFont="1" applyFill="1" applyBorder="1" applyAlignment="1">
      <alignment vertical="center" wrapText="1"/>
    </xf>
    <xf numFmtId="167" fontId="15" fillId="4" borderId="1" xfId="0" applyNumberFormat="1" applyFont="1" applyFill="1" applyBorder="1" applyAlignment="1">
      <alignment horizontal="right" vertical="center" wrapText="1"/>
    </xf>
    <xf numFmtId="166" fontId="14" fillId="0" borderId="0" xfId="0" applyNumberFormat="1" applyFont="1" applyAlignment="1">
      <alignment vertical="center" wrapText="1"/>
    </xf>
    <xf numFmtId="9" fontId="20" fillId="4" borderId="0" xfId="1" applyFont="1" applyFill="1" applyBorder="1" applyAlignment="1">
      <alignment horizontal="right" vertical="center" wrapText="1"/>
    </xf>
    <xf numFmtId="165" fontId="8" fillId="0" borderId="0" xfId="1" applyNumberFormat="1" applyFont="1" applyFill="1" applyAlignment="1">
      <alignment horizontal="right" vertical="center" wrapText="1"/>
    </xf>
    <xf numFmtId="165" fontId="9" fillId="0" borderId="1" xfId="1" applyNumberFormat="1" applyFont="1" applyFill="1" applyBorder="1" applyAlignment="1">
      <alignment horizontal="right" vertical="center" wrapText="1"/>
    </xf>
    <xf numFmtId="9" fontId="11" fillId="0" borderId="0" xfId="1" applyFont="1" applyFill="1" applyBorder="1" applyAlignment="1">
      <alignment horizontal="right" vertical="center" wrapText="1"/>
    </xf>
    <xf numFmtId="9" fontId="28" fillId="4" borderId="0" xfId="1" applyFont="1" applyFill="1" applyBorder="1" applyAlignment="1">
      <alignment horizontal="right" vertical="center" wrapText="1"/>
    </xf>
    <xf numFmtId="9" fontId="29" fillId="0" borderId="0" xfId="1" applyFont="1" applyFill="1" applyBorder="1" applyAlignment="1">
      <alignment horizontal="right" vertical="center" wrapText="1"/>
    </xf>
    <xf numFmtId="0" fontId="15" fillId="2" borderId="5" xfId="0" applyFont="1" applyFill="1" applyBorder="1"/>
    <xf numFmtId="0" fontId="15" fillId="2" borderId="2" xfId="0" applyFont="1" applyFill="1" applyBorder="1"/>
    <xf numFmtId="0" fontId="15" fillId="2" borderId="4" xfId="0" applyFont="1" applyFill="1" applyBorder="1" applyAlignment="1">
      <alignment horizontal="right"/>
    </xf>
    <xf numFmtId="171" fontId="8" fillId="0" borderId="0" xfId="0" applyNumberFormat="1" applyFont="1" applyAlignment="1">
      <alignment horizontal="right" vertical="center" wrapText="1"/>
    </xf>
    <xf numFmtId="167" fontId="22" fillId="0" borderId="0" xfId="0" applyNumberFormat="1" applyFont="1" applyAlignment="1">
      <alignment horizontal="right" vertical="center" wrapText="1"/>
    </xf>
    <xf numFmtId="167" fontId="22" fillId="0" borderId="3" xfId="0" applyNumberFormat="1" applyFont="1" applyBorder="1" applyAlignment="1">
      <alignment horizontal="right" vertical="center" wrapText="1"/>
    </xf>
    <xf numFmtId="166" fontId="32" fillId="4" borderId="1" xfId="0" applyNumberFormat="1" applyFont="1" applyFill="1" applyBorder="1" applyAlignment="1">
      <alignment horizontal="right" vertical="center" wrapText="1"/>
    </xf>
    <xf numFmtId="168" fontId="32" fillId="4" borderId="1" xfId="0" applyNumberFormat="1" applyFont="1" applyFill="1" applyBorder="1" applyAlignment="1">
      <alignment horizontal="right" vertical="center" wrapText="1"/>
    </xf>
    <xf numFmtId="171" fontId="15" fillId="4" borderId="0" xfId="0" applyNumberFormat="1" applyFont="1" applyFill="1" applyAlignment="1">
      <alignment horizontal="right" vertical="center" wrapText="1"/>
    </xf>
    <xf numFmtId="9" fontId="22" fillId="0" borderId="0" xfId="1" applyFont="1" applyAlignment="1">
      <alignment horizontal="right" vertical="center" wrapText="1"/>
    </xf>
    <xf numFmtId="165" fontId="25" fillId="4" borderId="0" xfId="0" applyNumberFormat="1" applyFont="1" applyFill="1" applyAlignment="1">
      <alignment horizontal="right" vertical="center" wrapText="1"/>
    </xf>
    <xf numFmtId="0" fontId="8" fillId="10" borderId="0" xfId="0" applyFont="1" applyFill="1"/>
    <xf numFmtId="171" fontId="11" fillId="0" borderId="0" xfId="0" applyNumberFormat="1" applyFont="1" applyAlignment="1">
      <alignment horizontal="right" vertical="center" wrapText="1"/>
    </xf>
    <xf numFmtId="171" fontId="11" fillId="4" borderId="0" xfId="0" applyNumberFormat="1" applyFont="1" applyFill="1" applyAlignment="1">
      <alignment horizontal="right" vertical="center" wrapText="1"/>
    </xf>
    <xf numFmtId="166" fontId="11" fillId="0" borderId="0" xfId="0" applyNumberFormat="1" applyFont="1"/>
    <xf numFmtId="175" fontId="8" fillId="0" borderId="0" xfId="0" applyNumberFormat="1" applyFont="1" applyAlignment="1">
      <alignment vertical="center" wrapText="1"/>
    </xf>
    <xf numFmtId="172" fontId="15" fillId="2" borderId="0" xfId="0" applyNumberFormat="1" applyFont="1" applyFill="1"/>
    <xf numFmtId="165" fontId="8" fillId="0" borderId="0" xfId="1" applyNumberFormat="1" applyFont="1" applyAlignment="1">
      <alignment horizontal="right" vertical="center"/>
    </xf>
    <xf numFmtId="10" fontId="22" fillId="0" borderId="0" xfId="1" applyNumberFormat="1" applyFont="1" applyAlignment="1">
      <alignment horizontal="right" vertical="center" wrapText="1"/>
    </xf>
    <xf numFmtId="10" fontId="15" fillId="4" borderId="0" xfId="1" applyNumberFormat="1" applyFont="1" applyFill="1" applyAlignment="1">
      <alignment horizontal="right" vertical="center" wrapText="1"/>
    </xf>
    <xf numFmtId="10" fontId="15" fillId="0" borderId="0" xfId="1" applyNumberFormat="1" applyFont="1" applyAlignment="1">
      <alignment horizontal="right" vertical="center" wrapText="1"/>
    </xf>
    <xf numFmtId="166" fontId="15" fillId="0" borderId="0" xfId="0" applyNumberFormat="1" applyFont="1" applyAlignment="1">
      <alignment vertical="center" wrapText="1"/>
    </xf>
    <xf numFmtId="0" fontId="9" fillId="0" borderId="1" xfId="0" applyFont="1" applyBorder="1"/>
    <xf numFmtId="0" fontId="13" fillId="0" borderId="0" xfId="0" applyFont="1" applyAlignment="1">
      <alignment wrapText="1"/>
    </xf>
    <xf numFmtId="0" fontId="9" fillId="0" borderId="2" xfId="0" applyFont="1" applyBorder="1" applyAlignment="1">
      <alignment wrapText="1"/>
    </xf>
    <xf numFmtId="9" fontId="13" fillId="0" borderId="0" xfId="1" applyFont="1" applyBorder="1" applyAlignment="1">
      <alignment wrapText="1"/>
    </xf>
    <xf numFmtId="165" fontId="8" fillId="0" borderId="0" xfId="0" applyNumberFormat="1" applyFont="1"/>
    <xf numFmtId="9" fontId="12" fillId="0" borderId="1" xfId="1" applyFont="1" applyBorder="1" applyAlignment="1">
      <alignment horizontal="center" vertical="center" wrapText="1"/>
    </xf>
    <xf numFmtId="165" fontId="12" fillId="0" borderId="1" xfId="1" applyNumberFormat="1" applyFont="1" applyBorder="1" applyAlignment="1">
      <alignment horizontal="center" vertical="center" wrapText="1"/>
    </xf>
    <xf numFmtId="9" fontId="12" fillId="0" borderId="3" xfId="1" applyFont="1" applyBorder="1" applyAlignment="1">
      <alignment wrapText="1"/>
    </xf>
    <xf numFmtId="9" fontId="12" fillId="0" borderId="3" xfId="1" applyFont="1" applyBorder="1" applyAlignment="1">
      <alignment horizontal="center" vertical="center" wrapText="1"/>
    </xf>
    <xf numFmtId="165" fontId="12" fillId="0" borderId="3" xfId="1" applyNumberFormat="1" applyFont="1" applyBorder="1" applyAlignment="1">
      <alignment horizontal="center" vertical="center" wrapText="1"/>
    </xf>
    <xf numFmtId="166" fontId="30" fillId="4" borderId="1" xfId="0" applyNumberFormat="1" applyFont="1" applyFill="1" applyBorder="1" applyAlignment="1">
      <alignment horizontal="right" vertical="center" wrapText="1"/>
    </xf>
    <xf numFmtId="168" fontId="30" fillId="4" borderId="0" xfId="0" applyNumberFormat="1" applyFont="1" applyFill="1" applyAlignment="1">
      <alignment horizontal="right" vertical="center" wrapText="1"/>
    </xf>
    <xf numFmtId="169" fontId="15" fillId="7" borderId="0" xfId="0" applyNumberFormat="1" applyFont="1" applyFill="1" applyAlignment="1">
      <alignment horizontal="right" vertical="center" wrapText="1"/>
    </xf>
    <xf numFmtId="168" fontId="15" fillId="7" borderId="1" xfId="0" applyNumberFormat="1" applyFont="1" applyFill="1" applyBorder="1" applyAlignment="1">
      <alignment horizontal="right" vertical="center" wrapText="1"/>
    </xf>
    <xf numFmtId="165" fontId="28" fillId="7" borderId="1" xfId="1" applyNumberFormat="1" applyFont="1" applyFill="1" applyBorder="1" applyAlignment="1">
      <alignment horizontal="right" vertical="center" wrapText="1"/>
    </xf>
    <xf numFmtId="167" fontId="26" fillId="4" borderId="0" xfId="0" applyNumberFormat="1" applyFont="1" applyFill="1" applyAlignment="1">
      <alignment horizontal="right" vertical="center" wrapText="1"/>
    </xf>
    <xf numFmtId="167" fontId="27" fillId="0" borderId="0" xfId="0" applyNumberFormat="1" applyFont="1" applyAlignment="1">
      <alignment horizontal="right" vertical="center" wrapText="1"/>
    </xf>
    <xf numFmtId="167" fontId="13" fillId="0" borderId="0" xfId="0" applyNumberFormat="1" applyFont="1" applyAlignment="1">
      <alignment horizontal="right" vertical="center" wrapText="1"/>
    </xf>
    <xf numFmtId="167" fontId="43" fillId="4" borderId="0" xfId="1" applyNumberFormat="1" applyFont="1" applyFill="1" applyBorder="1" applyAlignment="1">
      <alignment horizontal="right" vertical="center" wrapText="1"/>
    </xf>
    <xf numFmtId="174" fontId="29" fillId="0" borderId="0" xfId="0" applyNumberFormat="1" applyFont="1" applyAlignment="1">
      <alignment horizontal="right" vertical="center" wrapText="1"/>
    </xf>
    <xf numFmtId="169" fontId="22" fillId="0" borderId="0" xfId="0" applyNumberFormat="1" applyFont="1"/>
    <xf numFmtId="169" fontId="8" fillId="0" borderId="0" xfId="0" applyNumberFormat="1" applyFont="1" applyAlignment="1">
      <alignment vertical="center" wrapText="1"/>
    </xf>
    <xf numFmtId="169" fontId="22" fillId="0" borderId="0" xfId="0" applyNumberFormat="1" applyFont="1" applyAlignment="1">
      <alignment vertical="center" wrapText="1"/>
    </xf>
    <xf numFmtId="165" fontId="11" fillId="0" borderId="0" xfId="1" applyNumberFormat="1" applyFont="1" applyFill="1" applyAlignment="1">
      <alignment horizontal="right" vertical="center" wrapText="1"/>
    </xf>
    <xf numFmtId="10" fontId="11" fillId="0" borderId="0" xfId="1" applyNumberFormat="1" applyFont="1" applyBorder="1" applyAlignment="1">
      <alignment horizontal="right" vertical="center" wrapText="1"/>
    </xf>
    <xf numFmtId="2" fontId="8" fillId="0" borderId="0" xfId="0" applyNumberFormat="1" applyFont="1"/>
    <xf numFmtId="9" fontId="8" fillId="0" borderId="0" xfId="1" applyFont="1" applyAlignment="1">
      <alignment horizontal="center" vertical="center"/>
    </xf>
    <xf numFmtId="9" fontId="13" fillId="0" borderId="0" xfId="0" applyNumberFormat="1" applyFont="1"/>
    <xf numFmtId="166" fontId="8" fillId="9" borderId="0" xfId="0" applyNumberFormat="1" applyFont="1" applyFill="1" applyAlignment="1">
      <alignment vertical="center"/>
    </xf>
    <xf numFmtId="165" fontId="43" fillId="4" borderId="0" xfId="1" applyNumberFormat="1" applyFont="1" applyFill="1" applyAlignment="1">
      <alignment horizontal="right" vertical="center" wrapText="1"/>
    </xf>
    <xf numFmtId="10" fontId="28" fillId="4" borderId="0" xfId="1" applyNumberFormat="1" applyFont="1" applyFill="1" applyBorder="1" applyAlignment="1">
      <alignment horizontal="right" vertical="center" wrapText="1"/>
    </xf>
    <xf numFmtId="10" fontId="29" fillId="0" borderId="0" xfId="1" applyNumberFormat="1" applyFont="1" applyFill="1" applyAlignment="1">
      <alignment horizontal="right" vertical="center" wrapText="1"/>
    </xf>
    <xf numFmtId="10" fontId="28" fillId="4" borderId="0" xfId="1" applyNumberFormat="1" applyFont="1" applyFill="1" applyAlignment="1">
      <alignment horizontal="right" vertical="center" wrapText="1"/>
    </xf>
    <xf numFmtId="167" fontId="32" fillId="0" borderId="0" xfId="1" applyNumberFormat="1" applyFont="1" applyFill="1" applyBorder="1" applyAlignment="1">
      <alignment horizontal="right" vertical="center" wrapText="1"/>
    </xf>
    <xf numFmtId="1" fontId="32" fillId="4" borderId="0" xfId="1" applyNumberFormat="1" applyFont="1" applyFill="1" applyBorder="1" applyAlignment="1">
      <alignment horizontal="right" vertical="center" wrapText="1"/>
    </xf>
    <xf numFmtId="166" fontId="33" fillId="0" borderId="1" xfId="0" applyNumberFormat="1" applyFont="1" applyBorder="1" applyAlignment="1">
      <alignment horizontal="right" vertical="center" wrapText="1"/>
    </xf>
    <xf numFmtId="171" fontId="17" fillId="0" borderId="1" xfId="0" applyNumberFormat="1" applyFont="1" applyBorder="1" applyAlignment="1">
      <alignment horizontal="right" vertical="center" wrapText="1"/>
    </xf>
    <xf numFmtId="9" fontId="13" fillId="0" borderId="0" xfId="1" applyFont="1" applyBorder="1" applyAlignment="1">
      <alignment horizontal="right" vertical="center" wrapText="1"/>
    </xf>
    <xf numFmtId="165" fontId="29" fillId="4" borderId="0" xfId="1" applyNumberFormat="1" applyFont="1" applyFill="1" applyBorder="1" applyAlignment="1">
      <alignment horizontal="right" vertical="center" wrapText="1"/>
    </xf>
    <xf numFmtId="9" fontId="29" fillId="0" borderId="0" xfId="1" applyFont="1" applyAlignment="1">
      <alignment horizontal="right" vertical="center" wrapText="1"/>
    </xf>
    <xf numFmtId="165" fontId="22" fillId="0" borderId="0" xfId="1" applyNumberFormat="1" applyFont="1" applyAlignment="1">
      <alignment horizontal="right" vertical="center" wrapText="1"/>
    </xf>
    <xf numFmtId="9" fontId="29" fillId="0" borderId="0" xfId="1" applyFont="1"/>
    <xf numFmtId="9" fontId="13" fillId="0" borderId="0" xfId="1" applyFont="1" applyAlignment="1">
      <alignment vertical="center" wrapText="1"/>
    </xf>
    <xf numFmtId="9" fontId="29" fillId="0" borderId="0" xfId="1" applyFont="1" applyAlignment="1">
      <alignment vertical="center" wrapText="1"/>
    </xf>
    <xf numFmtId="166" fontId="15" fillId="7" borderId="2" xfId="0" applyNumberFormat="1" applyFont="1" applyFill="1" applyBorder="1" applyAlignment="1">
      <alignment horizontal="right" vertical="center" wrapText="1"/>
    </xf>
    <xf numFmtId="165" fontId="28" fillId="7" borderId="0" xfId="1" applyNumberFormat="1" applyFont="1" applyFill="1" applyAlignment="1">
      <alignment horizontal="right" vertical="center" wrapText="1"/>
    </xf>
  </cellXfs>
  <cellStyles count="5">
    <cellStyle name="Hyperlink 2" xfId="3" xr:uid="{372D2B61-CB3C-4B3F-9C62-62171D0E989D}"/>
    <cellStyle name="Normal" xfId="0" builtinId="0"/>
    <cellStyle name="Normal_JCP (cleared)" xfId="2" xr:uid="{65419C12-B466-48FA-B7A0-47C31055EF2E}"/>
    <cellStyle name="Percent" xfId="1" builtinId="5"/>
    <cellStyle name="Percent 2" xfId="4" xr:uid="{34DB5B08-3931-416A-A33D-3B07219AB7CC}"/>
  </cellStyles>
  <dxfs count="0"/>
  <tableStyles count="0" defaultTableStyle="TableStyleMedium2" defaultPivotStyle="PivotStyleLight16"/>
  <colors>
    <mruColors>
      <color rgb="FFF0F3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9247594050743664E-2"/>
          <c:y val="5.0925925925925923E-2"/>
          <c:w val="0.89019685039370078"/>
          <c:h val="0.86482283464566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Segments!$B$140:$E$140</c:f>
              <c:strCache>
                <c:ptCount val="4"/>
                <c:pt idx="0">
                  <c:v>Japan master franchisee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Segments!$F$4:$AJ$4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FY26E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Segments!$F$140:$AJ$140</c:f>
              <c:numCache>
                <c:formatCode>#,##0;\-#,##0;\-</c:formatCode>
                <c:ptCount val="11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5</c:v>
                </c:pt>
                <c:pt idx="6">
                  <c:v>7</c:v>
                </c:pt>
                <c:pt idx="7">
                  <c:v>9</c:v>
                </c:pt>
                <c:pt idx="8">
                  <c:v>11</c:v>
                </c:pt>
                <c:pt idx="9">
                  <c:v>13</c:v>
                </c:pt>
                <c:pt idx="10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C8-481D-9F46-8B59F75D3AD7}"/>
            </c:ext>
          </c:extLst>
        </c:ser>
        <c:ser>
          <c:idx val="1"/>
          <c:order val="1"/>
          <c:tx>
            <c:strRef>
              <c:f>Segments!$B$144:$E$144</c:f>
              <c:strCache>
                <c:ptCount val="4"/>
                <c:pt idx="0">
                  <c:v>Change in stores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Segments!$F$4:$AJ$4</c:f>
              <c:strCache>
                <c:ptCount val="11"/>
                <c:pt idx="0">
                  <c:v>FY20A</c:v>
                </c:pt>
                <c:pt idx="1">
                  <c:v>FY21A</c:v>
                </c:pt>
                <c:pt idx="2">
                  <c:v>FY22A</c:v>
                </c:pt>
                <c:pt idx="3">
                  <c:v>FY23A</c:v>
                </c:pt>
                <c:pt idx="4">
                  <c:v>FY24A</c:v>
                </c:pt>
                <c:pt idx="5">
                  <c:v>FY25A</c:v>
                </c:pt>
                <c:pt idx="6">
                  <c:v>FY26E</c:v>
                </c:pt>
                <c:pt idx="7">
                  <c:v>FY27E</c:v>
                </c:pt>
                <c:pt idx="8">
                  <c:v>FY28E</c:v>
                </c:pt>
                <c:pt idx="9">
                  <c:v>FY29E</c:v>
                </c:pt>
                <c:pt idx="10">
                  <c:v>FY30E</c:v>
                </c:pt>
              </c:strCache>
            </c:strRef>
          </c:cat>
          <c:val>
            <c:numRef>
              <c:f>Segments!$F$149:$AJ$149</c:f>
              <c:numCache>
                <c:formatCode>#,##0.0;\-#,##0.0;\-</c:formatCode>
                <c:ptCount val="11"/>
                <c:pt idx="4" formatCode="#,##0;\-#,##0;\-">
                  <c:v>1</c:v>
                </c:pt>
                <c:pt idx="5" formatCode="#,##0;\-#,##0;\-">
                  <c:v>0</c:v>
                </c:pt>
                <c:pt idx="6" formatCode="#,##0;\-#,##0;\-">
                  <c:v>2</c:v>
                </c:pt>
                <c:pt idx="7" formatCode="#,##0;\-#,##0;\-">
                  <c:v>2</c:v>
                </c:pt>
                <c:pt idx="8" formatCode="#,##0;\-#,##0;\-">
                  <c:v>2</c:v>
                </c:pt>
                <c:pt idx="9" formatCode="#,##0;\-#,##0;\-">
                  <c:v>2</c:v>
                </c:pt>
                <c:pt idx="10" formatCode="#,##0;\-#,##0;\-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C8-481D-9F46-8B59F75D3A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28540815"/>
        <c:axId val="2028541295"/>
      </c:barChart>
      <c:catAx>
        <c:axId val="202854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541295"/>
        <c:crosses val="autoZero"/>
        <c:auto val="1"/>
        <c:lblAlgn val="ctr"/>
        <c:lblOffset val="100"/>
        <c:noMultiLvlLbl val="0"/>
      </c:catAx>
      <c:valAx>
        <c:axId val="202854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;\-#,##0;\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540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687707786526684"/>
          <c:y val="6.5392971711869308E-2"/>
          <c:w val="0.66513451443569549"/>
          <c:h val="7.812554680664916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42334</xdr:colOff>
      <xdr:row>1</xdr:row>
      <xdr:rowOff>74083</xdr:rowOff>
    </xdr:from>
    <xdr:to>
      <xdr:col>2</xdr:col>
      <xdr:colOff>86394</xdr:colOff>
      <xdr:row>5</xdr:row>
      <xdr:rowOff>0</xdr:rowOff>
    </xdr:to>
    <xdr:pic>
      <xdr:nvPicPr>
        <xdr:cNvPr id="2" name="Picture 190" descr="Logo_solid_6in">
          <a:extLst>
            <a:ext uri="{FF2B5EF4-FFF2-40B4-BE49-F238E27FC236}">
              <a16:creationId xmlns:a16="http://schemas.microsoft.com/office/drawing/2014/main" id="{F21439BB-8A96-4030-8824-9A6DA8F59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85284" y="378883"/>
          <a:ext cx="844160" cy="843492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6" name="worksheetKey" descr="{&quot;key&quot;:&quot;worksheetKey&quot;,&quot;value&quot;:&quot;160831b5-5272-4853-a09b-883bcc6dc59c&quot;}" hidden="1">
          <a:extLst>
            <a:ext uri="{FF2B5EF4-FFF2-40B4-BE49-F238E27FC236}">
              <a16:creationId xmlns:a16="http://schemas.microsoft.com/office/drawing/2014/main" id="{40EC6B2D-DCF8-7D28-6009-43BBBAF14FE7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9" name="worksheetKey" descr="{&quot;key&quot;:&quot;worksheetKey&quot;,&quot;value&quot;:&quot;37fe2558-2486-4ee8-ab6e-afd166795ff6&quot;}" hidden="1">
          <a:extLst>
            <a:ext uri="{FF2B5EF4-FFF2-40B4-BE49-F238E27FC236}">
              <a16:creationId xmlns:a16="http://schemas.microsoft.com/office/drawing/2014/main" id="{A003C856-6B1C-0BD3-986B-CD5EE918F145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52</xdr:col>
      <xdr:colOff>0</xdr:colOff>
      <xdr:row>134</xdr:row>
      <xdr:rowOff>0</xdr:rowOff>
    </xdr:from>
    <xdr:to>
      <xdr:col>58</xdr:col>
      <xdr:colOff>336177</xdr:colOff>
      <xdr:row>151</xdr:row>
      <xdr:rowOff>76200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E90CCDAC-9780-476A-92A9-503DA60DF5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4" name="worksheetKey" descr="{&quot;key&quot;:&quot;worksheetKey&quot;,&quot;value&quot;:&quot;55e0de0e-55dc-4daf-adb4-cdd0f5ae92ef&quot;}" hidden="1">
          <a:extLst>
            <a:ext uri="{FF2B5EF4-FFF2-40B4-BE49-F238E27FC236}">
              <a16:creationId xmlns:a16="http://schemas.microsoft.com/office/drawing/2014/main" id="{3155EB18-416F-6731-E0AF-525CDCC0CB89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0" cy="0"/>
    <xdr:sp macro="" textlink="">
      <xdr:nvSpPr>
        <xdr:cNvPr id="5" name="worksheetKey" descr="{&quot;key&quot;:&quot;worksheetKey&quot;,&quot;value&quot;:&quot;e7c11715-6836-4148-b6b8-d7310acf6497&quot;}" hidden="1">
          <a:extLst>
            <a:ext uri="{FF2B5EF4-FFF2-40B4-BE49-F238E27FC236}">
              <a16:creationId xmlns:a16="http://schemas.microsoft.com/office/drawing/2014/main" id="{DF09311A-B11E-1BC3-A462-79E723A25DF6}"/>
            </a:ext>
          </a:extLst>
        </xdr:cNvPr>
        <xdr:cNvSpPr txBox="1"/>
      </xdr:nvSpPr>
      <xdr:spPr>
        <a:xfrm>
          <a:off x="0" y="0"/>
          <a:ext cx="0" cy="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horz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Haidar, Rayanne [GIR]" id="{A2646A1C-A996-41FE-B26D-162424E90ECC}" userId="S::haidar@firmwide.corp.gs.com::ea0f758b-5e20-40d2-8779-f25b1f740c98" providerId="AD"/>
</personList>
</file>

<file path=xl/theme/theme1.xml><?xml version="1.0" encoding="utf-8"?>
<a:theme xmlns:a="http://schemas.openxmlformats.org/drawingml/2006/main" name="Office Theme">
  <a:themeElements>
    <a:clrScheme name="GIR Exhibits">
      <a:dk1>
        <a:srgbClr val="000000"/>
      </a:dk1>
      <a:lt1>
        <a:sysClr val="window" lastClr="FFFFFF"/>
      </a:lt1>
      <a:dk2>
        <a:srgbClr val="BE3232"/>
      </a:dk2>
      <a:lt2>
        <a:srgbClr val="F67F26"/>
      </a:lt2>
      <a:accent1>
        <a:srgbClr val="00355F"/>
      </a:accent1>
      <a:accent2>
        <a:srgbClr val="ACD4F1"/>
      </a:accent2>
      <a:accent3>
        <a:srgbClr val="A5A5A5"/>
      </a:accent3>
      <a:accent4>
        <a:srgbClr val="7399C6"/>
      </a:accent4>
      <a:accent5>
        <a:srgbClr val="078549"/>
      </a:accent5>
      <a:accent6>
        <a:srgbClr val="8BC346"/>
      </a:accent6>
      <a:hlink>
        <a:srgbClr val="7399C6"/>
      </a:hlink>
      <a:folHlink>
        <a:srgbClr val="A5A5A5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O11" dT="2024-08-30T00:23:22.27" personId="{A2646A1C-A996-41FE-B26D-162424E90ECC}" id="{F7E12977-B0FE-47FD-A567-9146F82D0B4F}">
    <text>Numbers from FY23 Accounts used.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elijah.mayr@gs.com" TargetMode="External"/><Relationship Id="rId1" Type="http://schemas.openxmlformats.org/officeDocument/2006/relationships/hyperlink" Target="mailto:elise.bailey@gs.com" TargetMode="External"/><Relationship Id="rId5" Type="http://schemas.openxmlformats.org/officeDocument/2006/relationships/drawing" Target="../drawings/drawing1.xml"/><Relationship Id="rId4" Type="http://schemas.openxmlformats.org/officeDocument/2006/relationships/customProperty" Target="../customProperty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4.bin"/><Relationship Id="rId7" Type="http://schemas.microsoft.com/office/2017/10/relationships/threadedComment" Target="../threadedComments/threadedComment1.xml"/><Relationship Id="rId2" Type="http://schemas.openxmlformats.org/officeDocument/2006/relationships/customProperty" Target="../customProperty3.bin"/><Relationship Id="rId1" Type="http://schemas.openxmlformats.org/officeDocument/2006/relationships/printerSettings" Target="../printerSettings/printerSettings3.bin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6.bin"/><Relationship Id="rId2" Type="http://schemas.openxmlformats.org/officeDocument/2006/relationships/customProperty" Target="../customProperty5.bin"/><Relationship Id="rId1" Type="http://schemas.openxmlformats.org/officeDocument/2006/relationships/printerSettings" Target="../printerSettings/printerSettings4.bin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customProperty" Target="../customProperty7.bin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9.bin"/><Relationship Id="rId2" Type="http://schemas.openxmlformats.org/officeDocument/2006/relationships/customProperty" Target="../customProperty8.bin"/><Relationship Id="rId1" Type="http://schemas.openxmlformats.org/officeDocument/2006/relationships/printerSettings" Target="../printerSettings/printerSettings6.bin"/><Relationship Id="rId4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225D2-1AB3-432C-B351-0910C5095D70}">
  <sheetPr>
    <tabColor theme="4"/>
    <pageSetUpPr autoPageBreaks="0"/>
  </sheetPr>
  <dimension ref="B1:D17"/>
  <sheetViews>
    <sheetView tabSelected="1" zoomScale="80" zoomScaleNormal="80" workbookViewId="0"/>
  </sheetViews>
  <sheetFormatPr defaultRowHeight="15" x14ac:dyDescent="0.25"/>
  <cols>
    <col min="1" max="1" width="3" customWidth="1"/>
    <col min="2" max="2" width="25.5703125" customWidth="1"/>
    <col min="3" max="3" width="22.5703125" customWidth="1"/>
    <col min="4" max="4" width="34.42578125" customWidth="1"/>
    <col min="5" max="5" width="25.42578125" customWidth="1"/>
    <col min="6" max="6" width="52.28515625" customWidth="1"/>
    <col min="7" max="7" width="46" customWidth="1"/>
    <col min="8" max="8" width="25.5703125" customWidth="1"/>
    <col min="9" max="9" width="27.42578125" customWidth="1"/>
    <col min="10" max="11" width="13.140625" customWidth="1"/>
    <col min="12" max="12" width="14.7109375" customWidth="1"/>
    <col min="13" max="13" width="40.7109375" customWidth="1"/>
    <col min="14" max="14" width="43" customWidth="1"/>
  </cols>
  <sheetData>
    <row r="1" spans="2:4" s="1" customFormat="1" ht="12" x14ac:dyDescent="0.2"/>
    <row r="2" spans="2:4" s="1" customFormat="1" ht="57" customHeight="1" x14ac:dyDescent="0.4">
      <c r="D2" s="2" t="s">
        <v>340</v>
      </c>
    </row>
    <row r="3" spans="2:4" s="1" customFormat="1" ht="43.5" customHeight="1" x14ac:dyDescent="0.25">
      <c r="D3" s="3" t="s">
        <v>0</v>
      </c>
    </row>
    <row r="4" spans="2:4" s="1" customFormat="1" ht="12" x14ac:dyDescent="0.2"/>
    <row r="5" spans="2:4" s="1" customFormat="1" ht="12" x14ac:dyDescent="0.2"/>
    <row r="6" spans="2:4" s="1" customFormat="1" ht="12" x14ac:dyDescent="0.2"/>
    <row r="7" spans="2:4" s="1" customFormat="1" ht="12" x14ac:dyDescent="0.2"/>
    <row r="8" spans="2:4" s="12" customFormat="1" ht="12.75" x14ac:dyDescent="0.2">
      <c r="B8" s="12" t="s">
        <v>36</v>
      </c>
    </row>
    <row r="9" spans="2:4" s="17" customFormat="1" ht="12.75" x14ac:dyDescent="0.2"/>
    <row r="10" spans="2:4" s="17" customFormat="1" ht="12.75" x14ac:dyDescent="0.2">
      <c r="B10" s="18" t="s">
        <v>4</v>
      </c>
    </row>
    <row r="11" spans="2:4" s="17" customFormat="1" ht="12.75" x14ac:dyDescent="0.2">
      <c r="B11" s="4" t="s">
        <v>5</v>
      </c>
    </row>
    <row r="12" spans="2:4" s="17" customFormat="1" ht="12.75" x14ac:dyDescent="0.2">
      <c r="B12" s="19" t="s">
        <v>6</v>
      </c>
    </row>
    <row r="13" spans="2:4" s="17" customFormat="1" ht="12.75" x14ac:dyDescent="0.2">
      <c r="B13" s="19"/>
    </row>
    <row r="14" spans="2:4" s="17" customFormat="1" ht="12.75" x14ac:dyDescent="0.2">
      <c r="B14" s="18" t="s">
        <v>1</v>
      </c>
    </row>
    <row r="15" spans="2:4" s="17" customFormat="1" ht="12.75" x14ac:dyDescent="0.2">
      <c r="B15" s="4" t="s">
        <v>2</v>
      </c>
    </row>
    <row r="16" spans="2:4" s="17" customFormat="1" ht="12.75" x14ac:dyDescent="0.2">
      <c r="B16" s="19" t="s">
        <v>3</v>
      </c>
    </row>
    <row r="17" spans="2:2" s="17" customFormat="1" ht="12.75" x14ac:dyDescent="0.2">
      <c r="B17" s="19"/>
    </row>
  </sheetData>
  <hyperlinks>
    <hyperlink ref="B15" r:id="rId1" xr:uid="{5D089F70-FBDA-40B0-BE6F-73E5E54483F5}"/>
    <hyperlink ref="B11" r:id="rId2" xr:uid="{06008B45-3683-4774-B49D-3EB553511CCD}"/>
  </hyperlinks>
  <pageMargins left="0.7" right="0.7" top="0.75" bottom="0.75" header="0.3" footer="0.3"/>
  <pageSetup paperSize="9" orientation="portrait" horizontalDpi="300" verticalDpi="300" r:id="rId3"/>
  <customProperties>
    <customPr name="Qube.Worksheet.Visibility" r:id="rId4"/>
  </customPropertie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5432B-830B-4A60-99DF-6B696F6B61A9}">
  <sheetPr>
    <tabColor theme="7" tint="0.39997558519241921"/>
    <pageSetUpPr autoPageBreaks="0" fitToPage="1"/>
  </sheetPr>
  <dimension ref="B1:AP87"/>
  <sheetViews>
    <sheetView zoomScale="85" zoomScaleNormal="85" workbookViewId="0"/>
  </sheetViews>
  <sheetFormatPr defaultRowHeight="12.75" outlineLevelCol="1" x14ac:dyDescent="0.2"/>
  <cols>
    <col min="1" max="1" width="3" style="15" customWidth="1"/>
    <col min="2" max="2" width="20.28515625" style="15" bestFit="1" customWidth="1"/>
    <col min="3" max="4" width="9.140625" style="15"/>
    <col min="5" max="6" width="9.140625" style="15" hidden="1" customWidth="1" outlineLevel="1"/>
    <col min="7" max="7" width="9.140625" style="15" collapsed="1"/>
    <col min="8" max="9" width="9.140625" style="15" hidden="1" customWidth="1" outlineLevel="1"/>
    <col min="10" max="10" width="9.140625" style="15" collapsed="1"/>
    <col min="11" max="12" width="9.140625" style="15" hidden="1" customWidth="1" outlineLevel="1"/>
    <col min="13" max="13" width="9.140625" style="15" collapsed="1"/>
    <col min="14" max="15" width="9.140625" style="15" hidden="1" customWidth="1" outlineLevel="1"/>
    <col min="16" max="16" width="9.140625" style="15" collapsed="1"/>
    <col min="17" max="18" width="0" style="15" hidden="1" customWidth="1" outlineLevel="1"/>
    <col min="19" max="19" width="9.140625" style="15" collapsed="1"/>
    <col min="20" max="20" width="4.7109375" style="15" customWidth="1"/>
    <col min="21" max="21" width="21" style="15" customWidth="1"/>
    <col min="22" max="23" width="9.140625" style="15"/>
    <col min="24" max="25" width="9.140625" style="15" hidden="1" customWidth="1" outlineLevel="1"/>
    <col min="26" max="26" width="9.140625" style="15" collapsed="1"/>
    <col min="27" max="28" width="9.140625" style="15" hidden="1" customWidth="1" outlineLevel="1"/>
    <col min="29" max="29" width="9.140625" style="15" collapsed="1"/>
    <col min="30" max="31" width="9.140625" style="15" hidden="1" customWidth="1" outlineLevel="1"/>
    <col min="32" max="32" width="9.140625" style="15" collapsed="1"/>
    <col min="33" max="34" width="9.140625" style="15" hidden="1" customWidth="1" outlineLevel="1"/>
    <col min="35" max="35" width="9.140625" style="15" collapsed="1"/>
    <col min="36" max="37" width="0" style="15" hidden="1" customWidth="1" outlineLevel="1"/>
    <col min="38" max="38" width="9.140625" style="15" collapsed="1"/>
    <col min="39" max="16384" width="9.140625" style="15"/>
  </cols>
  <sheetData>
    <row r="1" spans="2:40" s="11" customFormat="1" x14ac:dyDescent="0.2">
      <c r="B1" s="11" t="str">
        <f>+'GYG model -&gt;'!D2</f>
        <v>Guzman y Gomez (GYG.ASX)</v>
      </c>
    </row>
    <row r="2" spans="2:40" s="11" customFormat="1" x14ac:dyDescent="0.2">
      <c r="B2" s="11" t="s">
        <v>37</v>
      </c>
    </row>
    <row r="3" spans="2:40" s="11" customFormat="1" x14ac:dyDescent="0.2"/>
    <row r="4" spans="2:40" s="12" customFormat="1" x14ac:dyDescent="0.2"/>
    <row r="5" spans="2:40" ht="12" customHeight="1" x14ac:dyDescent="0.2"/>
    <row r="6" spans="2:40" ht="12" customHeight="1" x14ac:dyDescent="0.2"/>
    <row r="7" spans="2:40" ht="12" customHeight="1" x14ac:dyDescent="0.2"/>
    <row r="8" spans="2:40" ht="21.75" customHeight="1" x14ac:dyDescent="0.2">
      <c r="B8" s="12" t="s">
        <v>38</v>
      </c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6"/>
      <c r="U8" s="12" t="s">
        <v>39</v>
      </c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6"/>
      <c r="AN8" s="6"/>
    </row>
    <row r="9" spans="2:40" ht="21.75" customHeight="1" x14ac:dyDescent="0.2">
      <c r="B9" s="115" t="s">
        <v>40</v>
      </c>
      <c r="C9" s="115"/>
      <c r="D9" s="122" t="str">
        <f>+'Income &amp; Cash Flow'!L$4</f>
        <v>FY22A</v>
      </c>
      <c r="E9" s="115"/>
      <c r="F9" s="115"/>
      <c r="G9" s="122" t="str">
        <f>+'Income &amp; Cash Flow'!O$4</f>
        <v>FY23A</v>
      </c>
      <c r="H9" s="115"/>
      <c r="I9" s="115"/>
      <c r="J9" s="122" t="str">
        <f>+'Income &amp; Cash Flow'!R$4</f>
        <v>FY24A</v>
      </c>
      <c r="K9" s="115"/>
      <c r="L9" s="115"/>
      <c r="M9" s="122" t="str">
        <f>+'Income &amp; Cash Flow'!U$4</f>
        <v>FY25A</v>
      </c>
      <c r="N9" s="115"/>
      <c r="O9" s="115"/>
      <c r="P9" s="122" t="str">
        <f>+'Income &amp; Cash Flow'!X$4</f>
        <v>FY26E</v>
      </c>
      <c r="Q9" s="115"/>
      <c r="R9" s="115"/>
      <c r="S9" s="122" t="str">
        <f>+'Income &amp; Cash Flow'!AA$4</f>
        <v>FY27E</v>
      </c>
      <c r="T9" s="6"/>
      <c r="U9" s="115" t="s">
        <v>40</v>
      </c>
      <c r="V9" s="115"/>
      <c r="W9" s="122" t="str">
        <f>+'Income &amp; Cash Flow'!L$4</f>
        <v>FY22A</v>
      </c>
      <c r="X9" s="115"/>
      <c r="Y9" s="115"/>
      <c r="Z9" s="122" t="str">
        <f>+'Income &amp; Cash Flow'!O$4</f>
        <v>FY23A</v>
      </c>
      <c r="AA9" s="115"/>
      <c r="AB9" s="115"/>
      <c r="AC9" s="122" t="str">
        <f>+'Income &amp; Cash Flow'!R$4</f>
        <v>FY24A</v>
      </c>
      <c r="AD9" s="115"/>
      <c r="AE9" s="115"/>
      <c r="AF9" s="122" t="str">
        <f>+'Income &amp; Cash Flow'!U$4</f>
        <v>FY25A</v>
      </c>
      <c r="AG9" s="115"/>
      <c r="AH9" s="115"/>
      <c r="AI9" s="122" t="str">
        <f>+'Income &amp; Cash Flow'!X$4</f>
        <v>FY26E</v>
      </c>
      <c r="AJ9" s="115"/>
      <c r="AK9" s="115"/>
      <c r="AL9" s="122" t="str">
        <f>+'Income &amp; Cash Flow'!AA$4</f>
        <v>FY27E</v>
      </c>
      <c r="AM9" s="6"/>
      <c r="AN9" s="6"/>
    </row>
    <row r="10" spans="2:40" ht="21.75" customHeight="1" x14ac:dyDescent="0.2">
      <c r="B10" s="6" t="s">
        <v>9</v>
      </c>
      <c r="C10" s="58" t="s">
        <v>41</v>
      </c>
      <c r="D10" s="116">
        <f>'Income &amp; Cash Flow'!L8</f>
        <v>171.792</v>
      </c>
      <c r="E10" s="116">
        <f>'Income &amp; Cash Flow'!M8</f>
        <v>121.185</v>
      </c>
      <c r="F10" s="116">
        <f>'Income &amp; Cash Flow'!N8</f>
        <v>137.85899999999998</v>
      </c>
      <c r="G10" s="116">
        <f>'Income &amp; Cash Flow'!O8</f>
        <v>259.04399999999998</v>
      </c>
      <c r="H10" s="116">
        <f>'Income &amp; Cash Flow'!P8</f>
        <v>167.517</v>
      </c>
      <c r="I10" s="116">
        <f>'Income &amp; Cash Flow'!Q8</f>
        <v>174.697</v>
      </c>
      <c r="J10" s="116">
        <f>'Income &amp; Cash Flow'!R8</f>
        <v>342.214</v>
      </c>
      <c r="K10" s="116">
        <f>'Income &amp; Cash Flow'!S8</f>
        <v>212.41900000000001</v>
      </c>
      <c r="L10" s="116">
        <f>'Income &amp; Cash Flow'!T8</f>
        <v>223.56300000000002</v>
      </c>
      <c r="M10" s="116">
        <f>'Income &amp; Cash Flow'!U8</f>
        <v>435.98200000000003</v>
      </c>
      <c r="N10" s="116">
        <f>'Income &amp; Cash Flow'!V8</f>
        <v>265.23677994665508</v>
      </c>
      <c r="O10" s="116">
        <f>'Income &amp; Cash Flow'!W8</f>
        <v>273.59806469358296</v>
      </c>
      <c r="P10" s="116">
        <f>'Income &amp; Cash Flow'!X8</f>
        <v>538.83484464023809</v>
      </c>
      <c r="Q10" s="116">
        <f>'Income &amp; Cash Flow'!Y8</f>
        <v>316.62801771533719</v>
      </c>
      <c r="R10" s="116">
        <f>'Income &amp; Cash Flow'!Z8</f>
        <v>325.20742424136995</v>
      </c>
      <c r="S10" s="116">
        <f>'Income &amp; Cash Flow'!AA8</f>
        <v>641.8354419567072</v>
      </c>
      <c r="T10" s="6"/>
      <c r="U10" s="20" t="s">
        <v>42</v>
      </c>
      <c r="V10" s="58" t="s">
        <v>43</v>
      </c>
      <c r="W10" s="116">
        <f>+'Income &amp; Cash Flow'!L49</f>
        <v>0</v>
      </c>
      <c r="X10" s="116">
        <f>+'Income &amp; Cash Flow'!M49</f>
        <v>0</v>
      </c>
      <c r="Y10" s="116">
        <f>+'Income &amp; Cash Flow'!N49</f>
        <v>0</v>
      </c>
      <c r="Z10" s="116">
        <f>+'Income &amp; Cash Flow'!O49</f>
        <v>83.992294999999999</v>
      </c>
      <c r="AA10" s="116">
        <f>+'Income &amp; Cash Flow'!P49</f>
        <v>0</v>
      </c>
      <c r="AB10" s="116">
        <f>+'Income &amp; Cash Flow'!Q49</f>
        <v>85.568408000000005</v>
      </c>
      <c r="AC10" s="116">
        <f>+'Income &amp; Cash Flow'!R49</f>
        <v>85.568408000000005</v>
      </c>
      <c r="AD10" s="116">
        <f>+'Income &amp; Cash Flow'!S49</f>
        <v>106.134631</v>
      </c>
      <c r="AE10" s="116">
        <f>+'Income &amp; Cash Flow'!T49</f>
        <v>105.90498599999999</v>
      </c>
      <c r="AF10" s="116">
        <f>+'Income &amp; Cash Flow'!U49</f>
        <v>105.90498599999999</v>
      </c>
      <c r="AG10" s="116">
        <f>+'Income &amp; Cash Flow'!V49</f>
        <v>102.86054799999999</v>
      </c>
      <c r="AH10" s="116">
        <f>+'Income &amp; Cash Flow'!W49</f>
        <v>102.86054799999999</v>
      </c>
      <c r="AI10" s="116">
        <f>+'Income &amp; Cash Flow'!X49</f>
        <v>102.86054799999999</v>
      </c>
      <c r="AJ10" s="116">
        <f>+'Income &amp; Cash Flow'!Y49</f>
        <v>102.86054799999999</v>
      </c>
      <c r="AK10" s="116">
        <f>+'Income &amp; Cash Flow'!Z49</f>
        <v>102.86054799999999</v>
      </c>
      <c r="AL10" s="116">
        <f>+'Income &amp; Cash Flow'!AA49</f>
        <v>102.86054799999999</v>
      </c>
      <c r="AM10" s="6"/>
      <c r="AN10" s="6"/>
    </row>
    <row r="11" spans="2:40" ht="21.75" customHeight="1" x14ac:dyDescent="0.2">
      <c r="B11" s="6" t="s">
        <v>12</v>
      </c>
      <c r="C11" s="58" t="s">
        <v>41</v>
      </c>
      <c r="D11" s="116">
        <f>'Income &amp; Cash Flow'!L11</f>
        <v>-44.194000000000003</v>
      </c>
      <c r="E11" s="116">
        <f>'Income &amp; Cash Flow'!M11</f>
        <v>-32.905999999999999</v>
      </c>
      <c r="F11" s="116">
        <f>'Income &amp; Cash Flow'!N11</f>
        <v>-37.521999999999998</v>
      </c>
      <c r="G11" s="116">
        <f>'Income &amp; Cash Flow'!O11</f>
        <v>-70.427999999999997</v>
      </c>
      <c r="H11" s="116">
        <f>'Income &amp; Cash Flow'!P11</f>
        <v>-43.237000000000002</v>
      </c>
      <c r="I11" s="116">
        <f>'Income &amp; Cash Flow'!Q11</f>
        <v>-44.342999999999996</v>
      </c>
      <c r="J11" s="116">
        <f>'Income &amp; Cash Flow'!R11</f>
        <v>-87.58</v>
      </c>
      <c r="K11" s="116">
        <f>'Income &amp; Cash Flow'!S11</f>
        <v>-55.070999999999998</v>
      </c>
      <c r="L11" s="116">
        <f>'Income &amp; Cash Flow'!T11</f>
        <v>-58.876999999999995</v>
      </c>
      <c r="M11" s="116">
        <f>'Income &amp; Cash Flow'!U11</f>
        <v>-113.94799999999999</v>
      </c>
      <c r="N11" s="116">
        <f>'Income &amp; Cash Flow'!V11</f>
        <v>-61.957311263356317</v>
      </c>
      <c r="O11" s="116">
        <f>'Income &amp; Cash Flow'!W11</f>
        <v>-64.796535061858719</v>
      </c>
      <c r="P11" s="116">
        <f>'Income &amp; Cash Flow'!X11</f>
        <v>-126.75384632521504</v>
      </c>
      <c r="Q11" s="116">
        <f>'Income &amp; Cash Flow'!Y11</f>
        <v>-72.629712180058476</v>
      </c>
      <c r="R11" s="116">
        <f>'Income &amp; Cash Flow'!Z11</f>
        <v>-75.332895788698139</v>
      </c>
      <c r="S11" s="116">
        <f>'Income &amp; Cash Flow'!AA11</f>
        <v>-147.96260796875663</v>
      </c>
      <c r="T11" s="6"/>
      <c r="U11" s="20" t="s">
        <v>305</v>
      </c>
      <c r="V11" s="58" t="s">
        <v>44</v>
      </c>
      <c r="W11" s="116">
        <f>+'Income &amp; Cash Flow'!L51</f>
        <v>0</v>
      </c>
      <c r="X11" s="116">
        <f>+'Income &amp; Cash Flow'!M51</f>
        <v>0</v>
      </c>
      <c r="Y11" s="116">
        <f>+'Income &amp; Cash Flow'!N51</f>
        <v>0</v>
      </c>
      <c r="Z11" s="116">
        <f>+'Income &amp; Cash Flow'!O51</f>
        <v>3.5717561950176502</v>
      </c>
      <c r="AA11" s="116">
        <f>+'Income &amp; Cash Flow'!P51</f>
        <v>0</v>
      </c>
      <c r="AB11" s="116">
        <f>+'Income &amp; Cash Flow'!Q51</f>
        <v>2.2204456579348775</v>
      </c>
      <c r="AC11" s="116">
        <f>+'Income &amp; Cash Flow'!R51</f>
        <v>6.6613369738046311</v>
      </c>
      <c r="AD11" s="116">
        <f>+'Income &amp; Cash Flow'!S51</f>
        <v>0</v>
      </c>
      <c r="AE11" s="116">
        <f>+'Income &amp; Cash Flow'!T51</f>
        <v>6.7749407001479618</v>
      </c>
      <c r="AF11" s="116">
        <f>+'Income &amp; Cash Flow'!U51</f>
        <v>13.668855968688764</v>
      </c>
      <c r="AG11" s="116">
        <f>+'Income &amp; Cash Flow'!V51</f>
        <v>10.600816265574531</v>
      </c>
      <c r="AH11" s="116">
        <f>+'Income &amp; Cash Flow'!W51</f>
        <v>9.6080156261843399</v>
      </c>
      <c r="AI11" s="116">
        <f>+'Income &amp; Cash Flow'!X51</f>
        <v>20.20883189175888</v>
      </c>
      <c r="AJ11" s="116">
        <f>+'Income &amp; Cash Flow'!Y51</f>
        <v>16.512063877104598</v>
      </c>
      <c r="AK11" s="116">
        <f>+'Income &amp; Cash Flow'!Z51</f>
        <v>14.547767762189606</v>
      </c>
      <c r="AL11" s="116">
        <f>+'Income &amp; Cash Flow'!AA51</f>
        <v>31.05983163929421</v>
      </c>
      <c r="AM11" s="6"/>
      <c r="AN11" s="6"/>
    </row>
    <row r="12" spans="2:40" ht="21.75" customHeight="1" x14ac:dyDescent="0.2">
      <c r="B12" s="6" t="s">
        <v>23</v>
      </c>
      <c r="C12" s="58" t="s">
        <v>41</v>
      </c>
      <c r="D12" s="116">
        <f>+D13-D11-D10</f>
        <v>-103.69199999999999</v>
      </c>
      <c r="E12" s="116">
        <f t="shared" ref="E12:P12" si="0">+E13-E11-E10</f>
        <v>-73.742000000000019</v>
      </c>
      <c r="F12" s="116">
        <f t="shared" si="0"/>
        <v>-85.253000000000014</v>
      </c>
      <c r="G12" s="116">
        <f t="shared" si="0"/>
        <v>-158.995</v>
      </c>
      <c r="H12" s="116">
        <f t="shared" si="0"/>
        <v>-105.376</v>
      </c>
      <c r="I12" s="116">
        <f t="shared" si="0"/>
        <v>-121.98400000000001</v>
      </c>
      <c r="J12" s="116">
        <f t="shared" si="0"/>
        <v>-227.36</v>
      </c>
      <c r="K12" s="116">
        <f t="shared" si="0"/>
        <v>-125.77000000000001</v>
      </c>
      <c r="L12" s="116">
        <f t="shared" si="0"/>
        <v>-131.14499999999998</v>
      </c>
      <c r="M12" s="116">
        <f t="shared" si="0"/>
        <v>-256.91499999999996</v>
      </c>
      <c r="N12" s="116">
        <f t="shared" si="0"/>
        <v>-160.84282129295147</v>
      </c>
      <c r="O12" s="116">
        <f t="shared" si="0"/>
        <v>-168.21352148509015</v>
      </c>
      <c r="P12" s="116">
        <f t="shared" si="0"/>
        <v>-329.05634277804171</v>
      </c>
      <c r="Q12" s="116">
        <f t="shared" ref="Q12" si="1">+Q13-Q11-Q10</f>
        <v>-188.54865678531735</v>
      </c>
      <c r="R12" s="116">
        <f t="shared" ref="R12" si="2">+R13-R11-R10</f>
        <v>-195.56619304085876</v>
      </c>
      <c r="S12" s="116">
        <f t="shared" ref="S12" si="3">+S13-S11-S10</f>
        <v>-384.11484982617617</v>
      </c>
      <c r="T12" s="6"/>
      <c r="U12" s="372" t="s">
        <v>306</v>
      </c>
      <c r="V12" s="9" t="s">
        <v>45</v>
      </c>
      <c r="W12" s="116">
        <f>+'Income &amp; Cash Flow'!L66</f>
        <v>0</v>
      </c>
      <c r="X12" s="116">
        <f>+'Income &amp; Cash Flow'!M66</f>
        <v>0</v>
      </c>
      <c r="Y12" s="116">
        <f>+'Income &amp; Cash Flow'!N66</f>
        <v>0</v>
      </c>
      <c r="Z12" s="116">
        <f>+'Income &amp; Cash Flow'!O66</f>
        <v>0</v>
      </c>
      <c r="AA12" s="116">
        <f>+'Income &amp; Cash Flow'!P66</f>
        <v>0</v>
      </c>
      <c r="AB12" s="116">
        <f>+'Income &amp; Cash Flow'!Q66</f>
        <v>0</v>
      </c>
      <c r="AC12" s="116">
        <f>+'Income &amp; Cash Flow'!R66</f>
        <v>0</v>
      </c>
      <c r="AD12" s="112">
        <f>+'Income &amp; Cash Flow'!S66</f>
        <v>0</v>
      </c>
      <c r="AE12" s="112">
        <f>+'Income &amp; Cash Flow'!T66</f>
        <v>0</v>
      </c>
      <c r="AF12" s="112">
        <f>+'Income &amp; Cash Flow'!U66</f>
        <v>0</v>
      </c>
      <c r="AG12" s="112" t="e">
        <f>+'Income &amp; Cash Flow'!V66</f>
        <v>#DIV/0!</v>
      </c>
      <c r="AH12" s="112">
        <f>+'Income &amp; Cash Flow'!W66</f>
        <v>0.41816970087642313</v>
      </c>
      <c r="AI12" s="112">
        <f>+'Income &amp; Cash Flow'!X66</f>
        <v>0.47845817806927182</v>
      </c>
      <c r="AJ12" s="112">
        <f>+'Income &amp; Cash Flow'!Y66</f>
        <v>0.55762192867415905</v>
      </c>
      <c r="AK12" s="112">
        <f>+'Income &amp; Cash Flow'!Z66</f>
        <v>0.51412823710893618</v>
      </c>
      <c r="AL12" s="112">
        <f>+'Income &amp; Cash Flow'!AA66</f>
        <v>0.53694344164248031</v>
      </c>
      <c r="AM12" s="6"/>
      <c r="AN12" s="6"/>
    </row>
    <row r="13" spans="2:40" ht="21.75" customHeight="1" x14ac:dyDescent="0.2">
      <c r="B13" s="5" t="s">
        <v>20</v>
      </c>
      <c r="C13" s="74" t="s">
        <v>41</v>
      </c>
      <c r="D13" s="117">
        <f>+'Income &amp; Cash Flow'!L18</f>
        <v>23.906000000000006</v>
      </c>
      <c r="E13" s="117">
        <f>+'Income &amp; Cash Flow'!M18</f>
        <v>14.536999999999992</v>
      </c>
      <c r="F13" s="117">
        <f>+'Income &amp; Cash Flow'!N18</f>
        <v>15.083999999999975</v>
      </c>
      <c r="G13" s="117">
        <f>+'Income &amp; Cash Flow'!O18</f>
        <v>29.620999999999981</v>
      </c>
      <c r="H13" s="117">
        <f>+'Income &amp; Cash Flow'!P18</f>
        <v>18.903999999999996</v>
      </c>
      <c r="I13" s="117">
        <f>+'Income &amp; Cash Flow'!Q18</f>
        <v>8.3700000000000045</v>
      </c>
      <c r="J13" s="117">
        <f>+'Income &amp; Cash Flow'!R18</f>
        <v>27.274000000000001</v>
      </c>
      <c r="K13" s="117">
        <f>+'Income &amp; Cash Flow'!S18</f>
        <v>31.578000000000003</v>
      </c>
      <c r="L13" s="117">
        <f>+'Income &amp; Cash Flow'!T18</f>
        <v>33.541000000000025</v>
      </c>
      <c r="M13" s="117">
        <f>+'Income &amp; Cash Flow'!U18</f>
        <v>65.119000000000085</v>
      </c>
      <c r="N13" s="117">
        <f>+'Income &amp; Cash Flow'!V18</f>
        <v>42.436647390347282</v>
      </c>
      <c r="O13" s="117">
        <f>+'Income &amp; Cash Flow'!W18</f>
        <v>40.588008146634067</v>
      </c>
      <c r="P13" s="117">
        <f>+'Income &amp; Cash Flow'!X18</f>
        <v>83.024655536981356</v>
      </c>
      <c r="Q13" s="117">
        <f>+'Income &amp; Cash Flow'!Y18</f>
        <v>55.449648749961369</v>
      </c>
      <c r="R13" s="117">
        <f>+'Income &amp; Cash Flow'!Z18</f>
        <v>54.308335411813054</v>
      </c>
      <c r="S13" s="117">
        <f>+'Income &amp; Cash Flow'!AA18</f>
        <v>109.75798416177443</v>
      </c>
      <c r="T13" s="6"/>
      <c r="U13" s="20" t="s">
        <v>46</v>
      </c>
      <c r="V13" s="58" t="s">
        <v>44</v>
      </c>
      <c r="W13" s="116">
        <f>+'Balance Sheet'!L179</f>
        <v>0</v>
      </c>
      <c r="X13" s="116">
        <f>+'Balance Sheet'!M179</f>
        <v>0</v>
      </c>
      <c r="Y13" s="116">
        <f>+'Balance Sheet'!N179</f>
        <v>0</v>
      </c>
      <c r="Z13" s="116">
        <f>+'Balance Sheet'!O179</f>
        <v>0</v>
      </c>
      <c r="AA13" s="116">
        <f>+'Balance Sheet'!P179</f>
        <v>0</v>
      </c>
      <c r="AB13" s="116">
        <f>+'Balance Sheet'!Q179</f>
        <v>0</v>
      </c>
      <c r="AC13" s="116">
        <f>+'Balance Sheet'!R179</f>
        <v>0</v>
      </c>
      <c r="AD13" s="116">
        <f>+'Balance Sheet'!S179</f>
        <v>0</v>
      </c>
      <c r="AE13" s="116">
        <f>+'Balance Sheet'!T179</f>
        <v>0</v>
      </c>
      <c r="AF13" s="116">
        <f>+'Balance Sheet'!U179</f>
        <v>0</v>
      </c>
      <c r="AG13" s="116">
        <f>+'Balance Sheet'!V179</f>
        <v>0</v>
      </c>
      <c r="AH13" s="116">
        <f>+'Balance Sheet'!W179</f>
        <v>0</v>
      </c>
      <c r="AI13" s="116">
        <f>+'Balance Sheet'!X179</f>
        <v>0</v>
      </c>
      <c r="AJ13" s="116">
        <f>+'Balance Sheet'!Y179</f>
        <v>0</v>
      </c>
      <c r="AK13" s="116">
        <f>+'Balance Sheet'!Z179</f>
        <v>0</v>
      </c>
      <c r="AL13" s="116">
        <f>+'Balance Sheet'!AA179</f>
        <v>0</v>
      </c>
      <c r="AM13" s="6"/>
      <c r="AN13" s="6"/>
    </row>
    <row r="14" spans="2:40" ht="21.75" customHeight="1" x14ac:dyDescent="0.2">
      <c r="B14" s="8" t="s">
        <v>47</v>
      </c>
      <c r="C14" s="9" t="s">
        <v>41</v>
      </c>
      <c r="D14" s="118">
        <f>+D15-D13</f>
        <v>-2.2060000000000066</v>
      </c>
      <c r="E14" s="118">
        <f t="shared" ref="E14:P14" si="4">+E15-E13</f>
        <v>-0.33699999999999264</v>
      </c>
      <c r="F14" s="118">
        <f t="shared" si="4"/>
        <v>1.600000000002666E-2</v>
      </c>
      <c r="G14" s="118">
        <f t="shared" si="4"/>
        <v>-0.32099999999998019</v>
      </c>
      <c r="H14" s="118">
        <f t="shared" si="4"/>
        <v>5.7960000000000029</v>
      </c>
      <c r="I14" s="118">
        <f t="shared" si="4"/>
        <v>11.729999999999993</v>
      </c>
      <c r="J14" s="118">
        <f t="shared" si="4"/>
        <v>17.525999999999996</v>
      </c>
      <c r="K14" s="118">
        <f t="shared" si="4"/>
        <v>0</v>
      </c>
      <c r="L14" s="118">
        <f t="shared" si="4"/>
        <v>0</v>
      </c>
      <c r="M14" s="118">
        <f t="shared" si="4"/>
        <v>0</v>
      </c>
      <c r="N14" s="118">
        <f t="shared" si="4"/>
        <v>0</v>
      </c>
      <c r="O14" s="118">
        <f t="shared" si="4"/>
        <v>0</v>
      </c>
      <c r="P14" s="118">
        <f t="shared" si="4"/>
        <v>0</v>
      </c>
      <c r="Q14" s="118">
        <f t="shared" ref="Q14" si="5">+Q15-Q13</f>
        <v>0</v>
      </c>
      <c r="R14" s="118">
        <f t="shared" ref="R14" si="6">+R15-R13</f>
        <v>0</v>
      </c>
      <c r="S14" s="118">
        <f t="shared" ref="S14" si="7">+S15-S13</f>
        <v>0</v>
      </c>
      <c r="T14" s="6"/>
      <c r="U14" s="372" t="s">
        <v>48</v>
      </c>
      <c r="V14" s="9" t="s">
        <v>45</v>
      </c>
      <c r="W14" s="116">
        <f>+'Income &amp; Cash Flow'!L154</f>
        <v>0</v>
      </c>
      <c r="X14" s="116">
        <f>+'Income &amp; Cash Flow'!M154</f>
        <v>0</v>
      </c>
      <c r="Y14" s="116">
        <f>+'Income &amp; Cash Flow'!N154</f>
        <v>0</v>
      </c>
      <c r="Z14" s="116">
        <f>+'Income &amp; Cash Flow'!O154</f>
        <v>0</v>
      </c>
      <c r="AA14" s="116">
        <f>+'Income &amp; Cash Flow'!P154</f>
        <v>0</v>
      </c>
      <c r="AB14" s="116">
        <f>+'Income &amp; Cash Flow'!Q154</f>
        <v>0</v>
      </c>
      <c r="AC14" s="116">
        <f>+'Income &amp; Cash Flow'!R154</f>
        <v>0</v>
      </c>
      <c r="AD14" s="116">
        <f>+'Income &amp; Cash Flow'!S154</f>
        <v>0</v>
      </c>
      <c r="AE14" s="116">
        <f>+'Income &amp; Cash Flow'!T154</f>
        <v>0</v>
      </c>
      <c r="AF14" s="116">
        <f>+'Income &amp; Cash Flow'!U154</f>
        <v>0</v>
      </c>
      <c r="AG14" s="116">
        <f>+'Income &amp; Cash Flow'!V154</f>
        <v>0</v>
      </c>
      <c r="AH14" s="116">
        <f>+'Income &amp; Cash Flow'!W154</f>
        <v>0</v>
      </c>
      <c r="AI14" s="116">
        <f>+'Income &amp; Cash Flow'!X154</f>
        <v>0</v>
      </c>
      <c r="AJ14" s="116">
        <f>+'Income &amp; Cash Flow'!Y154</f>
        <v>0</v>
      </c>
      <c r="AK14" s="116">
        <f>+'Income &amp; Cash Flow'!Z154</f>
        <v>0</v>
      </c>
      <c r="AL14" s="116">
        <f>+'Income &amp; Cash Flow'!AA154</f>
        <v>0</v>
      </c>
      <c r="AM14" s="6"/>
      <c r="AN14" s="6"/>
    </row>
    <row r="15" spans="2:40" ht="21.75" customHeight="1" x14ac:dyDescent="0.2">
      <c r="B15" s="37" t="s">
        <v>301</v>
      </c>
      <c r="C15" s="113" t="s">
        <v>41</v>
      </c>
      <c r="D15" s="119">
        <f>+'Income &amp; Cash Flow'!L20</f>
        <v>21.7</v>
      </c>
      <c r="E15" s="119">
        <f>+'Income &amp; Cash Flow'!M20</f>
        <v>14.2</v>
      </c>
      <c r="F15" s="119">
        <f>+'Income &amp; Cash Flow'!N20</f>
        <v>15.100000000000001</v>
      </c>
      <c r="G15" s="119">
        <f>+'Income &amp; Cash Flow'!O20</f>
        <v>29.3</v>
      </c>
      <c r="H15" s="119">
        <f>+'Income &amp; Cash Flow'!P20</f>
        <v>24.7</v>
      </c>
      <c r="I15" s="119">
        <f>+'Income &amp; Cash Flow'!Q20</f>
        <v>20.099999999999998</v>
      </c>
      <c r="J15" s="119">
        <f>+'Income &amp; Cash Flow'!R20</f>
        <v>44.8</v>
      </c>
      <c r="K15" s="119">
        <f>+'Income &amp; Cash Flow'!S20</f>
        <v>31.577999999999999</v>
      </c>
      <c r="L15" s="119">
        <f>+'Income &amp; Cash Flow'!T20</f>
        <v>33.540999999999997</v>
      </c>
      <c r="M15" s="119">
        <f>+'Income &amp; Cash Flow'!U20</f>
        <v>65.119</v>
      </c>
      <c r="N15" s="119">
        <f>+'Income &amp; Cash Flow'!V20</f>
        <v>42.436647390347282</v>
      </c>
      <c r="O15" s="119">
        <f>+'Income &amp; Cash Flow'!W20</f>
        <v>40.588008146634067</v>
      </c>
      <c r="P15" s="119">
        <f>+'Income &amp; Cash Flow'!X20</f>
        <v>83.024655536981356</v>
      </c>
      <c r="Q15" s="119">
        <f>+'Income &amp; Cash Flow'!Y20</f>
        <v>55.449648749961369</v>
      </c>
      <c r="R15" s="119">
        <f>+'Income &amp; Cash Flow'!Z20</f>
        <v>54.308335411813054</v>
      </c>
      <c r="S15" s="119">
        <f>+'Income &amp; Cash Flow'!AA20</f>
        <v>109.75798416177442</v>
      </c>
      <c r="T15" s="6"/>
      <c r="U15" s="372"/>
      <c r="V15" s="9"/>
      <c r="W15" s="116"/>
      <c r="X15" s="116"/>
      <c r="Y15" s="116"/>
      <c r="Z15" s="116"/>
      <c r="AA15" s="116"/>
      <c r="AB15" s="116"/>
      <c r="AC15" s="116"/>
      <c r="AD15" s="116"/>
      <c r="AE15" s="116"/>
      <c r="AF15" s="116"/>
      <c r="AG15" s="116"/>
      <c r="AH15" s="116"/>
      <c r="AI15" s="116"/>
      <c r="AJ15" s="116"/>
      <c r="AK15" s="116"/>
      <c r="AL15" s="116"/>
      <c r="AM15" s="6"/>
      <c r="AN15" s="6"/>
    </row>
    <row r="16" spans="2:40" ht="21.75" customHeight="1" x14ac:dyDescent="0.2">
      <c r="B16" s="6" t="s">
        <v>335</v>
      </c>
      <c r="C16" s="58" t="s">
        <v>41</v>
      </c>
      <c r="D16" s="116">
        <f>SUM('Income &amp; Cash Flow'!L22:L24)</f>
        <v>-14.46</v>
      </c>
      <c r="E16" s="116">
        <f>SUM('Income &amp; Cash Flow'!M22:M24)</f>
        <v>-12.567</v>
      </c>
      <c r="F16" s="116">
        <f>SUM('Income &amp; Cash Flow'!N22:N24)</f>
        <v>-12.988000000000003</v>
      </c>
      <c r="G16" s="116">
        <f>SUM('Income &amp; Cash Flow'!O22:O24)</f>
        <v>-25.555</v>
      </c>
      <c r="H16" s="116">
        <f>SUM('Income &amp; Cash Flow'!P22:P24)</f>
        <v>-15.899999999999999</v>
      </c>
      <c r="I16" s="116">
        <f>SUM('Income &amp; Cash Flow'!Q22:Q24)</f>
        <v>-15.223000000000003</v>
      </c>
      <c r="J16" s="116">
        <f>SUM('Income &amp; Cash Flow'!R22:R24)</f>
        <v>-31.123000000000001</v>
      </c>
      <c r="K16" s="116">
        <f>SUM('Income &amp; Cash Flow'!S22:S24)</f>
        <v>-19.079999999999998</v>
      </c>
      <c r="L16" s="116">
        <f>SUM('Income &amp; Cash Flow'!T22:T24)</f>
        <v>-20.600999999999999</v>
      </c>
      <c r="M16" s="116">
        <f>SUM('Income &amp; Cash Flow'!U22:U24)</f>
        <v>-39.681000000000004</v>
      </c>
      <c r="N16" s="116">
        <f>SUM('Income &amp; Cash Flow'!V22:V24)</f>
        <v>-25.009575000000002</v>
      </c>
      <c r="O16" s="116">
        <f>SUM('Income &amp; Cash Flow'!W22:W24)</f>
        <v>-24.452165000000004</v>
      </c>
      <c r="P16" s="116">
        <f>SUM('Income &amp; Cash Flow'!X22:X24)</f>
        <v>-49.461740000000006</v>
      </c>
      <c r="Q16" s="116">
        <f>SUM('Income &amp; Cash Flow'!Y22:Y24)</f>
        <v>-29.046802875000001</v>
      </c>
      <c r="R16" s="116">
        <f>SUM('Income &amp; Cash Flow'!Z22:Z24)</f>
        <v>-28.205334275000002</v>
      </c>
      <c r="S16" s="116">
        <f>SUM('Income &amp; Cash Flow'!AA22:AA24)</f>
        <v>-57.252137150000003</v>
      </c>
      <c r="T16" s="6"/>
      <c r="U16" s="20" t="s">
        <v>51</v>
      </c>
      <c r="V16" s="58" t="s">
        <v>52</v>
      </c>
      <c r="W16" s="116">
        <f>+'Income &amp; Cash Flow'!L148</f>
        <v>0</v>
      </c>
      <c r="X16" s="116">
        <f>+'Income &amp; Cash Flow'!M148</f>
        <v>0</v>
      </c>
      <c r="Y16" s="116">
        <f>+'Income &amp; Cash Flow'!N148</f>
        <v>0</v>
      </c>
      <c r="Z16" s="116">
        <f>+'Income &amp; Cash Flow'!O148</f>
        <v>0</v>
      </c>
      <c r="AA16" s="116">
        <f>+'Income &amp; Cash Flow'!P148</f>
        <v>0</v>
      </c>
      <c r="AB16" s="116">
        <f>+'Income &amp; Cash Flow'!Q148</f>
        <v>0</v>
      </c>
      <c r="AC16" s="116">
        <f>+'Income &amp; Cash Flow'!R148</f>
        <v>358.03623347368421</v>
      </c>
      <c r="AD16" s="116">
        <f>+'Income &amp; Cash Flow'!S148</f>
        <v>0</v>
      </c>
      <c r="AE16" s="116">
        <f>+'Income &amp; Cash Flow'!T148</f>
        <v>0</v>
      </c>
      <c r="AF16" s="116">
        <f>+'Income &amp; Cash Flow'!U148</f>
        <v>174.48424399696049</v>
      </c>
      <c r="AG16" s="116">
        <f>+'Income &amp; Cash Flow'!V148</f>
        <v>224.98267494222443</v>
      </c>
      <c r="AH16" s="116">
        <f>+'Income &amp; Cash Flow'!W148</f>
        <v>248.23023741762609</v>
      </c>
      <c r="AI16" s="116">
        <f>+'Income &amp; Cash Flow'!X148</f>
        <v>118.01770694983109</v>
      </c>
      <c r="AJ16" s="116">
        <f>+'Income &amp; Cash Flow'!Y148</f>
        <v>144.43984820740724</v>
      </c>
      <c r="AK16" s="116">
        <f>+'Income &amp; Cash Flow'!Z148</f>
        <v>163.94267759750315</v>
      </c>
      <c r="AL16" s="116">
        <f>+'Income &amp; Cash Flow'!AA148</f>
        <v>76.787280359327653</v>
      </c>
      <c r="AM16" s="6"/>
      <c r="AN16" s="6"/>
    </row>
    <row r="17" spans="2:40" ht="21.75" customHeight="1" x14ac:dyDescent="0.2">
      <c r="B17" s="5" t="s">
        <v>49</v>
      </c>
      <c r="C17" s="74" t="s">
        <v>41</v>
      </c>
      <c r="D17" s="117">
        <f>+D16+D13</f>
        <v>9.4460000000000051</v>
      </c>
      <c r="E17" s="117">
        <f t="shared" ref="E17:P17" si="8">+E16+E13</f>
        <v>1.9699999999999918</v>
      </c>
      <c r="F17" s="117">
        <f t="shared" si="8"/>
        <v>2.0959999999999717</v>
      </c>
      <c r="G17" s="117">
        <f t="shared" si="8"/>
        <v>4.0659999999999812</v>
      </c>
      <c r="H17" s="117">
        <f t="shared" si="8"/>
        <v>3.0039999999999978</v>
      </c>
      <c r="I17" s="117">
        <f t="shared" si="8"/>
        <v>-6.852999999999998</v>
      </c>
      <c r="J17" s="117">
        <f t="shared" si="8"/>
        <v>-3.8490000000000002</v>
      </c>
      <c r="K17" s="117">
        <f t="shared" si="8"/>
        <v>12.498000000000005</v>
      </c>
      <c r="L17" s="117">
        <f t="shared" si="8"/>
        <v>12.940000000000026</v>
      </c>
      <c r="M17" s="117">
        <f t="shared" si="8"/>
        <v>25.438000000000081</v>
      </c>
      <c r="N17" s="117">
        <f t="shared" si="8"/>
        <v>17.427072390347281</v>
      </c>
      <c r="O17" s="117">
        <f t="shared" si="8"/>
        <v>16.135843146634063</v>
      </c>
      <c r="P17" s="117">
        <f t="shared" si="8"/>
        <v>33.56291553698135</v>
      </c>
      <c r="Q17" s="117">
        <f t="shared" ref="Q17" si="9">+Q16+Q13</f>
        <v>26.402845874961368</v>
      </c>
      <c r="R17" s="117">
        <f t="shared" ref="R17" si="10">+R16+R13</f>
        <v>26.103001136813052</v>
      </c>
      <c r="S17" s="117">
        <f t="shared" ref="S17" si="11">+S16+S13</f>
        <v>52.505847011774428</v>
      </c>
      <c r="T17" s="6"/>
      <c r="U17" s="20" t="s">
        <v>54</v>
      </c>
      <c r="V17" s="58" t="s">
        <v>52</v>
      </c>
      <c r="W17" s="116">
        <f>+'Income &amp; Cash Flow'!L150</f>
        <v>0</v>
      </c>
      <c r="X17" s="116">
        <f>+'Income &amp; Cash Flow'!M150</f>
        <v>0</v>
      </c>
      <c r="Y17" s="116">
        <f>+'Income &amp; Cash Flow'!N150</f>
        <v>0</v>
      </c>
      <c r="Z17" s="116">
        <f>+'Income &amp; Cash Flow'!O150</f>
        <v>22.772878255556179</v>
      </c>
      <c r="AA17" s="116">
        <f>+'Income &amp; Cash Flow'!P150</f>
        <v>0</v>
      </c>
      <c r="AB17" s="116">
        <f>+'Income &amp; Cash Flow'!Q150</f>
        <v>5.7653322112328693</v>
      </c>
      <c r="AC17" s="116">
        <f>+'Income &amp; Cash Flow'!R150</f>
        <v>5.7653322112328693</v>
      </c>
      <c r="AD17" s="116">
        <f>+'Income &amp; Cash Flow'!S150</f>
        <v>6.8854290810400585</v>
      </c>
      <c r="AE17" s="116">
        <f>+'Income &amp; Cash Flow'!T150</f>
        <v>6.6447630670518043</v>
      </c>
      <c r="AF17" s="116">
        <f>+'Income &amp; Cash Flow'!U150</f>
        <v>6.6447630670518043</v>
      </c>
      <c r="AG17" s="116">
        <f>+'Income &amp; Cash Flow'!V150</f>
        <v>6.2737801584094699</v>
      </c>
      <c r="AH17" s="116">
        <f>+'Income &amp; Cash Flow'!W150</f>
        <v>6.1191251637617201</v>
      </c>
      <c r="AI17" s="116">
        <f>+'Income &amp; Cash Flow'!X150</f>
        <v>6.1191251637617201</v>
      </c>
      <c r="AJ17" s="116">
        <f>+'Income &amp; Cash Flow'!Y150</f>
        <v>5.8704273151288611</v>
      </c>
      <c r="AK17" s="116">
        <f>+'Income &amp; Cash Flow'!Z150</f>
        <v>5.6674870480632444</v>
      </c>
      <c r="AL17" s="116">
        <f>+'Income &amp; Cash Flow'!AA150</f>
        <v>5.6674870480632444</v>
      </c>
      <c r="AM17" s="6"/>
      <c r="AN17" s="6"/>
    </row>
    <row r="18" spans="2:40" ht="21.75" customHeight="1" x14ac:dyDescent="0.2">
      <c r="B18" s="6" t="s">
        <v>50</v>
      </c>
      <c r="C18" s="58" t="s">
        <v>41</v>
      </c>
      <c r="D18" s="116">
        <f>+'Income &amp; Cash Flow'!L29+'Income &amp; Cash Flow'!L30+'Income &amp; Cash Flow'!L31</f>
        <v>-2.8350000000000004</v>
      </c>
      <c r="E18" s="116">
        <f>+'Income &amp; Cash Flow'!M29+'Income &amp; Cash Flow'!M30+'Income &amp; Cash Flow'!M31</f>
        <v>-1.6220000000000003</v>
      </c>
      <c r="F18" s="116">
        <f>+'Income &amp; Cash Flow'!N29+'Income &amp; Cash Flow'!N30+'Income &amp; Cash Flow'!N31</f>
        <v>-2.2879999999999998</v>
      </c>
      <c r="G18" s="116">
        <f>+'Income &amp; Cash Flow'!O29+'Income &amp; Cash Flow'!O30+'Income &amp; Cash Flow'!O31</f>
        <v>-3.91</v>
      </c>
      <c r="H18" s="116">
        <f>+'Income &amp; Cash Flow'!P29+'Income &amp; Cash Flow'!P30+'Income &amp; Cash Flow'!P31</f>
        <v>-4.0830000000000002</v>
      </c>
      <c r="I18" s="116">
        <f>+'Income &amp; Cash Flow'!Q29+'Income &amp; Cash Flow'!Q30+'Income &amp; Cash Flow'!Q31</f>
        <v>-3.6290000000000004</v>
      </c>
      <c r="J18" s="116">
        <f>+'Income &amp; Cash Flow'!R29+'Income &amp; Cash Flow'!R30+'Income &amp; Cash Flow'!R31</f>
        <v>-7.7120000000000006</v>
      </c>
      <c r="K18" s="116">
        <f>+'Income &amp; Cash Flow'!S29+'Income &amp; Cash Flow'!S30+'Income &amp; Cash Flow'!S31</f>
        <v>2.6929999999999996</v>
      </c>
      <c r="L18" s="116">
        <f>+'Income &amp; Cash Flow'!T29+'Income &amp; Cash Flow'!T30+'Income &amp; Cash Flow'!T31</f>
        <v>1.0789999999999988</v>
      </c>
      <c r="M18" s="116">
        <f>+'Income &amp; Cash Flow'!U29+'Income &amp; Cash Flow'!U30+'Income &amp; Cash Flow'!U31</f>
        <v>3.7719999999999985</v>
      </c>
      <c r="N18" s="116">
        <f>+'Income &amp; Cash Flow'!V29+'Income &amp; Cash Flow'!V30+'Income &amp; Cash Flow'!V31</f>
        <v>-1.8498470999999999</v>
      </c>
      <c r="O18" s="116">
        <f>+'Income &amp; Cash Flow'!W29+'Income &amp; Cash Flow'!W30+'Income &amp; Cash Flow'!W31</f>
        <v>-2.0174752537499998</v>
      </c>
      <c r="P18" s="116">
        <f>+'Income &amp; Cash Flow'!X29+'Income &amp; Cash Flow'!X30+'Income &amp; Cash Flow'!X31</f>
        <v>-3.8673223537499979</v>
      </c>
      <c r="Q18" s="116">
        <f>+'Income &amp; Cash Flow'!Y29+'Income &amp; Cash Flow'!Y30+'Income &amp; Cash Flow'!Y31</f>
        <v>-2.1394181748187489</v>
      </c>
      <c r="R18" s="116">
        <f>+'Income &amp; Cash Flow'!Z29+'Income &amp; Cash Flow'!Z30+'Income &amp; Cash Flow'!Z31</f>
        <v>-4.7259816483051047</v>
      </c>
      <c r="S18" s="116">
        <f>+'Income &amp; Cash Flow'!AA29+'Income &amp; Cash Flow'!AA30+'Income &amp; Cash Flow'!AA31</f>
        <v>-6.8653998231238518</v>
      </c>
      <c r="T18" s="6"/>
      <c r="U18" s="20" t="s">
        <v>56</v>
      </c>
      <c r="V18" s="58" t="s">
        <v>52</v>
      </c>
      <c r="W18" s="116">
        <f>+'Income &amp; Cash Flow'!L143</f>
        <v>95.7936053341014</v>
      </c>
      <c r="X18" s="116">
        <f>+'Income &amp; Cash Flow'!M143</f>
        <v>0</v>
      </c>
      <c r="Y18" s="116">
        <f>+'Income &amp; Cash Flow'!N143</f>
        <v>0</v>
      </c>
      <c r="Z18" s="116">
        <f>+'Income &amp; Cash Flow'!O143</f>
        <v>73.427618967576805</v>
      </c>
      <c r="AA18" s="116">
        <f>+'Income &amp; Cash Flow'!P143</f>
        <v>7.993846153846154</v>
      </c>
      <c r="AB18" s="116">
        <f>+'Income &amp; Cash Flow'!Q143</f>
        <v>98.797240338308484</v>
      </c>
      <c r="AC18" s="116">
        <f>+'Income &amp; Cash Flow'!R143</f>
        <v>44.326440419642864</v>
      </c>
      <c r="AD18" s="116">
        <f>+'Income &amp; Cash Flow'!S143</f>
        <v>80.149247873519542</v>
      </c>
      <c r="AE18" s="116">
        <f>+'Income &amp; Cash Flow'!T143</f>
        <v>76.783695062759008</v>
      </c>
      <c r="AF18" s="116">
        <f>+'Income &amp; Cash Flow'!U143</f>
        <v>39.549162550100583</v>
      </c>
      <c r="AG18" s="116">
        <f>+'Income &amp; Cash Flow'!V143</f>
        <v>59.042357249434659</v>
      </c>
      <c r="AH18" s="116">
        <f>+'Income &amp; Cash Flow'!W143</f>
        <v>61.878314412909511</v>
      </c>
      <c r="AI18" s="116">
        <f>+'Income &amp; Cash Flow'!X143</f>
        <v>30.25026136208972</v>
      </c>
      <c r="AJ18" s="116">
        <f>+'Income &amp; Cash Flow'!Y143</f>
        <v>45.222427617992309</v>
      </c>
      <c r="AK18" s="116">
        <f>+'Income &amp; Cash Flow'!Z143</f>
        <v>46.16722628674448</v>
      </c>
      <c r="AL18" s="116">
        <f>+'Income &amp; Cash Flow'!AA143</f>
        <v>22.843579256321664</v>
      </c>
      <c r="AM18" s="6"/>
      <c r="AN18" s="6"/>
    </row>
    <row r="19" spans="2:40" ht="21.75" customHeight="1" x14ac:dyDescent="0.2">
      <c r="B19" s="5" t="s">
        <v>53</v>
      </c>
      <c r="C19" s="74" t="s">
        <v>41</v>
      </c>
      <c r="D19" s="117">
        <f>+D18+D17</f>
        <v>6.6110000000000042</v>
      </c>
      <c r="E19" s="117">
        <f t="shared" ref="E19:P19" si="12">+E18+E17</f>
        <v>0.34799999999999143</v>
      </c>
      <c r="F19" s="117">
        <f t="shared" si="12"/>
        <v>-0.19200000000002815</v>
      </c>
      <c r="G19" s="117">
        <f t="shared" si="12"/>
        <v>0.15599999999998104</v>
      </c>
      <c r="H19" s="117">
        <f t="shared" si="12"/>
        <v>-1.0790000000000024</v>
      </c>
      <c r="I19" s="117">
        <f t="shared" si="12"/>
        <v>-10.481999999999999</v>
      </c>
      <c r="J19" s="117">
        <f t="shared" si="12"/>
        <v>-11.561</v>
      </c>
      <c r="K19" s="117">
        <f t="shared" si="12"/>
        <v>15.191000000000004</v>
      </c>
      <c r="L19" s="117">
        <f t="shared" si="12"/>
        <v>14.019000000000025</v>
      </c>
      <c r="M19" s="117">
        <f t="shared" si="12"/>
        <v>29.210000000000079</v>
      </c>
      <c r="N19" s="117">
        <f t="shared" si="12"/>
        <v>15.577225290347281</v>
      </c>
      <c r="O19" s="117">
        <f t="shared" si="12"/>
        <v>14.118367892884063</v>
      </c>
      <c r="P19" s="117">
        <f t="shared" si="12"/>
        <v>29.695593183231352</v>
      </c>
      <c r="Q19" s="117">
        <f t="shared" ref="Q19" si="13">+Q18+Q17</f>
        <v>24.263427700142621</v>
      </c>
      <c r="R19" s="117">
        <f t="shared" ref="R19" si="14">+R18+R17</f>
        <v>21.377019488507948</v>
      </c>
      <c r="S19" s="117">
        <f t="shared" ref="S19" si="15">+S18+S17</f>
        <v>45.640447188650576</v>
      </c>
      <c r="T19" s="6"/>
      <c r="U19" s="20" t="s">
        <v>57</v>
      </c>
      <c r="V19" s="58" t="s">
        <v>52</v>
      </c>
      <c r="W19" s="116">
        <f>+'Income &amp; Cash Flow'!L144</f>
        <v>288.71128274305556</v>
      </c>
      <c r="X19" s="116">
        <f>+'Income &amp; Cash Flow'!M144</f>
        <v>0</v>
      </c>
      <c r="Y19" s="116">
        <f>+'Income &amp; Cash Flow'!N144</f>
        <v>0</v>
      </c>
      <c r="Z19" s="116">
        <f>+'Income &amp; Cash Flow'!O144</f>
        <v>581.4673610135136</v>
      </c>
      <c r="AA19" s="116">
        <f>+'Income &amp; Cash Flow'!P144</f>
        <v>22.437272727272727</v>
      </c>
      <c r="AB19" s="116">
        <f>+'Income &amp; Cash Flow'!Q144</f>
        <v>413.71344391666679</v>
      </c>
      <c r="AC19" s="116">
        <f>+'Income &amp; Cash Flow'!R144</f>
        <v>146.01650961764707</v>
      </c>
      <c r="AD19" s="116">
        <f>+'Income &amp; Cash Flow'!S144</f>
        <v>202.5086373299728</v>
      </c>
      <c r="AE19" s="116">
        <f>+'Income &amp; Cash Flow'!T144</f>
        <v>199.61261169586109</v>
      </c>
      <c r="AF19" s="116">
        <f>+'Income &amp; Cash Flow'!U144</f>
        <v>101.39377622440944</v>
      </c>
      <c r="AG19" s="116">
        <f>+'Income &amp; Cash Flow'!V144</f>
        <v>143.77398794056671</v>
      </c>
      <c r="AH19" s="116">
        <f>+'Income &amp; Cash Flow'!W144</f>
        <v>155.64836040284999</v>
      </c>
      <c r="AI19" s="116">
        <f>+'Income &amp; Cash Flow'!X144</f>
        <v>74.830135860033849</v>
      </c>
      <c r="AJ19" s="116">
        <f>+'Income &amp; Cash Flow'!Y144</f>
        <v>94.973388054968325</v>
      </c>
      <c r="AK19" s="116">
        <f>+'Income &amp; Cash Flow'!Z144</f>
        <v>96.052756427213907</v>
      </c>
      <c r="AL19" s="116">
        <f>+'Income &amp; Cash Flow'!AA144</f>
        <v>47.752114343595636</v>
      </c>
      <c r="AM19" s="6"/>
      <c r="AN19" s="6"/>
    </row>
    <row r="20" spans="2:40" ht="21.75" customHeight="1" x14ac:dyDescent="0.2">
      <c r="B20" s="6" t="s">
        <v>55</v>
      </c>
      <c r="C20" s="58" t="s">
        <v>41</v>
      </c>
      <c r="D20" s="116">
        <f>+'Income &amp; Cash Flow'!L38</f>
        <v>-2.7</v>
      </c>
      <c r="E20" s="116">
        <f>+'Income &amp; Cash Flow'!M38</f>
        <v>-1.4690000000000001</v>
      </c>
      <c r="F20" s="116">
        <f>+'Income &amp; Cash Flow'!N38</f>
        <v>-0.95399999999999996</v>
      </c>
      <c r="G20" s="116">
        <f>+'Income &amp; Cash Flow'!O38</f>
        <v>-2.423</v>
      </c>
      <c r="H20" s="116">
        <f>+'Income &amp; Cash Flow'!P38</f>
        <v>-2.8809999999999998</v>
      </c>
      <c r="I20" s="116">
        <f>+'Income &amp; Cash Flow'!Q38</f>
        <v>0.69399999999999995</v>
      </c>
      <c r="J20" s="116">
        <f>+'Income &amp; Cash Flow'!R38</f>
        <v>-2.1869999999999998</v>
      </c>
      <c r="K20" s="116">
        <f>+'Income &amp; Cash Flow'!S38</f>
        <v>-7.89</v>
      </c>
      <c r="L20" s="116">
        <f>+'Income &amp; Cash Flow'!T38</f>
        <v>-6.8440000000000003</v>
      </c>
      <c r="M20" s="116">
        <f>+'Income &amp; Cash Flow'!U38</f>
        <v>-14.734</v>
      </c>
      <c r="N20" s="116">
        <f>+'Income &amp; Cash Flow'!V38</f>
        <v>-4.6731675871041842</v>
      </c>
      <c r="O20" s="116">
        <f>+'Income &amp; Cash Flow'!W38</f>
        <v>-4.2355103678652188</v>
      </c>
      <c r="P20" s="116">
        <f>+'Income &amp; Cash Flow'!X38</f>
        <v>-8.9086779549694022</v>
      </c>
      <c r="Q20" s="116">
        <f>+'Income &amp; Cash Flow'!Y38</f>
        <v>-7.2790283100427864</v>
      </c>
      <c r="R20" s="116">
        <f>+'Income &amp; Cash Flow'!Z38</f>
        <v>-6.4131058465523845</v>
      </c>
      <c r="S20" s="116">
        <f>+'Income &amp; Cash Flow'!AA38</f>
        <v>-13.69213415659517</v>
      </c>
      <c r="T20" s="6"/>
      <c r="U20" s="20" t="s">
        <v>58</v>
      </c>
      <c r="V20" s="58" t="s">
        <v>52</v>
      </c>
      <c r="W20" s="116">
        <f>+'Income &amp; Cash Flow'!L151</f>
        <v>0</v>
      </c>
      <c r="X20" s="116">
        <f>+'Income &amp; Cash Flow'!M151</f>
        <v>0</v>
      </c>
      <c r="Y20" s="116">
        <f>+'Income &amp; Cash Flow'!N151</f>
        <v>0</v>
      </c>
      <c r="Z20" s="116">
        <f>+'Income &amp; Cash Flow'!O151</f>
        <v>6.4765077698388325</v>
      </c>
      <c r="AA20" s="116">
        <f>+'Income &amp; Cash Flow'!P151</f>
        <v>0</v>
      </c>
      <c r="AB20" s="116">
        <f>+'Income &amp; Cash Flow'!Q151</f>
        <v>3.1338637258891513</v>
      </c>
      <c r="AC20" s="116">
        <f>+'Income &amp; Cash Flow'!R151</f>
        <v>3.1338637258891513</v>
      </c>
      <c r="AD20" s="116">
        <f>+'Income &amp; Cash Flow'!S151</f>
        <v>3.7455623266540004</v>
      </c>
      <c r="AE20" s="116">
        <f>+'Income &amp; Cash Flow'!T151</f>
        <v>3.3022055582937742</v>
      </c>
      <c r="AF20" s="116">
        <f>+'Income &amp; Cash Flow'!U151</f>
        <v>3.3022055582937742</v>
      </c>
      <c r="AG20" s="116">
        <f>+'Income &amp; Cash Flow'!V151</f>
        <v>3.098955821925462</v>
      </c>
      <c r="AH20" s="116">
        <f>+'Income &amp; Cash Flow'!W151</f>
        <v>3.0235603645165119</v>
      </c>
      <c r="AI20" s="116">
        <f>+'Income &amp; Cash Flow'!X151</f>
        <v>3.0235603645165119</v>
      </c>
      <c r="AJ20" s="116">
        <f>+'Income &amp; Cash Flow'!Y151</f>
        <v>2.9082521581463388</v>
      </c>
      <c r="AK20" s="116">
        <f>+'Income &amp; Cash Flow'!Z151</f>
        <v>2.8242600827282702</v>
      </c>
      <c r="AL20" s="116">
        <f>+'Income &amp; Cash Flow'!AA151</f>
        <v>2.8242600827282702</v>
      </c>
      <c r="AM20" s="6"/>
      <c r="AN20" s="6"/>
    </row>
    <row r="21" spans="2:40" ht="21.75" customHeight="1" x14ac:dyDescent="0.2">
      <c r="B21" s="5" t="s">
        <v>15</v>
      </c>
      <c r="C21" s="74" t="s">
        <v>41</v>
      </c>
      <c r="D21" s="117">
        <f>+D20+D19</f>
        <v>3.911000000000004</v>
      </c>
      <c r="E21" s="117">
        <f t="shared" ref="E21:P21" si="16">+E20+E19</f>
        <v>-1.1210000000000087</v>
      </c>
      <c r="F21" s="117">
        <f t="shared" si="16"/>
        <v>-1.1460000000000281</v>
      </c>
      <c r="G21" s="117">
        <f t="shared" si="16"/>
        <v>-2.267000000000019</v>
      </c>
      <c r="H21" s="117">
        <f t="shared" si="16"/>
        <v>-3.9600000000000022</v>
      </c>
      <c r="I21" s="117">
        <f t="shared" si="16"/>
        <v>-9.7880000000000003</v>
      </c>
      <c r="J21" s="117">
        <f t="shared" si="16"/>
        <v>-13.747999999999999</v>
      </c>
      <c r="K21" s="117">
        <f t="shared" si="16"/>
        <v>7.3010000000000046</v>
      </c>
      <c r="L21" s="117">
        <f t="shared" si="16"/>
        <v>7.1750000000000247</v>
      </c>
      <c r="M21" s="117">
        <f t="shared" si="16"/>
        <v>14.476000000000079</v>
      </c>
      <c r="N21" s="117">
        <f t="shared" si="16"/>
        <v>10.904057703243097</v>
      </c>
      <c r="O21" s="117">
        <f t="shared" si="16"/>
        <v>9.882857525018844</v>
      </c>
      <c r="P21" s="117">
        <f t="shared" si="16"/>
        <v>20.78691522826195</v>
      </c>
      <c r="Q21" s="117">
        <f t="shared" ref="Q21" si="17">+Q20+Q19</f>
        <v>16.984399390099835</v>
      </c>
      <c r="R21" s="117">
        <f t="shared" ref="R21" si="18">+R20+R19</f>
        <v>14.963913641955564</v>
      </c>
      <c r="S21" s="117">
        <f t="shared" ref="S21" si="19">+S20+S19</f>
        <v>31.948313032055406</v>
      </c>
      <c r="T21" s="6"/>
      <c r="U21" s="20"/>
      <c r="V21" s="6"/>
      <c r="W21" s="116"/>
      <c r="X21" s="116"/>
      <c r="Y21" s="116"/>
      <c r="Z21" s="116"/>
      <c r="AA21" s="116"/>
      <c r="AB21" s="116"/>
      <c r="AC21" s="116"/>
      <c r="AD21" s="116"/>
      <c r="AE21" s="116"/>
      <c r="AF21" s="116"/>
      <c r="AG21" s="116"/>
      <c r="AH21" s="116"/>
      <c r="AI21" s="116"/>
      <c r="AJ21" s="116"/>
      <c r="AK21" s="116"/>
      <c r="AL21" s="116"/>
      <c r="AM21" s="6"/>
      <c r="AN21" s="6"/>
    </row>
    <row r="22" spans="2:40" ht="21.75" customHeight="1" x14ac:dyDescent="0.2">
      <c r="B22" s="6" t="s">
        <v>47</v>
      </c>
      <c r="C22" s="58" t="s">
        <v>41</v>
      </c>
      <c r="D22" s="116">
        <f>+D23-D21</f>
        <v>-0.71100000000000385</v>
      </c>
      <c r="E22" s="116">
        <f t="shared" ref="E22:P22" si="20">+E23-E21</f>
        <v>2.0210000000000088</v>
      </c>
      <c r="F22" s="116">
        <f t="shared" si="20"/>
        <v>3.246000000000028</v>
      </c>
      <c r="G22" s="116">
        <f t="shared" si="20"/>
        <v>5.267000000000019</v>
      </c>
      <c r="H22" s="116">
        <f t="shared" si="20"/>
        <v>7.7600000000000016</v>
      </c>
      <c r="I22" s="116">
        <f t="shared" si="20"/>
        <v>11.688000000000001</v>
      </c>
      <c r="J22" s="116">
        <f t="shared" si="20"/>
        <v>19.448</v>
      </c>
      <c r="K22" s="116">
        <f t="shared" si="20"/>
        <v>0</v>
      </c>
      <c r="L22" s="116">
        <f t="shared" si="20"/>
        <v>-2.3980817331903381E-14</v>
      </c>
      <c r="M22" s="116">
        <f t="shared" si="20"/>
        <v>-7.815970093361102E-14</v>
      </c>
      <c r="N22" s="116">
        <f t="shared" si="20"/>
        <v>0</v>
      </c>
      <c r="O22" s="116">
        <f t="shared" si="20"/>
        <v>0</v>
      </c>
      <c r="P22" s="116">
        <f t="shared" si="20"/>
        <v>0</v>
      </c>
      <c r="Q22" s="116">
        <f t="shared" ref="Q22" si="21">+Q23-Q21</f>
        <v>0</v>
      </c>
      <c r="R22" s="116">
        <f t="shared" ref="R22" si="22">+R23-R21</f>
        <v>0</v>
      </c>
      <c r="S22" s="116">
        <f t="shared" ref="S22" si="23">+S23-S21</f>
        <v>0</v>
      </c>
      <c r="T22" s="6"/>
      <c r="U22" s="20" t="s">
        <v>333</v>
      </c>
      <c r="V22" s="58" t="s">
        <v>41</v>
      </c>
      <c r="W22" s="116">
        <f>+'Balance Sheet'!L60</f>
        <v>-51.069000000000003</v>
      </c>
      <c r="X22" s="116">
        <f>+'Balance Sheet'!M60</f>
        <v>0</v>
      </c>
      <c r="Y22" s="116">
        <f>+'Balance Sheet'!N60</f>
        <v>0</v>
      </c>
      <c r="Z22" s="116">
        <f>+'Balance Sheet'!O60</f>
        <v>-33.503999999999998</v>
      </c>
      <c r="AA22" s="116">
        <f>+'Balance Sheet'!P60</f>
        <v>-10.619</v>
      </c>
      <c r="AB22" s="116">
        <f>+'Balance Sheet'!Q60</f>
        <v>-294.48</v>
      </c>
      <c r="AC22" s="116">
        <f>+'Balance Sheet'!R60</f>
        <v>-294.48</v>
      </c>
      <c r="AD22" s="116">
        <f>+'Balance Sheet'!S60</f>
        <v>-274.49299999999999</v>
      </c>
      <c r="AE22" s="116">
        <f>+'Balance Sheet'!T60</f>
        <v>-281.74299999999999</v>
      </c>
      <c r="AF22" s="116">
        <f>+'Balance Sheet'!U60</f>
        <v>-281.74299999999999</v>
      </c>
      <c r="AG22" s="116">
        <f>+'Balance Sheet'!V60</f>
        <v>-282.97794411082674</v>
      </c>
      <c r="AH22" s="116">
        <f>+'Balance Sheet'!W60</f>
        <v>-282.60771543384453</v>
      </c>
      <c r="AI22" s="116">
        <f>+'Balance Sheet'!X60</f>
        <v>-282.60771543384453</v>
      </c>
      <c r="AJ22" s="116">
        <f>+'Balance Sheet'!Y60</f>
        <v>-290.62228192239922</v>
      </c>
      <c r="AK22" s="116">
        <f>+'Balance Sheet'!Z60</f>
        <v>-296.6732456513115</v>
      </c>
      <c r="AL22" s="116">
        <f>+'Balance Sheet'!AA60</f>
        <v>-296.6732456513115</v>
      </c>
      <c r="AM22" s="6"/>
      <c r="AN22" s="6"/>
    </row>
    <row r="23" spans="2:40" ht="21.75" customHeight="1" x14ac:dyDescent="0.2">
      <c r="B23" s="21" t="s">
        <v>300</v>
      </c>
      <c r="C23" s="114" t="s">
        <v>41</v>
      </c>
      <c r="D23" s="120">
        <f>+'Income &amp; Cash Flow'!L42</f>
        <v>3.2</v>
      </c>
      <c r="E23" s="120">
        <f>+'Income &amp; Cash Flow'!M42</f>
        <v>0.9</v>
      </c>
      <c r="F23" s="120">
        <f>+'Income &amp; Cash Flow'!N42</f>
        <v>2.1</v>
      </c>
      <c r="G23" s="120">
        <f>+'Income &amp; Cash Flow'!O42</f>
        <v>3</v>
      </c>
      <c r="H23" s="120">
        <f>+'Income &amp; Cash Flow'!P42</f>
        <v>3.8</v>
      </c>
      <c r="I23" s="120">
        <f>+'Income &amp; Cash Flow'!Q42</f>
        <v>1.9000000000000004</v>
      </c>
      <c r="J23" s="120">
        <f>+'Income &amp; Cash Flow'!R42</f>
        <v>5.7</v>
      </c>
      <c r="K23" s="120">
        <f>+'Income &amp; Cash Flow'!S42</f>
        <v>7.3010000000000002</v>
      </c>
      <c r="L23" s="120">
        <f>+'Income &amp; Cash Flow'!T42</f>
        <v>7.1750000000000007</v>
      </c>
      <c r="M23" s="120">
        <f>+'Income &amp; Cash Flow'!U42</f>
        <v>14.476000000000001</v>
      </c>
      <c r="N23" s="120">
        <f>+'Income &amp; Cash Flow'!V42</f>
        <v>10.904057703243097</v>
      </c>
      <c r="O23" s="120">
        <f>+'Income &amp; Cash Flow'!W42</f>
        <v>9.882857525018844</v>
      </c>
      <c r="P23" s="120">
        <f>+'Income &amp; Cash Flow'!X42</f>
        <v>20.78691522826195</v>
      </c>
      <c r="Q23" s="120">
        <f>+'Income &amp; Cash Flow'!Y42</f>
        <v>16.984399390099835</v>
      </c>
      <c r="R23" s="120">
        <f>+'Income &amp; Cash Flow'!Z42</f>
        <v>14.963913641955564</v>
      </c>
      <c r="S23" s="120">
        <f>+'Income &amp; Cash Flow'!AA42</f>
        <v>31.948313032055406</v>
      </c>
      <c r="T23" s="6"/>
      <c r="U23" s="20" t="s">
        <v>297</v>
      </c>
      <c r="V23" s="58" t="s">
        <v>52</v>
      </c>
      <c r="W23" s="116">
        <f>+'Balance Sheet'!L64</f>
        <v>-2.3534101382488481</v>
      </c>
      <c r="X23" s="116">
        <f>+'Balance Sheet'!M64</f>
        <v>0</v>
      </c>
      <c r="Y23" s="116">
        <f>+'Balance Sheet'!N64</f>
        <v>0</v>
      </c>
      <c r="Z23" s="116">
        <f>+'Balance Sheet'!O64</f>
        <v>-1.143481228668942</v>
      </c>
      <c r="AA23" s="116">
        <f>+'Balance Sheet'!P64</f>
        <v>-0.429919028340081</v>
      </c>
      <c r="AB23" s="116">
        <f>+'Balance Sheet'!Q64</f>
        <v>-14.650746268656718</v>
      </c>
      <c r="AC23" s="116">
        <f>+'Balance Sheet'!R64</f>
        <v>-6.5732142857142861</v>
      </c>
      <c r="AD23" s="116">
        <f>+'Balance Sheet'!S64</f>
        <v>-8.6925391095066189</v>
      </c>
      <c r="AE23" s="116">
        <f>+'Balance Sheet'!T64</f>
        <v>-8.3999582600399521</v>
      </c>
      <c r="AF23" s="116">
        <f>+'Balance Sheet'!U64</f>
        <v>-4.3265867104838831</v>
      </c>
      <c r="AG23" s="116">
        <f>+'Balance Sheet'!V64</f>
        <v>-6.6682445836942676</v>
      </c>
      <c r="AH23" s="116">
        <f>+'Balance Sheet'!W64</f>
        <v>-6.9628377527878511</v>
      </c>
      <c r="AI23" s="116">
        <f>+'Balance Sheet'!X64</f>
        <v>-3.4039010894536461</v>
      </c>
      <c r="AJ23" s="116">
        <f>+'Balance Sheet'!Y64</f>
        <v>-5.2411924777540033</v>
      </c>
      <c r="AK23" s="116">
        <f>+'Balance Sheet'!Z64</f>
        <v>-5.4627571145695555</v>
      </c>
      <c r="AL23" s="116">
        <f>+'Balance Sheet'!AA64</f>
        <v>-2.7029764432812384</v>
      </c>
      <c r="AM23" s="6"/>
      <c r="AN23" s="6"/>
    </row>
    <row r="24" spans="2:40" ht="21.75" customHeight="1" x14ac:dyDescent="0.2">
      <c r="B24" s="6"/>
      <c r="C24" s="6"/>
      <c r="D24" s="121"/>
      <c r="E24" s="121"/>
      <c r="F24" s="121"/>
      <c r="G24" s="121"/>
      <c r="H24" s="121"/>
      <c r="I24" s="121"/>
      <c r="J24" s="121"/>
      <c r="K24" s="121"/>
      <c r="L24" s="121"/>
      <c r="M24" s="121"/>
      <c r="N24" s="121"/>
      <c r="O24" s="121"/>
      <c r="P24" s="121"/>
      <c r="Q24" s="121"/>
      <c r="R24" s="121"/>
      <c r="S24" s="121"/>
      <c r="T24" s="6"/>
      <c r="U24" s="20" t="s">
        <v>295</v>
      </c>
      <c r="V24" s="58" t="s">
        <v>52</v>
      </c>
      <c r="W24" s="116">
        <f>+'Balance Sheet'!L54</f>
        <v>7.6543209876543195</v>
      </c>
      <c r="X24" s="116">
        <f>+'Balance Sheet'!M54</f>
        <v>0</v>
      </c>
      <c r="Y24" s="116">
        <f>+'Balance Sheet'!N54</f>
        <v>0</v>
      </c>
      <c r="Z24" s="116">
        <f>+'Balance Sheet'!O54</f>
        <v>7.4936061381074168</v>
      </c>
      <c r="AA24" s="116">
        <f>+'Balance Sheet'!P54</f>
        <v>6.0494734264021552</v>
      </c>
      <c r="AB24" s="116">
        <f>+'Balance Sheet'!Q54</f>
        <v>5.5387158996968848</v>
      </c>
      <c r="AC24" s="116">
        <f>+'Balance Sheet'!R54</f>
        <v>5.8091286307053931</v>
      </c>
      <c r="AD24" s="116">
        <f>+'Balance Sheet'!S54</f>
        <v>-11.72595618269588</v>
      </c>
      <c r="AE24" s="116">
        <f>+'Balance Sheet'!T54</f>
        <v>-31.085264133456935</v>
      </c>
      <c r="AF24" s="116">
        <f>+'Balance Sheet'!U54</f>
        <v>-17.263785790031822</v>
      </c>
      <c r="AG24" s="116">
        <f>+'Balance Sheet'!V54</f>
        <v>22.940624330706729</v>
      </c>
      <c r="AH24" s="116">
        <f>+'Balance Sheet'!W54</f>
        <v>20.118218585923547</v>
      </c>
      <c r="AI24" s="116">
        <f>+'Balance Sheet'!X54</f>
        <v>21.468253210512813</v>
      </c>
      <c r="AJ24" s="116">
        <f>+'Balance Sheet'!Y54</f>
        <v>25.918097454070217</v>
      </c>
      <c r="AK24" s="116">
        <f>+'Balance Sheet'!Z54</f>
        <v>11.491440181806428</v>
      </c>
      <c r="AL24" s="116">
        <f>+'Balance Sheet'!AA54</f>
        <v>15.987121943297545</v>
      </c>
      <c r="AM24" s="6"/>
      <c r="AN24" s="6"/>
    </row>
    <row r="25" spans="2:40" ht="21.75" customHeight="1" x14ac:dyDescent="0.2">
      <c r="B25" s="12" t="s">
        <v>60</v>
      </c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6"/>
      <c r="AM25" s="6"/>
      <c r="AN25" s="6"/>
    </row>
    <row r="26" spans="2:40" ht="21.75" customHeight="1" x14ac:dyDescent="0.2">
      <c r="B26" s="115" t="s">
        <v>40</v>
      </c>
      <c r="C26" s="115"/>
      <c r="D26" s="122" t="str">
        <f>+'Income &amp; Cash Flow'!L$4</f>
        <v>FY22A</v>
      </c>
      <c r="E26" s="115"/>
      <c r="F26" s="115"/>
      <c r="G26" s="122" t="str">
        <f>+'Income &amp; Cash Flow'!O$4</f>
        <v>FY23A</v>
      </c>
      <c r="H26" s="115"/>
      <c r="I26" s="115"/>
      <c r="J26" s="122" t="str">
        <f>+'Income &amp; Cash Flow'!R$4</f>
        <v>FY24A</v>
      </c>
      <c r="K26" s="115"/>
      <c r="L26" s="115"/>
      <c r="M26" s="122" t="str">
        <f>+'Income &amp; Cash Flow'!U$4</f>
        <v>FY25A</v>
      </c>
      <c r="N26" s="115"/>
      <c r="O26" s="115"/>
      <c r="P26" s="122" t="str">
        <f>+'Income &amp; Cash Flow'!X$4</f>
        <v>FY26E</v>
      </c>
      <c r="Q26" s="115"/>
      <c r="R26" s="115"/>
      <c r="S26" s="122" t="str">
        <f>+'Income &amp; Cash Flow'!AA$4</f>
        <v>FY27E</v>
      </c>
      <c r="T26" s="6"/>
      <c r="U26" s="12" t="s">
        <v>61</v>
      </c>
      <c r="V26" s="12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6"/>
      <c r="AN26" s="6"/>
    </row>
    <row r="27" spans="2:40" ht="21.75" customHeight="1" x14ac:dyDescent="0.2">
      <c r="B27" s="8" t="s">
        <v>316</v>
      </c>
      <c r="C27" s="9" t="s">
        <v>45</v>
      </c>
      <c r="D27" s="112"/>
      <c r="E27" s="112"/>
      <c r="F27" s="112"/>
      <c r="G27" s="112">
        <f>+'Income &amp; Cash Flow'!O56</f>
        <v>0.5078932662754958</v>
      </c>
      <c r="H27" s="112">
        <f>+'Income &amp; Cash Flow'!P56</f>
        <v>0.38232454511696989</v>
      </c>
      <c r="I27" s="112">
        <f>+'Income &amp; Cash Flow'!Q56</f>
        <v>0.26721505306146165</v>
      </c>
      <c r="J27" s="112">
        <f>+'Income &amp; Cash Flow'!R56</f>
        <v>0.32106514723367474</v>
      </c>
      <c r="K27" s="112">
        <f>+'Income &amp; Cash Flow'!S56</f>
        <v>0.26804443728099248</v>
      </c>
      <c r="L27" s="112">
        <f>+'Income &amp; Cash Flow'!T56</f>
        <v>0.27971859848766734</v>
      </c>
      <c r="M27" s="112">
        <f>+'Income &amp; Cash Flow'!U56</f>
        <v>0.2740039858100487</v>
      </c>
      <c r="N27" s="112">
        <f>+'Income &amp; Cash Flow'!V56</f>
        <v>0.24864903773511338</v>
      </c>
      <c r="O27" s="112">
        <f>+'Income &amp; Cash Flow'!W56</f>
        <v>0.22380744887831594</v>
      </c>
      <c r="P27" s="112">
        <f>+'Income &amp; Cash Flow'!X56</f>
        <v>0.23591075925207483</v>
      </c>
      <c r="Q27" s="112">
        <f>+'Income &amp; Cash Flow'!Y56</f>
        <v>0.19375607628405844</v>
      </c>
      <c r="R27" s="112">
        <f>+'Income &amp; Cash Flow'!Z56</f>
        <v>0.18863203438806142</v>
      </c>
      <c r="S27" s="112">
        <f>+'Income &amp; Cash Flow'!AA56</f>
        <v>0.19115429957993735</v>
      </c>
      <c r="T27" s="6"/>
      <c r="U27" s="115" t="s">
        <v>40</v>
      </c>
      <c r="V27" s="115"/>
      <c r="W27" s="122" t="str">
        <f>+'Income &amp; Cash Flow'!L$4</f>
        <v>FY22A</v>
      </c>
      <c r="X27" s="122"/>
      <c r="Y27" s="122"/>
      <c r="Z27" s="122" t="str">
        <f>+'Income &amp; Cash Flow'!O$4</f>
        <v>FY23A</v>
      </c>
      <c r="AA27" s="122"/>
      <c r="AB27" s="122"/>
      <c r="AC27" s="122" t="str">
        <f>+'Income &amp; Cash Flow'!R$4</f>
        <v>FY24A</v>
      </c>
      <c r="AD27" s="122"/>
      <c r="AE27" s="122"/>
      <c r="AF27" s="122" t="str">
        <f>+'Income &amp; Cash Flow'!U$4</f>
        <v>FY25A</v>
      </c>
      <c r="AG27" s="122"/>
      <c r="AH27" s="122"/>
      <c r="AI27" s="122" t="str">
        <f>+'Income &amp; Cash Flow'!X$4</f>
        <v>FY26E</v>
      </c>
      <c r="AJ27" s="122"/>
      <c r="AK27" s="122"/>
      <c r="AL27" s="122" t="str">
        <f>+'Income &amp; Cash Flow'!AA$4</f>
        <v>FY27E</v>
      </c>
      <c r="AM27" s="6"/>
      <c r="AN27" s="6"/>
    </row>
    <row r="28" spans="2:40" ht="21.75" customHeight="1" x14ac:dyDescent="0.2">
      <c r="B28" s="8" t="s">
        <v>298</v>
      </c>
      <c r="C28" s="9" t="s">
        <v>45</v>
      </c>
      <c r="D28" s="112"/>
      <c r="E28" s="112"/>
      <c r="F28" s="112"/>
      <c r="G28" s="112">
        <f>+'Income &amp; Cash Flow'!O59</f>
        <v>0.35023041474654382</v>
      </c>
      <c r="H28" s="112">
        <f>+'Income &amp; Cash Flow'!P59</f>
        <v>0.73943661971830998</v>
      </c>
      <c r="I28" s="112">
        <f>+'Income &amp; Cash Flow'!Q59</f>
        <v>0.33112582781456923</v>
      </c>
      <c r="J28" s="112">
        <f>+'Income &amp; Cash Flow'!R59</f>
        <v>0.52901023890784971</v>
      </c>
      <c r="K28" s="112">
        <f>+'Income &amp; Cash Flow'!S59</f>
        <v>0.27846153846153854</v>
      </c>
      <c r="L28" s="112">
        <f>+'Income &amp; Cash Flow'!T59</f>
        <v>0.66870646766169162</v>
      </c>
      <c r="M28" s="112">
        <f>+'Income &amp; Cash Flow'!U59</f>
        <v>0.45354910714285723</v>
      </c>
      <c r="N28" s="112">
        <f>+'Income &amp; Cash Flow'!V59</f>
        <v>0.34386748338549888</v>
      </c>
      <c r="O28" s="112">
        <f>+'Income &amp; Cash Flow'!W59</f>
        <v>0.21010131321767611</v>
      </c>
      <c r="P28" s="112">
        <f>+'Income &amp; Cash Flow'!X59</f>
        <v>0.27496822028872314</v>
      </c>
      <c r="Q28" s="112">
        <f>+'Income &amp; Cash Flow'!Y59</f>
        <v>0.30664536809225051</v>
      </c>
      <c r="R28" s="112">
        <f>+'Income &amp; Cash Flow'!Z59</f>
        <v>0.33803894035920568</v>
      </c>
      <c r="S28" s="112">
        <f>+'Income &amp; Cash Flow'!AA59</f>
        <v>0.32199264726711618</v>
      </c>
      <c r="T28" s="6"/>
      <c r="U28" s="15" t="s">
        <v>467</v>
      </c>
      <c r="V28" s="58" t="s">
        <v>41</v>
      </c>
      <c r="W28" s="116">
        <f>+Segments!L10</f>
        <v>535.4</v>
      </c>
      <c r="X28" s="116">
        <f>+Segments!M10</f>
        <v>334.9</v>
      </c>
      <c r="Y28" s="116">
        <f>+Segments!N10</f>
        <v>368</v>
      </c>
      <c r="Z28" s="116">
        <f>+Segments!O10</f>
        <v>702.9</v>
      </c>
      <c r="AA28" s="116">
        <f>+Segments!P10</f>
        <v>438.6</v>
      </c>
      <c r="AB28" s="116">
        <f>+Segments!Q10</f>
        <v>456</v>
      </c>
      <c r="AC28" s="116">
        <f>+Segments!R10</f>
        <v>894.6</v>
      </c>
      <c r="AD28" s="116">
        <f>+Segments!S10</f>
        <v>538.24</v>
      </c>
      <c r="AE28" s="116">
        <f>+Segments!T10</f>
        <v>556.3599999999999</v>
      </c>
      <c r="AF28" s="116">
        <f>+Segments!U10</f>
        <v>1094.5999999999999</v>
      </c>
      <c r="AG28" s="116">
        <f>+Segments!V10</f>
        <v>632.68830476190487</v>
      </c>
      <c r="AH28" s="116">
        <f>+Segments!W10</f>
        <v>649.10322499999984</v>
      </c>
      <c r="AI28" s="116">
        <f>+Segments!X10</f>
        <v>1281.7915297619047</v>
      </c>
      <c r="AJ28" s="116">
        <f>+Segments!Y10</f>
        <v>743.73966202032295</v>
      </c>
      <c r="AK28" s="116">
        <f>+Segments!Z10</f>
        <v>758.22412148622027</v>
      </c>
      <c r="AL28" s="116">
        <f>+Segments!AA10</f>
        <v>1501.9637835065432</v>
      </c>
      <c r="AM28" s="6"/>
      <c r="AN28" s="6"/>
    </row>
    <row r="29" spans="2:40" ht="21.75" customHeight="1" x14ac:dyDescent="0.2">
      <c r="B29" s="8" t="s">
        <v>299</v>
      </c>
      <c r="C29" s="9" t="s">
        <v>45</v>
      </c>
      <c r="D29" s="112"/>
      <c r="E29" s="112"/>
      <c r="F29" s="112"/>
      <c r="G29" s="112">
        <f>+'Income &amp; Cash Flow'!O63</f>
        <v>-6.25E-2</v>
      </c>
      <c r="H29" s="112">
        <f>+'Income &amp; Cash Flow'!P63</f>
        <v>3.2222222222222223</v>
      </c>
      <c r="I29" s="112">
        <f>+'Income &amp; Cash Flow'!Q63</f>
        <v>-9.5238095238095122E-2</v>
      </c>
      <c r="J29" s="112">
        <f>+'Income &amp; Cash Flow'!R63</f>
        <v>0.90000000000000013</v>
      </c>
      <c r="K29" s="112">
        <f>+'Income &amp; Cash Flow'!S63</f>
        <v>0.92131578947368431</v>
      </c>
      <c r="L29" s="112">
        <f>+'Income &amp; Cash Flow'!T63</f>
        <v>2.7763157894736841</v>
      </c>
      <c r="M29" s="112">
        <f>+'Income &amp; Cash Flow'!U63</f>
        <v>1.5396491228070177</v>
      </c>
      <c r="N29" s="112">
        <f>+'Income &amp; Cash Flow'!V63</f>
        <v>0.49350194538324854</v>
      </c>
      <c r="O29" s="112">
        <f>+'Income &amp; Cash Flow'!W63</f>
        <v>0.3774017456472254</v>
      </c>
      <c r="P29" s="112">
        <f>+'Income &amp; Cash Flow'!X63</f>
        <v>0.43595711717753161</v>
      </c>
      <c r="Q29" s="112">
        <f>+'Income &amp; Cash Flow'!Y63</f>
        <v>0.55762192867415905</v>
      </c>
      <c r="R29" s="112">
        <f>+'Income &amp; Cash Flow'!Z63</f>
        <v>0.51412823710893596</v>
      </c>
      <c r="S29" s="112">
        <f>+'Income &amp; Cash Flow'!AA63</f>
        <v>0.53694344164248031</v>
      </c>
      <c r="T29" s="6"/>
      <c r="U29" s="20" t="s">
        <v>528</v>
      </c>
      <c r="V29" s="58" t="s">
        <v>41</v>
      </c>
      <c r="W29" s="116">
        <f>+Segments!L11</f>
        <v>31.4</v>
      </c>
      <c r="X29" s="116">
        <f>+Segments!M11</f>
        <v>21.5</v>
      </c>
      <c r="Y29" s="116">
        <f>+Segments!N11</f>
        <v>21.6</v>
      </c>
      <c r="Z29" s="116">
        <f>+Segments!O11</f>
        <v>43.1</v>
      </c>
      <c r="AA29" s="116">
        <f>+Segments!P11</f>
        <v>22.2</v>
      </c>
      <c r="AB29" s="116">
        <f>+Segments!Q11</f>
        <v>24.2</v>
      </c>
      <c r="AC29" s="116">
        <f>+Segments!R11</f>
        <v>46.4</v>
      </c>
      <c r="AD29" s="116">
        <f>+Segments!S11</f>
        <v>30.193999999999999</v>
      </c>
      <c r="AE29" s="116">
        <f>+Segments!T11</f>
        <v>34.506</v>
      </c>
      <c r="AF29" s="116">
        <f>+Segments!U11</f>
        <v>64.7</v>
      </c>
      <c r="AG29" s="116">
        <f>+Segments!V11</f>
        <v>34.723099999999995</v>
      </c>
      <c r="AH29" s="116">
        <f>+Segments!W11</f>
        <v>39.681899999999999</v>
      </c>
      <c r="AI29" s="116">
        <f>+Segments!X11</f>
        <v>74.405000000000001</v>
      </c>
      <c r="AJ29" s="116">
        <f>+Segments!Y11</f>
        <v>39.931564999999992</v>
      </c>
      <c r="AK29" s="116">
        <f>+Segments!Z11</f>
        <v>45.634184999999995</v>
      </c>
      <c r="AL29" s="116">
        <f>+Segments!AA11</f>
        <v>85.56574999999998</v>
      </c>
      <c r="AM29" s="6"/>
      <c r="AN29" s="6"/>
    </row>
    <row r="30" spans="2:40" ht="21.75" customHeight="1" x14ac:dyDescent="0.2">
      <c r="B30" s="8"/>
      <c r="C30" s="8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6"/>
      <c r="U30" s="15" t="s">
        <v>529</v>
      </c>
      <c r="V30" s="58" t="s">
        <v>41</v>
      </c>
      <c r="W30" s="116">
        <f>+Segments!L12</f>
        <v>5.8</v>
      </c>
      <c r="X30" s="116">
        <f>+Segments!M12</f>
        <v>3.2</v>
      </c>
      <c r="Y30" s="116">
        <f>+Segments!N12</f>
        <v>3.8</v>
      </c>
      <c r="Z30" s="116">
        <f>+Segments!O12</f>
        <v>7</v>
      </c>
      <c r="AA30" s="116">
        <f>+Segments!P12</f>
        <v>4.2</v>
      </c>
      <c r="AB30" s="116">
        <f>+Segments!Q12</f>
        <v>3.7</v>
      </c>
      <c r="AC30" s="116">
        <f>+Segments!R12</f>
        <v>7.9</v>
      </c>
      <c r="AD30" s="116">
        <f>+Segments!S12</f>
        <v>4.6059999999999999</v>
      </c>
      <c r="AE30" s="116">
        <f>+Segments!T12</f>
        <v>4.4939999999999998</v>
      </c>
      <c r="AF30" s="116">
        <f>+Segments!U12</f>
        <v>9.1</v>
      </c>
      <c r="AG30" s="116">
        <f>+Segments!V12</f>
        <v>5.0666000000000002</v>
      </c>
      <c r="AH30" s="116">
        <f>+Segments!W12</f>
        <v>5.8422000000000001</v>
      </c>
      <c r="AI30" s="116">
        <f>+Segments!X12</f>
        <v>10.908799999999999</v>
      </c>
      <c r="AJ30" s="116">
        <f>+Segments!Y12</f>
        <v>6.755466666666667</v>
      </c>
      <c r="AK30" s="116">
        <f>+Segments!Z12</f>
        <v>7.5113999999999992</v>
      </c>
      <c r="AL30" s="116">
        <f>+Segments!AA12</f>
        <v>14.266866666666665</v>
      </c>
      <c r="AM30" s="6"/>
      <c r="AN30" s="6"/>
    </row>
    <row r="31" spans="2:40" ht="21.75" customHeight="1" x14ac:dyDescent="0.2">
      <c r="B31" s="8" t="s">
        <v>304</v>
      </c>
      <c r="C31" s="9" t="s">
        <v>45</v>
      </c>
      <c r="D31" s="112">
        <f>+'Income &amp; Cash Flow'!L80</f>
        <v>0.12631554437924933</v>
      </c>
      <c r="E31" s="112">
        <f>+'Income &amp; Cash Flow'!M80</f>
        <v>0.1171762181788175</v>
      </c>
      <c r="F31" s="112">
        <f>+'Income &amp; Cash Flow'!N80</f>
        <v>0.10953220319311763</v>
      </c>
      <c r="G31" s="112">
        <f>+'Income &amp; Cash Flow'!O80</f>
        <v>0.11310819783511683</v>
      </c>
      <c r="H31" s="112">
        <f>+'Income &amp; Cash Flow'!P80</f>
        <v>0.14744772172376536</v>
      </c>
      <c r="I31" s="112">
        <f>+'Income &amp; Cash Flow'!Q80</f>
        <v>0.11505635471702431</v>
      </c>
      <c r="J31" s="112">
        <f>+'Income &amp; Cash Flow'!R80</f>
        <v>0.1309122362030776</v>
      </c>
      <c r="K31" s="112">
        <f>+'Income &amp; Cash Flow'!S80</f>
        <v>0.14865901826107833</v>
      </c>
      <c r="L31" s="112">
        <f>+'Income &amp; Cash Flow'!T80</f>
        <v>0.15002929822913449</v>
      </c>
      <c r="M31" s="112">
        <f>+'Income &amp; Cash Flow'!U80</f>
        <v>0.14936167089466995</v>
      </c>
      <c r="N31" s="112">
        <f>+'Income &amp; Cash Flow'!V80</f>
        <v>0.15999533473028221</v>
      </c>
      <c r="O31" s="112">
        <f>+'Income &amp; Cash Flow'!W80</f>
        <v>0.14834903233723798</v>
      </c>
      <c r="P31" s="112">
        <f>+'Income &amp; Cash Flow'!X80</f>
        <v>0.1540818237031685</v>
      </c>
      <c r="Q31" s="112">
        <f>+'Income &amp; Cash Flow'!Y80</f>
        <v>0.17512552789883898</v>
      </c>
      <c r="R31" s="112">
        <f>+'Income &amp; Cash Flow'!Z80</f>
        <v>0.16699598890923609</v>
      </c>
      <c r="S31" s="112">
        <f>+'Income &amp; Cash Flow'!AA80</f>
        <v>0.17100642467976671</v>
      </c>
      <c r="T31" s="6"/>
      <c r="U31" s="15" t="s">
        <v>445</v>
      </c>
      <c r="V31" s="58" t="s">
        <v>41</v>
      </c>
      <c r="W31" s="116">
        <f>+Segments!L13</f>
        <v>2.5</v>
      </c>
      <c r="X31" s="116">
        <f>+Segments!M13</f>
        <v>1.5</v>
      </c>
      <c r="Y31" s="116">
        <f>+Segments!N13</f>
        <v>4.5</v>
      </c>
      <c r="Z31" s="116">
        <f>+Segments!O13</f>
        <v>6</v>
      </c>
      <c r="AA31" s="116">
        <f>+Segments!P13</f>
        <v>5.6</v>
      </c>
      <c r="AB31" s="116">
        <f>+Segments!Q13</f>
        <v>5.234</v>
      </c>
      <c r="AC31" s="116">
        <f>+Segments!R13</f>
        <v>10.834</v>
      </c>
      <c r="AD31" s="116">
        <f>+Segments!S13</f>
        <v>4.907</v>
      </c>
      <c r="AE31" s="116">
        <f>+Segments!T13</f>
        <v>7.39900000000004</v>
      </c>
      <c r="AF31" s="116">
        <f>+Segments!U13</f>
        <v>12.30600000000004</v>
      </c>
      <c r="AG31" s="116">
        <f>+Segments!V13</f>
        <v>7.6058500000000002</v>
      </c>
      <c r="AH31" s="116">
        <f>+Segments!W13</f>
        <v>7.768950000000042</v>
      </c>
      <c r="AI31" s="116">
        <f>+Segments!X13</f>
        <v>15.374800000000043</v>
      </c>
      <c r="AJ31" s="116">
        <f>+Segments!Y13</f>
        <v>9.77895</v>
      </c>
      <c r="AK31" s="116">
        <f>+Segments!Z13</f>
        <v>9.7111875000000527</v>
      </c>
      <c r="AL31" s="116">
        <f>+Segments!AA13</f>
        <v>19.490137500000053</v>
      </c>
      <c r="AM31" s="6"/>
      <c r="AN31" s="6"/>
    </row>
    <row r="32" spans="2:40" ht="21.75" customHeight="1" x14ac:dyDescent="0.2">
      <c r="B32" s="8" t="s">
        <v>302</v>
      </c>
      <c r="C32" s="9" t="s">
        <v>45</v>
      </c>
      <c r="D32" s="112">
        <f>+'Income &amp; Cash Flow'!L81</f>
        <v>1.8627177051317875E-2</v>
      </c>
      <c r="E32" s="112">
        <f>+'Income &amp; Cash Flow'!M81</f>
        <v>7.4266617155588563E-3</v>
      </c>
      <c r="F32" s="112">
        <f>+'Income &amp; Cash Flow'!N81</f>
        <v>1.5232955410963379E-2</v>
      </c>
      <c r="G32" s="112">
        <f>+'Income &amp; Cash Flow'!O81</f>
        <v>1.1581044146940288E-2</v>
      </c>
      <c r="H32" s="112">
        <f>+'Income &amp; Cash Flow'!P81</f>
        <v>2.2684264880579286E-2</v>
      </c>
      <c r="I32" s="112">
        <f>+'Income &amp; Cash Flow'!Q81</f>
        <v>1.0875973828972452E-2</v>
      </c>
      <c r="J32" s="112">
        <f>+'Income &amp; Cash Flow'!R81</f>
        <v>1.6656244338338001E-2</v>
      </c>
      <c r="K32" s="112">
        <f>+'Income &amp; Cash Flow'!S81</f>
        <v>3.4370748379382254E-2</v>
      </c>
      <c r="L32" s="112">
        <f>+'Income &amp; Cash Flow'!T81</f>
        <v>3.2093861685520413E-2</v>
      </c>
      <c r="M32" s="112">
        <f>+'Income &amp; Cash Flow'!U81</f>
        <v>3.3203205636929967E-2</v>
      </c>
      <c r="N32" s="112">
        <f>+'Income &amp; Cash Flow'!V81</f>
        <v>4.1110654809774654E-2</v>
      </c>
      <c r="O32" s="112">
        <f>+'Income &amp; Cash Flow'!W81</f>
        <v>3.6121810788710011E-2</v>
      </c>
      <c r="P32" s="112">
        <f>+'Income &amp; Cash Flow'!X81</f>
        <v>3.8577525998974092E-2</v>
      </c>
      <c r="Q32" s="112">
        <f>+'Income &amp; Cash Flow'!Y81</f>
        <v>5.3641492350084988E-2</v>
      </c>
      <c r="R32" s="112">
        <f>+'Income &amp; Cash Flow'!Z81</f>
        <v>4.6013444117589709E-2</v>
      </c>
      <c r="S32" s="112">
        <f>+'Income &amp; Cash Flow'!AA81</f>
        <v>4.9776486219984047E-2</v>
      </c>
      <c r="T32" s="6"/>
      <c r="U32" s="373" t="s">
        <v>377</v>
      </c>
      <c r="V32" s="114" t="s">
        <v>41</v>
      </c>
      <c r="W32" s="120">
        <f>SUM(W28:W31)</f>
        <v>575.09999999999991</v>
      </c>
      <c r="X32" s="120">
        <f t="shared" ref="X32:AL32" si="24">SUM(X28:X31)</f>
        <v>361.09999999999997</v>
      </c>
      <c r="Y32" s="120">
        <f t="shared" si="24"/>
        <v>397.90000000000003</v>
      </c>
      <c r="Z32" s="120">
        <f t="shared" si="24"/>
        <v>759</v>
      </c>
      <c r="AA32" s="120">
        <f t="shared" si="24"/>
        <v>470.6</v>
      </c>
      <c r="AB32" s="120">
        <f t="shared" si="24"/>
        <v>489.13399999999996</v>
      </c>
      <c r="AC32" s="120">
        <f t="shared" si="24"/>
        <v>959.73399999999992</v>
      </c>
      <c r="AD32" s="120">
        <f t="shared" si="24"/>
        <v>577.947</v>
      </c>
      <c r="AE32" s="120">
        <f t="shared" si="24"/>
        <v>602.7589999999999</v>
      </c>
      <c r="AF32" s="120">
        <f t="shared" si="24"/>
        <v>1180.7059999999999</v>
      </c>
      <c r="AG32" s="120">
        <f t="shared" si="24"/>
        <v>680.08385476190495</v>
      </c>
      <c r="AH32" s="120">
        <f t="shared" si="24"/>
        <v>702.39627499999995</v>
      </c>
      <c r="AI32" s="120">
        <f t="shared" si="24"/>
        <v>1382.4801297619047</v>
      </c>
      <c r="AJ32" s="120">
        <f t="shared" si="24"/>
        <v>800.20564368698956</v>
      </c>
      <c r="AK32" s="120">
        <f t="shared" si="24"/>
        <v>821.0808939862203</v>
      </c>
      <c r="AL32" s="120">
        <f t="shared" si="24"/>
        <v>1621.2865376732098</v>
      </c>
      <c r="AM32" s="6"/>
      <c r="AN32" s="6"/>
    </row>
    <row r="33" spans="2:40" ht="21.75" customHeight="1" x14ac:dyDescent="0.2">
      <c r="B33" s="8"/>
      <c r="C33" s="8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6"/>
      <c r="U33" s="8" t="s">
        <v>378</v>
      </c>
      <c r="V33" s="58" t="s">
        <v>41</v>
      </c>
      <c r="W33" s="116">
        <f>+Segments!L16</f>
        <v>139.21700000000001</v>
      </c>
      <c r="X33" s="116">
        <f>+Segments!M16</f>
        <v>100.639</v>
      </c>
      <c r="Y33" s="116">
        <f>+Segments!N16</f>
        <v>111.336</v>
      </c>
      <c r="Z33" s="116">
        <f>+Segments!O16</f>
        <v>211.97499999999999</v>
      </c>
      <c r="AA33" s="116">
        <f>+Segments!P16</f>
        <v>136.57400000000001</v>
      </c>
      <c r="AB33" s="116">
        <f>+Segments!Q16</f>
        <v>142.303</v>
      </c>
      <c r="AC33" s="116">
        <f>+Segments!R16</f>
        <v>278.87700000000001</v>
      </c>
      <c r="AD33" s="116">
        <f>+Segments!S16</f>
        <v>176.05099999999999</v>
      </c>
      <c r="AE33" s="116">
        <f>+Segments!T16</f>
        <v>183.67099999999999</v>
      </c>
      <c r="AF33" s="116">
        <f>+Segments!U16</f>
        <v>359.72199999999998</v>
      </c>
      <c r="AG33" s="116">
        <f>+Segments!V16</f>
        <v>218.79367526598926</v>
      </c>
      <c r="AH33" s="116">
        <f>+Segments!W16</f>
        <v>225.78059027066922</v>
      </c>
      <c r="AI33" s="116">
        <f>+Segments!X16</f>
        <v>444.57426553665846</v>
      </c>
      <c r="AJ33" s="116">
        <f>+Segments!Y16</f>
        <v>260.03239856138055</v>
      </c>
      <c r="AK33" s="116">
        <f>+Segments!Z16</f>
        <v>266.31287365581153</v>
      </c>
      <c r="AL33" s="116">
        <f>+Segments!AA16</f>
        <v>526.34527221719213</v>
      </c>
      <c r="AM33" s="6"/>
      <c r="AN33" s="6"/>
    </row>
    <row r="34" spans="2:40" ht="21.75" customHeight="1" x14ac:dyDescent="0.2">
      <c r="B34" s="8" t="s">
        <v>62</v>
      </c>
      <c r="C34" s="9" t="s">
        <v>45</v>
      </c>
      <c r="D34" s="112">
        <f>+'Balance Sheet'!L73</f>
        <v>4.3412787779300251E-2</v>
      </c>
      <c r="E34" s="112">
        <f>+'Balance Sheet'!M73</f>
        <v>0</v>
      </c>
      <c r="F34" s="112">
        <f>+'Balance Sheet'!N73</f>
        <v>0</v>
      </c>
      <c r="G34" s="112">
        <f>+'Balance Sheet'!O73</f>
        <v>3.5489518762125589E-2</v>
      </c>
      <c r="H34" s="112">
        <f>+'Balance Sheet'!P73</f>
        <v>4.6928064217351025E-2</v>
      </c>
      <c r="I34" s="112">
        <f>+'Balance Sheet'!Q73</f>
        <v>8.8792515258292754E-3</v>
      </c>
      <c r="J34" s="112">
        <f>+'Balance Sheet'!R73</f>
        <v>2.5795123364046119E-2</v>
      </c>
      <c r="K34" s="112">
        <f>+'Balance Sheet'!S73</f>
        <v>2.0235251076755927E-2</v>
      </c>
      <c r="L34" s="112">
        <f>+'Balance Sheet'!T73</f>
        <v>1.9190726399084194E-2</v>
      </c>
      <c r="M34" s="112">
        <f>+'Balance Sheet'!U73</f>
        <v>3.9438607388881393E-2</v>
      </c>
      <c r="N34" s="112">
        <f>+'Balance Sheet'!V73</f>
        <v>2.827991598886254E-2</v>
      </c>
      <c r="O34" s="112">
        <f>+'Balance Sheet'!W73</f>
        <v>2.4958634093825847E-2</v>
      </c>
      <c r="P34" s="112">
        <f>+'Balance Sheet'!X73</f>
        <v>5.3229157424253826E-2</v>
      </c>
      <c r="Q34" s="112">
        <f>+'Balance Sheet'!Y73</f>
        <v>4.1485760051633465E-2</v>
      </c>
      <c r="R34" s="112">
        <f>+'Balance Sheet'!Z73</f>
        <v>3.5177981163221309E-2</v>
      </c>
      <c r="S34" s="112">
        <f>+'Balance Sheet'!AA73</f>
        <v>7.6635780932093361E-2</v>
      </c>
      <c r="T34" s="6"/>
      <c r="U34" s="8" t="s">
        <v>530</v>
      </c>
      <c r="V34" s="58" t="s">
        <v>41</v>
      </c>
      <c r="W34" s="116">
        <f>+Segments!L17+Segments!L18+Segments!L19+Segments!L20</f>
        <v>29.426000000000002</v>
      </c>
      <c r="X34" s="116">
        <f>+Segments!M17+Segments!M18+Segments!M19+Segments!M20</f>
        <v>18.567</v>
      </c>
      <c r="Y34" s="116">
        <f>+Segments!N17+Segments!N18+Segments!N19+Segments!N20</f>
        <v>21.422000000000001</v>
      </c>
      <c r="Z34" s="116">
        <f>+Segments!O17+Segments!O18+Segments!O19+Segments!O20</f>
        <v>39.989000000000004</v>
      </c>
      <c r="AA34" s="116">
        <f>+Segments!P17+Segments!P18+Segments!P19+Segments!P20</f>
        <v>24.699999999999996</v>
      </c>
      <c r="AB34" s="116">
        <f>+Segments!Q17+Segments!Q18+Segments!Q19+Segments!Q20</f>
        <v>27.803000000000001</v>
      </c>
      <c r="AC34" s="116">
        <f>+Segments!R17+Segments!R18+Segments!R19+Segments!R20</f>
        <v>52.503</v>
      </c>
      <c r="AD34" s="116">
        <f>+Segments!S17+Segments!S18+Segments!S19+Segments!S20</f>
        <v>33.135999999999996</v>
      </c>
      <c r="AE34" s="116">
        <f>+Segments!T17+Segments!T18+Segments!T19+Segments!T20</f>
        <v>34.254999999999995</v>
      </c>
      <c r="AF34" s="116">
        <f>+Segments!U17+Segments!U18+Segments!U19+Segments!U20</f>
        <v>67.390999999999991</v>
      </c>
      <c r="AG34" s="116">
        <f>+Segments!V17+Segments!V18+Segments!V19+Segments!V20</f>
        <v>40.007385449896624</v>
      </c>
      <c r="AH34" s="116">
        <f>+Segments!W17+Segments!W18+Segments!W19+Segments!W20</f>
        <v>41.084384422913629</v>
      </c>
      <c r="AI34" s="116">
        <f>+Segments!X17+Segments!X18+Segments!X19+Segments!X20</f>
        <v>81.091769872810247</v>
      </c>
      <c r="AJ34" s="116">
        <f>+Segments!Y17+Segments!Y18+Segments!Y19+Segments!Y20</f>
        <v>47.967133859838974</v>
      </c>
      <c r="AK34" s="116">
        <f>+Segments!Z17+Segments!Z18+Segments!Z19+Segments!Z20</f>
        <v>50.205593348716285</v>
      </c>
      <c r="AL34" s="116">
        <f>+Segments!AA17+Segments!AA18+Segments!AA19+Segments!AA20</f>
        <v>98.172727208555258</v>
      </c>
      <c r="AM34" s="6"/>
      <c r="AN34" s="6"/>
    </row>
    <row r="35" spans="2:40" ht="21.75" customHeight="1" x14ac:dyDescent="0.2">
      <c r="B35" s="8" t="s">
        <v>63</v>
      </c>
      <c r="C35" s="9" t="s">
        <v>45</v>
      </c>
      <c r="D35" s="112">
        <f>+'Balance Sheet'!L74</f>
        <v>3.9340715181418066E-2</v>
      </c>
      <c r="E35" s="112">
        <f>+'Balance Sheet'!M74</f>
        <v>0</v>
      </c>
      <c r="F35" s="112">
        <f>+'Balance Sheet'!N74</f>
        <v>0</v>
      </c>
      <c r="G35" s="112">
        <f>+'Balance Sheet'!O74</f>
        <v>1.6320517316289421E-2</v>
      </c>
      <c r="H35" s="112">
        <f>+'Balance Sheet'!P74</f>
        <v>3.3266045196458684E-2</v>
      </c>
      <c r="I35" s="112">
        <f>+'Balance Sheet'!Q74</f>
        <v>1.1313590332537057E-2</v>
      </c>
      <c r="J35" s="112">
        <f>+'Balance Sheet'!R74</f>
        <v>3.2553368974485103E-2</v>
      </c>
      <c r="K35" s="112">
        <f>+'Balance Sheet'!S74</f>
        <v>2.0713177677896662E-2</v>
      </c>
      <c r="L35" s="112">
        <f>+'Balance Sheet'!T74</f>
        <v>1.945392697313663E-2</v>
      </c>
      <c r="M35" s="112">
        <f>+'Balance Sheet'!U74</f>
        <v>3.9853514797578656E-2</v>
      </c>
      <c r="N35" s="112">
        <f>+'Balance Sheet'!V74</f>
        <v>2.4732887547725506E-2</v>
      </c>
      <c r="O35" s="112">
        <f>+'Balance Sheet'!W74</f>
        <v>2.2417124627417746E-2</v>
      </c>
      <c r="P35" s="112">
        <f>+'Balance Sheet'!X74</f>
        <v>4.711599398388211E-2</v>
      </c>
      <c r="Q35" s="112">
        <f>+'Balance Sheet'!Y74</f>
        <v>3.577332141864524E-2</v>
      </c>
      <c r="R35" s="112">
        <f>+'Balance Sheet'!Z74</f>
        <v>3.4394005070259567E-2</v>
      </c>
      <c r="S35" s="112">
        <f>+'Balance Sheet'!AA74</f>
        <v>7.0155979256268652E-2</v>
      </c>
      <c r="T35" s="6"/>
      <c r="U35" s="8" t="s">
        <v>445</v>
      </c>
      <c r="V35" s="58" t="s">
        <v>41</v>
      </c>
      <c r="W35" s="116">
        <f>+Segments!L21</f>
        <v>2.5</v>
      </c>
      <c r="X35" s="116">
        <f>+Segments!M21</f>
        <v>1.5</v>
      </c>
      <c r="Y35" s="116">
        <f>+Segments!N21</f>
        <v>4.5</v>
      </c>
      <c r="Z35" s="116">
        <f>+Segments!O21</f>
        <v>6</v>
      </c>
      <c r="AA35" s="116">
        <f>+Segments!P21</f>
        <v>5.6</v>
      </c>
      <c r="AB35" s="116">
        <f>+Segments!Q21</f>
        <v>5.234</v>
      </c>
      <c r="AC35" s="116">
        <f>+Segments!R21</f>
        <v>10.834</v>
      </c>
      <c r="AD35" s="116">
        <f>+Segments!S21</f>
        <v>3.2320000000000002</v>
      </c>
      <c r="AE35" s="116">
        <f>+Segments!T21</f>
        <v>7.39900000000004</v>
      </c>
      <c r="AF35" s="116">
        <f>+Segments!U21</f>
        <v>12.30600000000004</v>
      </c>
      <c r="AG35" s="116">
        <f>+Segments!V21</f>
        <v>6.435719230769231</v>
      </c>
      <c r="AH35" s="116">
        <f>+Segments!W21</f>
        <v>6.7330900000000362</v>
      </c>
      <c r="AI35" s="116">
        <f>+Segments!X21</f>
        <v>13.168809230769266</v>
      </c>
      <c r="AJ35" s="116">
        <f>+Segments!Y21</f>
        <v>8.6284852941176471</v>
      </c>
      <c r="AK35" s="116">
        <f>+Segments!Z21</f>
        <v>8.6889572368421533</v>
      </c>
      <c r="AL35" s="116">
        <f>+Segments!AA21</f>
        <v>17.317442530959802</v>
      </c>
      <c r="AM35" s="6"/>
      <c r="AN35" s="6"/>
    </row>
    <row r="36" spans="2:40" ht="21.75" customHeight="1" x14ac:dyDescent="0.2">
      <c r="B36" s="8" t="s">
        <v>64</v>
      </c>
      <c r="C36" s="9" t="s">
        <v>45</v>
      </c>
      <c r="D36" s="112">
        <f>+'Income &amp; Cash Flow'!L136</f>
        <v>0.90525345622119724</v>
      </c>
      <c r="E36" s="112">
        <f>+'Income &amp; Cash Flow'!M136</f>
        <v>0.96295774647887422</v>
      </c>
      <c r="F36" s="112">
        <f>+'Income &amp; Cash Flow'!N136</f>
        <v>1.4088079470198667</v>
      </c>
      <c r="G36" s="112">
        <f>+'Income &amp; Cash Flow'!O136</f>
        <v>1.1927303754266212</v>
      </c>
      <c r="H36" s="112">
        <f>+'Income &amp; Cash Flow'!P136</f>
        <v>0.5714979757085018</v>
      </c>
      <c r="I36" s="112">
        <f>+'Income &amp; Cash Flow'!Q136</f>
        <v>1.1268159203980086</v>
      </c>
      <c r="J36" s="112">
        <f>+'Income &amp; Cash Flow'!R136</f>
        <v>0.82064732142857066</v>
      </c>
      <c r="K36" s="112">
        <f>+'Income &amp; Cash Flow'!S136</f>
        <v>0.60782823484704551</v>
      </c>
      <c r="L36" s="112">
        <f>+'Income &amp; Cash Flow'!T136</f>
        <v>1.1369070689603755</v>
      </c>
      <c r="M36" s="112">
        <f>+'Income &amp; Cash Flow'!U136</f>
        <v>0.88034214284617329</v>
      </c>
      <c r="N36" s="112">
        <f>+'Income &amp; Cash Flow'!V136</f>
        <v>1.1132776530686297</v>
      </c>
      <c r="O36" s="112">
        <f>+'Income &amp; Cash Flow'!W136</f>
        <v>1.0944096201097142</v>
      </c>
      <c r="P36" s="112">
        <f>+'Income &amp; Cash Flow'!X136</f>
        <v>1.1040536957935969</v>
      </c>
      <c r="Q36" s="112">
        <f>+'Income &amp; Cash Flow'!Y136</f>
        <v>1.023674440560149</v>
      </c>
      <c r="R36" s="112">
        <f>+'Income &amp; Cash Flow'!Z136</f>
        <v>0.9847649427168097</v>
      </c>
      <c r="S36" s="112">
        <f>+'Income &amp; Cash Flow'!AA136</f>
        <v>1.0044219909482217</v>
      </c>
      <c r="T36" s="6"/>
      <c r="U36" s="373" t="s">
        <v>525</v>
      </c>
      <c r="V36" s="114" t="s">
        <v>41</v>
      </c>
      <c r="W36" s="120">
        <f>SUM(W33:W35)</f>
        <v>171.14300000000003</v>
      </c>
      <c r="X36" s="120">
        <f t="shared" ref="X36:AL36" si="25">SUM(X33:X35)</f>
        <v>120.70599999999999</v>
      </c>
      <c r="Y36" s="120">
        <f t="shared" si="25"/>
        <v>137.25800000000001</v>
      </c>
      <c r="Z36" s="120">
        <f t="shared" si="25"/>
        <v>257.964</v>
      </c>
      <c r="AA36" s="120">
        <f t="shared" si="25"/>
        <v>166.874</v>
      </c>
      <c r="AB36" s="120">
        <f t="shared" si="25"/>
        <v>175.34</v>
      </c>
      <c r="AC36" s="120">
        <f t="shared" si="25"/>
        <v>342.214</v>
      </c>
      <c r="AD36" s="120">
        <f t="shared" si="25"/>
        <v>212.41899999999998</v>
      </c>
      <c r="AE36" s="120">
        <f t="shared" si="25"/>
        <v>225.32500000000002</v>
      </c>
      <c r="AF36" s="120">
        <f t="shared" si="25"/>
        <v>439.41899999999998</v>
      </c>
      <c r="AG36" s="120">
        <f t="shared" si="25"/>
        <v>265.23677994665513</v>
      </c>
      <c r="AH36" s="120">
        <f t="shared" si="25"/>
        <v>273.5980646935829</v>
      </c>
      <c r="AI36" s="120">
        <f t="shared" si="25"/>
        <v>538.83484464023797</v>
      </c>
      <c r="AJ36" s="120">
        <f t="shared" si="25"/>
        <v>316.62801771533714</v>
      </c>
      <c r="AK36" s="120">
        <f t="shared" si="25"/>
        <v>325.20742424136995</v>
      </c>
      <c r="AL36" s="120">
        <f t="shared" si="25"/>
        <v>641.8354419567072</v>
      </c>
      <c r="AM36" s="6"/>
      <c r="AN36" s="6"/>
    </row>
    <row r="37" spans="2:40" ht="21.75" customHeight="1" x14ac:dyDescent="0.2">
      <c r="B37" s="8" t="s">
        <v>65</v>
      </c>
      <c r="C37" s="9" t="s">
        <v>45</v>
      </c>
      <c r="D37" s="112">
        <f>+'Income &amp; Cash Flow'!L137</f>
        <v>-0.57990783410138347</v>
      </c>
      <c r="E37" s="112">
        <f>+'Income &amp; Cash Flow'!M137</f>
        <v>-0.55415492957746404</v>
      </c>
      <c r="F37" s="112">
        <f>+'Income &amp; Cash Flow'!N137</f>
        <v>-0.41596026490066307</v>
      </c>
      <c r="G37" s="112">
        <f>+'Income &amp; Cash Flow'!O137</f>
        <v>-0.48293515358361766</v>
      </c>
      <c r="H37" s="112">
        <f>+'Income &amp; Cash Flow'!P137</f>
        <v>-3.0769230769231048E-2</v>
      </c>
      <c r="I37" s="112">
        <f>+'Income &amp; Cash Flow'!Q137</f>
        <v>4.1691542288555677E-2</v>
      </c>
      <c r="J37" s="112">
        <f>+'Income &amp; Cash Flow'!R137</f>
        <v>1.7410714285705431E-3</v>
      </c>
      <c r="K37" s="112">
        <f>+'Income &amp; Cash Flow'!S137</f>
        <v>-0.4673823548039775</v>
      </c>
      <c r="L37" s="112">
        <f>+'Income &amp; Cash Flow'!T137</f>
        <v>-0.14161772159446817</v>
      </c>
      <c r="M37" s="112">
        <f>+'Income &amp; Cash Flow'!U137</f>
        <v>-0.29958998141863447</v>
      </c>
      <c r="N37" s="112">
        <f>+'Income &amp; Cash Flow'!V137</f>
        <v>0.40634150601513147</v>
      </c>
      <c r="O37" s="112">
        <f>+'Income &amp; Cash Flow'!W137</f>
        <v>0.35527504884379513</v>
      </c>
      <c r="P37" s="112">
        <f>+'Income &amp; Cash Flow'!X137</f>
        <v>0.38137680406865115</v>
      </c>
      <c r="Q37" s="112">
        <f>+'Income &amp; Cash Flow'!Y137</f>
        <v>0.4474760205472133</v>
      </c>
      <c r="R37" s="112">
        <f>+'Income &amp; Cash Flow'!Z137</f>
        <v>0.39645746177990931</v>
      </c>
      <c r="S37" s="112">
        <f>+'Income &amp; Cash Flow'!AA137</f>
        <v>0.42223199822918128</v>
      </c>
      <c r="T37" s="6"/>
      <c r="U37" s="20" t="s">
        <v>531</v>
      </c>
      <c r="V37" s="58" t="s">
        <v>41</v>
      </c>
      <c r="W37" s="116">
        <f>+Segments!L24</f>
        <v>18.3</v>
      </c>
      <c r="X37" s="116">
        <f>+Segments!M24</f>
        <v>13.4</v>
      </c>
      <c r="Y37" s="116">
        <f>+Segments!N24</f>
        <v>17.299999999999997</v>
      </c>
      <c r="Z37" s="116">
        <f>+Segments!O24</f>
        <v>30.7</v>
      </c>
      <c r="AA37" s="116">
        <f>+Segments!P24</f>
        <v>23.1</v>
      </c>
      <c r="AB37" s="116">
        <f>+Segments!Q24</f>
        <v>22.5</v>
      </c>
      <c r="AC37" s="116">
        <f>+Segments!R24</f>
        <v>45.6</v>
      </c>
      <c r="AD37" s="116">
        <f>+Segments!S24</f>
        <v>31.780999999999999</v>
      </c>
      <c r="AE37" s="116">
        <f>+Segments!T24</f>
        <v>34.219000000000001</v>
      </c>
      <c r="AF37" s="116">
        <f>+Segments!U24</f>
        <v>66</v>
      </c>
      <c r="AG37" s="116">
        <f>+Segments!V24</f>
        <v>42.152969102676053</v>
      </c>
      <c r="AH37" s="116">
        <f>+Segments!W24</f>
        <v>42.131133146634092</v>
      </c>
      <c r="AI37" s="116">
        <f>+Segments!X24</f>
        <v>84.284102249310152</v>
      </c>
      <c r="AJ37" s="116">
        <f>+Segments!Y24</f>
        <v>53.109394740029863</v>
      </c>
      <c r="AK37" s="116">
        <f>+Segments!Z24</f>
        <v>54.036771411813085</v>
      </c>
      <c r="AL37" s="116">
        <f>+Segments!AA24</f>
        <v>107.14616615184295</v>
      </c>
      <c r="AM37" s="6"/>
      <c r="AN37" s="6"/>
    </row>
    <row r="38" spans="2:40" ht="21.75" customHeight="1" x14ac:dyDescent="0.2"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5" t="s">
        <v>532</v>
      </c>
      <c r="V38" s="58" t="s">
        <v>41</v>
      </c>
      <c r="W38" s="116">
        <f>+Segments!L25</f>
        <v>-2.9</v>
      </c>
      <c r="X38" s="116">
        <f>+Segments!M25</f>
        <v>-1.7</v>
      </c>
      <c r="Y38" s="116">
        <f>+Segments!N25</f>
        <v>-2.5960000000000001</v>
      </c>
      <c r="Z38" s="116">
        <f>+Segments!O25</f>
        <v>-4.2960000000000003</v>
      </c>
      <c r="AA38" s="116">
        <f>+Segments!P25</f>
        <v>-3.1</v>
      </c>
      <c r="AB38" s="116">
        <f>+Segments!Q25</f>
        <v>-3.4439999999999995</v>
      </c>
      <c r="AC38" s="116">
        <f>+Segments!R25</f>
        <v>-6.5439999999999996</v>
      </c>
      <c r="AD38" s="116">
        <f>+Segments!S25</f>
        <v>-5.0140000000000002</v>
      </c>
      <c r="AE38" s="116">
        <f>+Segments!T25</f>
        <v>-8.2100000000000009</v>
      </c>
      <c r="AF38" s="116">
        <f>+Segments!U25</f>
        <v>-13.224</v>
      </c>
      <c r="AG38" s="116">
        <f>+Segments!V25</f>
        <v>-7.7750500000000002</v>
      </c>
      <c r="AH38" s="116">
        <f>+Segments!W25</f>
        <v>-8.6435000000000208</v>
      </c>
      <c r="AI38" s="116">
        <f>+Segments!X25</f>
        <v>-16.418550000000018</v>
      </c>
      <c r="AJ38" s="116">
        <f>+Segments!Y25</f>
        <v>-8.5712587500000001</v>
      </c>
      <c r="AK38" s="116">
        <f>+Segments!Z25</f>
        <v>-9.3670106250000238</v>
      </c>
      <c r="AL38" s="116">
        <f>+Segments!AA25</f>
        <v>-17.938269375000026</v>
      </c>
      <c r="AM38" s="6"/>
      <c r="AN38" s="6"/>
    </row>
    <row r="39" spans="2:40" ht="21.75" customHeight="1" x14ac:dyDescent="0.2">
      <c r="B39" s="12" t="s">
        <v>66</v>
      </c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6"/>
      <c r="U39" s="373" t="s">
        <v>526</v>
      </c>
      <c r="V39" s="114" t="s">
        <v>41</v>
      </c>
      <c r="W39" s="120">
        <f>SUM(W37:W38)</f>
        <v>15.4</v>
      </c>
      <c r="X39" s="120">
        <f t="shared" ref="X39:AL39" si="26">SUM(X37:X38)</f>
        <v>11.700000000000001</v>
      </c>
      <c r="Y39" s="120">
        <f t="shared" si="26"/>
        <v>14.703999999999997</v>
      </c>
      <c r="Z39" s="120">
        <f t="shared" si="26"/>
        <v>26.404</v>
      </c>
      <c r="AA39" s="120">
        <f t="shared" si="26"/>
        <v>20</v>
      </c>
      <c r="AB39" s="120">
        <f t="shared" si="26"/>
        <v>19.056000000000001</v>
      </c>
      <c r="AC39" s="120">
        <f t="shared" si="26"/>
        <v>39.056000000000004</v>
      </c>
      <c r="AD39" s="120">
        <f t="shared" si="26"/>
        <v>26.766999999999999</v>
      </c>
      <c r="AE39" s="120">
        <f t="shared" si="26"/>
        <v>26.009</v>
      </c>
      <c r="AF39" s="120">
        <f t="shared" si="26"/>
        <v>52.775999999999996</v>
      </c>
      <c r="AG39" s="120">
        <f t="shared" si="26"/>
        <v>34.377919102676053</v>
      </c>
      <c r="AH39" s="120">
        <f t="shared" si="26"/>
        <v>33.487633146634067</v>
      </c>
      <c r="AI39" s="120">
        <f t="shared" si="26"/>
        <v>67.865552249310127</v>
      </c>
      <c r="AJ39" s="120">
        <f t="shared" si="26"/>
        <v>44.538135990029865</v>
      </c>
      <c r="AK39" s="120">
        <f t="shared" si="26"/>
        <v>44.669760786813058</v>
      </c>
      <c r="AL39" s="120">
        <f t="shared" si="26"/>
        <v>89.207896776842915</v>
      </c>
      <c r="AM39" s="6"/>
      <c r="AN39" s="6"/>
    </row>
    <row r="40" spans="2:40" ht="21.75" customHeight="1" x14ac:dyDescent="0.2">
      <c r="B40" s="115" t="s">
        <v>40</v>
      </c>
      <c r="C40" s="115"/>
      <c r="D40" s="122" t="str">
        <f>+'Income &amp; Cash Flow'!L$4</f>
        <v>FY22A</v>
      </c>
      <c r="E40" s="115"/>
      <c r="F40" s="115"/>
      <c r="G40" s="122" t="str">
        <f>+'Income &amp; Cash Flow'!O$4</f>
        <v>FY23A</v>
      </c>
      <c r="H40" s="115"/>
      <c r="I40" s="115"/>
      <c r="J40" s="122" t="str">
        <f>+'Income &amp; Cash Flow'!R$4</f>
        <v>FY24A</v>
      </c>
      <c r="K40" s="115"/>
      <c r="L40" s="115"/>
      <c r="M40" s="122" t="str">
        <f>+'Income &amp; Cash Flow'!U$4</f>
        <v>FY25A</v>
      </c>
      <c r="N40" s="115"/>
      <c r="O40" s="115"/>
      <c r="P40" s="122" t="str">
        <f>+'Income &amp; Cash Flow'!X$4</f>
        <v>FY26E</v>
      </c>
      <c r="Q40" s="115"/>
      <c r="R40" s="115"/>
      <c r="S40" s="122" t="str">
        <f>+'Income &amp; Cash Flow'!AA$4</f>
        <v>FY27E</v>
      </c>
      <c r="T40" s="6"/>
      <c r="U40" s="374" t="s">
        <v>536</v>
      </c>
      <c r="V40" s="58" t="s">
        <v>41</v>
      </c>
      <c r="W40" s="116">
        <f>+Segments!L28</f>
        <v>-1.4359999999999999</v>
      </c>
      <c r="X40" s="116">
        <f>+Segments!M28</f>
        <v>-2.8</v>
      </c>
      <c r="Y40" s="116">
        <f>+Segments!N28</f>
        <v>-1.4400000000000004</v>
      </c>
      <c r="Z40" s="116">
        <f>+Segments!O28</f>
        <v>-4.24</v>
      </c>
      <c r="AA40" s="116">
        <f>+Segments!P28</f>
        <v>-3.6</v>
      </c>
      <c r="AB40" s="116">
        <f>+Segments!Q28</f>
        <v>-7.5</v>
      </c>
      <c r="AC40" s="116">
        <f>+Segments!R28</f>
        <v>-11.1</v>
      </c>
      <c r="AD40" s="116">
        <f>+Segments!S28</f>
        <v>-4.5869999999999997</v>
      </c>
      <c r="AE40" s="116">
        <f>+Segments!T28</f>
        <v>-4.4310000000000009</v>
      </c>
      <c r="AF40" s="116">
        <f>+Segments!U28</f>
        <v>-9.0180000000000007</v>
      </c>
      <c r="AG40" s="116">
        <f>+Segments!V28</f>
        <v>-4</v>
      </c>
      <c r="AH40" s="116">
        <f>+Segments!W28</f>
        <v>-4</v>
      </c>
      <c r="AI40" s="116">
        <f>+Segments!X28</f>
        <v>-8</v>
      </c>
      <c r="AJ40" s="116">
        <f>+Segments!Y28</f>
        <v>-3.5</v>
      </c>
      <c r="AK40" s="116">
        <f>+Segments!Z28</f>
        <v>-3.5</v>
      </c>
      <c r="AL40" s="116">
        <f>+Segments!AA28</f>
        <v>-7</v>
      </c>
      <c r="AM40" s="6"/>
      <c r="AN40" s="6"/>
    </row>
    <row r="41" spans="2:40" ht="21.75" customHeight="1" x14ac:dyDescent="0.2">
      <c r="B41" s="6" t="s">
        <v>67</v>
      </c>
      <c r="C41" s="58" t="s">
        <v>41</v>
      </c>
      <c r="D41" s="116">
        <f>+'Income &amp; Cash Flow'!L98</f>
        <v>19.643999999999981</v>
      </c>
      <c r="E41" s="116"/>
      <c r="F41" s="116"/>
      <c r="G41" s="116">
        <f>+'Income &amp; Cash Flow'!O98</f>
        <v>34.947000000000003</v>
      </c>
      <c r="H41" s="116"/>
      <c r="I41" s="116"/>
      <c r="J41" s="116">
        <f>+'Income &amp; Cash Flow'!R98</f>
        <v>36.764999999999965</v>
      </c>
      <c r="K41" s="116"/>
      <c r="L41" s="116"/>
      <c r="M41" s="116">
        <f>+'Income &amp; Cash Flow'!U98</f>
        <v>57.326999999999956</v>
      </c>
      <c r="N41" s="116"/>
      <c r="O41" s="116"/>
      <c r="P41" s="116">
        <f>+'Income &amp; Cash Flow'!X98</f>
        <v>91.663677787594594</v>
      </c>
      <c r="Q41" s="116"/>
      <c r="R41" s="116"/>
      <c r="S41" s="116">
        <f>+'Income &amp; Cash Flow'!AA98</f>
        <v>110.24333297423284</v>
      </c>
      <c r="T41" s="6"/>
      <c r="U41" s="374" t="s">
        <v>475</v>
      </c>
      <c r="V41" s="58" t="s">
        <v>41</v>
      </c>
      <c r="W41" s="116">
        <f>+Segments!L29</f>
        <v>8</v>
      </c>
      <c r="X41" s="116">
        <f>+Segments!M29</f>
        <v>5.7</v>
      </c>
      <c r="Y41" s="116">
        <f>+Segments!N29</f>
        <v>5.4999999999999991</v>
      </c>
      <c r="Z41" s="116">
        <f>+Segments!O29</f>
        <v>11.2</v>
      </c>
      <c r="AA41" s="116">
        <f>+Segments!P29</f>
        <v>8.1999999999999993</v>
      </c>
      <c r="AB41" s="116">
        <f>+Segments!Q29</f>
        <v>8.9000000000000021</v>
      </c>
      <c r="AC41" s="116">
        <f>+Segments!R29</f>
        <v>17.100000000000001</v>
      </c>
      <c r="AD41" s="116">
        <f>+Segments!S29</f>
        <v>9.3979999999999997</v>
      </c>
      <c r="AE41" s="116">
        <f>+Segments!T29</f>
        <v>9.0749999999999993</v>
      </c>
      <c r="AF41" s="116">
        <f>+Segments!U29</f>
        <v>18.472999999999999</v>
      </c>
      <c r="AG41" s="116">
        <f>+Segments!V29</f>
        <v>12.058728287671231</v>
      </c>
      <c r="AH41" s="116">
        <f>+Segments!W29</f>
        <v>11.100374999999998</v>
      </c>
      <c r="AI41" s="116">
        <f>+Segments!X29</f>
        <v>23.159103287671229</v>
      </c>
      <c r="AJ41" s="116">
        <f>+Segments!Y29</f>
        <v>14.411512759931504</v>
      </c>
      <c r="AK41" s="116">
        <f>+Segments!Z29</f>
        <v>13.138574624999997</v>
      </c>
      <c r="AL41" s="116">
        <f>+Segments!AA29</f>
        <v>27.550087384931501</v>
      </c>
      <c r="AM41" s="6"/>
      <c r="AN41" s="6"/>
    </row>
    <row r="42" spans="2:40" ht="21.75" customHeight="1" x14ac:dyDescent="0.2">
      <c r="B42" s="126" t="s">
        <v>303</v>
      </c>
      <c r="C42" s="9" t="s">
        <v>41</v>
      </c>
      <c r="D42" s="118">
        <f>+'Income &amp; Cash Flow'!L134</f>
        <v>-12.584000000000021</v>
      </c>
      <c r="E42" s="118"/>
      <c r="F42" s="118"/>
      <c r="G42" s="118">
        <f>+'Income &amp; Cash Flow'!O134</f>
        <v>-14.149999999999999</v>
      </c>
      <c r="H42" s="118"/>
      <c r="I42" s="118"/>
      <c r="J42" s="118">
        <f>+'Income &amp; Cash Flow'!R134</f>
        <v>7.7999999999960323E-2</v>
      </c>
      <c r="K42" s="118"/>
      <c r="L42" s="118"/>
      <c r="M42" s="118">
        <f>+'Income &amp; Cash Flow'!U134</f>
        <v>-19.509000000000057</v>
      </c>
      <c r="N42" s="118"/>
      <c r="O42" s="118"/>
      <c r="P42" s="118">
        <f>+'Income &amp; Cash Flow'!X134</f>
        <v>31.663677787594594</v>
      </c>
      <c r="Q42" s="118"/>
      <c r="R42" s="118"/>
      <c r="S42" s="118">
        <f>+'Income &amp; Cash Flow'!AA134</f>
        <v>46.343332974232844</v>
      </c>
      <c r="T42" s="6"/>
      <c r="U42" s="374" t="s">
        <v>13</v>
      </c>
      <c r="V42" s="58" t="s">
        <v>41</v>
      </c>
      <c r="W42" s="116">
        <f>+Segments!L30</f>
        <v>-0.26400000000000112</v>
      </c>
      <c r="X42" s="116">
        <f>+Segments!M30</f>
        <v>-0.40000000000000036</v>
      </c>
      <c r="Y42" s="116">
        <f>+Segments!N30</f>
        <v>-3.6639999999999961</v>
      </c>
      <c r="Z42" s="116">
        <f>+Segments!O30</f>
        <v>-4.0639999999999965</v>
      </c>
      <c r="AA42" s="116">
        <f>+Segments!P30</f>
        <v>0.10000000000000142</v>
      </c>
      <c r="AB42" s="116">
        <f>+Segments!Q30</f>
        <v>-0.35600000000000875</v>
      </c>
      <c r="AC42" s="116">
        <f>+Segments!R30</f>
        <v>-0.25600000000000733</v>
      </c>
      <c r="AD42" s="116">
        <f>+Segments!S30</f>
        <v>0</v>
      </c>
      <c r="AE42" s="116">
        <f>+Segments!T30</f>
        <v>2.8880000000000052</v>
      </c>
      <c r="AF42" s="116">
        <f>+Segments!U30</f>
        <v>2.8880000000000052</v>
      </c>
      <c r="AG42" s="116">
        <f>+Segments!V30</f>
        <v>0</v>
      </c>
      <c r="AH42" s="116">
        <f>+Segments!W30</f>
        <v>0</v>
      </c>
      <c r="AI42" s="116">
        <f>+Segments!X30</f>
        <v>0</v>
      </c>
      <c r="AJ42" s="116">
        <f>+Segments!Y30</f>
        <v>0</v>
      </c>
      <c r="AK42" s="116">
        <f>+Segments!Z30</f>
        <v>0</v>
      </c>
      <c r="AL42" s="116">
        <f>+Segments!AA30</f>
        <v>0</v>
      </c>
      <c r="AM42" s="6"/>
      <c r="AN42" s="6"/>
    </row>
    <row r="43" spans="2:40" ht="21.75" customHeight="1" x14ac:dyDescent="0.2">
      <c r="B43" s="6" t="s">
        <v>68</v>
      </c>
      <c r="C43" s="58" t="s">
        <v>41</v>
      </c>
      <c r="D43" s="116">
        <f>+'Income &amp; Cash Flow'!L106</f>
        <v>-31.698</v>
      </c>
      <c r="E43" s="116"/>
      <c r="F43" s="116"/>
      <c r="G43" s="116">
        <f>+'Income &amp; Cash Flow'!O106</f>
        <v>-48.402999999999999</v>
      </c>
      <c r="H43" s="116"/>
      <c r="I43" s="116"/>
      <c r="J43" s="116">
        <f>+'Income &amp; Cash Flow'!R106</f>
        <v>-311.81800000000004</v>
      </c>
      <c r="K43" s="116"/>
      <c r="L43" s="116"/>
      <c r="M43" s="116">
        <f>+'Income &amp; Cash Flow'!U106</f>
        <v>-34.551000000000009</v>
      </c>
      <c r="N43" s="116"/>
      <c r="O43" s="116"/>
      <c r="P43" s="116">
        <f>+'Income &amp; Cash Flow'!X106</f>
        <v>-60</v>
      </c>
      <c r="Q43" s="116"/>
      <c r="R43" s="116"/>
      <c r="S43" s="116">
        <f>+'Income &amp; Cash Flow'!AA106</f>
        <v>-63.9</v>
      </c>
      <c r="T43" s="6"/>
      <c r="U43" s="373" t="s">
        <v>473</v>
      </c>
      <c r="V43" s="114" t="s">
        <v>41</v>
      </c>
      <c r="W43" s="120">
        <f>SUM(W39:W42)</f>
        <v>21.699999999999996</v>
      </c>
      <c r="X43" s="120">
        <f t="shared" ref="X43:AL43" si="27">SUM(X39:X42)</f>
        <v>14.200000000000001</v>
      </c>
      <c r="Y43" s="120">
        <f t="shared" si="27"/>
        <v>15.1</v>
      </c>
      <c r="Z43" s="120">
        <f t="shared" si="27"/>
        <v>29.300000000000008</v>
      </c>
      <c r="AA43" s="120">
        <f t="shared" si="27"/>
        <v>24.7</v>
      </c>
      <c r="AB43" s="120">
        <f t="shared" si="27"/>
        <v>20.099999999999994</v>
      </c>
      <c r="AC43" s="120">
        <f t="shared" si="27"/>
        <v>44.8</v>
      </c>
      <c r="AD43" s="120">
        <f t="shared" si="27"/>
        <v>31.577999999999999</v>
      </c>
      <c r="AE43" s="120">
        <f t="shared" si="27"/>
        <v>33.541000000000004</v>
      </c>
      <c r="AF43" s="120">
        <f t="shared" si="27"/>
        <v>65.119</v>
      </c>
      <c r="AG43" s="120">
        <f t="shared" si="27"/>
        <v>42.436647390347282</v>
      </c>
      <c r="AH43" s="120">
        <f t="shared" si="27"/>
        <v>40.588008146634067</v>
      </c>
      <c r="AI43" s="120">
        <f t="shared" si="27"/>
        <v>83.024655536981356</v>
      </c>
      <c r="AJ43" s="120">
        <f t="shared" si="27"/>
        <v>55.449648749961369</v>
      </c>
      <c r="AK43" s="120">
        <f t="shared" si="27"/>
        <v>54.308335411813054</v>
      </c>
      <c r="AL43" s="120">
        <f t="shared" si="27"/>
        <v>109.75798416177442</v>
      </c>
      <c r="AM43" s="6"/>
      <c r="AN43" s="6"/>
    </row>
    <row r="44" spans="2:40" ht="21.75" customHeight="1" x14ac:dyDescent="0.2">
      <c r="B44" s="6" t="s">
        <v>69</v>
      </c>
      <c r="C44" s="58" t="s">
        <v>41</v>
      </c>
      <c r="D44" s="116">
        <f>+'Income &amp; Cash Flow'!L119</f>
        <v>4.3899999999999997</v>
      </c>
      <c r="E44" s="116"/>
      <c r="F44" s="116"/>
      <c r="G44" s="116">
        <f>+'Income &amp; Cash Flow'!O119</f>
        <v>-4.4669999999999987</v>
      </c>
      <c r="H44" s="116"/>
      <c r="I44" s="116"/>
      <c r="J44" s="116">
        <f>+'Income &amp; Cash Flow'!R119</f>
        <v>254.93400000000003</v>
      </c>
      <c r="K44" s="116"/>
      <c r="L44" s="116"/>
      <c r="M44" s="116">
        <f>+'Income &amp; Cash Flow'!U119</f>
        <v>0.67900000000000027</v>
      </c>
      <c r="N44" s="116"/>
      <c r="O44" s="116"/>
      <c r="P44" s="116">
        <f>+'Income &amp; Cash Flow'!X119</f>
        <v>-30.798962353749999</v>
      </c>
      <c r="Q44" s="116"/>
      <c r="R44" s="116"/>
      <c r="S44" s="116">
        <f>+'Income &amp; Cash Flow'!AA119</f>
        <v>-32.277802756765837</v>
      </c>
      <c r="T44" s="6"/>
      <c r="U44" s="374"/>
      <c r="V44" s="129"/>
      <c r="W44" s="129"/>
      <c r="X44" s="129"/>
      <c r="Y44" s="129"/>
      <c r="Z44" s="129"/>
      <c r="AA44" s="129"/>
      <c r="AB44" s="129"/>
      <c r="AC44" s="129"/>
      <c r="AD44" s="129"/>
      <c r="AE44" s="129"/>
      <c r="AF44" s="129"/>
      <c r="AG44" s="129"/>
      <c r="AH44" s="129"/>
      <c r="AI44" s="129"/>
      <c r="AJ44" s="129"/>
      <c r="AK44" s="129"/>
      <c r="AL44" s="129"/>
      <c r="AM44" s="6"/>
      <c r="AN44" s="6"/>
    </row>
    <row r="45" spans="2:40" ht="21.75" customHeight="1" x14ac:dyDescent="0.2">
      <c r="B45" s="21" t="s">
        <v>70</v>
      </c>
      <c r="C45" s="114" t="s">
        <v>41</v>
      </c>
      <c r="D45" s="120">
        <f>+D44+D43+D41</f>
        <v>-7.6640000000000192</v>
      </c>
      <c r="E45" s="120"/>
      <c r="F45" s="120"/>
      <c r="G45" s="120">
        <f>+G44+G43+G41</f>
        <v>-17.922999999999995</v>
      </c>
      <c r="H45" s="120"/>
      <c r="I45" s="120"/>
      <c r="J45" s="120">
        <f>+J44+J43+J41</f>
        <v>-20.11900000000005</v>
      </c>
      <c r="K45" s="120"/>
      <c r="L45" s="120"/>
      <c r="M45" s="120">
        <f>+M44+M43+M41</f>
        <v>23.454999999999949</v>
      </c>
      <c r="N45" s="120"/>
      <c r="O45" s="120"/>
      <c r="P45" s="120">
        <f>+P44+P43+P41</f>
        <v>0.86471543384459437</v>
      </c>
      <c r="Q45" s="120"/>
      <c r="R45" s="120"/>
      <c r="S45" s="120">
        <f>+S44+S43+S41</f>
        <v>14.065530217467014</v>
      </c>
      <c r="T45" s="6"/>
      <c r="U45" s="374" t="s">
        <v>533</v>
      </c>
      <c r="V45" s="129" t="s">
        <v>45</v>
      </c>
      <c r="W45" s="200">
        <f>+W37/SUM(W33:W34)</f>
        <v>0.10851324988288868</v>
      </c>
      <c r="X45" s="200">
        <f t="shared" ref="X45:AL45" si="28">+X37/SUM(X33:X34)</f>
        <v>0.11241044913846619</v>
      </c>
      <c r="Y45" s="200">
        <f t="shared" si="28"/>
        <v>0.13031229756398857</v>
      </c>
      <c r="Z45" s="200">
        <f t="shared" si="28"/>
        <v>0.12184280294010255</v>
      </c>
      <c r="AA45" s="200">
        <f t="shared" si="28"/>
        <v>0.1432344953309275</v>
      </c>
      <c r="AB45" s="200">
        <f t="shared" si="28"/>
        <v>0.13227046665020634</v>
      </c>
      <c r="AC45" s="200">
        <f t="shared" si="28"/>
        <v>0.13760637334781822</v>
      </c>
      <c r="AD45" s="200">
        <f t="shared" si="28"/>
        <v>0.15192626692863323</v>
      </c>
      <c r="AE45" s="200">
        <f t="shared" si="28"/>
        <v>0.15702119067940495</v>
      </c>
      <c r="AF45" s="200">
        <f t="shared" si="28"/>
        <v>0.15452585147256115</v>
      </c>
      <c r="AG45" s="200">
        <f t="shared" si="28"/>
        <v>0.16287788383121024</v>
      </c>
      <c r="AH45" s="200">
        <f t="shared" si="28"/>
        <v>0.15787434523773491</v>
      </c>
      <c r="AI45" s="200">
        <f t="shared" si="28"/>
        <v>0.16033773645591706</v>
      </c>
      <c r="AJ45" s="200">
        <f t="shared" si="28"/>
        <v>0.17243336157860645</v>
      </c>
      <c r="AK45" s="200">
        <f t="shared" si="28"/>
        <v>0.17072233390742439</v>
      </c>
      <c r="AL45" s="200">
        <f t="shared" si="28"/>
        <v>0.17156617783693229</v>
      </c>
      <c r="AM45" s="6"/>
      <c r="AN45" s="6"/>
    </row>
    <row r="46" spans="2:40" ht="21.75" customHeight="1" x14ac:dyDescent="0.2">
      <c r="B46" s="6" t="s">
        <v>71</v>
      </c>
      <c r="C46" s="58" t="s">
        <v>41</v>
      </c>
      <c r="D46" s="116">
        <f>+'Income &amp; Cash Flow'!L124</f>
        <v>54.426999999999992</v>
      </c>
      <c r="E46" s="116"/>
      <c r="F46" s="116"/>
      <c r="G46" s="116">
        <f>+'Income &amp; Cash Flow'!O124</f>
        <v>36.503999999999998</v>
      </c>
      <c r="H46" s="116"/>
      <c r="I46" s="116"/>
      <c r="J46" s="116">
        <f>+'Income &amp; Cash Flow'!R124</f>
        <v>16.384999999999948</v>
      </c>
      <c r="K46" s="116"/>
      <c r="L46" s="116"/>
      <c r="M46" s="116">
        <f>+'Income &amp; Cash Flow'!U124</f>
        <v>39.674999999999898</v>
      </c>
      <c r="N46" s="116"/>
      <c r="O46" s="116"/>
      <c r="P46" s="116">
        <f>+'Income &amp; Cash Flow'!X124</f>
        <v>40.539715433844492</v>
      </c>
      <c r="Q46" s="116"/>
      <c r="R46" s="116"/>
      <c r="S46" s="116">
        <f>+'Income &amp; Cash Flow'!AA124</f>
        <v>54.605245651311506</v>
      </c>
      <c r="T46" s="6"/>
      <c r="U46" s="374" t="s">
        <v>534</v>
      </c>
      <c r="V46" s="129" t="s">
        <v>45</v>
      </c>
      <c r="W46" s="200">
        <f>+W38/W35</f>
        <v>-1.1599999999999999</v>
      </c>
      <c r="X46" s="200">
        <f t="shared" ref="X46:AL46" si="29">+X38/X35</f>
        <v>-1.1333333333333333</v>
      </c>
      <c r="Y46" s="200">
        <f t="shared" si="29"/>
        <v>-0.5768888888888889</v>
      </c>
      <c r="Z46" s="200">
        <f t="shared" si="29"/>
        <v>-0.71600000000000008</v>
      </c>
      <c r="AA46" s="200">
        <f t="shared" si="29"/>
        <v>-0.5535714285714286</v>
      </c>
      <c r="AB46" s="200">
        <f t="shared" si="29"/>
        <v>-0.65800534963698887</v>
      </c>
      <c r="AC46" s="200">
        <f t="shared" si="29"/>
        <v>-0.60402436773121648</v>
      </c>
      <c r="AD46" s="200">
        <f t="shared" si="29"/>
        <v>-1.5513613861386137</v>
      </c>
      <c r="AE46" s="200">
        <f t="shared" si="29"/>
        <v>-1.109609406676572</v>
      </c>
      <c r="AF46" s="200">
        <f t="shared" si="29"/>
        <v>-1.0745977571916103</v>
      </c>
      <c r="AG46" s="200">
        <f t="shared" si="29"/>
        <v>-1.2081089496302786</v>
      </c>
      <c r="AH46" s="200">
        <f t="shared" si="29"/>
        <v>-1.2837345111976781</v>
      </c>
      <c r="AI46" s="200">
        <f t="shared" si="29"/>
        <v>-1.2467755977235699</v>
      </c>
      <c r="AJ46" s="200">
        <f t="shared" si="29"/>
        <v>-0.99336771841557636</v>
      </c>
      <c r="AK46" s="200">
        <f t="shared" si="29"/>
        <v>-1.0780362211109578</v>
      </c>
      <c r="AL46" s="200">
        <f t="shared" si="29"/>
        <v>-1.0358497995838774</v>
      </c>
      <c r="AM46" s="6"/>
      <c r="AN46" s="6"/>
    </row>
    <row r="47" spans="2:40" ht="21.75" customHeight="1" x14ac:dyDescent="0.2">
      <c r="T47" s="6"/>
      <c r="U47" s="371" t="s">
        <v>537</v>
      </c>
      <c r="V47" s="376" t="s">
        <v>45</v>
      </c>
      <c r="W47" s="377">
        <f>+W39/W36</f>
        <v>8.9983230397971278E-2</v>
      </c>
      <c r="X47" s="377">
        <f t="shared" ref="X47:AL47" si="30">+X39/X36</f>
        <v>9.6929730087982391E-2</v>
      </c>
      <c r="Y47" s="377">
        <f t="shared" si="30"/>
        <v>0.1071267248539247</v>
      </c>
      <c r="Z47" s="377">
        <f t="shared" si="30"/>
        <v>0.10235536741560838</v>
      </c>
      <c r="AA47" s="377">
        <f t="shared" si="30"/>
        <v>0.11985090547359085</v>
      </c>
      <c r="AB47" s="377">
        <f t="shared" si="30"/>
        <v>0.10868027831641383</v>
      </c>
      <c r="AC47" s="377">
        <f t="shared" si="30"/>
        <v>0.11412741734704017</v>
      </c>
      <c r="AD47" s="377">
        <f t="shared" si="30"/>
        <v>0.1260103851350397</v>
      </c>
      <c r="AE47" s="377">
        <f t="shared" si="30"/>
        <v>0.11542882503051148</v>
      </c>
      <c r="AF47" s="377">
        <f t="shared" si="30"/>
        <v>0.12010404647955596</v>
      </c>
      <c r="AG47" s="377">
        <f t="shared" si="30"/>
        <v>0.12961218692818618</v>
      </c>
      <c r="AH47" s="377">
        <f t="shared" si="30"/>
        <v>0.12239718575545722</v>
      </c>
      <c r="AI47" s="377">
        <f t="shared" si="30"/>
        <v>0.12594870752024526</v>
      </c>
      <c r="AJ47" s="377">
        <f t="shared" si="30"/>
        <v>0.14066391316662211</v>
      </c>
      <c r="AK47" s="377">
        <f t="shared" si="30"/>
        <v>0.13735775218237031</v>
      </c>
      <c r="AL47" s="377">
        <f t="shared" si="30"/>
        <v>0.13898873596771574</v>
      </c>
      <c r="AM47" s="6"/>
      <c r="AN47" s="6"/>
    </row>
    <row r="48" spans="2:40" ht="21.75" customHeight="1" x14ac:dyDescent="0.2">
      <c r="B48" s="12" t="s">
        <v>72</v>
      </c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6"/>
      <c r="U48" s="378" t="s">
        <v>535</v>
      </c>
      <c r="V48" s="379" t="s">
        <v>45</v>
      </c>
      <c r="W48" s="380">
        <f>+W43/W36</f>
        <v>0.12679455192441405</v>
      </c>
      <c r="X48" s="380">
        <f t="shared" ref="X48:AL48" si="31">+X43/X36</f>
        <v>0.11764121087601281</v>
      </c>
      <c r="Y48" s="380">
        <f t="shared" si="31"/>
        <v>0.11001180259074152</v>
      </c>
      <c r="Z48" s="380">
        <f t="shared" si="31"/>
        <v>0.11358174008776421</v>
      </c>
      <c r="AA48" s="380">
        <f t="shared" si="31"/>
        <v>0.14801586825988469</v>
      </c>
      <c r="AB48" s="380">
        <f t="shared" si="31"/>
        <v>0.11463442454659516</v>
      </c>
      <c r="AC48" s="380">
        <f t="shared" si="31"/>
        <v>0.1309122362030776</v>
      </c>
      <c r="AD48" s="380">
        <f t="shared" si="31"/>
        <v>0.14865901826107836</v>
      </c>
      <c r="AE48" s="380">
        <f t="shared" si="31"/>
        <v>0.14885609674914013</v>
      </c>
      <c r="AF48" s="380">
        <f t="shared" si="31"/>
        <v>0.14819340993448168</v>
      </c>
      <c r="AG48" s="380">
        <f t="shared" si="31"/>
        <v>0.15999533473028218</v>
      </c>
      <c r="AH48" s="380">
        <f t="shared" si="31"/>
        <v>0.14834903233723801</v>
      </c>
      <c r="AI48" s="380">
        <f t="shared" si="31"/>
        <v>0.15408182370316853</v>
      </c>
      <c r="AJ48" s="380">
        <f t="shared" si="31"/>
        <v>0.17512552789883901</v>
      </c>
      <c r="AK48" s="380">
        <f t="shared" si="31"/>
        <v>0.16699598890923609</v>
      </c>
      <c r="AL48" s="380">
        <f t="shared" si="31"/>
        <v>0.17100642467976671</v>
      </c>
      <c r="AM48" s="6"/>
      <c r="AN48" s="6"/>
    </row>
    <row r="49" spans="2:42" ht="21.75" customHeight="1" x14ac:dyDescent="0.2">
      <c r="B49" s="115" t="s">
        <v>40</v>
      </c>
      <c r="C49" s="115"/>
      <c r="D49" s="122" t="str">
        <f>+'Income &amp; Cash Flow'!L$4</f>
        <v>FY22A</v>
      </c>
      <c r="E49" s="115"/>
      <c r="F49" s="115"/>
      <c r="G49" s="122" t="str">
        <f>+'Income &amp; Cash Flow'!O$4</f>
        <v>FY23A</v>
      </c>
      <c r="H49" s="115"/>
      <c r="I49" s="115"/>
      <c r="J49" s="122" t="str">
        <f>+'Income &amp; Cash Flow'!R$4</f>
        <v>FY24A</v>
      </c>
      <c r="K49" s="115"/>
      <c r="L49" s="115"/>
      <c r="M49" s="122" t="str">
        <f>+'Income &amp; Cash Flow'!U$4</f>
        <v>FY25A</v>
      </c>
      <c r="N49" s="115"/>
      <c r="O49" s="115"/>
      <c r="P49" s="122" t="str">
        <f>+'Income &amp; Cash Flow'!X$4</f>
        <v>FY26E</v>
      </c>
      <c r="Q49" s="115"/>
      <c r="R49" s="115"/>
      <c r="S49" s="122" t="str">
        <f>+'Income &amp; Cash Flow'!AA$4</f>
        <v>FY27E</v>
      </c>
      <c r="T49" s="6"/>
      <c r="W49" s="375"/>
      <c r="AM49" s="6"/>
      <c r="AN49" s="6"/>
    </row>
    <row r="50" spans="2:42" ht="21.75" customHeight="1" x14ac:dyDescent="0.2">
      <c r="B50" s="6" t="s">
        <v>73</v>
      </c>
      <c r="C50" s="58" t="s">
        <v>41</v>
      </c>
      <c r="D50" s="116">
        <f>+'Balance Sheet'!L6</f>
        <v>54.427</v>
      </c>
      <c r="E50" s="116">
        <f>+'Balance Sheet'!M6</f>
        <v>0</v>
      </c>
      <c r="F50" s="116">
        <f>+'Balance Sheet'!N6</f>
        <v>0</v>
      </c>
      <c r="G50" s="116">
        <f>+'Balance Sheet'!O6</f>
        <v>36.503999999999998</v>
      </c>
      <c r="H50" s="116">
        <f>+'Balance Sheet'!P6</f>
        <v>13.619</v>
      </c>
      <c r="I50" s="116">
        <f>+'Balance Sheet'!Q6</f>
        <v>16.385000000000002</v>
      </c>
      <c r="J50" s="116">
        <f>+'Balance Sheet'!R6</f>
        <v>16.385000000000002</v>
      </c>
      <c r="K50" s="116">
        <f>+'Balance Sheet'!S6</f>
        <v>16.882000000000001</v>
      </c>
      <c r="L50" s="116">
        <f>+'Balance Sheet'!T6</f>
        <v>39.674999999999997</v>
      </c>
      <c r="M50" s="116">
        <f>+'Balance Sheet'!U6</f>
        <v>39.674999999999997</v>
      </c>
      <c r="N50" s="116">
        <f>+'Balance Sheet'!V6</f>
        <v>40.909944110826714</v>
      </c>
      <c r="O50" s="116">
        <f>+'Balance Sheet'!W6</f>
        <v>40.539715433844492</v>
      </c>
      <c r="P50" s="116">
        <f>+'Balance Sheet'!X6</f>
        <v>40.539715433844492</v>
      </c>
      <c r="Q50" s="116">
        <f>+'Balance Sheet'!Y6</f>
        <v>48.554281922399213</v>
      </c>
      <c r="R50" s="116">
        <f>+'Balance Sheet'!Z6</f>
        <v>54.605245651311506</v>
      </c>
      <c r="S50" s="116">
        <f>+'Balance Sheet'!AA6</f>
        <v>54.605245651311506</v>
      </c>
      <c r="T50" s="6"/>
      <c r="U50" s="12" t="s">
        <v>75</v>
      </c>
      <c r="V50" s="12"/>
      <c r="W50" s="124"/>
      <c r="X50" s="124"/>
      <c r="Y50" s="124"/>
      <c r="Z50" s="124"/>
      <c r="AA50" s="124"/>
      <c r="AB50" s="124"/>
      <c r="AC50" s="124"/>
      <c r="AD50" s="124"/>
      <c r="AE50" s="124"/>
      <c r="AF50" s="124"/>
      <c r="AG50" s="124"/>
      <c r="AH50" s="124"/>
      <c r="AI50" s="124"/>
      <c r="AJ50" s="124"/>
      <c r="AK50" s="124"/>
      <c r="AL50" s="124"/>
      <c r="AM50" s="6"/>
      <c r="AN50" s="6"/>
    </row>
    <row r="51" spans="2:42" ht="21.75" customHeight="1" x14ac:dyDescent="0.2">
      <c r="B51" s="6" t="s">
        <v>74</v>
      </c>
      <c r="C51" s="58" t="s">
        <v>41</v>
      </c>
      <c r="D51" s="116">
        <f>+'Balance Sheet'!L7</f>
        <v>16.352</v>
      </c>
      <c r="E51" s="116">
        <f>+'Balance Sheet'!M7</f>
        <v>0</v>
      </c>
      <c r="F51" s="116">
        <f>+'Balance Sheet'!N7</f>
        <v>0</v>
      </c>
      <c r="G51" s="116">
        <f>+'Balance Sheet'!O7</f>
        <v>23.946999999999999</v>
      </c>
      <c r="H51" s="116">
        <f>+'Balance Sheet'!P7</f>
        <v>21.198</v>
      </c>
      <c r="I51" s="116">
        <f>+'Balance Sheet'!Q7</f>
        <v>26.02</v>
      </c>
      <c r="J51" s="116">
        <f>+'Balance Sheet'!R7</f>
        <v>26.02</v>
      </c>
      <c r="K51" s="116">
        <f>+'Balance Sheet'!S7</f>
        <v>18.852</v>
      </c>
      <c r="L51" s="116">
        <f>+'Balance Sheet'!T7</f>
        <v>24.702999999999999</v>
      </c>
      <c r="M51" s="116">
        <f>+'Balance Sheet'!U7</f>
        <v>24.702999999999999</v>
      </c>
      <c r="N51" s="116">
        <f>+'Balance Sheet'!V7</f>
        <v>30.056948108051341</v>
      </c>
      <c r="O51" s="116">
        <f>+'Balance Sheet'!W7</f>
        <v>30.530703485804001</v>
      </c>
      <c r="P51" s="116">
        <f>+'Balance Sheet'!X7</f>
        <v>30.530703485804001</v>
      </c>
      <c r="Q51" s="116">
        <f>+'Balance Sheet'!Y7</f>
        <v>35.880664438540919</v>
      </c>
      <c r="R51" s="116">
        <f>+'Balance Sheet'!Z7</f>
        <v>36.366778726315616</v>
      </c>
      <c r="S51" s="116">
        <f>+'Balance Sheet'!AA7</f>
        <v>36.366778726315616</v>
      </c>
      <c r="T51" s="6"/>
      <c r="U51" s="115" t="s">
        <v>77</v>
      </c>
      <c r="V51" s="115"/>
      <c r="W51" s="122"/>
      <c r="X51" s="122"/>
      <c r="Y51" s="122"/>
      <c r="Z51" s="122"/>
      <c r="AA51" s="122"/>
      <c r="AB51" s="122"/>
      <c r="AC51" s="157" t="s">
        <v>322</v>
      </c>
      <c r="AD51" s="122"/>
      <c r="AE51" s="122"/>
      <c r="AF51" s="122"/>
      <c r="AG51" s="122"/>
      <c r="AH51" s="122"/>
      <c r="AI51" s="122"/>
      <c r="AJ51" s="122"/>
      <c r="AK51" s="122"/>
      <c r="AL51" s="122"/>
      <c r="AM51" s="6"/>
      <c r="AN51" s="6"/>
    </row>
    <row r="52" spans="2:42" ht="21.75" customHeight="1" x14ac:dyDescent="0.2">
      <c r="B52" s="6" t="s">
        <v>76</v>
      </c>
      <c r="C52" s="58" t="s">
        <v>41</v>
      </c>
      <c r="D52" s="116">
        <f>+'Balance Sheet'!L15</f>
        <v>36.563000000000002</v>
      </c>
      <c r="E52" s="116">
        <f>+'Balance Sheet'!M15</f>
        <v>0</v>
      </c>
      <c r="F52" s="116">
        <f>+'Balance Sheet'!N15</f>
        <v>0</v>
      </c>
      <c r="G52" s="116">
        <f>+'Balance Sheet'!O15</f>
        <v>69.486000000000004</v>
      </c>
      <c r="H52" s="116">
        <f>+'Balance Sheet'!P15</f>
        <v>77.953000000000003</v>
      </c>
      <c r="I52" s="116">
        <f>+'Balance Sheet'!Q15</f>
        <v>87.63</v>
      </c>
      <c r="J52" s="116">
        <f>+'Balance Sheet'!R15</f>
        <v>87.63</v>
      </c>
      <c r="K52" s="116">
        <f>+'Balance Sheet'!S15</f>
        <v>103.02800000000001</v>
      </c>
      <c r="L52" s="116">
        <f>+'Balance Sheet'!T15</f>
        <v>130.05600000000001</v>
      </c>
      <c r="M52" s="116">
        <f>+'Balance Sheet'!U15</f>
        <v>130.05600000000001</v>
      </c>
      <c r="N52" s="116">
        <f>+'Balance Sheet'!V15</f>
        <v>147.05040000000002</v>
      </c>
      <c r="O52" s="116">
        <f>+'Balance Sheet'!W15</f>
        <v>162.34536</v>
      </c>
      <c r="P52" s="116">
        <f>+'Balance Sheet'!X15</f>
        <v>162.34536</v>
      </c>
      <c r="Q52" s="116">
        <f>+'Balance Sheet'!Y15</f>
        <v>178.060824</v>
      </c>
      <c r="R52" s="116">
        <f>+'Balance Sheet'!Z15</f>
        <v>192.20474160000001</v>
      </c>
      <c r="S52" s="116">
        <f>+'Balance Sheet'!AA15</f>
        <v>192.20474160000001</v>
      </c>
      <c r="T52" s="6"/>
      <c r="U52" s="76" t="s">
        <v>79</v>
      </c>
      <c r="V52" s="76"/>
      <c r="W52" s="178">
        <f>+Valuation!C43</f>
        <v>2138.4519894766363</v>
      </c>
      <c r="X52" s="179"/>
      <c r="Y52" s="179"/>
      <c r="Z52" s="78"/>
      <c r="AA52" s="78"/>
      <c r="AB52" s="78"/>
      <c r="AC52" s="180" t="str">
        <f>+Valuation!E43</f>
        <v>Blended Ebitda (A$m)</v>
      </c>
      <c r="AD52" s="78"/>
      <c r="AE52" s="78"/>
      <c r="AF52" s="78"/>
      <c r="AG52" s="78"/>
      <c r="AH52" s="78"/>
      <c r="AJ52" s="78"/>
      <c r="AK52" s="78"/>
      <c r="AL52" s="99">
        <f>+Valuation!H43</f>
        <v>86.906481337293769</v>
      </c>
      <c r="AM52" s="76"/>
      <c r="AN52" s="6"/>
    </row>
    <row r="53" spans="2:42" ht="21.75" customHeight="1" x14ac:dyDescent="0.2">
      <c r="B53" s="6" t="s">
        <v>78</v>
      </c>
      <c r="C53" s="58" t="s">
        <v>41</v>
      </c>
      <c r="D53" s="116">
        <f>+'Balance Sheet'!L17</f>
        <v>15.41</v>
      </c>
      <c r="E53" s="116">
        <f>+'Balance Sheet'!M17</f>
        <v>0</v>
      </c>
      <c r="F53" s="116">
        <f>+'Balance Sheet'!N17</f>
        <v>0</v>
      </c>
      <c r="G53" s="116">
        <f>+'Balance Sheet'!O17</f>
        <v>15.202</v>
      </c>
      <c r="H53" s="116">
        <f>+'Balance Sheet'!P17</f>
        <v>11.696999999999999</v>
      </c>
      <c r="I53" s="116">
        <f>+'Balance Sheet'!Q17</f>
        <v>10.586</v>
      </c>
      <c r="J53" s="116">
        <f>+'Balance Sheet'!R17</f>
        <v>10.586</v>
      </c>
      <c r="K53" s="116">
        <f>+'Balance Sheet'!S17</f>
        <v>19.152999999999999</v>
      </c>
      <c r="L53" s="116">
        <f>+'Balance Sheet'!T17</f>
        <v>18.305</v>
      </c>
      <c r="M53" s="116">
        <f>+'Balance Sheet'!U17</f>
        <v>18.305</v>
      </c>
      <c r="N53" s="116">
        <f>+'Balance Sheet'!V17</f>
        <v>14.624749999999999</v>
      </c>
      <c r="O53" s="116">
        <f>+'Balance Sheet'!W17</f>
        <v>11.468449999999999</v>
      </c>
      <c r="P53" s="116">
        <f>+'Balance Sheet'!X17</f>
        <v>11.468449999999999</v>
      </c>
      <c r="Q53" s="116">
        <f>+'Balance Sheet'!Y17</f>
        <v>7.6041874999999983</v>
      </c>
      <c r="R53" s="116">
        <f>+'Balance Sheet'!Z17</f>
        <v>4.2900724999999982</v>
      </c>
      <c r="S53" s="116">
        <f>+'Balance Sheet'!AA17</f>
        <v>4.2900724999999982</v>
      </c>
      <c r="T53" s="6"/>
      <c r="U53" s="76" t="s">
        <v>81</v>
      </c>
      <c r="V53" s="76"/>
      <c r="W53" s="178">
        <f>+Valuation!C44</f>
        <v>58.293459691155462</v>
      </c>
      <c r="X53" s="78"/>
      <c r="Y53" s="78"/>
      <c r="Z53" s="78"/>
      <c r="AA53" s="78"/>
      <c r="AB53" s="78"/>
      <c r="AC53" s="180" t="s">
        <v>82</v>
      </c>
      <c r="AD53" s="78"/>
      <c r="AE53" s="78"/>
      <c r="AF53" s="78"/>
      <c r="AG53" s="78"/>
      <c r="AH53" s="78"/>
      <c r="AJ53" s="78"/>
      <c r="AK53" s="78"/>
      <c r="AL53" s="99">
        <f>+Valuation!H45</f>
        <v>30</v>
      </c>
      <c r="AM53" s="76"/>
      <c r="AN53" s="6"/>
    </row>
    <row r="54" spans="2:42" ht="21.75" customHeight="1" x14ac:dyDescent="0.2">
      <c r="B54" s="6" t="s">
        <v>80</v>
      </c>
      <c r="C54" s="58" t="s">
        <v>41</v>
      </c>
      <c r="D54" s="116">
        <f>+D55-SUM(D50:D53)</f>
        <v>125.67700000000001</v>
      </c>
      <c r="E54" s="116">
        <f t="shared" ref="E54:S54" si="32">+E55-SUM(E50:E53)</f>
        <v>0</v>
      </c>
      <c r="F54" s="116">
        <f t="shared" si="32"/>
        <v>0</v>
      </c>
      <c r="G54" s="116">
        <f t="shared" si="32"/>
        <v>179.36799999999999</v>
      </c>
      <c r="H54" s="116">
        <f t="shared" si="32"/>
        <v>206.04700000000005</v>
      </c>
      <c r="I54" s="116">
        <f t="shared" si="32"/>
        <v>521.17600000000004</v>
      </c>
      <c r="J54" s="116">
        <f t="shared" si="32"/>
        <v>521.17600000000004</v>
      </c>
      <c r="K54" s="116">
        <f t="shared" si="32"/>
        <v>537.05400000000009</v>
      </c>
      <c r="L54" s="116">
        <f t="shared" si="32"/>
        <v>570.45899999999995</v>
      </c>
      <c r="M54" s="116">
        <f t="shared" si="32"/>
        <v>570.45899999999995</v>
      </c>
      <c r="N54" s="116">
        <f t="shared" si="32"/>
        <v>573.61195671818746</v>
      </c>
      <c r="O54" s="116">
        <f t="shared" si="32"/>
        <v>577.95352549054724</v>
      </c>
      <c r="P54" s="116">
        <f t="shared" si="32"/>
        <v>577.95352549054724</v>
      </c>
      <c r="Q54" s="116">
        <f t="shared" si="32"/>
        <v>581.04321333008738</v>
      </c>
      <c r="R54" s="116">
        <f t="shared" si="32"/>
        <v>585.44864313489165</v>
      </c>
      <c r="S54" s="116">
        <f t="shared" si="32"/>
        <v>585.44864313489165</v>
      </c>
      <c r="T54" s="6"/>
      <c r="U54" s="76" t="s">
        <v>84</v>
      </c>
      <c r="V54" s="76"/>
      <c r="W54" s="178">
        <f>+Valuation!C45</f>
        <v>2080.1585297854808</v>
      </c>
      <c r="X54" s="179"/>
      <c r="Y54" s="179"/>
      <c r="Z54" s="78"/>
      <c r="AA54" s="78"/>
      <c r="AB54" s="78"/>
      <c r="AC54" s="182" t="s">
        <v>539</v>
      </c>
      <c r="AD54" s="183"/>
      <c r="AE54" s="183"/>
      <c r="AF54" s="183"/>
      <c r="AG54" s="183"/>
      <c r="AH54" s="183"/>
      <c r="AI54" s="184"/>
      <c r="AJ54" s="183"/>
      <c r="AK54" s="183"/>
      <c r="AL54" s="184">
        <f>+Valuation!H46</f>
        <v>24.780161393148106</v>
      </c>
      <c r="AM54" s="76"/>
      <c r="AN54" s="6"/>
      <c r="AP54" s="396"/>
    </row>
    <row r="55" spans="2:42" ht="21.75" customHeight="1" x14ac:dyDescent="0.2">
      <c r="B55" s="21" t="s">
        <v>83</v>
      </c>
      <c r="C55" s="114" t="s">
        <v>41</v>
      </c>
      <c r="D55" s="120">
        <f>+'Balance Sheet'!L23</f>
        <v>248.429</v>
      </c>
      <c r="E55" s="120">
        <f>+'Balance Sheet'!M23</f>
        <v>0</v>
      </c>
      <c r="F55" s="120">
        <f>+'Balance Sheet'!N23</f>
        <v>0</v>
      </c>
      <c r="G55" s="120">
        <f>+'Balance Sheet'!O23</f>
        <v>324.50700000000001</v>
      </c>
      <c r="H55" s="120">
        <f>+'Balance Sheet'!P23</f>
        <v>330.51400000000007</v>
      </c>
      <c r="I55" s="120">
        <f>+'Balance Sheet'!Q23</f>
        <v>661.79700000000003</v>
      </c>
      <c r="J55" s="120">
        <f>+'Balance Sheet'!R23</f>
        <v>661.79700000000003</v>
      </c>
      <c r="K55" s="120">
        <f>+'Balance Sheet'!S23</f>
        <v>694.96900000000005</v>
      </c>
      <c r="L55" s="120">
        <f>+'Balance Sheet'!T23</f>
        <v>783.19799999999998</v>
      </c>
      <c r="M55" s="120">
        <f>+'Balance Sheet'!U23</f>
        <v>783.19799999999998</v>
      </c>
      <c r="N55" s="120">
        <f>+'Balance Sheet'!V23</f>
        <v>806.25399893706549</v>
      </c>
      <c r="O55" s="120">
        <f>+'Balance Sheet'!W23</f>
        <v>822.83775441019566</v>
      </c>
      <c r="P55" s="120">
        <f>+'Balance Sheet'!X23</f>
        <v>822.83775441019566</v>
      </c>
      <c r="Q55" s="120">
        <f>+'Balance Sheet'!Y23</f>
        <v>851.14317119102748</v>
      </c>
      <c r="R55" s="120">
        <f>+'Balance Sheet'!Z23</f>
        <v>872.91548161251876</v>
      </c>
      <c r="S55" s="120">
        <f>+'Balance Sheet'!AA23</f>
        <v>872.91548161251876</v>
      </c>
      <c r="T55" s="6"/>
      <c r="U55" s="76" t="s">
        <v>86</v>
      </c>
      <c r="V55" s="76"/>
      <c r="W55" s="178">
        <f>+Valuation!C46</f>
        <v>102.86054799999999</v>
      </c>
      <c r="X55" s="78"/>
      <c r="Y55" s="78"/>
      <c r="Z55" s="78"/>
      <c r="AA55" s="78"/>
      <c r="AB55" s="78"/>
      <c r="AC55" s="180"/>
      <c r="AD55" s="78"/>
      <c r="AE55" s="78"/>
      <c r="AF55" s="78"/>
      <c r="AG55" s="78"/>
      <c r="AH55" s="78"/>
      <c r="AI55" s="178"/>
      <c r="AJ55" s="78"/>
      <c r="AK55" s="78"/>
      <c r="AL55" s="178"/>
      <c r="AM55" s="76"/>
      <c r="AN55" s="6"/>
    </row>
    <row r="56" spans="2:42" ht="21.75" customHeight="1" x14ac:dyDescent="0.2">
      <c r="B56" s="6" t="s">
        <v>85</v>
      </c>
      <c r="C56" s="58" t="s">
        <v>41</v>
      </c>
      <c r="D56" s="116">
        <f>+'Balance Sheet'!L25</f>
        <v>28.007999999999999</v>
      </c>
      <c r="E56" s="116">
        <f>+'Balance Sheet'!M25</f>
        <v>0</v>
      </c>
      <c r="F56" s="116">
        <f>+'Balance Sheet'!N25</f>
        <v>0</v>
      </c>
      <c r="G56" s="116">
        <f>+'Balance Sheet'!O25</f>
        <v>32.634999999999998</v>
      </c>
      <c r="H56" s="116">
        <f>+'Balance Sheet'!P25</f>
        <v>22.035</v>
      </c>
      <c r="I56" s="116">
        <f>+'Balance Sheet'!Q25</f>
        <v>39.387</v>
      </c>
      <c r="J56" s="116">
        <f>+'Balance Sheet'!R25</f>
        <v>39.387</v>
      </c>
      <c r="K56" s="116">
        <f>+'Balance Sheet'!S25</f>
        <v>30.198</v>
      </c>
      <c r="L56" s="116">
        <f>+'Balance Sheet'!T25</f>
        <v>40.439</v>
      </c>
      <c r="M56" s="116">
        <f>+'Balance Sheet'!U25</f>
        <v>40.439</v>
      </c>
      <c r="N56" s="116">
        <f>+'Balance Sheet'!V25</f>
        <v>48.588371233822365</v>
      </c>
      <c r="O56" s="116">
        <f>+'Balance Sheet'!W25</f>
        <v>49.701664056933694</v>
      </c>
      <c r="P56" s="116">
        <f>+'Balance Sheet'!X25</f>
        <v>49.701664056933694</v>
      </c>
      <c r="Q56" s="116">
        <f>+'Balance Sheet'!Y25</f>
        <v>56.957917412040757</v>
      </c>
      <c r="R56" s="116">
        <f>+'Balance Sheet'!Z25</f>
        <v>58.017867287298252</v>
      </c>
      <c r="S56" s="116">
        <f>+'Balance Sheet'!AA25</f>
        <v>58.017867287298252</v>
      </c>
      <c r="T56" s="6"/>
      <c r="U56" s="76" t="s">
        <v>89</v>
      </c>
      <c r="V56" s="76"/>
      <c r="W56" s="181">
        <f>+Valuation!C47</f>
        <v>20.223093987264008</v>
      </c>
      <c r="X56" s="78"/>
      <c r="Y56" s="78"/>
      <c r="Z56" s="78"/>
      <c r="AA56" s="78"/>
      <c r="AB56" s="78"/>
      <c r="AC56" s="180"/>
      <c r="AD56" s="78"/>
      <c r="AE56" s="78"/>
      <c r="AF56" s="78"/>
      <c r="AG56" s="78"/>
      <c r="AH56" s="78"/>
      <c r="AI56" s="178"/>
      <c r="AJ56" s="78"/>
      <c r="AK56" s="78"/>
      <c r="AL56" s="178"/>
      <c r="AM56" s="76"/>
      <c r="AN56" s="6"/>
    </row>
    <row r="57" spans="2:42" ht="21.75" customHeight="1" x14ac:dyDescent="0.2">
      <c r="B57" s="6" t="s">
        <v>272</v>
      </c>
      <c r="C57" s="58" t="s">
        <v>41</v>
      </c>
      <c r="D57" s="116">
        <f>+'Balance Sheet'!L27+'Balance Sheet'!L34</f>
        <v>3.3580000000000001</v>
      </c>
      <c r="E57" s="116">
        <f>+'Balance Sheet'!M27+'Balance Sheet'!M34</f>
        <v>0</v>
      </c>
      <c r="F57" s="116">
        <f>+'Balance Sheet'!N27+'Balance Sheet'!N34</f>
        <v>0</v>
      </c>
      <c r="G57" s="116">
        <f>+'Balance Sheet'!O27+'Balance Sheet'!O34</f>
        <v>3</v>
      </c>
      <c r="H57" s="116">
        <f>+'Balance Sheet'!P27+'Balance Sheet'!P34</f>
        <v>3</v>
      </c>
      <c r="I57" s="116">
        <f>+'Balance Sheet'!Q27+'Balance Sheet'!Q34</f>
        <v>0</v>
      </c>
      <c r="J57" s="116">
        <f>+'Balance Sheet'!R27+'Balance Sheet'!R34</f>
        <v>0</v>
      </c>
      <c r="K57" s="116">
        <f>+'Balance Sheet'!S27+'Balance Sheet'!S34</f>
        <v>0</v>
      </c>
      <c r="L57" s="116">
        <f>+'Balance Sheet'!T27+'Balance Sheet'!T34</f>
        <v>0</v>
      </c>
      <c r="M57" s="116">
        <f>+'Balance Sheet'!U27+'Balance Sheet'!U34</f>
        <v>0</v>
      </c>
      <c r="N57" s="116">
        <f>+'Balance Sheet'!V27+'Balance Sheet'!V34</f>
        <v>0</v>
      </c>
      <c r="O57" s="116">
        <f>+'Balance Sheet'!W27+'Balance Sheet'!W34</f>
        <v>0</v>
      </c>
      <c r="P57" s="116">
        <f>+'Balance Sheet'!X27+'Balance Sheet'!X34</f>
        <v>0</v>
      </c>
      <c r="Q57" s="116">
        <f>+'Balance Sheet'!Y27+'Balance Sheet'!Y34</f>
        <v>0</v>
      </c>
      <c r="R57" s="116">
        <f>+'Balance Sheet'!Z27+'Balance Sheet'!Z34</f>
        <v>0</v>
      </c>
      <c r="S57" s="116">
        <f>+'Balance Sheet'!AA27+'Balance Sheet'!AA34</f>
        <v>0</v>
      </c>
      <c r="T57" s="6"/>
      <c r="U57" s="89" t="s">
        <v>538</v>
      </c>
      <c r="V57" s="90"/>
      <c r="W57" s="184">
        <f>+Valuation!C48</f>
        <v>22.265626479977673</v>
      </c>
      <c r="X57" s="80"/>
      <c r="Y57" s="80"/>
      <c r="Z57" s="78"/>
      <c r="AA57" s="78"/>
      <c r="AB57" s="78"/>
      <c r="AM57" s="76"/>
      <c r="AN57" s="6"/>
    </row>
    <row r="58" spans="2:42" ht="21.75" customHeight="1" x14ac:dyDescent="0.2">
      <c r="B58" s="6" t="s">
        <v>13</v>
      </c>
      <c r="C58" s="58" t="s">
        <v>41</v>
      </c>
      <c r="D58" s="116">
        <f>+D59-SUM(D56:D57)</f>
        <v>135.964</v>
      </c>
      <c r="E58" s="116">
        <f t="shared" ref="E58:S58" si="33">+E59-SUM(E56:E57)</f>
        <v>0</v>
      </c>
      <c r="F58" s="116">
        <f t="shared" si="33"/>
        <v>0</v>
      </c>
      <c r="G58" s="116">
        <f t="shared" si="33"/>
        <v>200.90699999999998</v>
      </c>
      <c r="H58" s="116">
        <f t="shared" si="33"/>
        <v>231.494</v>
      </c>
      <c r="I58" s="116">
        <f t="shared" si="33"/>
        <v>268.43099999999998</v>
      </c>
      <c r="J58" s="116">
        <f t="shared" si="33"/>
        <v>268.43099999999998</v>
      </c>
      <c r="K58" s="116">
        <f t="shared" si="33"/>
        <v>297.13800000000003</v>
      </c>
      <c r="L58" s="116">
        <f t="shared" si="33"/>
        <v>362.63499999999999</v>
      </c>
      <c r="M58" s="116">
        <f t="shared" si="33"/>
        <v>362.63499999999999</v>
      </c>
      <c r="N58" s="116">
        <f t="shared" si="33"/>
        <v>366.63756999999998</v>
      </c>
      <c r="O58" s="116">
        <f t="shared" si="33"/>
        <v>372.22517512499996</v>
      </c>
      <c r="P58" s="116">
        <f t="shared" si="33"/>
        <v>372.22517512499996</v>
      </c>
      <c r="Q58" s="116">
        <f t="shared" si="33"/>
        <v>376.28993916062495</v>
      </c>
      <c r="R58" s="116">
        <f t="shared" si="33"/>
        <v>382.03838606490314</v>
      </c>
      <c r="S58" s="116">
        <f t="shared" si="33"/>
        <v>382.03838606490314</v>
      </c>
      <c r="T58" s="6"/>
      <c r="U58" s="76"/>
      <c r="V58" s="76"/>
      <c r="W58" s="78"/>
      <c r="X58" s="78"/>
      <c r="Y58" s="78"/>
      <c r="Z58" s="78"/>
      <c r="AA58" s="78"/>
      <c r="AB58" s="78"/>
      <c r="AC58" s="78"/>
      <c r="AD58" s="78"/>
      <c r="AE58" s="78"/>
      <c r="AF58" s="78"/>
      <c r="AG58" s="78"/>
      <c r="AH58" s="78"/>
      <c r="AI58" s="78"/>
      <c r="AJ58" s="78"/>
      <c r="AK58" s="78"/>
      <c r="AL58" s="78"/>
      <c r="AM58" s="76"/>
      <c r="AN58" s="6"/>
    </row>
    <row r="59" spans="2:42" ht="21.75" customHeight="1" x14ac:dyDescent="0.2">
      <c r="B59" s="21" t="s">
        <v>92</v>
      </c>
      <c r="C59" s="114" t="s">
        <v>41</v>
      </c>
      <c r="D59" s="120">
        <f>+'Balance Sheet'!L39</f>
        <v>167.33</v>
      </c>
      <c r="E59" s="120">
        <f>+'Balance Sheet'!M39</f>
        <v>0</v>
      </c>
      <c r="F59" s="120">
        <f>+'Balance Sheet'!N39</f>
        <v>0</v>
      </c>
      <c r="G59" s="120">
        <f>+'Balance Sheet'!O39</f>
        <v>236.54199999999997</v>
      </c>
      <c r="H59" s="120">
        <f>+'Balance Sheet'!P39</f>
        <v>256.529</v>
      </c>
      <c r="I59" s="120">
        <f>+'Balance Sheet'!Q39</f>
        <v>307.81799999999998</v>
      </c>
      <c r="J59" s="120">
        <f>+'Balance Sheet'!R39</f>
        <v>307.81799999999998</v>
      </c>
      <c r="K59" s="120">
        <f>+'Balance Sheet'!S39</f>
        <v>327.33600000000001</v>
      </c>
      <c r="L59" s="120">
        <f>+'Balance Sheet'!T39</f>
        <v>403.07400000000001</v>
      </c>
      <c r="M59" s="120">
        <f>+'Balance Sheet'!U39</f>
        <v>403.07400000000001</v>
      </c>
      <c r="N59" s="120">
        <f>+'Balance Sheet'!V39</f>
        <v>415.22594123382237</v>
      </c>
      <c r="O59" s="120">
        <f>+'Balance Sheet'!W39</f>
        <v>421.92683918193364</v>
      </c>
      <c r="P59" s="120">
        <f>+'Balance Sheet'!X39</f>
        <v>421.92683918193364</v>
      </c>
      <c r="Q59" s="120">
        <f>+'Balance Sheet'!Y39</f>
        <v>433.24785657266574</v>
      </c>
      <c r="R59" s="120">
        <f>+'Balance Sheet'!Z39</f>
        <v>440.0562533522014</v>
      </c>
      <c r="S59" s="120">
        <f>+'Balance Sheet'!AA39</f>
        <v>440.0562533522014</v>
      </c>
      <c r="T59" s="6"/>
      <c r="U59" s="115" t="s">
        <v>75</v>
      </c>
      <c r="V59" s="115"/>
      <c r="W59" s="122"/>
      <c r="X59" s="122"/>
      <c r="Y59" s="122"/>
      <c r="Z59" s="78"/>
      <c r="AA59" s="78"/>
      <c r="AB59" s="78"/>
      <c r="AC59" s="78"/>
      <c r="AD59" s="78"/>
      <c r="AE59" s="78"/>
      <c r="AF59" s="78"/>
      <c r="AG59" s="78"/>
      <c r="AH59" s="78"/>
      <c r="AI59" s="78"/>
      <c r="AJ59" s="78"/>
      <c r="AK59" s="78"/>
      <c r="AL59" s="78"/>
      <c r="AM59" s="76"/>
      <c r="AN59" s="6"/>
    </row>
    <row r="60" spans="2:42" ht="21.75" customHeight="1" x14ac:dyDescent="0.2">
      <c r="B60" s="21" t="s">
        <v>93</v>
      </c>
      <c r="C60" s="114" t="s">
        <v>41</v>
      </c>
      <c r="D60" s="120">
        <f>+'Balance Sheet'!L41</f>
        <v>81.09899999999999</v>
      </c>
      <c r="E60" s="120">
        <f>+'Balance Sheet'!M41</f>
        <v>0</v>
      </c>
      <c r="F60" s="120">
        <f>+'Balance Sheet'!N41</f>
        <v>0</v>
      </c>
      <c r="G60" s="120">
        <f>+'Balance Sheet'!O41</f>
        <v>87.965000000000032</v>
      </c>
      <c r="H60" s="120">
        <f>+'Balance Sheet'!P41</f>
        <v>73.98500000000007</v>
      </c>
      <c r="I60" s="120">
        <f>+'Balance Sheet'!Q41</f>
        <v>353.97900000000004</v>
      </c>
      <c r="J60" s="120">
        <f>+'Balance Sheet'!R41</f>
        <v>353.97900000000004</v>
      </c>
      <c r="K60" s="120">
        <f>+'Balance Sheet'!S41</f>
        <v>367.63300000000004</v>
      </c>
      <c r="L60" s="120">
        <f>+'Balance Sheet'!T41</f>
        <v>380.12399999999997</v>
      </c>
      <c r="M60" s="120">
        <f>+'Balance Sheet'!U41</f>
        <v>380.12399999999997</v>
      </c>
      <c r="N60" s="120">
        <f>+'Balance Sheet'!V41</f>
        <v>391.02805770324312</v>
      </c>
      <c r="O60" s="120">
        <f>+'Balance Sheet'!W41</f>
        <v>400.91091522826201</v>
      </c>
      <c r="P60" s="120">
        <f>+'Balance Sheet'!X41</f>
        <v>400.91091522826201</v>
      </c>
      <c r="Q60" s="120">
        <f>+'Balance Sheet'!Y41</f>
        <v>417.89531461836174</v>
      </c>
      <c r="R60" s="120">
        <f>+'Balance Sheet'!Z41</f>
        <v>432.85922826031737</v>
      </c>
      <c r="S60" s="120">
        <f>+'Balance Sheet'!AA41</f>
        <v>432.85922826031737</v>
      </c>
      <c r="T60" s="6"/>
      <c r="U60" s="81" t="s">
        <v>91</v>
      </c>
      <c r="V60" s="81"/>
      <c r="W60" s="156">
        <f>+Valuation!S10</f>
        <v>23.5</v>
      </c>
      <c r="X60" s="128"/>
      <c r="Y60" s="128"/>
      <c r="Z60" s="78"/>
      <c r="AA60" s="78"/>
      <c r="AB60" s="78"/>
      <c r="AC60" s="78"/>
      <c r="AD60" s="78"/>
      <c r="AE60" s="78"/>
      <c r="AF60" s="78"/>
      <c r="AG60" s="78"/>
      <c r="AH60" s="78"/>
      <c r="AI60" s="78"/>
      <c r="AJ60" s="78"/>
      <c r="AK60" s="78"/>
      <c r="AL60" s="78"/>
      <c r="AM60" s="76"/>
      <c r="AN60" s="6"/>
    </row>
    <row r="61" spans="2:42" ht="21.75" customHeight="1" x14ac:dyDescent="0.2"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AM61" s="76"/>
      <c r="AN61" s="6"/>
    </row>
    <row r="62" spans="2:42" ht="12" customHeight="1" x14ac:dyDescent="0.2">
      <c r="B62" s="7" t="s">
        <v>11</v>
      </c>
      <c r="C62" s="6"/>
      <c r="D62" s="155">
        <f>+D21-'Income &amp; Cash Flow'!L40</f>
        <v>0</v>
      </c>
      <c r="E62" s="155">
        <f>+E21-'Income &amp; Cash Flow'!M40</f>
        <v>0</v>
      </c>
      <c r="F62" s="155">
        <f>+F21-'Income &amp; Cash Flow'!N40</f>
        <v>0</v>
      </c>
      <c r="G62" s="155">
        <f>+G21-'Income &amp; Cash Flow'!O40</f>
        <v>0</v>
      </c>
      <c r="H62" s="155">
        <f>+H21-'Income &amp; Cash Flow'!P40</f>
        <v>0</v>
      </c>
      <c r="I62" s="155">
        <f>+I21-'Income &amp; Cash Flow'!Q40</f>
        <v>0</v>
      </c>
      <c r="J62" s="155">
        <f>+J21-'Income &amp; Cash Flow'!R40</f>
        <v>0</v>
      </c>
      <c r="K62" s="155">
        <f>+K21-'Income &amp; Cash Flow'!S40</f>
        <v>0</v>
      </c>
      <c r="L62" s="155">
        <f>+L21-'Income &amp; Cash Flow'!T40</f>
        <v>0</v>
      </c>
      <c r="M62" s="155">
        <f>+M21-'Income &amp; Cash Flow'!U40</f>
        <v>0</v>
      </c>
      <c r="N62" s="155">
        <f>+N21-'Income &amp; Cash Flow'!V40</f>
        <v>0</v>
      </c>
      <c r="O62" s="155">
        <f>+O21-'Income &amp; Cash Flow'!W40</f>
        <v>0</v>
      </c>
      <c r="P62" s="155">
        <f>+P21-'Income &amp; Cash Flow'!X40</f>
        <v>0</v>
      </c>
      <c r="Q62" s="155">
        <f>+Q21-'Income &amp; Cash Flow'!Y40</f>
        <v>0</v>
      </c>
      <c r="R62" s="155">
        <f>+R21-'Income &amp; Cash Flow'!Z40</f>
        <v>0</v>
      </c>
      <c r="S62" s="155">
        <f>+S21-'Income &amp; Cash Flow'!AA40</f>
        <v>0</v>
      </c>
      <c r="T62" s="6"/>
      <c r="U62" s="76"/>
      <c r="V62" s="76"/>
      <c r="W62" s="78"/>
      <c r="X62" s="78"/>
      <c r="Y62" s="78"/>
      <c r="Z62" s="78"/>
      <c r="AA62" s="78"/>
      <c r="AB62" s="78"/>
      <c r="AC62" s="78"/>
      <c r="AD62" s="78"/>
      <c r="AE62" s="78"/>
      <c r="AF62" s="78"/>
      <c r="AG62" s="78"/>
      <c r="AH62" s="78"/>
      <c r="AI62" s="78"/>
      <c r="AJ62" s="78"/>
      <c r="AK62" s="78"/>
      <c r="AL62" s="78"/>
      <c r="AM62" s="76"/>
      <c r="AN62" s="6"/>
    </row>
    <row r="63" spans="2:42" ht="12" customHeight="1" x14ac:dyDescent="0.2"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76"/>
      <c r="V63" s="76"/>
      <c r="W63" s="185" t="s">
        <v>10</v>
      </c>
      <c r="X63" s="185"/>
      <c r="Y63" s="185"/>
      <c r="Z63" s="185" t="s">
        <v>10</v>
      </c>
      <c r="AA63" s="185"/>
      <c r="AB63" s="185"/>
      <c r="AC63" s="185" t="s">
        <v>10</v>
      </c>
      <c r="AD63" s="185"/>
      <c r="AE63" s="185"/>
      <c r="AF63" s="185" t="s">
        <v>10</v>
      </c>
      <c r="AG63" s="185"/>
      <c r="AH63" s="185"/>
      <c r="AI63" s="185" t="s">
        <v>10</v>
      </c>
      <c r="AJ63" s="185"/>
      <c r="AK63" s="185"/>
      <c r="AL63" s="185" t="s">
        <v>10</v>
      </c>
      <c r="AM63" s="76"/>
      <c r="AN63" s="6"/>
    </row>
    <row r="64" spans="2:42" ht="12" customHeight="1" x14ac:dyDescent="0.2">
      <c r="B64" s="10" t="s">
        <v>94</v>
      </c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76"/>
      <c r="V64" s="76"/>
      <c r="W64" s="78"/>
      <c r="X64" s="78"/>
      <c r="Y64" s="78"/>
      <c r="Z64" s="78"/>
      <c r="AA64" s="78"/>
      <c r="AB64" s="78"/>
      <c r="AC64" s="78"/>
      <c r="AD64" s="78"/>
      <c r="AE64" s="78"/>
      <c r="AF64" s="78"/>
      <c r="AG64" s="78"/>
      <c r="AH64" s="78"/>
      <c r="AI64" s="78"/>
      <c r="AJ64" s="78"/>
      <c r="AK64" s="78"/>
      <c r="AL64" s="78"/>
      <c r="AM64" s="76"/>
      <c r="AN64" s="6"/>
    </row>
    <row r="65" spans="2:40" ht="12" customHeight="1" x14ac:dyDescent="0.2"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58"/>
      <c r="X65" s="58"/>
      <c r="Y65" s="58"/>
      <c r="Z65" s="58"/>
      <c r="AA65" s="58"/>
      <c r="AB65" s="58"/>
      <c r="AC65" s="58"/>
      <c r="AD65" s="58"/>
      <c r="AE65" s="58"/>
      <c r="AF65" s="58"/>
      <c r="AG65" s="58"/>
      <c r="AH65" s="58"/>
      <c r="AI65" s="58"/>
      <c r="AJ65" s="58"/>
      <c r="AK65" s="58"/>
      <c r="AL65" s="58"/>
      <c r="AM65" s="6"/>
      <c r="AN65" s="6"/>
    </row>
    <row r="66" spans="2:40" ht="12" customHeight="1" x14ac:dyDescent="0.2">
      <c r="B66" s="12" t="s">
        <v>95</v>
      </c>
      <c r="C66" s="12"/>
      <c r="D66" s="124" t="str">
        <f>+'Income &amp; Cash Flow'!L$4</f>
        <v>FY22A</v>
      </c>
      <c r="E66" s="124"/>
      <c r="F66" s="124"/>
      <c r="G66" s="124" t="str">
        <f>+'Income &amp; Cash Flow'!O$4</f>
        <v>FY23A</v>
      </c>
      <c r="H66" s="124"/>
      <c r="I66" s="124"/>
      <c r="J66" s="124" t="str">
        <f>+'Income &amp; Cash Flow'!R$4</f>
        <v>FY24A</v>
      </c>
      <c r="K66" s="124"/>
      <c r="L66" s="124"/>
      <c r="M66" s="124" t="str">
        <f>+'Income &amp; Cash Flow'!U$4</f>
        <v>FY25A</v>
      </c>
      <c r="N66" s="124"/>
      <c r="O66" s="124"/>
      <c r="P66" s="124" t="str">
        <f>+'Income &amp; Cash Flow'!X$4</f>
        <v>FY26E</v>
      </c>
      <c r="Q66" s="124"/>
      <c r="R66" s="124"/>
      <c r="S66" s="124" t="str">
        <f>+'Income &amp; Cash Flow'!AA$4</f>
        <v>FY27E</v>
      </c>
      <c r="T66" s="6"/>
      <c r="U66" s="6"/>
      <c r="V66" s="6"/>
      <c r="W66" s="58"/>
      <c r="X66" s="58"/>
      <c r="Y66" s="58"/>
      <c r="Z66" s="58"/>
      <c r="AA66" s="58"/>
      <c r="AB66" s="58"/>
      <c r="AC66" s="58"/>
      <c r="AD66" s="58"/>
      <c r="AE66" s="58"/>
      <c r="AF66" s="58"/>
      <c r="AG66" s="58"/>
      <c r="AH66" s="58"/>
      <c r="AI66" s="58"/>
      <c r="AJ66" s="58"/>
      <c r="AK66" s="58"/>
      <c r="AL66" s="58"/>
      <c r="AM66" s="6"/>
      <c r="AN66" s="6"/>
    </row>
    <row r="67" spans="2:40" ht="12" customHeight="1" x14ac:dyDescent="0.2">
      <c r="B67" s="6" t="s">
        <v>9</v>
      </c>
      <c r="C67" s="58" t="s">
        <v>41</v>
      </c>
      <c r="D67" s="116">
        <f>+D10</f>
        <v>171.792</v>
      </c>
      <c r="E67" s="58"/>
      <c r="F67" s="58"/>
      <c r="G67" s="116">
        <f>+G10</f>
        <v>259.04399999999998</v>
      </c>
      <c r="H67" s="58"/>
      <c r="I67" s="58"/>
      <c r="J67" s="116">
        <f>+J10</f>
        <v>342.214</v>
      </c>
      <c r="K67" s="58"/>
      <c r="L67" s="58"/>
      <c r="M67" s="116">
        <f>+M10</f>
        <v>435.98200000000003</v>
      </c>
      <c r="N67" s="58"/>
      <c r="O67" s="58"/>
      <c r="P67" s="116">
        <f>+P10</f>
        <v>538.83484464023809</v>
      </c>
      <c r="Q67" s="58"/>
      <c r="R67" s="58"/>
      <c r="S67" s="116">
        <f>+S10</f>
        <v>641.8354419567072</v>
      </c>
      <c r="T67" s="6"/>
      <c r="U67" s="6"/>
      <c r="V67" s="6"/>
      <c r="W67" s="58"/>
      <c r="X67" s="58"/>
      <c r="Y67" s="58"/>
      <c r="Z67" s="58"/>
      <c r="AA67" s="58"/>
      <c r="AB67" s="58"/>
      <c r="AC67" s="58"/>
      <c r="AD67" s="58"/>
      <c r="AE67" s="58"/>
      <c r="AF67" s="58"/>
      <c r="AG67" s="58"/>
      <c r="AH67" s="58"/>
      <c r="AI67" s="58"/>
      <c r="AJ67" s="58"/>
      <c r="AK67" s="58"/>
      <c r="AL67" s="58"/>
      <c r="AM67" s="6"/>
      <c r="AN67" s="6"/>
    </row>
    <row r="68" spans="2:40" ht="12" customHeight="1" x14ac:dyDescent="0.2">
      <c r="B68" s="6" t="s">
        <v>301</v>
      </c>
      <c r="C68" s="58" t="s">
        <v>41</v>
      </c>
      <c r="D68" s="127">
        <f>+'Income &amp; Cash Flow'!L20</f>
        <v>21.7</v>
      </c>
      <c r="E68" s="127">
        <f>+'Income &amp; Cash Flow'!M20</f>
        <v>14.2</v>
      </c>
      <c r="F68" s="127">
        <f>+'Income &amp; Cash Flow'!N20</f>
        <v>15.100000000000001</v>
      </c>
      <c r="G68" s="127">
        <f>+'Income &amp; Cash Flow'!O20</f>
        <v>29.3</v>
      </c>
      <c r="H68" s="127">
        <f>+'Income &amp; Cash Flow'!P20</f>
        <v>24.7</v>
      </c>
      <c r="I68" s="127">
        <f>+'Income &amp; Cash Flow'!Q20</f>
        <v>20.099999999999998</v>
      </c>
      <c r="J68" s="127">
        <f>+'Income &amp; Cash Flow'!R20</f>
        <v>44.8</v>
      </c>
      <c r="K68" s="127">
        <f>+'Income &amp; Cash Flow'!S20</f>
        <v>31.577999999999999</v>
      </c>
      <c r="L68" s="127">
        <f>+'Income &amp; Cash Flow'!T20</f>
        <v>33.540999999999997</v>
      </c>
      <c r="M68" s="127">
        <f>+'Income &amp; Cash Flow'!U20</f>
        <v>65.119</v>
      </c>
      <c r="N68" s="127">
        <f>+'Income &amp; Cash Flow'!V20</f>
        <v>42.436647390347282</v>
      </c>
      <c r="O68" s="127">
        <f>+'Income &amp; Cash Flow'!W20</f>
        <v>40.588008146634067</v>
      </c>
      <c r="P68" s="127">
        <f>+'Income &amp; Cash Flow'!X20</f>
        <v>83.024655536981356</v>
      </c>
      <c r="Q68" s="127">
        <f>+'Income &amp; Cash Flow'!Y20</f>
        <v>55.449648749961369</v>
      </c>
      <c r="R68" s="127">
        <f>+'Income &amp; Cash Flow'!Z20</f>
        <v>54.308335411813054</v>
      </c>
      <c r="S68" s="127">
        <f>+'Income &amp; Cash Flow'!AA20</f>
        <v>109.75798416177442</v>
      </c>
      <c r="T68" s="6"/>
      <c r="U68" s="6"/>
      <c r="V68" s="6"/>
      <c r="W68" s="58"/>
      <c r="X68" s="58"/>
      <c r="Y68" s="58"/>
      <c r="Z68" s="58"/>
      <c r="AA68" s="58"/>
      <c r="AB68" s="58"/>
      <c r="AC68" s="58"/>
      <c r="AD68" s="58"/>
      <c r="AE68" s="58"/>
      <c r="AF68" s="58"/>
      <c r="AG68" s="58"/>
      <c r="AH68" s="58"/>
      <c r="AI68" s="58"/>
      <c r="AJ68" s="58"/>
      <c r="AK68" s="58"/>
      <c r="AL68" s="58"/>
      <c r="AM68" s="6"/>
      <c r="AN68" s="6"/>
    </row>
    <row r="69" spans="2:40" ht="12" customHeight="1" x14ac:dyDescent="0.2">
      <c r="B69" s="8" t="s">
        <v>304</v>
      </c>
      <c r="C69" s="9" t="s">
        <v>45</v>
      </c>
      <c r="D69" s="112">
        <f>+D31</f>
        <v>0.12631554437924933</v>
      </c>
      <c r="E69" s="112"/>
      <c r="F69" s="112"/>
      <c r="G69" s="112">
        <f>+G31</f>
        <v>0.11310819783511683</v>
      </c>
      <c r="H69" s="112"/>
      <c r="I69" s="112"/>
      <c r="J69" s="112">
        <f>+J31</f>
        <v>0.1309122362030776</v>
      </c>
      <c r="K69" s="112"/>
      <c r="L69" s="112"/>
      <c r="M69" s="112">
        <f>+M31</f>
        <v>0.14936167089466995</v>
      </c>
      <c r="N69" s="75"/>
      <c r="O69" s="75"/>
      <c r="P69" s="112">
        <f>+P31</f>
        <v>0.1540818237031685</v>
      </c>
      <c r="Q69" s="75"/>
      <c r="R69" s="75"/>
      <c r="S69" s="112">
        <f>+S31</f>
        <v>0.17100642467976671</v>
      </c>
      <c r="T69" s="6"/>
      <c r="U69" s="6"/>
      <c r="V69" s="6"/>
      <c r="W69" s="58"/>
      <c r="X69" s="58"/>
      <c r="Y69" s="58"/>
      <c r="Z69" s="58"/>
      <c r="AA69" s="58"/>
      <c r="AB69" s="58"/>
      <c r="AC69" s="58"/>
      <c r="AD69" s="58"/>
      <c r="AE69" s="58"/>
      <c r="AF69" s="58"/>
      <c r="AG69" s="58"/>
      <c r="AH69" s="58"/>
      <c r="AI69" s="58"/>
      <c r="AJ69" s="58"/>
      <c r="AK69" s="58"/>
      <c r="AL69" s="58"/>
      <c r="AM69" s="6"/>
      <c r="AN69" s="6"/>
    </row>
    <row r="70" spans="2:40" ht="12" customHeight="1" x14ac:dyDescent="0.2">
      <c r="B70" s="6" t="s">
        <v>300</v>
      </c>
      <c r="C70" s="58" t="s">
        <v>41</v>
      </c>
      <c r="D70" s="127">
        <f>+'Income &amp; Cash Flow'!L45</f>
        <v>3.919000000000004</v>
      </c>
      <c r="E70" s="127">
        <f>+'Income &amp; Cash Flow'!M45</f>
        <v>-1.1110000000000086</v>
      </c>
      <c r="F70" s="127">
        <f>+'Income &amp; Cash Flow'!N45</f>
        <v>-0.75700000000001033</v>
      </c>
      <c r="G70" s="127">
        <f>+'Income &amp; Cash Flow'!O45</f>
        <v>-1.868000000000019</v>
      </c>
      <c r="H70" s="127">
        <f>+'Income &amp; Cash Flow'!P45</f>
        <v>-4.3470000000000022</v>
      </c>
      <c r="I70" s="127">
        <f>+'Income &amp; Cash Flow'!Q45</f>
        <v>-9.330999999999996</v>
      </c>
      <c r="J70" s="127">
        <f>+'Income &amp; Cash Flow'!R45</f>
        <v>-13.677999999999999</v>
      </c>
      <c r="K70" s="127">
        <f>+'Income &amp; Cash Flow'!S45</f>
        <v>8.1190000000000051</v>
      </c>
      <c r="L70" s="127">
        <f>+'Income &amp; Cash Flow'!T45</f>
        <v>5.9520000000000746</v>
      </c>
      <c r="M70" s="127">
        <f>+'Income &amp; Cash Flow'!U45</f>
        <v>14.07100000000008</v>
      </c>
      <c r="N70" s="127">
        <f>+'Income &amp; Cash Flow'!V45</f>
        <v>10.904057703243097</v>
      </c>
      <c r="O70" s="127">
        <f>+'Income &amp; Cash Flow'!W45</f>
        <v>9.882857525018844</v>
      </c>
      <c r="P70" s="127">
        <f>+'Income &amp; Cash Flow'!X45</f>
        <v>20.78691522826195</v>
      </c>
      <c r="Q70" s="127">
        <f>+'Income &amp; Cash Flow'!Y45</f>
        <v>16.984399390099835</v>
      </c>
      <c r="R70" s="127">
        <f>+'Income &amp; Cash Flow'!Z45</f>
        <v>14.963913641955564</v>
      </c>
      <c r="S70" s="127">
        <f>+'Income &amp; Cash Flow'!AA45</f>
        <v>31.948313032055406</v>
      </c>
      <c r="T70" s="6"/>
      <c r="U70" s="6"/>
      <c r="V70" s="6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8"/>
      <c r="AJ70" s="58"/>
      <c r="AK70" s="58"/>
      <c r="AL70" s="58"/>
      <c r="AM70" s="6"/>
      <c r="AN70" s="6"/>
    </row>
    <row r="71" spans="2:40" ht="12" customHeight="1" x14ac:dyDescent="0.2">
      <c r="B71" s="8" t="s">
        <v>302</v>
      </c>
      <c r="C71" s="9" t="s">
        <v>45</v>
      </c>
      <c r="D71" s="112">
        <f>+D32</f>
        <v>1.8627177051317875E-2</v>
      </c>
      <c r="E71" s="112"/>
      <c r="F71" s="112"/>
      <c r="G71" s="112">
        <f>+G32</f>
        <v>1.1581044146940288E-2</v>
      </c>
      <c r="H71" s="112"/>
      <c r="I71" s="112"/>
      <c r="J71" s="112">
        <f>+J32</f>
        <v>1.6656244338338001E-2</v>
      </c>
      <c r="K71" s="112"/>
      <c r="L71" s="112"/>
      <c r="M71" s="112">
        <f>+M32</f>
        <v>3.3203205636929967E-2</v>
      </c>
      <c r="N71" s="75"/>
      <c r="O71" s="75"/>
      <c r="P71" s="112">
        <f>+P32</f>
        <v>3.8577525998974092E-2</v>
      </c>
      <c r="Q71" s="75"/>
      <c r="R71" s="75"/>
      <c r="S71" s="112">
        <f>+S32</f>
        <v>4.9776486219984047E-2</v>
      </c>
      <c r="T71" s="6"/>
      <c r="U71" s="6"/>
      <c r="V71" s="6"/>
      <c r="W71" s="58"/>
      <c r="X71" s="58"/>
      <c r="Y71" s="58"/>
      <c r="Z71" s="58"/>
      <c r="AA71" s="58"/>
      <c r="AB71" s="58"/>
      <c r="AC71" s="58"/>
      <c r="AD71" s="58"/>
      <c r="AE71" s="58"/>
      <c r="AF71" s="58"/>
      <c r="AG71" s="58"/>
      <c r="AH71" s="58"/>
      <c r="AI71" s="58"/>
      <c r="AJ71" s="58"/>
      <c r="AK71" s="58"/>
      <c r="AL71" s="58"/>
      <c r="AM71" s="6"/>
      <c r="AN71" s="6"/>
    </row>
    <row r="72" spans="2:40" ht="12" customHeight="1" x14ac:dyDescent="0.2">
      <c r="B72" s="6"/>
      <c r="C72" s="6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/>
      <c r="O72" s="58"/>
      <c r="P72" s="58"/>
      <c r="Q72" s="58"/>
      <c r="R72" s="58"/>
      <c r="S72" s="58"/>
      <c r="T72" s="6"/>
      <c r="U72" s="6"/>
      <c r="V72" s="6"/>
      <c r="W72" s="58"/>
      <c r="X72" s="58"/>
      <c r="Y72" s="58"/>
      <c r="Z72" s="58"/>
      <c r="AA72" s="58"/>
      <c r="AB72" s="58"/>
      <c r="AC72" s="58"/>
      <c r="AD72" s="58"/>
      <c r="AE72" s="58"/>
      <c r="AF72" s="58"/>
      <c r="AG72" s="58"/>
      <c r="AH72" s="58"/>
      <c r="AI72" s="58"/>
      <c r="AJ72" s="58"/>
      <c r="AK72" s="58"/>
      <c r="AL72" s="58"/>
      <c r="AM72" s="6"/>
      <c r="AN72" s="6"/>
    </row>
    <row r="73" spans="2:40" ht="12" customHeight="1" x14ac:dyDescent="0.2">
      <c r="B73" s="6" t="s">
        <v>303</v>
      </c>
      <c r="C73" s="58" t="s">
        <v>41</v>
      </c>
      <c r="D73" s="116">
        <f>+D42</f>
        <v>-12.584000000000021</v>
      </c>
      <c r="E73" s="58"/>
      <c r="F73" s="58"/>
      <c r="G73" s="116">
        <f>+G42</f>
        <v>-14.149999999999999</v>
      </c>
      <c r="H73" s="58"/>
      <c r="I73" s="58"/>
      <c r="J73" s="116">
        <f>+J42</f>
        <v>7.7999999999960323E-2</v>
      </c>
      <c r="K73" s="58"/>
      <c r="L73" s="58"/>
      <c r="M73" s="116">
        <f>+M42</f>
        <v>-19.509000000000057</v>
      </c>
      <c r="N73" s="58"/>
      <c r="O73" s="58"/>
      <c r="P73" s="116">
        <f>+P42</f>
        <v>31.663677787594594</v>
      </c>
      <c r="Q73" s="58"/>
      <c r="R73" s="58"/>
      <c r="S73" s="116">
        <f>+S42</f>
        <v>46.343332974232844</v>
      </c>
      <c r="T73" s="6"/>
      <c r="U73" s="6"/>
      <c r="V73" s="6"/>
      <c r="W73" s="58"/>
      <c r="X73" s="58"/>
      <c r="Y73" s="58"/>
      <c r="Z73" s="58"/>
      <c r="AA73" s="58"/>
      <c r="AB73" s="58"/>
      <c r="AC73" s="58"/>
      <c r="AD73" s="58"/>
      <c r="AE73" s="58"/>
      <c r="AF73" s="58"/>
      <c r="AG73" s="58"/>
      <c r="AH73" s="58"/>
      <c r="AI73" s="58"/>
      <c r="AJ73" s="58"/>
      <c r="AK73" s="58"/>
      <c r="AL73" s="58"/>
      <c r="AM73" s="6"/>
      <c r="AN73" s="6"/>
    </row>
    <row r="74" spans="2:40" ht="12" customHeight="1" x14ac:dyDescent="0.2">
      <c r="B74" s="6" t="s">
        <v>59</v>
      </c>
      <c r="C74" s="58" t="s">
        <v>41</v>
      </c>
      <c r="D74" s="127">
        <f>+W22</f>
        <v>-51.069000000000003</v>
      </c>
      <c r="E74" s="58"/>
      <c r="F74" s="58"/>
      <c r="G74" s="127">
        <f>+Z22</f>
        <v>-33.503999999999998</v>
      </c>
      <c r="H74" s="58"/>
      <c r="I74" s="58"/>
      <c r="J74" s="127">
        <f>+AC22</f>
        <v>-294.48</v>
      </c>
      <c r="K74" s="58"/>
      <c r="L74" s="58"/>
      <c r="M74" s="127">
        <f>+AF22</f>
        <v>-281.74299999999999</v>
      </c>
      <c r="N74" s="58"/>
      <c r="O74" s="58"/>
      <c r="P74" s="127">
        <f>+AI22</f>
        <v>-282.60771543384453</v>
      </c>
      <c r="Q74" s="58"/>
      <c r="R74" s="58"/>
      <c r="S74" s="127">
        <f>+AO24</f>
        <v>0</v>
      </c>
      <c r="T74" s="6"/>
      <c r="U74" s="6"/>
      <c r="V74" s="6"/>
      <c r="W74" s="58"/>
      <c r="X74" s="58"/>
      <c r="Y74" s="58"/>
      <c r="Z74" s="58"/>
      <c r="AA74" s="58"/>
      <c r="AB74" s="58"/>
      <c r="AC74" s="58"/>
      <c r="AD74" s="58"/>
      <c r="AE74" s="58"/>
      <c r="AF74" s="58"/>
      <c r="AG74" s="58"/>
      <c r="AH74" s="58"/>
      <c r="AI74" s="58"/>
      <c r="AJ74" s="58"/>
      <c r="AK74" s="58"/>
      <c r="AL74" s="58"/>
      <c r="AM74" s="6"/>
      <c r="AN74" s="6"/>
    </row>
    <row r="75" spans="2:40" ht="12" customHeight="1" x14ac:dyDescent="0.2">
      <c r="B75" s="6" t="s">
        <v>48</v>
      </c>
      <c r="C75" s="58" t="s">
        <v>45</v>
      </c>
      <c r="D75" s="123">
        <f>+W14</f>
        <v>0</v>
      </c>
      <c r="E75" s="123"/>
      <c r="F75" s="123"/>
      <c r="G75" s="123">
        <f>+Z14</f>
        <v>0</v>
      </c>
      <c r="H75" s="123"/>
      <c r="I75" s="123"/>
      <c r="J75" s="123">
        <f>+AC14</f>
        <v>0</v>
      </c>
      <c r="K75" s="123"/>
      <c r="L75" s="123"/>
      <c r="M75" s="123">
        <f>+AF14</f>
        <v>0</v>
      </c>
      <c r="N75" s="123"/>
      <c r="O75" s="123"/>
      <c r="P75" s="123">
        <f>+AI14</f>
        <v>0</v>
      </c>
      <c r="Q75" s="123"/>
      <c r="R75" s="123"/>
      <c r="S75" s="123">
        <f>+AO16</f>
        <v>0</v>
      </c>
      <c r="T75" s="6"/>
      <c r="U75" s="6"/>
      <c r="V75" s="6"/>
      <c r="W75" s="58"/>
      <c r="X75" s="58"/>
      <c r="Y75" s="58"/>
      <c r="Z75" s="58"/>
      <c r="AA75" s="58"/>
      <c r="AB75" s="58"/>
      <c r="AC75" s="58"/>
      <c r="AD75" s="58"/>
      <c r="AE75" s="58"/>
      <c r="AF75" s="58"/>
      <c r="AG75" s="58"/>
      <c r="AH75" s="58"/>
      <c r="AI75" s="58"/>
      <c r="AJ75" s="58"/>
      <c r="AK75" s="58"/>
      <c r="AL75" s="58"/>
      <c r="AM75" s="6"/>
      <c r="AN75" s="6"/>
    </row>
    <row r="76" spans="2:40" ht="12" customHeight="1" x14ac:dyDescent="0.2">
      <c r="B76" s="6" t="s">
        <v>51</v>
      </c>
      <c r="C76" s="58" t="s">
        <v>52</v>
      </c>
      <c r="D76" s="127">
        <f>+W16</f>
        <v>0</v>
      </c>
      <c r="E76" s="127"/>
      <c r="F76" s="127"/>
      <c r="G76" s="127">
        <f>+Z16</f>
        <v>0</v>
      </c>
      <c r="H76" s="127"/>
      <c r="I76" s="127"/>
      <c r="J76" s="127">
        <f>+AC16</f>
        <v>358.03623347368421</v>
      </c>
      <c r="K76" s="127"/>
      <c r="L76" s="127"/>
      <c r="M76" s="127">
        <f>+AF16</f>
        <v>174.48424399696049</v>
      </c>
      <c r="N76" s="127"/>
      <c r="O76" s="127"/>
      <c r="P76" s="127">
        <f>+AI16</f>
        <v>118.01770694983109</v>
      </c>
      <c r="Q76" s="127"/>
      <c r="R76" s="127"/>
      <c r="S76" s="127">
        <f>+AO18</f>
        <v>0</v>
      </c>
      <c r="T76" s="6"/>
      <c r="U76" s="6"/>
      <c r="V76" s="6"/>
      <c r="W76" s="58"/>
      <c r="X76" s="58"/>
      <c r="Y76" s="58"/>
      <c r="Z76" s="58"/>
      <c r="AA76" s="58"/>
      <c r="AB76" s="58"/>
      <c r="AC76" s="58"/>
      <c r="AD76" s="58"/>
      <c r="AE76" s="58"/>
      <c r="AF76" s="58"/>
      <c r="AG76" s="58"/>
      <c r="AH76" s="58"/>
      <c r="AI76" s="58"/>
      <c r="AJ76" s="58"/>
      <c r="AK76" s="58"/>
      <c r="AL76" s="58"/>
      <c r="AM76" s="6"/>
      <c r="AN76" s="6"/>
    </row>
    <row r="77" spans="2:40" ht="12" customHeight="1" x14ac:dyDescent="0.2">
      <c r="B77" s="6" t="s">
        <v>56</v>
      </c>
      <c r="C77" s="58" t="s">
        <v>52</v>
      </c>
      <c r="D77" s="127">
        <f>+W18</f>
        <v>95.7936053341014</v>
      </c>
      <c r="E77" s="127"/>
      <c r="F77" s="127"/>
      <c r="G77" s="127">
        <f>+Z18</f>
        <v>73.427618967576805</v>
      </c>
      <c r="H77" s="127"/>
      <c r="I77" s="127"/>
      <c r="J77" s="127">
        <f>+AC18</f>
        <v>44.326440419642864</v>
      </c>
      <c r="K77" s="127"/>
      <c r="L77" s="127"/>
      <c r="M77" s="127">
        <f>+AF18</f>
        <v>39.549162550100583</v>
      </c>
      <c r="N77" s="127"/>
      <c r="O77" s="127"/>
      <c r="P77" s="127">
        <f>+AI18</f>
        <v>30.25026136208972</v>
      </c>
      <c r="Q77" s="127"/>
      <c r="R77" s="127"/>
      <c r="S77" s="127">
        <f>+AO20</f>
        <v>0</v>
      </c>
      <c r="T77" s="6"/>
      <c r="U77" s="6"/>
      <c r="V77" s="6"/>
      <c r="W77" s="58"/>
      <c r="X77" s="58"/>
      <c r="Y77" s="58"/>
      <c r="Z77" s="58"/>
      <c r="AA77" s="58"/>
      <c r="AB77" s="58"/>
      <c r="AC77" s="58"/>
      <c r="AD77" s="58"/>
      <c r="AE77" s="58"/>
      <c r="AF77" s="58"/>
      <c r="AG77" s="58"/>
      <c r="AH77" s="58"/>
      <c r="AI77" s="58"/>
      <c r="AJ77" s="58"/>
      <c r="AK77" s="58"/>
      <c r="AL77" s="58"/>
      <c r="AM77" s="6"/>
      <c r="AN77" s="6"/>
    </row>
    <row r="78" spans="2:40" ht="12" customHeight="1" x14ac:dyDescent="0.2">
      <c r="D78" s="125"/>
      <c r="E78" s="125"/>
      <c r="F78" s="125"/>
      <c r="G78" s="125"/>
      <c r="H78" s="125"/>
      <c r="I78" s="125"/>
      <c r="J78" s="125"/>
      <c r="K78" s="125"/>
      <c r="L78" s="125"/>
      <c r="M78" s="125"/>
      <c r="N78" s="125"/>
      <c r="O78" s="125"/>
      <c r="P78" s="125"/>
      <c r="Q78" s="125"/>
      <c r="R78" s="125"/>
      <c r="S78" s="125"/>
      <c r="T78" s="6"/>
      <c r="U78" s="6"/>
      <c r="V78" s="6"/>
      <c r="W78" s="58"/>
      <c r="X78" s="58"/>
      <c r="Y78" s="58"/>
      <c r="Z78" s="58"/>
      <c r="AA78" s="58"/>
      <c r="AB78" s="58"/>
      <c r="AC78" s="58"/>
      <c r="AD78" s="58"/>
      <c r="AE78" s="58"/>
      <c r="AF78" s="58"/>
      <c r="AG78" s="58"/>
      <c r="AH78" s="58"/>
      <c r="AI78" s="58"/>
      <c r="AJ78" s="58"/>
      <c r="AK78" s="58"/>
      <c r="AL78" s="58"/>
      <c r="AM78" s="6"/>
      <c r="AN78" s="6"/>
    </row>
    <row r="79" spans="2:40" ht="12" customHeight="1" x14ac:dyDescent="0.2">
      <c r="D79" s="125"/>
      <c r="E79" s="125"/>
      <c r="F79" s="125"/>
      <c r="G79" s="125"/>
      <c r="H79" s="125"/>
      <c r="I79" s="125"/>
      <c r="J79" s="125"/>
      <c r="K79" s="125"/>
      <c r="L79" s="125"/>
      <c r="M79" s="125"/>
      <c r="N79" s="125"/>
      <c r="O79" s="125"/>
      <c r="P79" s="125"/>
      <c r="Q79" s="125"/>
      <c r="R79" s="125"/>
      <c r="S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</row>
    <row r="80" spans="2:40" ht="12" customHeight="1" x14ac:dyDescent="0.2">
      <c r="D80" s="125"/>
      <c r="E80" s="125"/>
      <c r="F80" s="125"/>
      <c r="G80" s="125"/>
      <c r="H80" s="125"/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</row>
    <row r="81" spans="4:38" ht="12" customHeight="1" x14ac:dyDescent="0.2"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</row>
    <row r="82" spans="4:38" ht="12" customHeight="1" x14ac:dyDescent="0.2">
      <c r="D82" s="125"/>
      <c r="E82" s="125"/>
      <c r="F82" s="125"/>
      <c r="G82" s="125"/>
      <c r="H82" s="125"/>
      <c r="I82" s="125"/>
      <c r="J82" s="125"/>
      <c r="K82" s="125"/>
      <c r="L82" s="125"/>
      <c r="M82" s="125"/>
      <c r="N82" s="125"/>
      <c r="O82" s="125"/>
      <c r="P82" s="125"/>
      <c r="Q82" s="125"/>
      <c r="R82" s="125"/>
      <c r="S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</row>
    <row r="83" spans="4:38" ht="12" customHeight="1" x14ac:dyDescent="0.2">
      <c r="D83" s="125"/>
      <c r="E83" s="125"/>
      <c r="F83" s="125"/>
      <c r="G83" s="125"/>
      <c r="H83" s="125"/>
      <c r="I83" s="125"/>
      <c r="J83" s="125"/>
      <c r="K83" s="125"/>
      <c r="L83" s="125"/>
      <c r="M83" s="125"/>
      <c r="N83" s="125"/>
      <c r="O83" s="125"/>
      <c r="P83" s="125"/>
      <c r="Q83" s="125"/>
      <c r="R83" s="125"/>
      <c r="S83" s="125"/>
    </row>
    <row r="84" spans="4:38" ht="12" customHeight="1" x14ac:dyDescent="0.2">
      <c r="D84" s="125"/>
      <c r="E84" s="125"/>
      <c r="F84" s="125"/>
      <c r="G84" s="125"/>
      <c r="H84" s="125"/>
      <c r="I84" s="125"/>
      <c r="J84" s="125"/>
      <c r="K84" s="125"/>
      <c r="L84" s="125"/>
      <c r="M84" s="125"/>
      <c r="N84" s="125"/>
      <c r="O84" s="125"/>
      <c r="P84" s="125"/>
      <c r="Q84" s="125"/>
      <c r="R84" s="125"/>
      <c r="S84" s="125"/>
    </row>
    <row r="85" spans="4:38" ht="12" customHeight="1" x14ac:dyDescent="0.2">
      <c r="D85" s="125"/>
      <c r="E85" s="125"/>
      <c r="F85" s="125"/>
      <c r="G85" s="125"/>
      <c r="H85" s="125"/>
      <c r="I85" s="125"/>
      <c r="J85" s="125"/>
      <c r="K85" s="125"/>
      <c r="L85" s="125"/>
      <c r="M85" s="125"/>
      <c r="N85" s="125"/>
      <c r="O85" s="125"/>
      <c r="P85" s="125"/>
      <c r="Q85" s="125"/>
      <c r="R85" s="125"/>
      <c r="S85" s="125"/>
    </row>
    <row r="86" spans="4:38" ht="12" customHeight="1" x14ac:dyDescent="0.2">
      <c r="D86" s="125"/>
      <c r="E86" s="125"/>
      <c r="F86" s="125"/>
      <c r="G86" s="125"/>
      <c r="H86" s="125"/>
      <c r="I86" s="125"/>
      <c r="J86" s="125"/>
      <c r="K86" s="125"/>
      <c r="L86" s="125"/>
      <c r="M86" s="125"/>
      <c r="N86" s="125"/>
      <c r="O86" s="125"/>
      <c r="P86" s="125"/>
      <c r="Q86" s="125"/>
      <c r="R86" s="125"/>
      <c r="S86" s="125"/>
    </row>
    <row r="87" spans="4:38" ht="12" customHeight="1" x14ac:dyDescent="0.2"/>
  </sheetData>
  <printOptions horizontalCentered="1" verticalCentered="1"/>
  <pageMargins left="0.7" right="0.7" top="0.75" bottom="0.75" header="0.3" footer="0.3"/>
  <pageSetup paperSize="9" orientation="portrait" horizontalDpi="300" verticalDpi="300" r:id="rId1"/>
  <customProperties>
    <customPr name="Qube.Worksheet.Visibility" r:id="rId2"/>
  </customPropertie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79C44-6AC0-421F-8630-B78A89BB8D40}">
  <sheetPr>
    <tabColor theme="7" tint="0.79998168889431442"/>
    <pageSetUpPr autoPageBreaks="0"/>
  </sheetPr>
  <dimension ref="A1:BB160"/>
  <sheetViews>
    <sheetView zoomScale="85" zoomScaleNormal="85" workbookViewId="0">
      <pane xSplit="3" ySplit="4" topLeftCell="D5" activePane="bottomRight" state="frozen"/>
      <selection activeCell="AI94" sqref="AI94"/>
      <selection pane="topRight" activeCell="AI94" sqref="AI94"/>
      <selection pane="bottomLeft" activeCell="AI94" sqref="AI94"/>
      <selection pane="bottomRight"/>
    </sheetView>
  </sheetViews>
  <sheetFormatPr defaultRowHeight="12.75" outlineLevelCol="1" x14ac:dyDescent="0.2"/>
  <cols>
    <col min="1" max="1" width="2.7109375" style="15" customWidth="1"/>
    <col min="2" max="2" width="51.42578125" style="15" customWidth="1"/>
    <col min="3" max="3" width="4.5703125" style="15" customWidth="1"/>
    <col min="4" max="5" width="8.85546875" style="15" hidden="1" customWidth="1" outlineLevel="1"/>
    <col min="6" max="6" width="8.85546875" style="15" customWidth="1" collapsed="1"/>
    <col min="7" max="8" width="8.85546875" style="15" hidden="1" customWidth="1" outlineLevel="1"/>
    <col min="9" max="9" width="8.85546875" style="15" customWidth="1" collapsed="1"/>
    <col min="10" max="11" width="8.85546875" style="15" hidden="1" customWidth="1" outlineLevel="1"/>
    <col min="12" max="12" width="8.85546875" style="15" customWidth="1" collapsed="1"/>
    <col min="13" max="14" width="8.85546875" style="15" hidden="1" customWidth="1" outlineLevel="1"/>
    <col min="15" max="15" width="8.85546875" style="15" customWidth="1" collapsed="1"/>
    <col min="16" max="17" width="8.85546875" style="15" hidden="1" customWidth="1" outlineLevel="1"/>
    <col min="18" max="18" width="8.85546875" style="15" customWidth="1" collapsed="1"/>
    <col min="19" max="20" width="8.85546875" style="15" hidden="1" customWidth="1" outlineLevel="1"/>
    <col min="21" max="21" width="8.85546875" style="15" customWidth="1" collapsed="1"/>
    <col min="22" max="23" width="8.85546875" style="15" hidden="1" customWidth="1" outlineLevel="1"/>
    <col min="24" max="24" width="8.85546875" style="15" customWidth="1" collapsed="1"/>
    <col min="25" max="25" width="8.85546875" style="15" hidden="1" customWidth="1" outlineLevel="1"/>
    <col min="26" max="26" width="9.28515625" style="15" hidden="1" customWidth="1" outlineLevel="1"/>
    <col min="27" max="27" width="9.28515625" style="15" customWidth="1" collapsed="1"/>
    <col min="28" max="29" width="9.28515625" style="15" hidden="1" customWidth="1" outlineLevel="1"/>
    <col min="30" max="30" width="9.28515625" style="15" customWidth="1" collapsed="1"/>
    <col min="31" max="32" width="9.28515625" style="15" hidden="1" customWidth="1" outlineLevel="1"/>
    <col min="33" max="33" width="9.28515625" style="15" customWidth="1" collapsed="1"/>
    <col min="34" max="35" width="9.28515625" style="15" hidden="1" customWidth="1" outlineLevel="1"/>
    <col min="36" max="36" width="9.28515625" style="15" customWidth="1" collapsed="1"/>
    <col min="37" max="38" width="9.28515625" style="15" hidden="1" customWidth="1" outlineLevel="1"/>
    <col min="39" max="39" width="9.28515625" style="15" customWidth="1" collapsed="1"/>
    <col min="40" max="41" width="9.28515625" style="15" hidden="1" customWidth="1" outlineLevel="1"/>
    <col min="42" max="42" width="9.28515625" style="15" customWidth="1" collapsed="1"/>
    <col min="43" max="44" width="9.28515625" style="15" hidden="1" customWidth="1" outlineLevel="1"/>
    <col min="45" max="45" width="9.28515625" style="15" customWidth="1" collapsed="1"/>
    <col min="46" max="47" width="9.28515625" style="15" hidden="1" customWidth="1" outlineLevel="1"/>
    <col min="48" max="48" width="9.28515625" style="15" customWidth="1" collapsed="1"/>
    <col min="49" max="50" width="9.28515625" style="15" hidden="1" customWidth="1" outlineLevel="1"/>
    <col min="51" max="51" width="9.28515625" style="15" customWidth="1" collapsed="1"/>
    <col min="52" max="54" width="9.28515625" style="15" customWidth="1"/>
    <col min="55" max="16384" width="9.140625" style="15"/>
  </cols>
  <sheetData>
    <row r="1" spans="2:51" s="11" customFormat="1" x14ac:dyDescent="0.2">
      <c r="B1" s="11" t="str">
        <f>+'GYG model -&gt;'!D2</f>
        <v>Guzman y Gomez (GYG.ASX)</v>
      </c>
    </row>
    <row r="2" spans="2:51" s="11" customFormat="1" x14ac:dyDescent="0.2">
      <c r="B2" s="11" t="s">
        <v>230</v>
      </c>
    </row>
    <row r="3" spans="2:51" s="11" customFormat="1" x14ac:dyDescent="0.2">
      <c r="D3" s="349"/>
      <c r="E3" s="350"/>
      <c r="F3" s="350"/>
      <c r="G3" s="350"/>
      <c r="H3" s="350"/>
      <c r="I3" s="350"/>
      <c r="J3" s="350"/>
      <c r="K3" s="350"/>
      <c r="L3" s="350"/>
      <c r="M3" s="350"/>
      <c r="N3" s="350"/>
      <c r="O3" s="351" t="s">
        <v>483</v>
      </c>
    </row>
    <row r="4" spans="2:51" s="14" customFormat="1" ht="12" customHeight="1" x14ac:dyDescent="0.2">
      <c r="B4" s="16" t="s">
        <v>8</v>
      </c>
      <c r="D4" s="14" t="s">
        <v>24</v>
      </c>
      <c r="E4" s="14" t="s">
        <v>25</v>
      </c>
      <c r="F4" s="14" t="s">
        <v>26</v>
      </c>
      <c r="G4" s="14" t="s">
        <v>27</v>
      </c>
      <c r="H4" s="14" t="s">
        <v>28</v>
      </c>
      <c r="I4" s="14" t="s">
        <v>29</v>
      </c>
      <c r="J4" s="14" t="s">
        <v>30</v>
      </c>
      <c r="K4" s="14" t="s">
        <v>31</v>
      </c>
      <c r="L4" s="14" t="s">
        <v>32</v>
      </c>
      <c r="M4" s="14" t="s">
        <v>33</v>
      </c>
      <c r="N4" s="14" t="s">
        <v>34</v>
      </c>
      <c r="O4" s="14" t="s">
        <v>35</v>
      </c>
      <c r="P4" s="14" t="s">
        <v>318</v>
      </c>
      <c r="Q4" s="14" t="s">
        <v>339</v>
      </c>
      <c r="R4" s="14" t="s">
        <v>307</v>
      </c>
      <c r="S4" s="14" t="s">
        <v>527</v>
      </c>
      <c r="T4" s="14" t="s">
        <v>557</v>
      </c>
      <c r="U4" s="14" t="s">
        <v>553</v>
      </c>
      <c r="V4" s="14" t="s">
        <v>273</v>
      </c>
      <c r="W4" s="14" t="s">
        <v>274</v>
      </c>
      <c r="X4" s="14" t="s">
        <v>275</v>
      </c>
      <c r="Y4" s="14" t="s">
        <v>276</v>
      </c>
      <c r="Z4" s="14" t="s">
        <v>277</v>
      </c>
      <c r="AA4" s="14" t="s">
        <v>278</v>
      </c>
      <c r="AB4" s="14" t="s">
        <v>279</v>
      </c>
      <c r="AC4" s="14" t="s">
        <v>280</v>
      </c>
      <c r="AD4" s="14" t="s">
        <v>281</v>
      </c>
      <c r="AE4" s="14" t="s">
        <v>282</v>
      </c>
      <c r="AF4" s="14" t="s">
        <v>283</v>
      </c>
      <c r="AG4" s="14" t="s">
        <v>284</v>
      </c>
      <c r="AH4" s="14" t="s">
        <v>285</v>
      </c>
      <c r="AI4" s="14" t="s">
        <v>286</v>
      </c>
      <c r="AJ4" s="14" t="s">
        <v>287</v>
      </c>
      <c r="AK4" s="14" t="s">
        <v>489</v>
      </c>
      <c r="AL4" s="14" t="s">
        <v>490</v>
      </c>
      <c r="AM4" s="14" t="s">
        <v>485</v>
      </c>
      <c r="AN4" s="14" t="s">
        <v>491</v>
      </c>
      <c r="AO4" s="14" t="s">
        <v>492</v>
      </c>
      <c r="AP4" s="14" t="s">
        <v>486</v>
      </c>
      <c r="AQ4" s="14" t="s">
        <v>493</v>
      </c>
      <c r="AR4" s="14" t="s">
        <v>494</v>
      </c>
      <c r="AS4" s="14" t="s">
        <v>487</v>
      </c>
      <c r="AT4" s="14" t="s">
        <v>495</v>
      </c>
      <c r="AU4" s="14" t="s">
        <v>496</v>
      </c>
      <c r="AV4" s="14" t="s">
        <v>488</v>
      </c>
      <c r="AW4" s="14" t="s">
        <v>497</v>
      </c>
      <c r="AX4" s="14" t="s">
        <v>498</v>
      </c>
      <c r="AY4" s="14" t="s">
        <v>499</v>
      </c>
    </row>
    <row r="5" spans="2:51" s="12" customFormat="1" ht="12" customHeight="1" x14ac:dyDescent="0.2">
      <c r="B5" s="12" t="s">
        <v>96</v>
      </c>
    </row>
    <row r="6" spans="2:51" s="24" customFormat="1" ht="12" customHeight="1" x14ac:dyDescent="0.2">
      <c r="B6" s="23" t="s">
        <v>9</v>
      </c>
      <c r="C6" s="23"/>
      <c r="D6" s="25"/>
      <c r="E6" s="26"/>
      <c r="F6" s="132"/>
      <c r="G6" s="25"/>
      <c r="H6" s="26"/>
      <c r="I6" s="132">
        <v>119.53100000000001</v>
      </c>
      <c r="J6" s="25"/>
      <c r="K6" s="26"/>
      <c r="L6" s="132">
        <v>171.792</v>
      </c>
      <c r="M6" s="25">
        <v>121.185</v>
      </c>
      <c r="N6" s="26">
        <f>+O6-M6</f>
        <v>137.85899999999998</v>
      </c>
      <c r="O6" s="132">
        <v>259.04399999999998</v>
      </c>
      <c r="P6" s="25">
        <v>167.517</v>
      </c>
      <c r="Q6" s="26">
        <f>+R6-P6</f>
        <v>174.697</v>
      </c>
      <c r="R6" s="132">
        <v>342.214</v>
      </c>
      <c r="S6" s="25">
        <v>212.41900000000001</v>
      </c>
      <c r="T6" s="26">
        <f>+U6-S6</f>
        <v>223.56300000000002</v>
      </c>
      <c r="U6" s="132">
        <v>435.98200000000003</v>
      </c>
      <c r="V6" s="142">
        <f>+Segments!V22</f>
        <v>265.23677994665508</v>
      </c>
      <c r="W6" s="142">
        <f>+Segments!W22</f>
        <v>273.59806469358296</v>
      </c>
      <c r="X6" s="143">
        <f>+Segments!X22</f>
        <v>538.83484464023809</v>
      </c>
      <c r="Y6" s="142">
        <f>+Segments!Y22</f>
        <v>316.62801771533719</v>
      </c>
      <c r="Z6" s="142">
        <f>+Segments!Z22</f>
        <v>325.20742424136995</v>
      </c>
      <c r="AA6" s="143">
        <f>+Segments!AA22</f>
        <v>641.8354419567072</v>
      </c>
      <c r="AB6" s="142">
        <f>+Segments!AB22</f>
        <v>373.19480655112966</v>
      </c>
      <c r="AC6" s="142">
        <f>+Segments!AC22</f>
        <v>380.40126595091567</v>
      </c>
      <c r="AD6" s="143">
        <f>+Segments!AD22</f>
        <v>753.59607250204533</v>
      </c>
      <c r="AE6" s="142">
        <f>+Segments!AE22</f>
        <v>428.73750990267047</v>
      </c>
      <c r="AF6" s="142">
        <f>+Segments!AF22</f>
        <v>435.01963632485132</v>
      </c>
      <c r="AG6" s="143">
        <f>+Segments!AG22</f>
        <v>863.75714622752196</v>
      </c>
      <c r="AH6" s="142">
        <f>+Segments!AH22</f>
        <v>488.19774093692155</v>
      </c>
      <c r="AI6" s="142">
        <f>+Segments!AI22</f>
        <v>491.68936605597872</v>
      </c>
      <c r="AJ6" s="143">
        <f>+Segments!AJ22</f>
        <v>979.88710699290027</v>
      </c>
      <c r="AK6" s="142">
        <f>+Segments!AK22</f>
        <v>549.83384171174009</v>
      </c>
      <c r="AL6" s="142">
        <f>+Segments!AL22</f>
        <v>552.02556561975882</v>
      </c>
      <c r="AM6" s="143">
        <f>+Segments!AM22</f>
        <v>1101.8594073314989</v>
      </c>
      <c r="AN6" s="142">
        <f>+Segments!AN22</f>
        <v>615.4425502473598</v>
      </c>
      <c r="AO6" s="142">
        <f>+Segments!AO22</f>
        <v>616.23814741127194</v>
      </c>
      <c r="AP6" s="143">
        <f>+Segments!AP22</f>
        <v>1231.6806976586317</v>
      </c>
      <c r="AQ6" s="142">
        <f>+Segments!AQ22</f>
        <v>685.25036447542834</v>
      </c>
      <c r="AR6" s="142">
        <f>+Segments!AR22</f>
        <v>684.54778693777041</v>
      </c>
      <c r="AS6" s="143">
        <f>+Segments!AS22</f>
        <v>1369.7981514131989</v>
      </c>
      <c r="AT6" s="142">
        <f>+Segments!AT22</f>
        <v>759.49548398965692</v>
      </c>
      <c r="AU6" s="142">
        <f>+Segments!AU22</f>
        <v>757.18673275170715</v>
      </c>
      <c r="AV6" s="143">
        <f>+Segments!AV22</f>
        <v>1516.6822167413641</v>
      </c>
      <c r="AW6" s="142">
        <f>+Segments!AW22</f>
        <v>838.42865953582464</v>
      </c>
      <c r="AX6" s="142">
        <f>+Segments!AX22</f>
        <v>834.39963759845671</v>
      </c>
      <c r="AY6" s="143">
        <f>+Segments!AY22</f>
        <v>1672.8282971342817</v>
      </c>
    </row>
    <row r="7" spans="2:51" s="24" customFormat="1" ht="12" customHeight="1" x14ac:dyDescent="0.2">
      <c r="B7" s="23" t="s">
        <v>13</v>
      </c>
      <c r="C7" s="23"/>
      <c r="D7" s="25"/>
      <c r="E7" s="26"/>
      <c r="F7" s="132"/>
      <c r="G7" s="25"/>
      <c r="H7" s="26"/>
      <c r="I7" s="132">
        <v>0</v>
      </c>
      <c r="J7" s="25"/>
      <c r="K7" s="26"/>
      <c r="L7" s="132">
        <v>0</v>
      </c>
      <c r="M7" s="211">
        <v>0</v>
      </c>
      <c r="N7" s="26">
        <f t="shared" ref="N7" si="0">+O7-M7</f>
        <v>0</v>
      </c>
      <c r="O7" s="132">
        <v>0</v>
      </c>
      <c r="P7" s="211">
        <v>0</v>
      </c>
      <c r="Q7" s="26">
        <f t="shared" ref="Q7" si="1">+R7-P7</f>
        <v>0</v>
      </c>
      <c r="R7" s="132">
        <v>0</v>
      </c>
      <c r="S7" s="211">
        <v>0</v>
      </c>
      <c r="T7" s="26">
        <f t="shared" ref="T7" si="2">+U7-S7</f>
        <v>0</v>
      </c>
      <c r="U7" s="132">
        <v>0</v>
      </c>
      <c r="V7" s="140">
        <v>0</v>
      </c>
      <c r="W7" s="140">
        <v>0</v>
      </c>
      <c r="X7" s="143">
        <f t="shared" ref="X7" si="3">+W7+V7</f>
        <v>0</v>
      </c>
      <c r="Y7" s="140">
        <v>0</v>
      </c>
      <c r="Z7" s="140">
        <v>0</v>
      </c>
      <c r="AA7" s="143">
        <f t="shared" ref="AA7" si="4">+Z7+Y7</f>
        <v>0</v>
      </c>
      <c r="AB7" s="140">
        <v>0</v>
      </c>
      <c r="AC7" s="140">
        <v>0</v>
      </c>
      <c r="AD7" s="143">
        <f t="shared" ref="AD7" si="5">+AC7+AB7</f>
        <v>0</v>
      </c>
      <c r="AE7" s="140">
        <v>0</v>
      </c>
      <c r="AF7" s="140">
        <v>0</v>
      </c>
      <c r="AG7" s="143">
        <f t="shared" ref="AG7" si="6">+AF7+AE7</f>
        <v>0</v>
      </c>
      <c r="AH7" s="140">
        <v>0</v>
      </c>
      <c r="AI7" s="140">
        <v>0</v>
      </c>
      <c r="AJ7" s="143">
        <f t="shared" ref="AJ7" si="7">+AI7+AH7</f>
        <v>0</v>
      </c>
      <c r="AK7" s="140">
        <v>0</v>
      </c>
      <c r="AL7" s="140">
        <v>0</v>
      </c>
      <c r="AM7" s="143">
        <f t="shared" ref="AM7" si="8">+AL7+AK7</f>
        <v>0</v>
      </c>
      <c r="AN7" s="140">
        <v>0</v>
      </c>
      <c r="AO7" s="140">
        <v>0</v>
      </c>
      <c r="AP7" s="143">
        <f t="shared" ref="AP7" si="9">+AO7+AN7</f>
        <v>0</v>
      </c>
      <c r="AQ7" s="140">
        <v>0</v>
      </c>
      <c r="AR7" s="140">
        <v>0</v>
      </c>
      <c r="AS7" s="143">
        <f t="shared" ref="AS7" si="10">+AR7+AQ7</f>
        <v>0</v>
      </c>
      <c r="AT7" s="140">
        <v>0</v>
      </c>
      <c r="AU7" s="140">
        <v>0</v>
      </c>
      <c r="AV7" s="143">
        <f t="shared" ref="AV7" si="11">+AU7+AT7</f>
        <v>0</v>
      </c>
      <c r="AW7" s="140">
        <v>0</v>
      </c>
      <c r="AX7" s="140">
        <v>0</v>
      </c>
      <c r="AY7" s="143">
        <f t="shared" ref="AY7" si="12">+AX7+AW7</f>
        <v>0</v>
      </c>
    </row>
    <row r="8" spans="2:51" s="24" customFormat="1" ht="12" customHeight="1" x14ac:dyDescent="0.2">
      <c r="B8" s="49" t="s">
        <v>478</v>
      </c>
      <c r="C8" s="46"/>
      <c r="D8" s="47"/>
      <c r="E8" s="47"/>
      <c r="F8" s="48"/>
      <c r="G8" s="47"/>
      <c r="H8" s="47"/>
      <c r="I8" s="48">
        <f t="shared" ref="I8:Q8" si="13">I7+I6</f>
        <v>119.53100000000001</v>
      </c>
      <c r="J8" s="47"/>
      <c r="K8" s="47"/>
      <c r="L8" s="48">
        <f t="shared" si="13"/>
        <v>171.792</v>
      </c>
      <c r="M8" s="47">
        <f t="shared" si="13"/>
        <v>121.185</v>
      </c>
      <c r="N8" s="47">
        <f t="shared" si="13"/>
        <v>137.85899999999998</v>
      </c>
      <c r="O8" s="48">
        <f t="shared" si="13"/>
        <v>259.04399999999998</v>
      </c>
      <c r="P8" s="47">
        <f t="shared" si="13"/>
        <v>167.517</v>
      </c>
      <c r="Q8" s="47">
        <f t="shared" si="13"/>
        <v>174.697</v>
      </c>
      <c r="R8" s="48">
        <f>R7+R6</f>
        <v>342.214</v>
      </c>
      <c r="S8" s="47">
        <f t="shared" ref="S8:T8" si="14">S7+S6</f>
        <v>212.41900000000001</v>
      </c>
      <c r="T8" s="47">
        <f t="shared" si="14"/>
        <v>223.56300000000002</v>
      </c>
      <c r="U8" s="48">
        <f>U7+U6</f>
        <v>435.98200000000003</v>
      </c>
      <c r="V8" s="47">
        <f t="shared" ref="V8:AY8" si="15">+V7+V6</f>
        <v>265.23677994665508</v>
      </c>
      <c r="W8" s="47">
        <f t="shared" si="15"/>
        <v>273.59806469358296</v>
      </c>
      <c r="X8" s="48">
        <f t="shared" si="15"/>
        <v>538.83484464023809</v>
      </c>
      <c r="Y8" s="47">
        <f t="shared" si="15"/>
        <v>316.62801771533719</v>
      </c>
      <c r="Z8" s="47">
        <f t="shared" si="15"/>
        <v>325.20742424136995</v>
      </c>
      <c r="AA8" s="48">
        <f t="shared" si="15"/>
        <v>641.8354419567072</v>
      </c>
      <c r="AB8" s="47">
        <f t="shared" si="15"/>
        <v>373.19480655112966</v>
      </c>
      <c r="AC8" s="47">
        <f t="shared" si="15"/>
        <v>380.40126595091567</v>
      </c>
      <c r="AD8" s="48">
        <f t="shared" si="15"/>
        <v>753.59607250204533</v>
      </c>
      <c r="AE8" s="47">
        <f t="shared" si="15"/>
        <v>428.73750990267047</v>
      </c>
      <c r="AF8" s="47">
        <f t="shared" si="15"/>
        <v>435.01963632485132</v>
      </c>
      <c r="AG8" s="48">
        <f t="shared" si="15"/>
        <v>863.75714622752196</v>
      </c>
      <c r="AH8" s="47">
        <f t="shared" si="15"/>
        <v>488.19774093692155</v>
      </c>
      <c r="AI8" s="47">
        <f t="shared" si="15"/>
        <v>491.68936605597872</v>
      </c>
      <c r="AJ8" s="48">
        <f t="shared" si="15"/>
        <v>979.88710699290027</v>
      </c>
      <c r="AK8" s="47">
        <f t="shared" si="15"/>
        <v>549.83384171174009</v>
      </c>
      <c r="AL8" s="47">
        <f t="shared" si="15"/>
        <v>552.02556561975882</v>
      </c>
      <c r="AM8" s="48">
        <f t="shared" si="15"/>
        <v>1101.8594073314989</v>
      </c>
      <c r="AN8" s="47">
        <f t="shared" si="15"/>
        <v>615.4425502473598</v>
      </c>
      <c r="AO8" s="47">
        <f t="shared" si="15"/>
        <v>616.23814741127194</v>
      </c>
      <c r="AP8" s="48">
        <f t="shared" si="15"/>
        <v>1231.6806976586317</v>
      </c>
      <c r="AQ8" s="47">
        <f t="shared" si="15"/>
        <v>685.25036447542834</v>
      </c>
      <c r="AR8" s="47">
        <f t="shared" si="15"/>
        <v>684.54778693777041</v>
      </c>
      <c r="AS8" s="48">
        <f t="shared" si="15"/>
        <v>1369.7981514131989</v>
      </c>
      <c r="AT8" s="47">
        <f t="shared" si="15"/>
        <v>759.49548398965692</v>
      </c>
      <c r="AU8" s="47">
        <f t="shared" si="15"/>
        <v>757.18673275170715</v>
      </c>
      <c r="AV8" s="48">
        <f t="shared" si="15"/>
        <v>1516.6822167413641</v>
      </c>
      <c r="AW8" s="47">
        <f t="shared" si="15"/>
        <v>838.42865953582464</v>
      </c>
      <c r="AX8" s="47">
        <f t="shared" si="15"/>
        <v>834.39963759845671</v>
      </c>
      <c r="AY8" s="48">
        <f t="shared" si="15"/>
        <v>1672.8282971342817</v>
      </c>
    </row>
    <row r="9" spans="2:51" s="24" customFormat="1" ht="12" customHeight="1" x14ac:dyDescent="0.2">
      <c r="B9" s="153"/>
      <c r="C9" s="23"/>
      <c r="D9" s="26"/>
      <c r="E9" s="26"/>
      <c r="F9" s="27"/>
      <c r="G9" s="26"/>
      <c r="H9" s="26"/>
      <c r="I9" s="27"/>
      <c r="J9" s="26"/>
      <c r="K9" s="26"/>
      <c r="L9" s="27"/>
      <c r="M9" s="211"/>
      <c r="N9" s="26"/>
      <c r="O9" s="27"/>
      <c r="P9" s="211"/>
      <c r="Q9" s="26"/>
      <c r="R9" s="27"/>
      <c r="S9" s="211"/>
      <c r="T9" s="26"/>
      <c r="U9" s="27"/>
      <c r="V9" s="26"/>
      <c r="W9" s="26"/>
      <c r="X9" s="27"/>
      <c r="Y9" s="26"/>
      <c r="Z9" s="26"/>
      <c r="AA9" s="27"/>
      <c r="AB9" s="26"/>
      <c r="AC9" s="26"/>
      <c r="AD9" s="27"/>
      <c r="AE9" s="26"/>
      <c r="AF9" s="26"/>
      <c r="AG9" s="27"/>
      <c r="AH9" s="26"/>
      <c r="AI9" s="26"/>
      <c r="AJ9" s="27"/>
      <c r="AK9" s="26"/>
      <c r="AL9" s="26"/>
      <c r="AM9" s="27"/>
      <c r="AN9" s="26"/>
      <c r="AO9" s="26"/>
      <c r="AP9" s="27"/>
      <c r="AQ9" s="26"/>
      <c r="AR9" s="26"/>
      <c r="AS9" s="27"/>
      <c r="AT9" s="26"/>
      <c r="AU9" s="26"/>
      <c r="AV9" s="27"/>
      <c r="AW9" s="26"/>
      <c r="AX9" s="26"/>
      <c r="AY9" s="27"/>
    </row>
    <row r="10" spans="2:51" s="24" customFormat="1" ht="12" customHeight="1" x14ac:dyDescent="0.2">
      <c r="B10" s="23" t="s">
        <v>347</v>
      </c>
      <c r="C10" s="23"/>
      <c r="D10" s="25"/>
      <c r="E10" s="26"/>
      <c r="F10" s="132"/>
      <c r="G10" s="25"/>
      <c r="H10" s="26"/>
      <c r="I10" s="132">
        <v>11.429</v>
      </c>
      <c r="J10" s="25"/>
      <c r="K10" s="26"/>
      <c r="L10" s="132">
        <v>12.787000000000001</v>
      </c>
      <c r="M10" s="211">
        <v>9.7919999999999998</v>
      </c>
      <c r="N10" s="26">
        <f t="shared" ref="N10" si="16">+O10-M10</f>
        <v>7.9330000000000016</v>
      </c>
      <c r="O10" s="132">
        <v>17.725000000000001</v>
      </c>
      <c r="P10" s="211">
        <v>11.718999999999999</v>
      </c>
      <c r="Q10" s="26">
        <f t="shared" ref="Q10" si="17">+R10-P10</f>
        <v>11.055000000000001</v>
      </c>
      <c r="R10" s="132">
        <v>22.774000000000001</v>
      </c>
      <c r="S10" s="211">
        <v>14.711</v>
      </c>
      <c r="T10" s="26">
        <f t="shared" ref="T10" si="18">+U10-S10</f>
        <v>17.313000000000002</v>
      </c>
      <c r="U10" s="132">
        <v>32.024000000000001</v>
      </c>
      <c r="V10" s="142">
        <f>+Segments!V259</f>
        <v>11.14000662781539</v>
      </c>
      <c r="W10" s="142">
        <f>+Segments!W259</f>
        <v>11.650502827347445</v>
      </c>
      <c r="X10" s="143">
        <f t="shared" ref="X10" si="19">+W10+V10</f>
        <v>22.790509455162834</v>
      </c>
      <c r="Y10" s="142">
        <f>+Segments!Y259</f>
        <v>13.058918448268793</v>
      </c>
      <c r="Z10" s="142">
        <f>+Segments!Z259</f>
        <v>13.544954441477845</v>
      </c>
      <c r="AA10" s="143">
        <f t="shared" ref="AA10" si="20">+Z10+Y10</f>
        <v>26.60387288974664</v>
      </c>
      <c r="AB10" s="142">
        <f>+Segments!AB259</f>
        <v>15.010454988303559</v>
      </c>
      <c r="AC10" s="142">
        <f>+Segments!AC259</f>
        <v>15.444669943966501</v>
      </c>
      <c r="AD10" s="143">
        <f t="shared" ref="AD10" si="21">+AC10+AB10</f>
        <v>30.45512493227006</v>
      </c>
      <c r="AE10" s="142">
        <f>+Segments!AE259</f>
        <v>16.882749045260269</v>
      </c>
      <c r="AF10" s="142">
        <f>+Segments!AF259</f>
        <v>17.296085026207702</v>
      </c>
      <c r="AG10" s="143">
        <f t="shared" ref="AG10" si="22">+AF10+AE10</f>
        <v>34.178834071467975</v>
      </c>
      <c r="AH10" s="142">
        <f>+Segments!AH259</f>
        <v>18.830785500712388</v>
      </c>
      <c r="AI10" s="142">
        <f>+Segments!AI259</f>
        <v>19.222708844806164</v>
      </c>
      <c r="AJ10" s="143">
        <f t="shared" ref="AJ10" si="23">+AI10+AH10</f>
        <v>38.053494345518551</v>
      </c>
      <c r="AK10" s="142">
        <f>+Segments!AK259</f>
        <v>21.318750844533298</v>
      </c>
      <c r="AL10" s="142">
        <f>+Segments!AL259</f>
        <v>21.582391332840071</v>
      </c>
      <c r="AM10" s="143">
        <f t="shared" ref="AM10" si="24">+AL10+AK10</f>
        <v>42.901142177373373</v>
      </c>
      <c r="AN10" s="142">
        <f>+Segments!AN259</f>
        <v>23.749568284734451</v>
      </c>
      <c r="AO10" s="142">
        <f>+Segments!AO259</f>
        <v>23.979049027400436</v>
      </c>
      <c r="AP10" s="143">
        <f t="shared" ref="AP10" si="25">+AO10+AN10</f>
        <v>47.728617312134887</v>
      </c>
      <c r="AQ10" s="142">
        <f>+Segments!AQ259</f>
        <v>26.32667458369167</v>
      </c>
      <c r="AR10" s="142">
        <f>+Segments!AR259</f>
        <v>26.519698888579263</v>
      </c>
      <c r="AS10" s="143">
        <f t="shared" ref="AS10" si="26">+AR10+AQ10</f>
        <v>52.846373472270933</v>
      </c>
      <c r="AT10" s="142">
        <f>+Segments!AT259</f>
        <v>29.058311307132318</v>
      </c>
      <c r="AU10" s="142">
        <f>+Segments!AU259</f>
        <v>29.212469976845171</v>
      </c>
      <c r="AV10" s="143">
        <f t="shared" ref="AV10" si="27">+AU10+AT10</f>
        <v>58.270781283977485</v>
      </c>
      <c r="AW10" s="142">
        <f>+Segments!AW259</f>
        <v>31.953189768465407</v>
      </c>
      <c r="AX10" s="142">
        <f>+Segments!AX259</f>
        <v>32.065965324548962</v>
      </c>
      <c r="AY10" s="143">
        <f t="shared" ref="AY10" si="28">+AX10+AW10</f>
        <v>64.019155093014376</v>
      </c>
    </row>
    <row r="11" spans="2:51" s="24" customFormat="1" ht="12" customHeight="1" x14ac:dyDescent="0.2">
      <c r="B11" s="23" t="s">
        <v>479</v>
      </c>
      <c r="C11" s="23"/>
      <c r="D11" s="25"/>
      <c r="E11" s="26"/>
      <c r="F11" s="132"/>
      <c r="G11" s="25"/>
      <c r="H11" s="26"/>
      <c r="I11" s="132">
        <v>-31.795999999999999</v>
      </c>
      <c r="J11" s="25"/>
      <c r="K11" s="26"/>
      <c r="L11" s="132">
        <v>-44.194000000000003</v>
      </c>
      <c r="M11" s="25">
        <v>-32.905999999999999</v>
      </c>
      <c r="N11" s="26">
        <f>+O11-M11</f>
        <v>-37.521999999999998</v>
      </c>
      <c r="O11" s="132">
        <v>-70.427999999999997</v>
      </c>
      <c r="P11" s="25">
        <v>-43.237000000000002</v>
      </c>
      <c r="Q11" s="26">
        <f>+R11-P11</f>
        <v>-44.342999999999996</v>
      </c>
      <c r="R11" s="132">
        <v>-87.58</v>
      </c>
      <c r="S11" s="25">
        <v>-55.070999999999998</v>
      </c>
      <c r="T11" s="26">
        <f>+U11-S11</f>
        <v>-58.876999999999995</v>
      </c>
      <c r="U11" s="132">
        <v>-113.94799999999999</v>
      </c>
      <c r="V11" s="142">
        <f>+Segments!V260</f>
        <v>-61.957311263356317</v>
      </c>
      <c r="W11" s="142">
        <f>+Segments!W260</f>
        <v>-64.796535061858719</v>
      </c>
      <c r="X11" s="143">
        <f t="shared" ref="X11:X15" si="29">+W11+V11</f>
        <v>-126.75384632521504</v>
      </c>
      <c r="Y11" s="142">
        <f>+Segments!Y260</f>
        <v>-72.629712180058476</v>
      </c>
      <c r="Z11" s="142">
        <f>+Segments!Z260</f>
        <v>-75.332895788698139</v>
      </c>
      <c r="AA11" s="143">
        <f t="shared" ref="AA11:AA15" si="30">+Z11+Y11</f>
        <v>-147.96260796875663</v>
      </c>
      <c r="AB11" s="142">
        <f>+Segments!AB260</f>
        <v>-83.48356181340101</v>
      </c>
      <c r="AC11" s="142">
        <f>+Segments!AC260</f>
        <v>-85.898532653368008</v>
      </c>
      <c r="AD11" s="143">
        <f t="shared" ref="AD11:AD15" si="31">+AC11+AB11</f>
        <v>-169.38209446676902</v>
      </c>
      <c r="AE11" s="142">
        <f>+Segments!AE260</f>
        <v>-93.896688981005553</v>
      </c>
      <c r="AF11" s="142">
        <f>+Segments!AF260</f>
        <v>-96.195537346495883</v>
      </c>
      <c r="AG11" s="143">
        <f t="shared" ref="AG11:AG15" si="32">+AF11+AE11</f>
        <v>-190.09222632750144</v>
      </c>
      <c r="AH11" s="142">
        <f>+Segments!AH260</f>
        <v>-104.73107221390683</v>
      </c>
      <c r="AI11" s="142">
        <f>+Segments!AI260</f>
        <v>-106.91083003925344</v>
      </c>
      <c r="AJ11" s="143">
        <f t="shared" ref="AJ11:AJ15" si="33">+AI11+AH11</f>
        <v>-211.64190225316025</v>
      </c>
      <c r="AK11" s="142">
        <f>+Segments!AK260</f>
        <v>-118.56837486278187</v>
      </c>
      <c r="AL11" s="142">
        <f>+Segments!AL260</f>
        <v>-120.03466266146779</v>
      </c>
      <c r="AM11" s="143">
        <f t="shared" ref="AM11:AM15" si="34">+AL11+AK11</f>
        <v>-238.60303752424966</v>
      </c>
      <c r="AN11" s="142">
        <f>+Segments!AN260</f>
        <v>-132.08783834235368</v>
      </c>
      <c r="AO11" s="142">
        <f>+Segments!AO260</f>
        <v>-133.36414007872801</v>
      </c>
      <c r="AP11" s="143">
        <f t="shared" ref="AP11:AP15" si="35">+AO11+AN11</f>
        <v>-265.45197842108166</v>
      </c>
      <c r="AQ11" s="142">
        <f>+Segments!AQ260</f>
        <v>-146.42091573250246</v>
      </c>
      <c r="AR11" s="142">
        <f>+Segments!AR260</f>
        <v>-147.49445790701543</v>
      </c>
      <c r="AS11" s="143">
        <f t="shared" ref="AS11:AS15" si="36">+AR11+AQ11</f>
        <v>-293.9153736395179</v>
      </c>
      <c r="AT11" s="142">
        <f>+Segments!AT260</f>
        <v>-161.61344410228287</v>
      </c>
      <c r="AU11" s="142">
        <f>+Segments!AU260</f>
        <v>-162.47082749552931</v>
      </c>
      <c r="AV11" s="143">
        <f t="shared" ref="AV11:AV15" si="37">+AU11+AT11</f>
        <v>-324.08427159781218</v>
      </c>
      <c r="AW11" s="142">
        <f>+Segments!AW260</f>
        <v>-177.71387311374866</v>
      </c>
      <c r="AX11" s="142">
        <f>+Segments!AX260</f>
        <v>-178.34109628018024</v>
      </c>
      <c r="AY11" s="143">
        <f t="shared" ref="AY11:AY15" si="38">+AX11+AW11</f>
        <v>-356.0549693939289</v>
      </c>
    </row>
    <row r="12" spans="2:51" s="24" customFormat="1" ht="12" customHeight="1" x14ac:dyDescent="0.2">
      <c r="B12" s="23" t="s">
        <v>359</v>
      </c>
      <c r="C12" s="23"/>
      <c r="D12" s="26"/>
      <c r="E12" s="26"/>
      <c r="F12" s="27"/>
      <c r="G12" s="26"/>
      <c r="H12" s="26"/>
      <c r="I12" s="249">
        <v>-42.953000000000003</v>
      </c>
      <c r="J12" s="26"/>
      <c r="K12" s="26"/>
      <c r="L12" s="249">
        <v>-65.13</v>
      </c>
      <c r="M12" s="211">
        <v>-49.457999999999998</v>
      </c>
      <c r="N12" s="26">
        <f t="shared" ref="N12:N15" si="39">+O12-M12</f>
        <v>-53.710999999999999</v>
      </c>
      <c r="O12" s="249">
        <v>-103.169</v>
      </c>
      <c r="P12" s="211">
        <v>-67.015000000000001</v>
      </c>
      <c r="Q12" s="26">
        <f t="shared" ref="Q12:Q15" si="40">+R12-P12</f>
        <v>-86.718000000000004</v>
      </c>
      <c r="R12" s="249">
        <v>-153.733</v>
      </c>
      <c r="S12" s="211">
        <v>-89.003</v>
      </c>
      <c r="T12" s="26">
        <f t="shared" ref="T12:T15" si="41">+U12-S12</f>
        <v>-95.653000000000006</v>
      </c>
      <c r="U12" s="249">
        <v>-184.65600000000001</v>
      </c>
      <c r="V12" s="26">
        <f>+Segments!V261</f>
        <v>-108.75637511360534</v>
      </c>
      <c r="W12" s="26">
        <f>+Segments!W261</f>
        <v>-113.74018868080299</v>
      </c>
      <c r="X12" s="143">
        <f t="shared" si="29"/>
        <v>-222.49656379440833</v>
      </c>
      <c r="Y12" s="26">
        <f>+Segments!Y261</f>
        <v>-127.49010667477654</v>
      </c>
      <c r="Z12" s="26">
        <f>+Segments!Z261</f>
        <v>-132.23512295368727</v>
      </c>
      <c r="AA12" s="143">
        <f t="shared" si="30"/>
        <v>-259.72522962846381</v>
      </c>
      <c r="AB12" s="26">
        <f>+Segments!AB261</f>
        <v>-146.54234309499404</v>
      </c>
      <c r="AC12" s="26">
        <f>+Segments!AC261</f>
        <v>-150.78144691025605</v>
      </c>
      <c r="AD12" s="143">
        <f t="shared" si="31"/>
        <v>-297.32379000525009</v>
      </c>
      <c r="AE12" s="26">
        <f>+Segments!AE261</f>
        <v>-164.82096011780001</v>
      </c>
      <c r="AF12" s="26">
        <f>+Segments!AF261</f>
        <v>-168.85622908071306</v>
      </c>
      <c r="AG12" s="143">
        <f t="shared" si="32"/>
        <v>-333.67718919851308</v>
      </c>
      <c r="AH12" s="26">
        <f>+Segments!AH261</f>
        <v>-183.83902631491821</v>
      </c>
      <c r="AI12" s="26">
        <f>+Segments!AI261</f>
        <v>-187.6652504501547</v>
      </c>
      <c r="AJ12" s="143">
        <f t="shared" si="33"/>
        <v>-371.50427676507292</v>
      </c>
      <c r="AK12" s="26">
        <f>+Segments!AK261</f>
        <v>-208.12824814775112</v>
      </c>
      <c r="AL12" s="26">
        <f>+Segments!AL261</f>
        <v>-210.70208717670047</v>
      </c>
      <c r="AM12" s="143">
        <f t="shared" si="34"/>
        <v>-418.8303353244516</v>
      </c>
      <c r="AN12" s="26">
        <f>+Segments!AN261</f>
        <v>-231.85955300165628</v>
      </c>
      <c r="AO12" s="26">
        <f>+Segments!AO261</f>
        <v>-234.09990119574212</v>
      </c>
      <c r="AP12" s="143">
        <f t="shared" si="35"/>
        <v>-465.95945419739837</v>
      </c>
      <c r="AQ12" s="26">
        <f>+Segments!AQ261</f>
        <v>-257.01902989614985</v>
      </c>
      <c r="AR12" s="26">
        <f>+Segments!AR261</f>
        <v>-258.90346537359216</v>
      </c>
      <c r="AS12" s="143">
        <f t="shared" si="36"/>
        <v>-515.92249526974206</v>
      </c>
      <c r="AT12" s="26">
        <f>+Segments!AT261</f>
        <v>-283.68713864097111</v>
      </c>
      <c r="AU12" s="26">
        <f>+Segments!AU261</f>
        <v>-285.19214116659293</v>
      </c>
      <c r="AV12" s="143">
        <f t="shared" si="37"/>
        <v>-568.87927980756399</v>
      </c>
      <c r="AW12" s="26">
        <f>+Segments!AW261</f>
        <v>-311.94892504448416</v>
      </c>
      <c r="AX12" s="26">
        <f>+Segments!AX261</f>
        <v>-313.04991726925033</v>
      </c>
      <c r="AY12" s="143">
        <f t="shared" si="38"/>
        <v>-624.99884231373449</v>
      </c>
    </row>
    <row r="13" spans="2:51" s="24" customFormat="1" ht="12" customHeight="1" x14ac:dyDescent="0.2">
      <c r="B13" s="23" t="s">
        <v>360</v>
      </c>
      <c r="C13" s="23"/>
      <c r="D13" s="26"/>
      <c r="E13" s="26"/>
      <c r="F13" s="27"/>
      <c r="G13" s="26"/>
      <c r="H13" s="352"/>
      <c r="I13" s="132">
        <f>-61.741+42.953</f>
        <v>-18.787999999999997</v>
      </c>
      <c r="J13" s="26"/>
      <c r="K13" s="352"/>
      <c r="L13" s="132">
        <f>-92.536+65.13</f>
        <v>-27.406000000000006</v>
      </c>
      <c r="M13" s="25">
        <f>-68.504+49.458</f>
        <v>-19.046000000000006</v>
      </c>
      <c r="N13" s="26">
        <f t="shared" si="39"/>
        <v>-22.930000000000007</v>
      </c>
      <c r="O13" s="249">
        <f>-145.145+103.169</f>
        <v>-41.976000000000013</v>
      </c>
      <c r="P13" s="25">
        <f>-95.73+67.015</f>
        <v>-28.715000000000003</v>
      </c>
      <c r="Q13" s="26">
        <f t="shared" si="40"/>
        <v>-31.879999999999995</v>
      </c>
      <c r="R13" s="249">
        <v>-60.594999999999999</v>
      </c>
      <c r="S13" s="25">
        <v>-25.864999999999998</v>
      </c>
      <c r="T13" s="26">
        <f t="shared" si="41"/>
        <v>-27.750000000000004</v>
      </c>
      <c r="U13" s="249">
        <v>-53.615000000000002</v>
      </c>
      <c r="V13" s="26">
        <f>+Segments!V262</f>
        <v>-42.867130349429956</v>
      </c>
      <c r="W13" s="26">
        <f>+Segments!W262</f>
        <v>-44.831537360965157</v>
      </c>
      <c r="X13" s="143">
        <f t="shared" si="29"/>
        <v>-87.698667710395114</v>
      </c>
      <c r="Y13" s="26">
        <f>+Segments!Y262</f>
        <v>-50.251169325766654</v>
      </c>
      <c r="Z13" s="26">
        <f>+Segments!Z262</f>
        <v>-52.121452618362227</v>
      </c>
      <c r="AA13" s="143">
        <f t="shared" si="30"/>
        <v>-102.37262194412888</v>
      </c>
      <c r="AB13" s="26">
        <f>+Segments!AB262</f>
        <v>-57.760749350114573</v>
      </c>
      <c r="AC13" s="26">
        <f>+Segments!AC262</f>
        <v>-59.431623500009529</v>
      </c>
      <c r="AD13" s="143">
        <f t="shared" si="31"/>
        <v>-117.1923728501241</v>
      </c>
      <c r="AE13" s="26">
        <f>+Segments!AE262</f>
        <v>-64.96540156204648</v>
      </c>
      <c r="AF13" s="26">
        <f>+Segments!AF262</f>
        <v>-66.555932695945629</v>
      </c>
      <c r="AG13" s="143">
        <f t="shared" si="32"/>
        <v>-131.52133425799212</v>
      </c>
      <c r="AH13" s="26">
        <f>+Segments!AH262</f>
        <v>-72.461513140005522</v>
      </c>
      <c r="AI13" s="26">
        <f>+Segments!AI262</f>
        <v>-73.969647707565215</v>
      </c>
      <c r="AJ13" s="143">
        <f t="shared" si="33"/>
        <v>-146.43116084757074</v>
      </c>
      <c r="AK13" s="26">
        <f>+Segments!AK262</f>
        <v>-82.035289732932938</v>
      </c>
      <c r="AL13" s="26">
        <f>+Segments!AL262</f>
        <v>-83.049787439730991</v>
      </c>
      <c r="AM13" s="143">
        <f t="shared" si="34"/>
        <v>-165.08507717266394</v>
      </c>
      <c r="AN13" s="26">
        <f>+Segments!AN262</f>
        <v>-91.389159218485048</v>
      </c>
      <c r="AO13" s="26">
        <f>+Segments!AO262</f>
        <v>-92.272209043965802</v>
      </c>
      <c r="AP13" s="143">
        <f t="shared" si="35"/>
        <v>-183.66136826245085</v>
      </c>
      <c r="AQ13" s="26">
        <f>+Segments!AQ262</f>
        <v>-101.30595328626384</v>
      </c>
      <c r="AR13" s="26">
        <f>+Segments!AR262</f>
        <v>-102.04871747973965</v>
      </c>
      <c r="AS13" s="143">
        <f t="shared" si="36"/>
        <v>-203.35467076600349</v>
      </c>
      <c r="AT13" s="26">
        <f>+Segments!AT262</f>
        <v>-111.81738576590352</v>
      </c>
      <c r="AU13" s="26">
        <f>+Segments!AU262</f>
        <v>-112.4105936525645</v>
      </c>
      <c r="AV13" s="143">
        <f t="shared" si="37"/>
        <v>-224.22797941846801</v>
      </c>
      <c r="AW13" s="26">
        <f>+Segments!AW262</f>
        <v>-122.95697809234528</v>
      </c>
      <c r="AX13" s="26">
        <f>+Segments!AX262</f>
        <v>-123.3909423281288</v>
      </c>
      <c r="AY13" s="143">
        <f t="shared" si="38"/>
        <v>-246.34792042047408</v>
      </c>
    </row>
    <row r="14" spans="2:51" s="24" customFormat="1" ht="12" customHeight="1" x14ac:dyDescent="0.2">
      <c r="B14" s="23" t="s">
        <v>341</v>
      </c>
      <c r="C14" s="23"/>
      <c r="D14" s="26"/>
      <c r="E14" s="26"/>
      <c r="F14" s="27"/>
      <c r="G14" s="26"/>
      <c r="H14" s="26"/>
      <c r="I14" s="132">
        <v>-10.725</v>
      </c>
      <c r="J14" s="26"/>
      <c r="K14" s="26"/>
      <c r="L14" s="132">
        <v>-13.987</v>
      </c>
      <c r="M14" s="211">
        <v>-8.76</v>
      </c>
      <c r="N14" s="26">
        <f t="shared" si="39"/>
        <v>-8.8199999999999985</v>
      </c>
      <c r="O14" s="249">
        <v>-17.579999999999998</v>
      </c>
      <c r="P14" s="211">
        <v>-10.704000000000001</v>
      </c>
      <c r="Q14" s="26">
        <f t="shared" si="40"/>
        <v>-7.2339999999999982</v>
      </c>
      <c r="R14" s="249">
        <v>-17.937999999999999</v>
      </c>
      <c r="S14" s="211">
        <v>-11.302</v>
      </c>
      <c r="T14" s="26">
        <f t="shared" si="41"/>
        <v>-9.9849999999999994</v>
      </c>
      <c r="U14" s="249">
        <v>-21.286999999999999</v>
      </c>
      <c r="V14" s="26">
        <f>+Segments!V263</f>
        <v>-12.690000564536257</v>
      </c>
      <c r="W14" s="26">
        <f>+Segments!W263</f>
        <v>-13.271525986979007</v>
      </c>
      <c r="X14" s="143">
        <f t="shared" si="29"/>
        <v>-25.961526551515263</v>
      </c>
      <c r="Y14" s="26">
        <f>+Segments!Y263</f>
        <v>-14.875905196230748</v>
      </c>
      <c r="Z14" s="26">
        <f>+Segments!Z263</f>
        <v>-15.42956707761666</v>
      </c>
      <c r="AA14" s="143">
        <f t="shared" si="30"/>
        <v>-30.305472273847407</v>
      </c>
      <c r="AB14" s="26">
        <f>+Segments!AB263</f>
        <v>-17.098973873130706</v>
      </c>
      <c r="AC14" s="26">
        <f>+Segments!AC263</f>
        <v>-17.593604461476538</v>
      </c>
      <c r="AD14" s="143">
        <f t="shared" si="31"/>
        <v>-34.692578334607248</v>
      </c>
      <c r="AE14" s="26">
        <f>+Segments!AE263</f>
        <v>-19.231774456968228</v>
      </c>
      <c r="AF14" s="26">
        <f>+Segments!AF263</f>
        <v>-19.702621019884027</v>
      </c>
      <c r="AG14" s="143">
        <f t="shared" si="32"/>
        <v>-38.934395476852259</v>
      </c>
      <c r="AH14" s="26">
        <f>+Segments!AH263</f>
        <v>-21.450856055869611</v>
      </c>
      <c r="AI14" s="26">
        <f>+Segments!AI263</f>
        <v>-21.897310678740897</v>
      </c>
      <c r="AJ14" s="143">
        <f t="shared" si="33"/>
        <v>-43.348166734610508</v>
      </c>
      <c r="AK14" s="26">
        <f>+Segments!AK263</f>
        <v>-24.284990960134515</v>
      </c>
      <c r="AL14" s="26">
        <f>+Segments!AL263</f>
        <v>-24.585313756809878</v>
      </c>
      <c r="AM14" s="143">
        <f t="shared" si="34"/>
        <v>-48.870304716944389</v>
      </c>
      <c r="AN14" s="26">
        <f>+Segments!AN263</f>
        <v>-27.054026537852707</v>
      </c>
      <c r="AO14" s="26">
        <f>+Segments!AO263</f>
        <v>-27.315436683400584</v>
      </c>
      <c r="AP14" s="143">
        <f t="shared" si="35"/>
        <v>-54.369463221253291</v>
      </c>
      <c r="AQ14" s="26">
        <f>+Segments!AQ263</f>
        <v>-29.989705257017917</v>
      </c>
      <c r="AR14" s="26">
        <f>+Segments!AR263</f>
        <v>-30.209586503037706</v>
      </c>
      <c r="AS14" s="143">
        <f t="shared" si="36"/>
        <v>-60.199291760055623</v>
      </c>
      <c r="AT14" s="26">
        <f>+Segments!AT263</f>
        <v>-33.101415395144436</v>
      </c>
      <c r="AU14" s="26">
        <f>+Segments!AU263</f>
        <v>-33.277023334263582</v>
      </c>
      <c r="AV14" s="143">
        <f t="shared" si="37"/>
        <v>-66.378438729408018</v>
      </c>
      <c r="AW14" s="26">
        <f>+Segments!AW263</f>
        <v>-36.399080336999582</v>
      </c>
      <c r="AX14" s="26">
        <f>+Segments!AX263</f>
        <v>-36.527547214819279</v>
      </c>
      <c r="AY14" s="143">
        <f t="shared" si="38"/>
        <v>-72.926627551818854</v>
      </c>
    </row>
    <row r="15" spans="2:51" s="24" customFormat="1" ht="12" customHeight="1" x14ac:dyDescent="0.2">
      <c r="B15" s="23" t="s">
        <v>361</v>
      </c>
      <c r="C15" s="23"/>
      <c r="D15" s="26"/>
      <c r="E15" s="26"/>
      <c r="F15" s="27"/>
      <c r="G15" s="26"/>
      <c r="H15" s="26"/>
      <c r="I15" s="249">
        <f>-2.088-5.957</f>
        <v>-8.0449999999999999</v>
      </c>
      <c r="J15" s="26"/>
      <c r="K15" s="26"/>
      <c r="L15" s="249">
        <f>-8.275-1.681</f>
        <v>-9.9559999999999995</v>
      </c>
      <c r="M15" s="25">
        <f>-5.787-0.483</f>
        <v>-6.27</v>
      </c>
      <c r="N15" s="26">
        <f t="shared" si="39"/>
        <v>-7.7250000000000014</v>
      </c>
      <c r="O15" s="249">
        <f>-11.714-2.281</f>
        <v>-13.995000000000001</v>
      </c>
      <c r="P15" s="25">
        <f>-9.274-1.387</f>
        <v>-10.661</v>
      </c>
      <c r="Q15" s="26">
        <f t="shared" si="40"/>
        <v>-7.206999999999999</v>
      </c>
      <c r="R15" s="249">
        <v>-17.867999999999999</v>
      </c>
      <c r="S15" s="25">
        <v>-14.311</v>
      </c>
      <c r="T15" s="26">
        <f t="shared" si="41"/>
        <v>-15.07</v>
      </c>
      <c r="U15" s="249">
        <v>-29.381</v>
      </c>
      <c r="V15" s="26">
        <f>+Segments!V264</f>
        <v>-7.669321893195316</v>
      </c>
      <c r="W15" s="26">
        <f>+Segments!W264</f>
        <v>-8.0207722836904569</v>
      </c>
      <c r="X15" s="143">
        <f t="shared" si="29"/>
        <v>-15.690094176885772</v>
      </c>
      <c r="Y15" s="26">
        <f>+Segments!Y264</f>
        <v>-8.9903940368122175</v>
      </c>
      <c r="Z15" s="26">
        <f>+Segments!Z264</f>
        <v>-9.3250048326704338</v>
      </c>
      <c r="AA15" s="143">
        <f t="shared" si="30"/>
        <v>-18.31539886948265</v>
      </c>
      <c r="AB15" s="26">
        <f>+Segments!AB264</f>
        <v>-10.333926622734419</v>
      </c>
      <c r="AC15" s="26">
        <f>+Segments!AC264</f>
        <v>-10.632861298186373</v>
      </c>
      <c r="AD15" s="143">
        <f t="shared" si="31"/>
        <v>-20.966787920920794</v>
      </c>
      <c r="AE15" s="26">
        <f>+Segments!AE264</f>
        <v>-11.622904832645366</v>
      </c>
      <c r="AF15" s="26">
        <f>+Segments!AF264</f>
        <v>-11.907465407323153</v>
      </c>
      <c r="AG15" s="143">
        <f t="shared" si="32"/>
        <v>-23.530370239968519</v>
      </c>
      <c r="AH15" s="26">
        <f>+Segments!AH264</f>
        <v>-12.964027790259921</v>
      </c>
      <c r="AI15" s="26">
        <f>+Segments!AI264</f>
        <v>-13.233846865215192</v>
      </c>
      <c r="AJ15" s="143">
        <f t="shared" si="33"/>
        <v>-26.197874655475111</v>
      </c>
      <c r="AK15" s="26">
        <f>+Segments!AK264</f>
        <v>-14.676864031598745</v>
      </c>
      <c r="AL15" s="26">
        <f>+Segments!AL264</f>
        <v>-14.858366954932317</v>
      </c>
      <c r="AM15" s="143">
        <f t="shared" si="34"/>
        <v>-29.535230986531062</v>
      </c>
      <c r="AN15" s="26">
        <f>+Segments!AN264</f>
        <v>-16.350356879075772</v>
      </c>
      <c r="AO15" s="26">
        <f>+Segments!AO264</f>
        <v>-16.508342573572623</v>
      </c>
      <c r="AP15" s="143">
        <f t="shared" si="35"/>
        <v>-32.858699452648395</v>
      </c>
      <c r="AQ15" s="26">
        <f>+Segments!AQ264</f>
        <v>-18.124562085590995</v>
      </c>
      <c r="AR15" s="26">
        <f>+Segments!AR264</f>
        <v>-18.257449396779563</v>
      </c>
      <c r="AS15" s="143">
        <f t="shared" si="36"/>
        <v>-36.382011482370558</v>
      </c>
      <c r="AT15" s="26">
        <f>+Segments!AT264</f>
        <v>-20.005153545476691</v>
      </c>
      <c r="AU15" s="26">
        <f>+Segments!AU264</f>
        <v>-20.111283864798278</v>
      </c>
      <c r="AV15" s="143">
        <f t="shared" si="37"/>
        <v>-40.116437410274969</v>
      </c>
      <c r="AW15" s="26">
        <f>+Segments!AW264</f>
        <v>-21.998128550195812</v>
      </c>
      <c r="AX15" s="26">
        <f>+Segments!AX264</f>
        <v>-22.075768723149505</v>
      </c>
      <c r="AY15" s="143">
        <f t="shared" si="38"/>
        <v>-44.073897273345317</v>
      </c>
    </row>
    <row r="16" spans="2:51" s="24" customFormat="1" ht="12" customHeight="1" x14ac:dyDescent="0.2">
      <c r="B16" s="49" t="s">
        <v>23</v>
      </c>
      <c r="C16" s="46"/>
      <c r="D16" s="47"/>
      <c r="E16" s="47"/>
      <c r="F16" s="48"/>
      <c r="G16" s="47"/>
      <c r="H16" s="47"/>
      <c r="I16" s="48">
        <f>SUM(I10:I15)</f>
        <v>-100.878</v>
      </c>
      <c r="J16" s="47"/>
      <c r="K16" s="47"/>
      <c r="L16" s="48">
        <f t="shared" ref="L16:Q16" si="42">SUM(L10:L15)</f>
        <v>-147.886</v>
      </c>
      <c r="M16" s="47">
        <f t="shared" si="42"/>
        <v>-106.64800000000001</v>
      </c>
      <c r="N16" s="47">
        <f t="shared" si="42"/>
        <v>-122.77500000000001</v>
      </c>
      <c r="O16" s="48">
        <f t="shared" si="42"/>
        <v>-229.423</v>
      </c>
      <c r="P16" s="47">
        <f t="shared" si="42"/>
        <v>-148.613</v>
      </c>
      <c r="Q16" s="47">
        <f t="shared" si="42"/>
        <v>-166.327</v>
      </c>
      <c r="R16" s="48">
        <f>SUM(R10:R15)</f>
        <v>-314.94</v>
      </c>
      <c r="S16" s="47">
        <f t="shared" ref="S16:T16" si="43">SUM(S10:S15)</f>
        <v>-180.84100000000001</v>
      </c>
      <c r="T16" s="47">
        <f t="shared" si="43"/>
        <v>-190.02199999999999</v>
      </c>
      <c r="U16" s="48">
        <f>SUM(U10:U15)</f>
        <v>-370.86299999999994</v>
      </c>
      <c r="V16" s="47">
        <f t="shared" ref="V16:AY16" si="44">SUM(V10:V15)</f>
        <v>-222.80013255630777</v>
      </c>
      <c r="W16" s="47">
        <f t="shared" si="44"/>
        <v>-233.0100565469489</v>
      </c>
      <c r="X16" s="48">
        <f t="shared" si="44"/>
        <v>-455.81018910325668</v>
      </c>
      <c r="Y16" s="47">
        <f t="shared" si="44"/>
        <v>-261.17836896537585</v>
      </c>
      <c r="Z16" s="47">
        <f t="shared" si="44"/>
        <v>-270.89908882955689</v>
      </c>
      <c r="AA16" s="48">
        <f t="shared" si="44"/>
        <v>-532.0774577949328</v>
      </c>
      <c r="AB16" s="47">
        <f t="shared" si="44"/>
        <v>-300.20909976607118</v>
      </c>
      <c r="AC16" s="47">
        <f t="shared" si="44"/>
        <v>-308.89339887932999</v>
      </c>
      <c r="AD16" s="48">
        <f t="shared" si="44"/>
        <v>-609.10249864540117</v>
      </c>
      <c r="AE16" s="47">
        <f t="shared" si="44"/>
        <v>-337.65498090520543</v>
      </c>
      <c r="AF16" s="47">
        <f t="shared" si="44"/>
        <v>-345.92170052415406</v>
      </c>
      <c r="AG16" s="48">
        <f t="shared" si="44"/>
        <v>-683.57668142935938</v>
      </c>
      <c r="AH16" s="47">
        <f t="shared" si="44"/>
        <v>-376.61571001424772</v>
      </c>
      <c r="AI16" s="47">
        <f t="shared" si="44"/>
        <v>-384.45417689612327</v>
      </c>
      <c r="AJ16" s="48">
        <f t="shared" si="44"/>
        <v>-761.06988691037088</v>
      </c>
      <c r="AK16" s="47">
        <f t="shared" si="44"/>
        <v>-426.3750168906659</v>
      </c>
      <c r="AL16" s="47">
        <f t="shared" si="44"/>
        <v>-431.64782665680139</v>
      </c>
      <c r="AM16" s="48">
        <f t="shared" si="44"/>
        <v>-858.02284354746712</v>
      </c>
      <c r="AN16" s="47">
        <f t="shared" si="44"/>
        <v>-474.99136569468897</v>
      </c>
      <c r="AO16" s="47">
        <f t="shared" si="44"/>
        <v>-479.58098054800877</v>
      </c>
      <c r="AP16" s="48">
        <f t="shared" si="44"/>
        <v>-954.57234624269779</v>
      </c>
      <c r="AQ16" s="47">
        <f t="shared" si="44"/>
        <v>-526.5334916738334</v>
      </c>
      <c r="AR16" s="47">
        <f t="shared" si="44"/>
        <v>-530.39397777158513</v>
      </c>
      <c r="AS16" s="48">
        <f t="shared" si="44"/>
        <v>-1056.9274694454186</v>
      </c>
      <c r="AT16" s="47">
        <f t="shared" si="44"/>
        <v>-581.16622614264622</v>
      </c>
      <c r="AU16" s="47">
        <f t="shared" si="44"/>
        <v>-584.24939953690341</v>
      </c>
      <c r="AV16" s="48">
        <f t="shared" si="44"/>
        <v>-1165.4156256795497</v>
      </c>
      <c r="AW16" s="47">
        <f t="shared" si="44"/>
        <v>-639.06379536930808</v>
      </c>
      <c r="AX16" s="47">
        <f t="shared" si="44"/>
        <v>-641.31930649097922</v>
      </c>
      <c r="AY16" s="48">
        <f t="shared" si="44"/>
        <v>-1280.3831018602873</v>
      </c>
    </row>
    <row r="17" spans="2:51" s="24" customFormat="1" ht="12" customHeight="1" x14ac:dyDescent="0.2">
      <c r="B17" s="23"/>
      <c r="C17" s="23"/>
      <c r="D17" s="26"/>
      <c r="E17" s="26"/>
      <c r="F17" s="27"/>
      <c r="G17" s="26"/>
      <c r="H17" s="26"/>
      <c r="I17" s="27"/>
      <c r="J17" s="26"/>
      <c r="K17" s="26"/>
      <c r="L17" s="27"/>
      <c r="M17" s="26"/>
      <c r="N17" s="26"/>
      <c r="O17" s="27"/>
      <c r="P17" s="26"/>
      <c r="Q17" s="26"/>
      <c r="R17" s="27"/>
      <c r="S17" s="26"/>
      <c r="T17" s="26"/>
      <c r="U17" s="27"/>
      <c r="V17" s="26"/>
      <c r="W17" s="26"/>
      <c r="X17" s="27"/>
      <c r="Y17" s="26"/>
      <c r="Z17" s="26"/>
      <c r="AA17" s="27"/>
      <c r="AB17" s="26"/>
      <c r="AC17" s="26"/>
      <c r="AD17" s="27"/>
      <c r="AE17" s="26"/>
      <c r="AF17" s="26"/>
      <c r="AG17" s="27"/>
      <c r="AH17" s="26"/>
      <c r="AI17" s="26"/>
      <c r="AJ17" s="27"/>
      <c r="AK17" s="26"/>
      <c r="AL17" s="26"/>
      <c r="AM17" s="27"/>
      <c r="AN17" s="26"/>
      <c r="AO17" s="26"/>
      <c r="AP17" s="27"/>
      <c r="AQ17" s="26"/>
      <c r="AR17" s="26"/>
      <c r="AS17" s="27"/>
      <c r="AT17" s="26"/>
      <c r="AU17" s="26"/>
      <c r="AV17" s="27"/>
      <c r="AW17" s="26"/>
      <c r="AX17" s="26"/>
      <c r="AY17" s="27"/>
    </row>
    <row r="18" spans="2:51" s="24" customFormat="1" ht="12" customHeight="1" x14ac:dyDescent="0.2">
      <c r="B18" s="28" t="s">
        <v>14</v>
      </c>
      <c r="C18" s="29"/>
      <c r="D18" s="39"/>
      <c r="E18" s="39"/>
      <c r="F18" s="30"/>
      <c r="G18" s="39"/>
      <c r="H18" s="39"/>
      <c r="I18" s="30">
        <f t="shared" ref="I18" si="45">+I8+I16</f>
        <v>18.653000000000006</v>
      </c>
      <c r="J18" s="39"/>
      <c r="K18" s="39"/>
      <c r="L18" s="30">
        <f t="shared" ref="L18:Q18" si="46">+L8+L16</f>
        <v>23.906000000000006</v>
      </c>
      <c r="M18" s="173">
        <f t="shared" si="46"/>
        <v>14.536999999999992</v>
      </c>
      <c r="N18" s="39">
        <f t="shared" si="46"/>
        <v>15.083999999999975</v>
      </c>
      <c r="O18" s="30">
        <f t="shared" si="46"/>
        <v>29.620999999999981</v>
      </c>
      <c r="P18" s="39">
        <f t="shared" si="46"/>
        <v>18.903999999999996</v>
      </c>
      <c r="Q18" s="39">
        <f t="shared" si="46"/>
        <v>8.3700000000000045</v>
      </c>
      <c r="R18" s="30">
        <f>+R8+R16</f>
        <v>27.274000000000001</v>
      </c>
      <c r="S18" s="39">
        <f t="shared" ref="S18:T18" si="47">+S8+S16</f>
        <v>31.578000000000003</v>
      </c>
      <c r="T18" s="39">
        <f t="shared" si="47"/>
        <v>33.541000000000025</v>
      </c>
      <c r="U18" s="30">
        <f>+U8+U16</f>
        <v>65.119000000000085</v>
      </c>
      <c r="V18" s="39">
        <f>+Segments!V33</f>
        <v>42.436647390347282</v>
      </c>
      <c r="W18" s="39">
        <f>+Segments!W33</f>
        <v>40.588008146634067</v>
      </c>
      <c r="X18" s="30">
        <f t="shared" ref="X18:X19" si="48">+W18+V18</f>
        <v>83.024655536981356</v>
      </c>
      <c r="Y18" s="39">
        <f>+Segments!Y33</f>
        <v>55.449648749961369</v>
      </c>
      <c r="Z18" s="39">
        <f>+Segments!Z33</f>
        <v>54.308335411813054</v>
      </c>
      <c r="AA18" s="30">
        <f t="shared" ref="AA18:AA19" si="49">+Z18+Y18</f>
        <v>109.75798416177443</v>
      </c>
      <c r="AB18" s="39">
        <f>+Segments!AB33</f>
        <v>72.985706785058511</v>
      </c>
      <c r="AC18" s="39">
        <f>+Segments!AC33</f>
        <v>71.507867071585679</v>
      </c>
      <c r="AD18" s="30">
        <f t="shared" ref="AD18:AD19" si="50">+AC18+AB18</f>
        <v>144.49357385664419</v>
      </c>
      <c r="AE18" s="39">
        <f>+Segments!AE33</f>
        <v>91.082528997465076</v>
      </c>
      <c r="AF18" s="39">
        <f>+Segments!AF33</f>
        <v>89.097935800697243</v>
      </c>
      <c r="AG18" s="30">
        <f t="shared" ref="AG18:AG19" si="51">+AF18+AE18</f>
        <v>180.18046479816232</v>
      </c>
      <c r="AH18" s="39">
        <f>+Segments!AH33</f>
        <v>111.58203092267381</v>
      </c>
      <c r="AI18" s="39">
        <f>+Segments!AI33</f>
        <v>107.23518915985545</v>
      </c>
      <c r="AJ18" s="30">
        <f t="shared" ref="AJ18:AJ19" si="52">+AI18+AH18</f>
        <v>218.81722008252927</v>
      </c>
      <c r="AK18" s="39">
        <f>+Segments!AK33</f>
        <v>123.45882482107419</v>
      </c>
      <c r="AL18" s="39">
        <f>+Segments!AL33</f>
        <v>120.37773896295747</v>
      </c>
      <c r="AM18" s="30">
        <f t="shared" ref="AM18:AM19" si="53">+AL18+AK18</f>
        <v>243.83656378403165</v>
      </c>
      <c r="AN18" s="39">
        <f>+Segments!AN33</f>
        <v>140.45118455267078</v>
      </c>
      <c r="AO18" s="39">
        <f>+Segments!AO33</f>
        <v>136.65716686326323</v>
      </c>
      <c r="AP18" s="30">
        <f t="shared" ref="AP18:AP19" si="54">+AO18+AN18</f>
        <v>277.10835141593401</v>
      </c>
      <c r="AQ18" s="39">
        <f>+Segments!AQ33</f>
        <v>158.71687280159489</v>
      </c>
      <c r="AR18" s="39">
        <f>+Segments!AR33</f>
        <v>154.15380916618517</v>
      </c>
      <c r="AS18" s="30">
        <f t="shared" ref="AS18:AS19" si="55">+AR18+AQ18</f>
        <v>312.87068196778006</v>
      </c>
      <c r="AT18" s="39">
        <f>+Segments!AT33</f>
        <v>178.32925784701064</v>
      </c>
      <c r="AU18" s="39">
        <f>+Segments!AU33</f>
        <v>172.93733321480372</v>
      </c>
      <c r="AV18" s="30">
        <f t="shared" ref="AV18:AV19" si="56">+AU18+AT18</f>
        <v>351.26659106181432</v>
      </c>
      <c r="AW18" s="39">
        <f>+Segments!AW33</f>
        <v>199.36486416651655</v>
      </c>
      <c r="AX18" s="39">
        <f>+Segments!AX33</f>
        <v>193.08033110747752</v>
      </c>
      <c r="AY18" s="30">
        <f t="shared" ref="AY18:AY19" si="57">+AX18+AW18</f>
        <v>392.44519527399405</v>
      </c>
    </row>
    <row r="19" spans="2:51" s="24" customFormat="1" ht="12" customHeight="1" x14ac:dyDescent="0.2">
      <c r="B19" s="23" t="s">
        <v>47</v>
      </c>
      <c r="C19" s="23"/>
      <c r="D19" s="142"/>
      <c r="E19" s="142"/>
      <c r="F19" s="143"/>
      <c r="G19" s="142"/>
      <c r="H19" s="142"/>
      <c r="I19" s="143">
        <f t="shared" ref="I19" si="58">+I20-I18</f>
        <v>-2.7320000000000064</v>
      </c>
      <c r="J19" s="142"/>
      <c r="K19" s="142"/>
      <c r="L19" s="143">
        <f t="shared" ref="L19:N19" si="59">+L20-L18</f>
        <v>-2.2060000000000066</v>
      </c>
      <c r="M19" s="142">
        <f t="shared" si="59"/>
        <v>-0.33699999999999264</v>
      </c>
      <c r="N19" s="142">
        <f t="shared" si="59"/>
        <v>1.600000000002666E-2</v>
      </c>
      <c r="O19" s="143">
        <f t="shared" ref="O19" si="60">+O20-O18</f>
        <v>-0.32099999999998019</v>
      </c>
      <c r="P19" s="142">
        <f>+P20-P18</f>
        <v>5.7960000000000029</v>
      </c>
      <c r="Q19" s="142">
        <f t="shared" ref="Q19" si="61">+Q20-Q18</f>
        <v>11.729999999999993</v>
      </c>
      <c r="R19" s="143">
        <f t="shared" ref="R19" si="62">+R20-R18</f>
        <v>17.525999999999996</v>
      </c>
      <c r="S19" s="142">
        <f>+S20-S18</f>
        <v>0</v>
      </c>
      <c r="T19" s="142">
        <f t="shared" ref="T19:U19" si="63">+T20-T18</f>
        <v>0</v>
      </c>
      <c r="U19" s="143">
        <f t="shared" si="63"/>
        <v>0</v>
      </c>
      <c r="V19" s="142">
        <f>+Segments!V32</f>
        <v>0</v>
      </c>
      <c r="W19" s="142">
        <f>+Segments!W32</f>
        <v>0</v>
      </c>
      <c r="X19" s="143">
        <f t="shared" si="48"/>
        <v>0</v>
      </c>
      <c r="Y19" s="142">
        <f>+Segments!Y32</f>
        <v>0</v>
      </c>
      <c r="Z19" s="142">
        <f>+Segments!Z32</f>
        <v>0</v>
      </c>
      <c r="AA19" s="143">
        <f t="shared" si="49"/>
        <v>0</v>
      </c>
      <c r="AB19" s="142">
        <f>+Segments!AB32</f>
        <v>0</v>
      </c>
      <c r="AC19" s="142">
        <f>+Segments!AC32</f>
        <v>0</v>
      </c>
      <c r="AD19" s="143">
        <f t="shared" si="50"/>
        <v>0</v>
      </c>
      <c r="AE19" s="142">
        <f>+Segments!AE32</f>
        <v>0</v>
      </c>
      <c r="AF19" s="142">
        <f>+Segments!AF32</f>
        <v>0</v>
      </c>
      <c r="AG19" s="143">
        <f t="shared" si="51"/>
        <v>0</v>
      </c>
      <c r="AH19" s="142">
        <f>+Segments!AH32</f>
        <v>0</v>
      </c>
      <c r="AI19" s="142">
        <f>+Segments!AI32</f>
        <v>0</v>
      </c>
      <c r="AJ19" s="143">
        <f t="shared" si="52"/>
        <v>0</v>
      </c>
      <c r="AK19" s="142">
        <f>+Segments!AK32</f>
        <v>0</v>
      </c>
      <c r="AL19" s="142">
        <f>+Segments!AL32</f>
        <v>0</v>
      </c>
      <c r="AM19" s="143">
        <f t="shared" si="53"/>
        <v>0</v>
      </c>
      <c r="AN19" s="142">
        <f>+Segments!AN32</f>
        <v>0</v>
      </c>
      <c r="AO19" s="142">
        <f>+Segments!AO32</f>
        <v>0</v>
      </c>
      <c r="AP19" s="143">
        <f t="shared" si="54"/>
        <v>0</v>
      </c>
      <c r="AQ19" s="142">
        <f>+Segments!AQ32</f>
        <v>0</v>
      </c>
      <c r="AR19" s="142">
        <f>+Segments!AR32</f>
        <v>0</v>
      </c>
      <c r="AS19" s="143">
        <f t="shared" si="55"/>
        <v>0</v>
      </c>
      <c r="AT19" s="142">
        <f>+Segments!AT32</f>
        <v>0</v>
      </c>
      <c r="AU19" s="142">
        <f>+Segments!AU32</f>
        <v>0</v>
      </c>
      <c r="AV19" s="143">
        <f t="shared" si="56"/>
        <v>0</v>
      </c>
      <c r="AW19" s="142">
        <f>+Segments!AW32</f>
        <v>0</v>
      </c>
      <c r="AX19" s="142">
        <f>+Segments!AX32</f>
        <v>0</v>
      </c>
      <c r="AY19" s="143">
        <f t="shared" si="57"/>
        <v>0</v>
      </c>
    </row>
    <row r="20" spans="2:51" s="24" customFormat="1" ht="12" customHeight="1" x14ac:dyDescent="0.2">
      <c r="B20" s="34" t="s">
        <v>301</v>
      </c>
      <c r="C20" s="35"/>
      <c r="D20" s="198"/>
      <c r="E20" s="198"/>
      <c r="F20" s="199"/>
      <c r="G20" s="187"/>
      <c r="H20" s="147"/>
      <c r="I20" s="188">
        <v>15.920999999999999</v>
      </c>
      <c r="J20" s="187"/>
      <c r="K20" s="147"/>
      <c r="L20" s="188">
        <v>21.7</v>
      </c>
      <c r="M20" s="187">
        <v>14.2</v>
      </c>
      <c r="N20" s="147">
        <f>+O20-M20</f>
        <v>15.100000000000001</v>
      </c>
      <c r="O20" s="188">
        <v>29.3</v>
      </c>
      <c r="P20" s="187">
        <v>24.7</v>
      </c>
      <c r="Q20" s="147">
        <f>+R20-P20</f>
        <v>20.099999999999998</v>
      </c>
      <c r="R20" s="188">
        <v>44.8</v>
      </c>
      <c r="S20" s="187">
        <v>31.577999999999999</v>
      </c>
      <c r="T20" s="147">
        <f>+U20-S20</f>
        <v>33.540999999999997</v>
      </c>
      <c r="U20" s="188">
        <v>65.119</v>
      </c>
      <c r="V20" s="147">
        <f>+Segments!V31</f>
        <v>42.436647390347282</v>
      </c>
      <c r="W20" s="147">
        <f>+Segments!W31</f>
        <v>40.588008146634067</v>
      </c>
      <c r="X20" s="148">
        <f>+Segments!X31</f>
        <v>83.024655536981356</v>
      </c>
      <c r="Y20" s="147">
        <f>+Segments!Y31</f>
        <v>55.449648749961369</v>
      </c>
      <c r="Z20" s="147">
        <f>+Segments!Z31</f>
        <v>54.308335411813054</v>
      </c>
      <c r="AA20" s="148">
        <f>+Segments!AA31</f>
        <v>109.75798416177442</v>
      </c>
      <c r="AB20" s="147">
        <f>+Segments!AB31</f>
        <v>72.985706785058511</v>
      </c>
      <c r="AC20" s="147">
        <f>+Segments!AC31</f>
        <v>71.507867071585679</v>
      </c>
      <c r="AD20" s="148">
        <f>+Segments!AD31</f>
        <v>144.49357385664416</v>
      </c>
      <c r="AE20" s="147">
        <f>+Segments!AE31</f>
        <v>91.082528997465076</v>
      </c>
      <c r="AF20" s="147">
        <f>+Segments!AF31</f>
        <v>89.097935800697243</v>
      </c>
      <c r="AG20" s="148">
        <f>+Segments!AG31</f>
        <v>180.18046479816232</v>
      </c>
      <c r="AH20" s="147">
        <f>+Segments!AH31</f>
        <v>111.58203092267381</v>
      </c>
      <c r="AI20" s="147">
        <f>+Segments!AI31</f>
        <v>107.23518915985545</v>
      </c>
      <c r="AJ20" s="148">
        <f>+Segments!AJ31</f>
        <v>218.81722008252927</v>
      </c>
      <c r="AK20" s="147">
        <f>+Segments!AK31</f>
        <v>123.45882482107419</v>
      </c>
      <c r="AL20" s="147">
        <f>+Segments!AL31</f>
        <v>120.37773896295747</v>
      </c>
      <c r="AM20" s="148">
        <f>+Segments!AM31</f>
        <v>243.83656378403165</v>
      </c>
      <c r="AN20" s="147">
        <f>+Segments!AN31</f>
        <v>140.45118455267078</v>
      </c>
      <c r="AO20" s="147">
        <f>+Segments!AO31</f>
        <v>136.65716686326323</v>
      </c>
      <c r="AP20" s="148">
        <f>+Segments!AP31</f>
        <v>277.10835141593407</v>
      </c>
      <c r="AQ20" s="147">
        <f>+Segments!AQ31</f>
        <v>158.71687280159489</v>
      </c>
      <c r="AR20" s="147">
        <f>+Segments!AR31</f>
        <v>154.15380916618517</v>
      </c>
      <c r="AS20" s="148">
        <f>+Segments!AS31</f>
        <v>312.87068196778011</v>
      </c>
      <c r="AT20" s="147">
        <f>+Segments!AT31</f>
        <v>178.32925784701064</v>
      </c>
      <c r="AU20" s="147">
        <f>+Segments!AU31</f>
        <v>172.93733321480372</v>
      </c>
      <c r="AV20" s="148">
        <f>+Segments!AV31</f>
        <v>351.26659106181432</v>
      </c>
      <c r="AW20" s="147">
        <f>+Segments!AW31</f>
        <v>199.36486416651655</v>
      </c>
      <c r="AX20" s="147">
        <f>+Segments!AX31</f>
        <v>193.08033110747752</v>
      </c>
      <c r="AY20" s="148">
        <f>+Segments!AY31</f>
        <v>392.44519527399422</v>
      </c>
    </row>
    <row r="21" spans="2:51" s="24" customFormat="1" ht="12" customHeight="1" x14ac:dyDescent="0.2">
      <c r="B21" s="23"/>
      <c r="C21" s="23"/>
      <c r="D21" s="26"/>
      <c r="E21" s="26"/>
      <c r="F21" s="27"/>
      <c r="G21" s="26"/>
      <c r="H21" s="26"/>
      <c r="I21" s="27"/>
      <c r="J21" s="26"/>
      <c r="K21" s="26"/>
      <c r="L21" s="27"/>
      <c r="M21" s="26"/>
      <c r="N21" s="26"/>
      <c r="O21" s="27"/>
      <c r="P21" s="26"/>
      <c r="Q21" s="26"/>
      <c r="R21" s="27"/>
      <c r="S21" s="26"/>
      <c r="T21" s="26"/>
      <c r="U21" s="27"/>
      <c r="V21" s="26"/>
      <c r="W21" s="26"/>
      <c r="X21" s="27"/>
      <c r="Y21" s="26"/>
      <c r="Z21" s="26"/>
      <c r="AA21" s="27"/>
      <c r="AB21" s="26"/>
      <c r="AC21" s="26"/>
      <c r="AD21" s="27"/>
      <c r="AE21" s="26"/>
      <c r="AF21" s="26"/>
      <c r="AG21" s="27"/>
      <c r="AH21" s="26"/>
      <c r="AI21" s="26"/>
      <c r="AJ21" s="27"/>
      <c r="AK21" s="26"/>
      <c r="AL21" s="26"/>
      <c r="AM21" s="27"/>
      <c r="AN21" s="26"/>
      <c r="AO21" s="26"/>
      <c r="AP21" s="27"/>
      <c r="AQ21" s="26"/>
      <c r="AR21" s="26"/>
      <c r="AS21" s="27"/>
      <c r="AT21" s="26"/>
      <c r="AU21" s="26"/>
      <c r="AV21" s="27"/>
      <c r="AW21" s="26"/>
      <c r="AX21" s="26"/>
      <c r="AY21" s="27"/>
    </row>
    <row r="22" spans="2:51" s="24" customFormat="1" ht="12" customHeight="1" x14ac:dyDescent="0.2">
      <c r="B22" s="23" t="s">
        <v>500</v>
      </c>
      <c r="C22" s="23"/>
      <c r="D22" s="25"/>
      <c r="E22" s="26"/>
      <c r="F22" s="132"/>
      <c r="G22" s="25"/>
      <c r="H22" s="26"/>
      <c r="I22" s="132">
        <f>-8.708-I23</f>
        <v>-3.5369999999999999</v>
      </c>
      <c r="J22" s="25"/>
      <c r="K22" s="26"/>
      <c r="L22" s="132">
        <f>-11.997-L23</f>
        <v>-5.3410000000000002</v>
      </c>
      <c r="M22" s="25">
        <f>-9.197-M23</f>
        <v>-3.7979999999999992</v>
      </c>
      <c r="N22" s="26">
        <f t="shared" ref="N22:N24" si="64">+O22-M22</f>
        <v>-4.5920000000000014</v>
      </c>
      <c r="O22" s="132">
        <v>-8.39</v>
      </c>
      <c r="P22" s="25">
        <f>-12.386-P23</f>
        <v>-6.0619999999999994</v>
      </c>
      <c r="Q22" s="26">
        <f t="shared" ref="Q22:Q24" si="65">+R22-P22</f>
        <v>-6.8980000000000015</v>
      </c>
      <c r="R22" s="132">
        <v>-12.96</v>
      </c>
      <c r="S22" s="25">
        <v>-7.8319999999999999</v>
      </c>
      <c r="T22" s="26">
        <f t="shared" ref="T22:T24" si="66">+U22-S22</f>
        <v>-11.463999999999999</v>
      </c>
      <c r="U22" s="132">
        <v>-19.295999999999999</v>
      </c>
      <c r="V22" s="142">
        <f>+'Balance Sheet'!V105</f>
        <v>-13.005600000000001</v>
      </c>
      <c r="W22" s="142">
        <f>+'Balance Sheet'!W105</f>
        <v>-14.705040000000004</v>
      </c>
      <c r="X22" s="143">
        <f t="shared" ref="X22:X24" si="67">+W22+V22</f>
        <v>-27.710640000000005</v>
      </c>
      <c r="Y22" s="142">
        <f>+'Balance Sheet'!Y105</f>
        <v>-16.234536000000002</v>
      </c>
      <c r="Z22" s="142">
        <f>+'Balance Sheet'!Z105</f>
        <v>-17.806082400000001</v>
      </c>
      <c r="AA22" s="143">
        <f t="shared" ref="AA22:AA24" si="68">+Z22+Y22</f>
        <v>-34.0406184</v>
      </c>
      <c r="AB22" s="142">
        <f>+'Balance Sheet'!AB105</f>
        <v>-19.220474160000002</v>
      </c>
      <c r="AC22" s="142">
        <f>+'Balance Sheet'!AC105</f>
        <v>-20.717076744</v>
      </c>
      <c r="AD22" s="143">
        <f t="shared" ref="AD22:AD24" si="69">+AC22+AB22</f>
        <v>-39.937550904000005</v>
      </c>
      <c r="AE22" s="142">
        <f>+'Balance Sheet'!AE105</f>
        <v>-22.064019069600004</v>
      </c>
      <c r="AF22" s="142">
        <f>+'Balance Sheet'!AF105</f>
        <v>-23.515572662640004</v>
      </c>
      <c r="AG22" s="143">
        <f t="shared" ref="AG22:AG24" si="70">+AF22+AE22</f>
        <v>-45.579591732240004</v>
      </c>
      <c r="AH22" s="142">
        <f>+'Balance Sheet'!AH105</f>
        <v>-24.821970896376005</v>
      </c>
      <c r="AI22" s="142">
        <f>+'Balance Sheet'!AI105</f>
        <v>-26.253786191738403</v>
      </c>
      <c r="AJ22" s="143">
        <f t="shared" ref="AJ22:AJ24" si="71">+AI22+AH22</f>
        <v>-51.075757088114408</v>
      </c>
      <c r="AK22" s="142">
        <f>+'Balance Sheet'!AK105</f>
        <v>-27.542419957564562</v>
      </c>
      <c r="AL22" s="142">
        <f>+'Balance Sheet'!AL105</f>
        <v>-28.976171213758107</v>
      </c>
      <c r="AM22" s="143">
        <f t="shared" ref="AM22:AM24" si="72">+AL22+AK22</f>
        <v>-56.518591171322669</v>
      </c>
      <c r="AN22" s="142">
        <f>+'Balance Sheet'!AN105</f>
        <v>-30.266547344332299</v>
      </c>
      <c r="AO22" s="142">
        <f>+'Balance Sheet'!AO105</f>
        <v>-31.721045389485568</v>
      </c>
      <c r="AP22" s="143">
        <f t="shared" ref="AP22:AP24" si="73">+AO22+AN22</f>
        <v>-61.987592733817863</v>
      </c>
      <c r="AQ22" s="142">
        <f>+'Balance Sheet'!AQ105</f>
        <v>-33.030093630123517</v>
      </c>
      <c r="AR22" s="142">
        <f>+'Balance Sheet'!AR105</f>
        <v>-34.521917741268723</v>
      </c>
      <c r="AS22" s="143">
        <f t="shared" ref="AS22:AS24" si="74">+AR22+AQ22</f>
        <v>-67.55201137139224</v>
      </c>
      <c r="AT22" s="142">
        <f>+'Balance Sheet'!AT105</f>
        <v>-35.864559441299399</v>
      </c>
      <c r="AU22" s="142">
        <f>+'Balance Sheet'!AU105</f>
        <v>-37.408575314518053</v>
      </c>
      <c r="AV22" s="143">
        <f t="shared" ref="AV22:AV24" si="75">+AU22+AT22</f>
        <v>-73.273134755817452</v>
      </c>
      <c r="AW22" s="142">
        <f>+'Balance Sheet'!AW105</f>
        <v>-38.79818960041483</v>
      </c>
      <c r="AX22" s="142">
        <f>+'Balance Sheet'!AX105</f>
        <v>-40.407975484936337</v>
      </c>
      <c r="AY22" s="143">
        <f t="shared" ref="AY22:AY24" si="76">+AX22+AW22</f>
        <v>-79.206165085351159</v>
      </c>
    </row>
    <row r="23" spans="2:51" s="24" customFormat="1" ht="12" customHeight="1" x14ac:dyDescent="0.2">
      <c r="B23" s="23" t="s">
        <v>501</v>
      </c>
      <c r="C23" s="23"/>
      <c r="D23" s="25"/>
      <c r="E23" s="26"/>
      <c r="F23" s="132"/>
      <c r="G23" s="25"/>
      <c r="H23" s="26"/>
      <c r="I23" s="132">
        <v>-5.1710000000000003</v>
      </c>
      <c r="J23" s="25"/>
      <c r="K23" s="26"/>
      <c r="L23" s="132">
        <v>-6.6559999999999997</v>
      </c>
      <c r="M23" s="25">
        <v>-5.399</v>
      </c>
      <c r="N23" s="26">
        <f t="shared" si="64"/>
        <v>-4.9330000000000007</v>
      </c>
      <c r="O23" s="132">
        <v>-10.332000000000001</v>
      </c>
      <c r="P23" s="25">
        <v>-6.3239999999999998</v>
      </c>
      <c r="Q23" s="26">
        <f t="shared" si="65"/>
        <v>-4.923</v>
      </c>
      <c r="R23" s="132">
        <v>-11.247</v>
      </c>
      <c r="S23" s="25">
        <v>-7.7430000000000003</v>
      </c>
      <c r="T23" s="26">
        <f t="shared" si="66"/>
        <v>-6.1310000000000002</v>
      </c>
      <c r="U23" s="132">
        <v>-13.874000000000001</v>
      </c>
      <c r="V23" s="142">
        <f>+'Balance Sheet'!V127</f>
        <v>-8.3237249999999996</v>
      </c>
      <c r="W23" s="142">
        <f>+'Balance Sheet'!W127</f>
        <v>-6.5908249999999997</v>
      </c>
      <c r="X23" s="143">
        <f t="shared" si="67"/>
        <v>-14.914549999999998</v>
      </c>
      <c r="Y23" s="142">
        <f>+'Balance Sheet'!Y127</f>
        <v>-8.948004375</v>
      </c>
      <c r="Z23" s="142">
        <f>+'Balance Sheet'!Z127</f>
        <v>-7.085136874999999</v>
      </c>
      <c r="AA23" s="143">
        <f t="shared" si="68"/>
        <v>-16.03314125</v>
      </c>
      <c r="AB23" s="142">
        <f>+'Balance Sheet'!AB127</f>
        <v>-9.6191047031250001</v>
      </c>
      <c r="AC23" s="142">
        <f>+'Balance Sheet'!AC127</f>
        <v>-7.6165221406249985</v>
      </c>
      <c r="AD23" s="143">
        <f t="shared" si="69"/>
        <v>-17.235626843749998</v>
      </c>
      <c r="AE23" s="142">
        <f>+'Balance Sheet'!AE127</f>
        <v>-10.340537555859374</v>
      </c>
      <c r="AF23" s="142">
        <f>+'Balance Sheet'!AF127</f>
        <v>-8.1877613011718733</v>
      </c>
      <c r="AG23" s="143">
        <f t="shared" si="70"/>
        <v>-18.528298857031245</v>
      </c>
      <c r="AH23" s="142">
        <f>+'Balance Sheet'!AH127</f>
        <v>-11.116077872548827</v>
      </c>
      <c r="AI23" s="142">
        <f>+'Balance Sheet'!AI127</f>
        <v>-8.8018433987597628</v>
      </c>
      <c r="AJ23" s="143">
        <f t="shared" si="71"/>
        <v>-19.91792127130859</v>
      </c>
      <c r="AK23" s="142">
        <f>+'Balance Sheet'!AK127</f>
        <v>-11.949783712989989</v>
      </c>
      <c r="AL23" s="142">
        <f>+'Balance Sheet'!AL127</f>
        <v>-9.4619816536667454</v>
      </c>
      <c r="AM23" s="143">
        <f t="shared" si="72"/>
        <v>-21.411765366656734</v>
      </c>
      <c r="AN23" s="142">
        <f>+'Balance Sheet'!AN127</f>
        <v>-12.846017491464238</v>
      </c>
      <c r="AO23" s="142">
        <f>+'Balance Sheet'!AO127</f>
        <v>-10.171630277691751</v>
      </c>
      <c r="AP23" s="143">
        <f t="shared" si="73"/>
        <v>-23.017647769155989</v>
      </c>
      <c r="AQ23" s="142">
        <f>+'Balance Sheet'!AQ127</f>
        <v>-13.809468803324055</v>
      </c>
      <c r="AR23" s="142">
        <f>+'Balance Sheet'!AR127</f>
        <v>-10.934502548518632</v>
      </c>
      <c r="AS23" s="143">
        <f t="shared" si="74"/>
        <v>-24.743971351842688</v>
      </c>
      <c r="AT23" s="142">
        <f>+'Balance Sheet'!AT127</f>
        <v>-14.845178963573359</v>
      </c>
      <c r="AU23" s="142">
        <f>+'Balance Sheet'!AU127</f>
        <v>-11.754590239657528</v>
      </c>
      <c r="AV23" s="143">
        <f t="shared" si="75"/>
        <v>-26.599769203230885</v>
      </c>
      <c r="AW23" s="142">
        <f>+'Balance Sheet'!AW127</f>
        <v>-15.958567385841359</v>
      </c>
      <c r="AX23" s="142">
        <f>+'Balance Sheet'!AX127</f>
        <v>-12.636184507631842</v>
      </c>
      <c r="AY23" s="143">
        <f t="shared" si="76"/>
        <v>-28.594751893473202</v>
      </c>
    </row>
    <row r="24" spans="2:51" s="24" customFormat="1" ht="12" customHeight="1" x14ac:dyDescent="0.2">
      <c r="B24" s="23" t="s">
        <v>342</v>
      </c>
      <c r="C24" s="23"/>
      <c r="D24" s="25"/>
      <c r="E24" s="26"/>
      <c r="F24" s="132"/>
      <c r="G24" s="25"/>
      <c r="H24" s="26"/>
      <c r="I24" s="132">
        <v>-1.4</v>
      </c>
      <c r="J24" s="25"/>
      <c r="K24" s="26"/>
      <c r="L24" s="132">
        <v>-2.4630000000000001</v>
      </c>
      <c r="M24" s="211">
        <v>-3.37</v>
      </c>
      <c r="N24" s="26">
        <f t="shared" si="64"/>
        <v>-3.4630000000000001</v>
      </c>
      <c r="O24" s="132">
        <v>-6.8330000000000002</v>
      </c>
      <c r="P24" s="211">
        <v>-3.5139999999999998</v>
      </c>
      <c r="Q24" s="26">
        <f t="shared" si="65"/>
        <v>-3.4020000000000006</v>
      </c>
      <c r="R24" s="132">
        <v>-6.9160000000000004</v>
      </c>
      <c r="S24" s="211">
        <f>-1.89-1.615</f>
        <v>-3.5049999999999999</v>
      </c>
      <c r="T24" s="26">
        <f t="shared" si="66"/>
        <v>-3.0060000000000002</v>
      </c>
      <c r="U24" s="132">
        <f>-3.668-2.843</f>
        <v>-6.5110000000000001</v>
      </c>
      <c r="V24" s="142">
        <f>+'Balance Sheet'!V117</f>
        <v>-3.68025</v>
      </c>
      <c r="W24" s="142">
        <f>+'Balance Sheet'!W117</f>
        <v>-3.1563000000000003</v>
      </c>
      <c r="X24" s="143">
        <f t="shared" si="67"/>
        <v>-6.8365500000000008</v>
      </c>
      <c r="Y24" s="142">
        <f>+'Balance Sheet'!Y117</f>
        <v>-3.8642625000000002</v>
      </c>
      <c r="Z24" s="142">
        <f>+'Balance Sheet'!Z117</f>
        <v>-3.3141150000000006</v>
      </c>
      <c r="AA24" s="143">
        <f t="shared" si="68"/>
        <v>-7.1783775000000007</v>
      </c>
      <c r="AB24" s="142">
        <f>+'Balance Sheet'!AB117</f>
        <v>-4.0574756250000004</v>
      </c>
      <c r="AC24" s="142">
        <f>+'Balance Sheet'!AC117</f>
        <v>-3.4798207500000009</v>
      </c>
      <c r="AD24" s="143">
        <f t="shared" si="69"/>
        <v>-7.5372963750000013</v>
      </c>
      <c r="AE24" s="142">
        <f>+'Balance Sheet'!AE117</f>
        <v>-4.2603494062500005</v>
      </c>
      <c r="AF24" s="142">
        <f>+'Balance Sheet'!AF117</f>
        <v>-3.6538117875000009</v>
      </c>
      <c r="AG24" s="143">
        <f t="shared" si="70"/>
        <v>-7.9141611937500009</v>
      </c>
      <c r="AH24" s="142">
        <f>+'Balance Sheet'!AH117</f>
        <v>-4.4733668765625003</v>
      </c>
      <c r="AI24" s="142">
        <f>+'Balance Sheet'!AI117</f>
        <v>-3.8365023768750013</v>
      </c>
      <c r="AJ24" s="143">
        <f t="shared" si="71"/>
        <v>-8.3098692534375012</v>
      </c>
      <c r="AK24" s="142">
        <f>+'Balance Sheet'!AK117</f>
        <v>-4.6970352203906254</v>
      </c>
      <c r="AL24" s="142">
        <f>+'Balance Sheet'!AL117</f>
        <v>-4.0283274957187514</v>
      </c>
      <c r="AM24" s="143">
        <f t="shared" si="72"/>
        <v>-8.7253627161093767</v>
      </c>
      <c r="AN24" s="142">
        <f>+'Balance Sheet'!AN117</f>
        <v>-4.9318869814101571</v>
      </c>
      <c r="AO24" s="142">
        <f>+'Balance Sheet'!AO117</f>
        <v>-4.2297438705046888</v>
      </c>
      <c r="AP24" s="143">
        <f t="shared" si="73"/>
        <v>-9.1616308519148468</v>
      </c>
      <c r="AQ24" s="142">
        <f>+'Balance Sheet'!AQ117</f>
        <v>-5.1784813304806656</v>
      </c>
      <c r="AR24" s="142">
        <f>+'Balance Sheet'!AR117</f>
        <v>-4.4412310640299237</v>
      </c>
      <c r="AS24" s="143">
        <f t="shared" si="74"/>
        <v>-9.6197123945105893</v>
      </c>
      <c r="AT24" s="142">
        <f>+'Balance Sheet'!AT117</f>
        <v>-5.4374053970046994</v>
      </c>
      <c r="AU24" s="142">
        <f>+'Balance Sheet'!AU117</f>
        <v>-4.66329261723142</v>
      </c>
      <c r="AV24" s="143">
        <f t="shared" si="75"/>
        <v>-10.100698014236119</v>
      </c>
      <c r="AW24" s="142">
        <f>+'Balance Sheet'!AW117</f>
        <v>-5.7092756668549347</v>
      </c>
      <c r="AX24" s="142">
        <f>+'Balance Sheet'!AX117</f>
        <v>-4.8964572480929913</v>
      </c>
      <c r="AY24" s="143">
        <f t="shared" si="76"/>
        <v>-10.605732914947925</v>
      </c>
    </row>
    <row r="25" spans="2:51" s="24" customFormat="1" ht="12" customHeight="1" x14ac:dyDescent="0.2">
      <c r="B25" s="28" t="s">
        <v>308</v>
      </c>
      <c r="C25" s="29"/>
      <c r="D25" s="39"/>
      <c r="E25" s="39"/>
      <c r="F25" s="30"/>
      <c r="G25" s="39"/>
      <c r="H25" s="39"/>
      <c r="I25" s="30">
        <f t="shared" ref="I25" si="77">I18+SUM(I22:I24)</f>
        <v>8.5450000000000053</v>
      </c>
      <c r="J25" s="39"/>
      <c r="K25" s="39"/>
      <c r="L25" s="30">
        <f t="shared" ref="L25:R25" si="78">L18+SUM(L22:L24)</f>
        <v>9.4460000000000051</v>
      </c>
      <c r="M25" s="173">
        <f t="shared" si="78"/>
        <v>1.9699999999999918</v>
      </c>
      <c r="N25" s="39">
        <f t="shared" si="78"/>
        <v>2.0959999999999717</v>
      </c>
      <c r="O25" s="30">
        <f t="shared" si="78"/>
        <v>4.0659999999999812</v>
      </c>
      <c r="P25" s="39">
        <f t="shared" si="78"/>
        <v>3.0039999999999978</v>
      </c>
      <c r="Q25" s="39">
        <f t="shared" si="78"/>
        <v>-6.852999999999998</v>
      </c>
      <c r="R25" s="30">
        <f t="shared" si="78"/>
        <v>-3.8490000000000002</v>
      </c>
      <c r="S25" s="39">
        <f t="shared" ref="S25" si="79">S18+SUM(S22:S24)</f>
        <v>12.498000000000005</v>
      </c>
      <c r="T25" s="39">
        <f t="shared" ref="T25:U25" si="80">T18+SUM(T22:T24)</f>
        <v>12.940000000000026</v>
      </c>
      <c r="U25" s="30">
        <f t="shared" si="80"/>
        <v>25.438000000000081</v>
      </c>
      <c r="V25" s="39">
        <f t="shared" ref="V25:AY25" si="81">V18+SUM(V22:V24)</f>
        <v>17.427072390347281</v>
      </c>
      <c r="W25" s="39">
        <f t="shared" si="81"/>
        <v>16.135843146634063</v>
      </c>
      <c r="X25" s="30">
        <f t="shared" si="81"/>
        <v>33.56291553698135</v>
      </c>
      <c r="Y25" s="39">
        <f t="shared" si="81"/>
        <v>26.402845874961368</v>
      </c>
      <c r="Z25" s="39">
        <f t="shared" si="81"/>
        <v>26.103001136813052</v>
      </c>
      <c r="AA25" s="30">
        <f t="shared" si="81"/>
        <v>52.505847011774428</v>
      </c>
      <c r="AB25" s="39">
        <f t="shared" si="81"/>
        <v>40.08865229693351</v>
      </c>
      <c r="AC25" s="39">
        <f t="shared" si="81"/>
        <v>39.694447436960679</v>
      </c>
      <c r="AD25" s="30">
        <f t="shared" si="81"/>
        <v>79.78309973389419</v>
      </c>
      <c r="AE25" s="39">
        <f t="shared" si="81"/>
        <v>54.417622965755697</v>
      </c>
      <c r="AF25" s="39">
        <f t="shared" si="81"/>
        <v>53.74079004938536</v>
      </c>
      <c r="AG25" s="30">
        <f t="shared" si="81"/>
        <v>108.15841301514106</v>
      </c>
      <c r="AH25" s="39">
        <f t="shared" si="81"/>
        <v>71.170615277186471</v>
      </c>
      <c r="AI25" s="39">
        <f t="shared" si="81"/>
        <v>68.343057192482291</v>
      </c>
      <c r="AJ25" s="30">
        <f t="shared" si="81"/>
        <v>139.51367246966879</v>
      </c>
      <c r="AK25" s="39">
        <f t="shared" si="81"/>
        <v>79.269585930129011</v>
      </c>
      <c r="AL25" s="39">
        <f t="shared" si="81"/>
        <v>77.911258599813863</v>
      </c>
      <c r="AM25" s="30">
        <f t="shared" si="81"/>
        <v>157.18084452994287</v>
      </c>
      <c r="AN25" s="39">
        <f t="shared" si="81"/>
        <v>92.40673273546409</v>
      </c>
      <c r="AO25" s="39">
        <f t="shared" si="81"/>
        <v>90.534747325581222</v>
      </c>
      <c r="AP25" s="30">
        <f t="shared" si="81"/>
        <v>182.9414800610453</v>
      </c>
      <c r="AQ25" s="39">
        <f t="shared" si="81"/>
        <v>106.69882903766666</v>
      </c>
      <c r="AR25" s="39">
        <f t="shared" si="81"/>
        <v>104.25615781236789</v>
      </c>
      <c r="AS25" s="30">
        <f t="shared" si="81"/>
        <v>210.95498685003454</v>
      </c>
      <c r="AT25" s="39">
        <f t="shared" si="81"/>
        <v>122.18211404513318</v>
      </c>
      <c r="AU25" s="39">
        <f t="shared" si="81"/>
        <v>119.11087504339672</v>
      </c>
      <c r="AV25" s="30">
        <f t="shared" si="81"/>
        <v>241.29298908852988</v>
      </c>
      <c r="AW25" s="39">
        <f t="shared" si="81"/>
        <v>138.89883151340541</v>
      </c>
      <c r="AX25" s="39">
        <f t="shared" si="81"/>
        <v>135.13971386681635</v>
      </c>
      <c r="AY25" s="30">
        <f t="shared" si="81"/>
        <v>274.03854538022176</v>
      </c>
    </row>
    <row r="26" spans="2:51" s="24" customFormat="1" ht="12" customHeight="1" x14ac:dyDescent="0.2">
      <c r="B26" s="23" t="s">
        <v>47</v>
      </c>
      <c r="C26" s="23"/>
      <c r="D26" s="142"/>
      <c r="E26" s="142"/>
      <c r="F26" s="143"/>
      <c r="G26" s="142"/>
      <c r="H26" s="142"/>
      <c r="I26" s="143">
        <f t="shared" ref="I26" si="82">+I27-I25</f>
        <v>-4.8450000000000051</v>
      </c>
      <c r="J26" s="142"/>
      <c r="K26" s="142"/>
      <c r="L26" s="143">
        <f t="shared" ref="L26:O26" si="83">+L27-L25</f>
        <v>-2.2460000000000049</v>
      </c>
      <c r="M26" s="142">
        <f t="shared" si="83"/>
        <v>-0.36999999999999167</v>
      </c>
      <c r="N26" s="142">
        <f t="shared" si="83"/>
        <v>4.0000000000284253E-3</v>
      </c>
      <c r="O26" s="143">
        <f t="shared" si="83"/>
        <v>-0.36599999999998101</v>
      </c>
      <c r="P26" s="142">
        <f>+P27-P25</f>
        <v>5.7960000000000029</v>
      </c>
      <c r="Q26" s="142">
        <f t="shared" ref="Q26" si="84">+Q27-Q25</f>
        <v>11.652999999999997</v>
      </c>
      <c r="R26" s="143">
        <f t="shared" ref="R26" si="85">+R27-R25</f>
        <v>17.448999999999998</v>
      </c>
      <c r="S26" s="142">
        <f>+S27-S25</f>
        <v>0</v>
      </c>
      <c r="T26" s="142">
        <f t="shared" ref="T26:U26" si="86">+T27-T25</f>
        <v>-3.8000000000026901E-2</v>
      </c>
      <c r="U26" s="143">
        <f t="shared" si="86"/>
        <v>-3.8000000000081968E-2</v>
      </c>
      <c r="V26" s="142">
        <f t="shared" ref="V26:AJ26" si="87">+V19</f>
        <v>0</v>
      </c>
      <c r="W26" s="142">
        <f t="shared" si="87"/>
        <v>0</v>
      </c>
      <c r="X26" s="143">
        <f t="shared" si="87"/>
        <v>0</v>
      </c>
      <c r="Y26" s="142">
        <f t="shared" si="87"/>
        <v>0</v>
      </c>
      <c r="Z26" s="142">
        <f t="shared" si="87"/>
        <v>0</v>
      </c>
      <c r="AA26" s="143">
        <f t="shared" si="87"/>
        <v>0</v>
      </c>
      <c r="AB26" s="142">
        <f t="shared" si="87"/>
        <v>0</v>
      </c>
      <c r="AC26" s="142">
        <f t="shared" si="87"/>
        <v>0</v>
      </c>
      <c r="AD26" s="143">
        <f t="shared" si="87"/>
        <v>0</v>
      </c>
      <c r="AE26" s="142">
        <f t="shared" si="87"/>
        <v>0</v>
      </c>
      <c r="AF26" s="142">
        <f t="shared" si="87"/>
        <v>0</v>
      </c>
      <c r="AG26" s="143">
        <f t="shared" si="87"/>
        <v>0</v>
      </c>
      <c r="AH26" s="142">
        <f t="shared" si="87"/>
        <v>0</v>
      </c>
      <c r="AI26" s="142">
        <f t="shared" si="87"/>
        <v>0</v>
      </c>
      <c r="AJ26" s="143">
        <f t="shared" si="87"/>
        <v>0</v>
      </c>
      <c r="AK26" s="142">
        <f t="shared" ref="AK26:AY26" si="88">+AK19</f>
        <v>0</v>
      </c>
      <c r="AL26" s="142">
        <f t="shared" si="88"/>
        <v>0</v>
      </c>
      <c r="AM26" s="143">
        <f t="shared" si="88"/>
        <v>0</v>
      </c>
      <c r="AN26" s="142">
        <f t="shared" si="88"/>
        <v>0</v>
      </c>
      <c r="AO26" s="142">
        <f t="shared" si="88"/>
        <v>0</v>
      </c>
      <c r="AP26" s="143">
        <f t="shared" si="88"/>
        <v>0</v>
      </c>
      <c r="AQ26" s="142">
        <f t="shared" si="88"/>
        <v>0</v>
      </c>
      <c r="AR26" s="142">
        <f t="shared" si="88"/>
        <v>0</v>
      </c>
      <c r="AS26" s="143">
        <f t="shared" si="88"/>
        <v>0</v>
      </c>
      <c r="AT26" s="142">
        <f t="shared" si="88"/>
        <v>0</v>
      </c>
      <c r="AU26" s="142">
        <f t="shared" si="88"/>
        <v>0</v>
      </c>
      <c r="AV26" s="143">
        <f t="shared" si="88"/>
        <v>0</v>
      </c>
      <c r="AW26" s="142">
        <f t="shared" si="88"/>
        <v>0</v>
      </c>
      <c r="AX26" s="142">
        <f t="shared" si="88"/>
        <v>0</v>
      </c>
      <c r="AY26" s="143">
        <f t="shared" si="88"/>
        <v>0</v>
      </c>
    </row>
    <row r="27" spans="2:51" s="24" customFormat="1" ht="12" customHeight="1" x14ac:dyDescent="0.2">
      <c r="B27" s="34" t="s">
        <v>362</v>
      </c>
      <c r="C27" s="35"/>
      <c r="D27" s="198"/>
      <c r="E27" s="198"/>
      <c r="F27" s="199"/>
      <c r="G27" s="187"/>
      <c r="H27" s="147"/>
      <c r="I27" s="188">
        <v>3.7</v>
      </c>
      <c r="J27" s="187"/>
      <c r="K27" s="147"/>
      <c r="L27" s="188">
        <v>7.2</v>
      </c>
      <c r="M27" s="187">
        <v>1.6</v>
      </c>
      <c r="N27" s="147">
        <f>+O27-M27</f>
        <v>2.1</v>
      </c>
      <c r="O27" s="188">
        <v>3.7</v>
      </c>
      <c r="P27" s="187">
        <v>8.8000000000000007</v>
      </c>
      <c r="Q27" s="147">
        <f>+R27-P27</f>
        <v>4.7999999999999989</v>
      </c>
      <c r="R27" s="188">
        <v>13.6</v>
      </c>
      <c r="S27" s="187">
        <v>12.497999999999999</v>
      </c>
      <c r="T27" s="147">
        <f>+U27-S27</f>
        <v>12.901999999999999</v>
      </c>
      <c r="U27" s="188">
        <v>25.4</v>
      </c>
      <c r="V27" s="147">
        <f t="shared" ref="V27:AJ27" si="89">+V26+V25</f>
        <v>17.427072390347281</v>
      </c>
      <c r="W27" s="147">
        <f t="shared" si="89"/>
        <v>16.135843146634063</v>
      </c>
      <c r="X27" s="148">
        <f t="shared" si="89"/>
        <v>33.56291553698135</v>
      </c>
      <c r="Y27" s="147">
        <f t="shared" si="89"/>
        <v>26.402845874961368</v>
      </c>
      <c r="Z27" s="147">
        <f t="shared" si="89"/>
        <v>26.103001136813052</v>
      </c>
      <c r="AA27" s="148">
        <f t="shared" si="89"/>
        <v>52.505847011774428</v>
      </c>
      <c r="AB27" s="147">
        <f t="shared" si="89"/>
        <v>40.08865229693351</v>
      </c>
      <c r="AC27" s="147">
        <f t="shared" si="89"/>
        <v>39.694447436960679</v>
      </c>
      <c r="AD27" s="148">
        <f t="shared" si="89"/>
        <v>79.78309973389419</v>
      </c>
      <c r="AE27" s="147">
        <f t="shared" si="89"/>
        <v>54.417622965755697</v>
      </c>
      <c r="AF27" s="147">
        <f t="shared" si="89"/>
        <v>53.74079004938536</v>
      </c>
      <c r="AG27" s="148">
        <f t="shared" si="89"/>
        <v>108.15841301514106</v>
      </c>
      <c r="AH27" s="147">
        <f t="shared" si="89"/>
        <v>71.170615277186471</v>
      </c>
      <c r="AI27" s="147">
        <f t="shared" si="89"/>
        <v>68.343057192482291</v>
      </c>
      <c r="AJ27" s="148">
        <f t="shared" si="89"/>
        <v>139.51367246966879</v>
      </c>
      <c r="AK27" s="147">
        <f t="shared" ref="AK27:AY27" si="90">+AK26+AK25</f>
        <v>79.269585930129011</v>
      </c>
      <c r="AL27" s="147">
        <f t="shared" si="90"/>
        <v>77.911258599813863</v>
      </c>
      <c r="AM27" s="148">
        <f t="shared" si="90"/>
        <v>157.18084452994287</v>
      </c>
      <c r="AN27" s="147">
        <f t="shared" si="90"/>
        <v>92.40673273546409</v>
      </c>
      <c r="AO27" s="147">
        <f t="shared" si="90"/>
        <v>90.534747325581222</v>
      </c>
      <c r="AP27" s="148">
        <f t="shared" si="90"/>
        <v>182.9414800610453</v>
      </c>
      <c r="AQ27" s="147">
        <f t="shared" si="90"/>
        <v>106.69882903766666</v>
      </c>
      <c r="AR27" s="147">
        <f t="shared" si="90"/>
        <v>104.25615781236789</v>
      </c>
      <c r="AS27" s="148">
        <f t="shared" si="90"/>
        <v>210.95498685003454</v>
      </c>
      <c r="AT27" s="147">
        <f t="shared" si="90"/>
        <v>122.18211404513318</v>
      </c>
      <c r="AU27" s="147">
        <f t="shared" si="90"/>
        <v>119.11087504339672</v>
      </c>
      <c r="AV27" s="148">
        <f t="shared" si="90"/>
        <v>241.29298908852988</v>
      </c>
      <c r="AW27" s="147">
        <f t="shared" si="90"/>
        <v>138.89883151340541</v>
      </c>
      <c r="AX27" s="147">
        <f t="shared" si="90"/>
        <v>135.13971386681635</v>
      </c>
      <c r="AY27" s="148">
        <f t="shared" si="90"/>
        <v>274.03854538022176</v>
      </c>
    </row>
    <row r="28" spans="2:51" s="24" customFormat="1" ht="12" customHeight="1" x14ac:dyDescent="0.2">
      <c r="B28" s="153"/>
      <c r="C28" s="23"/>
      <c r="D28" s="26"/>
      <c r="E28" s="26"/>
      <c r="F28" s="27"/>
      <c r="G28" s="26"/>
      <c r="H28" s="26"/>
      <c r="I28" s="27"/>
      <c r="J28" s="26"/>
      <c r="K28" s="26"/>
      <c r="L28" s="27"/>
      <c r="M28" s="26"/>
      <c r="N28" s="26"/>
      <c r="O28" s="27"/>
      <c r="P28" s="26"/>
      <c r="Q28" s="26"/>
      <c r="R28" s="27"/>
      <c r="S28" s="26"/>
      <c r="T28" s="26"/>
      <c r="U28" s="27"/>
      <c r="V28" s="26"/>
      <c r="W28" s="26"/>
      <c r="X28" s="27"/>
      <c r="Y28" s="26"/>
      <c r="Z28" s="26"/>
      <c r="AA28" s="27"/>
      <c r="AB28" s="26"/>
      <c r="AC28" s="26"/>
      <c r="AD28" s="27"/>
      <c r="AE28" s="26"/>
      <c r="AF28" s="26"/>
      <c r="AG28" s="27"/>
      <c r="AH28" s="26"/>
      <c r="AI28" s="26"/>
      <c r="AJ28" s="27"/>
      <c r="AK28" s="26"/>
      <c r="AL28" s="26"/>
      <c r="AM28" s="27"/>
      <c r="AN28" s="26"/>
      <c r="AO28" s="26"/>
      <c r="AP28" s="27"/>
      <c r="AQ28" s="26"/>
      <c r="AR28" s="26"/>
      <c r="AS28" s="27"/>
      <c r="AT28" s="26"/>
      <c r="AU28" s="26"/>
      <c r="AV28" s="27"/>
      <c r="AW28" s="26"/>
      <c r="AX28" s="26"/>
      <c r="AY28" s="27"/>
    </row>
    <row r="29" spans="2:51" s="24" customFormat="1" ht="12" customHeight="1" x14ac:dyDescent="0.2">
      <c r="B29" s="23" t="s">
        <v>329</v>
      </c>
      <c r="C29" s="23"/>
      <c r="D29" s="25"/>
      <c r="E29" s="26"/>
      <c r="F29" s="132"/>
      <c r="G29" s="25"/>
      <c r="H29" s="26"/>
      <c r="I29" s="132">
        <v>2.9350000000000001</v>
      </c>
      <c r="J29" s="25"/>
      <c r="K29" s="26"/>
      <c r="L29" s="132">
        <v>3.173</v>
      </c>
      <c r="M29" s="25">
        <v>2.1379999999999999</v>
      </c>
      <c r="N29" s="26">
        <f t="shared" ref="N29:N31" si="91">+O29-M29</f>
        <v>2.4550000000000001</v>
      </c>
      <c r="O29" s="132">
        <v>4.593</v>
      </c>
      <c r="P29" s="25">
        <v>2.327</v>
      </c>
      <c r="Q29" s="26">
        <f t="shared" ref="Q29:Q31" si="92">+R29-P29</f>
        <v>3.6849999999999996</v>
      </c>
      <c r="R29" s="132">
        <v>6.0119999999999996</v>
      </c>
      <c r="S29" s="25">
        <v>11.445</v>
      </c>
      <c r="T29" s="26">
        <f t="shared" ref="T29:T31" si="93">+U29-S29</f>
        <v>11.228999999999999</v>
      </c>
      <c r="U29" s="132">
        <v>22.673999999999999</v>
      </c>
      <c r="V29" s="142">
        <f>+'Balance Sheet'!V154</f>
        <v>7.5</v>
      </c>
      <c r="W29" s="142">
        <f>+'Balance Sheet'!W154</f>
        <v>7.5</v>
      </c>
      <c r="X29" s="143">
        <f t="shared" ref="X29:X31" si="94">+W29+V29</f>
        <v>15</v>
      </c>
      <c r="Y29" s="142">
        <f>+'Balance Sheet'!Y154</f>
        <v>7.5</v>
      </c>
      <c r="Z29" s="142">
        <f>+'Balance Sheet'!Z154</f>
        <v>5.0858899336419867</v>
      </c>
      <c r="AA29" s="143">
        <f t="shared" ref="AA29:AA31" si="95">+Z29+Y29</f>
        <v>12.585889933641987</v>
      </c>
      <c r="AB29" s="142">
        <f>+'Balance Sheet'!AB154</f>
        <v>5.191781798897952</v>
      </c>
      <c r="AC29" s="142">
        <f>+'Balance Sheet'!AC154</f>
        <v>5.478488503781759</v>
      </c>
      <c r="AD29" s="143">
        <f t="shared" ref="AD29:AD31" si="96">+AC29+AB29</f>
        <v>10.670270302679711</v>
      </c>
      <c r="AE29" s="142">
        <f>+'Balance Sheet'!AE154</f>
        <v>5.7681770425134831</v>
      </c>
      <c r="AF29" s="142">
        <f>+'Balance Sheet'!AF154</f>
        <v>6.2444804363833191</v>
      </c>
      <c r="AG29" s="143">
        <f t="shared" ref="AG29:AG31" si="97">+AF29+AE29</f>
        <v>12.012657478896802</v>
      </c>
      <c r="AH29" s="142">
        <f>+'Balance Sheet'!AH154</f>
        <v>6.7243346354955209</v>
      </c>
      <c r="AI29" s="142">
        <f>+'Balance Sheet'!AI154</f>
        <v>7.4203883460182718</v>
      </c>
      <c r="AJ29" s="143">
        <f t="shared" ref="AJ29:AJ31" si="98">+AI29+AH29</f>
        <v>14.144722981513793</v>
      </c>
      <c r="AK29" s="142">
        <f>+'Balance Sheet'!AK154</f>
        <v>8.1006884999847877</v>
      </c>
      <c r="AL29" s="142">
        <f>+'Balance Sheet'!AL154</f>
        <v>8.9495724499815275</v>
      </c>
      <c r="AM29" s="143">
        <f t="shared" ref="AM29:AM31" si="99">+AL29+AK29</f>
        <v>17.050260949966315</v>
      </c>
      <c r="AN29" s="142">
        <f>+'Balance Sheet'!AN154</f>
        <v>9.7641801236141159</v>
      </c>
      <c r="AO29" s="142">
        <f>+'Balance Sheet'!AO154</f>
        <v>10.784463970659335</v>
      </c>
      <c r="AP29" s="143">
        <f t="shared" ref="AP29:AP31" si="100">+AO29+AN29</f>
        <v>20.548644094273449</v>
      </c>
      <c r="AQ29" s="142">
        <f>+'Balance Sheet'!AQ154</f>
        <v>11.775775111453289</v>
      </c>
      <c r="AR29" s="142">
        <f>+'Balance Sheet'!AR154</f>
        <v>12.99490421717219</v>
      </c>
      <c r="AS29" s="143">
        <f t="shared" ref="AS29:AS31" si="101">+AR29+AQ29</f>
        <v>24.770679328625477</v>
      </c>
      <c r="AT29" s="142">
        <f>+'Balance Sheet'!AT154</f>
        <v>14.178976155571052</v>
      </c>
      <c r="AU29" s="142">
        <f>+'Balance Sheet'!AU154</f>
        <v>15.614541181935916</v>
      </c>
      <c r="AV29" s="143">
        <f t="shared" ref="AV29:AV31" si="102">+AU29+AT29</f>
        <v>29.79351733750697</v>
      </c>
      <c r="AW29" s="142">
        <f>+'Balance Sheet'!AW154</f>
        <v>17.00867513584495</v>
      </c>
      <c r="AX29" s="142">
        <f>+'Balance Sheet'!AX154</f>
        <v>18.679585603190649</v>
      </c>
      <c r="AY29" s="143">
        <f t="shared" ref="AY29:AY31" si="103">+AX29+AW29</f>
        <v>35.688260739035599</v>
      </c>
    </row>
    <row r="30" spans="2:51" s="24" customFormat="1" ht="12" customHeight="1" x14ac:dyDescent="0.2">
      <c r="B30" s="23" t="s">
        <v>330</v>
      </c>
      <c r="C30" s="23"/>
      <c r="D30" s="25"/>
      <c r="E30" s="26"/>
      <c r="F30" s="132"/>
      <c r="G30" s="25"/>
      <c r="H30" s="26"/>
      <c r="I30" s="132">
        <v>0</v>
      </c>
      <c r="J30" s="25"/>
      <c r="K30" s="26"/>
      <c r="L30" s="132">
        <f>-0.07-0.139</f>
        <v>-0.20900000000000002</v>
      </c>
      <c r="M30" s="25">
        <f>-0.049-0.075</f>
        <v>-0.124</v>
      </c>
      <c r="N30" s="26">
        <f t="shared" si="91"/>
        <v>-0.18</v>
      </c>
      <c r="O30" s="132">
        <v>-0.30399999999999999</v>
      </c>
      <c r="P30" s="25">
        <f>-0.076-0.073</f>
        <v>-0.14899999999999999</v>
      </c>
      <c r="Q30" s="26">
        <f t="shared" si="92"/>
        <v>-0.18100000000000002</v>
      </c>
      <c r="R30" s="132">
        <v>-0.33</v>
      </c>
      <c r="S30" s="25">
        <v>-6.6000000000000003E-2</v>
      </c>
      <c r="T30" s="26">
        <f t="shared" si="93"/>
        <v>-6.5000000000000224E-2</v>
      </c>
      <c r="U30" s="132">
        <f>-18.902--18.771</f>
        <v>-0.13100000000000023</v>
      </c>
      <c r="V30" s="142">
        <f>+'Balance Sheet'!V151</f>
        <v>0</v>
      </c>
      <c r="W30" s="142">
        <f>+'Balance Sheet'!W151</f>
        <v>0</v>
      </c>
      <c r="X30" s="143">
        <f t="shared" si="94"/>
        <v>0</v>
      </c>
      <c r="Y30" s="142">
        <f>+'Balance Sheet'!Y151</f>
        <v>0</v>
      </c>
      <c r="Z30" s="142">
        <f>+'Balance Sheet'!Z151</f>
        <v>0</v>
      </c>
      <c r="AA30" s="143">
        <f t="shared" si="95"/>
        <v>0</v>
      </c>
      <c r="AB30" s="142">
        <f>+'Balance Sheet'!AB151</f>
        <v>0</v>
      </c>
      <c r="AC30" s="142">
        <f>+'Balance Sheet'!AC151</f>
        <v>0</v>
      </c>
      <c r="AD30" s="143">
        <f t="shared" si="96"/>
        <v>0</v>
      </c>
      <c r="AE30" s="142">
        <f>+'Balance Sheet'!AE151</f>
        <v>0</v>
      </c>
      <c r="AF30" s="142">
        <f>+'Balance Sheet'!AF151</f>
        <v>0</v>
      </c>
      <c r="AG30" s="143">
        <f t="shared" si="97"/>
        <v>0</v>
      </c>
      <c r="AH30" s="142">
        <f>+'Balance Sheet'!AH151</f>
        <v>0</v>
      </c>
      <c r="AI30" s="142">
        <f>+'Balance Sheet'!AI151</f>
        <v>0</v>
      </c>
      <c r="AJ30" s="143">
        <f t="shared" si="98"/>
        <v>0</v>
      </c>
      <c r="AK30" s="142">
        <f>+'Balance Sheet'!AK151</f>
        <v>0</v>
      </c>
      <c r="AL30" s="142">
        <f>+'Balance Sheet'!AL151</f>
        <v>0</v>
      </c>
      <c r="AM30" s="143">
        <f t="shared" si="99"/>
        <v>0</v>
      </c>
      <c r="AN30" s="142">
        <f>+'Balance Sheet'!AN151</f>
        <v>0</v>
      </c>
      <c r="AO30" s="142">
        <f>+'Balance Sheet'!AO151</f>
        <v>0</v>
      </c>
      <c r="AP30" s="143">
        <f t="shared" si="100"/>
        <v>0</v>
      </c>
      <c r="AQ30" s="142">
        <f>+'Balance Sheet'!AQ151</f>
        <v>0</v>
      </c>
      <c r="AR30" s="142">
        <f>+'Balance Sheet'!AR151</f>
        <v>0</v>
      </c>
      <c r="AS30" s="143">
        <f t="shared" si="101"/>
        <v>0</v>
      </c>
      <c r="AT30" s="142">
        <f>+'Balance Sheet'!AT151</f>
        <v>0</v>
      </c>
      <c r="AU30" s="142">
        <f>+'Balance Sheet'!AU151</f>
        <v>0</v>
      </c>
      <c r="AV30" s="143">
        <f t="shared" si="102"/>
        <v>0</v>
      </c>
      <c r="AW30" s="142">
        <f>+'Balance Sheet'!AW151</f>
        <v>0</v>
      </c>
      <c r="AX30" s="142">
        <f>+'Balance Sheet'!AX151</f>
        <v>0</v>
      </c>
      <c r="AY30" s="143">
        <f t="shared" si="103"/>
        <v>0</v>
      </c>
    </row>
    <row r="31" spans="2:51" s="24" customFormat="1" ht="12" customHeight="1" x14ac:dyDescent="0.2">
      <c r="B31" s="23" t="s">
        <v>502</v>
      </c>
      <c r="C31" s="23"/>
      <c r="D31" s="25"/>
      <c r="E31" s="26"/>
      <c r="F31" s="132"/>
      <c r="G31" s="25"/>
      <c r="H31" s="26"/>
      <c r="I31" s="132">
        <v>-5.1559999999999997</v>
      </c>
      <c r="J31" s="25"/>
      <c r="K31" s="26"/>
      <c r="L31" s="132">
        <v>-5.7990000000000004</v>
      </c>
      <c r="M31" s="25">
        <v>-3.6360000000000001</v>
      </c>
      <c r="N31" s="26">
        <f t="shared" si="91"/>
        <v>-4.5629999999999997</v>
      </c>
      <c r="O31" s="132">
        <v>-8.1989999999999998</v>
      </c>
      <c r="P31" s="25">
        <v>-6.2610000000000001</v>
      </c>
      <c r="Q31" s="26">
        <f t="shared" si="92"/>
        <v>-7.133</v>
      </c>
      <c r="R31" s="132">
        <v>-13.394</v>
      </c>
      <c r="S31" s="25">
        <v>-8.6859999999999999</v>
      </c>
      <c r="T31" s="26">
        <f t="shared" si="93"/>
        <v>-10.085000000000001</v>
      </c>
      <c r="U31" s="132">
        <f>-18.771</f>
        <v>-18.771000000000001</v>
      </c>
      <c r="V31" s="142">
        <f>+'Balance Sheet'!V140</f>
        <v>-9.3498470999999999</v>
      </c>
      <c r="W31" s="142">
        <f>+'Balance Sheet'!W140</f>
        <v>-9.5174752537499998</v>
      </c>
      <c r="X31" s="143">
        <f t="shared" si="94"/>
        <v>-18.867322353749998</v>
      </c>
      <c r="Y31" s="142">
        <f>+'Balance Sheet'!Y140</f>
        <v>-9.6394181748187489</v>
      </c>
      <c r="Z31" s="142">
        <f>+'Balance Sheet'!Z140</f>
        <v>-9.8118715819470914</v>
      </c>
      <c r="AA31" s="143">
        <f t="shared" si="95"/>
        <v>-19.451289756765838</v>
      </c>
      <c r="AB31" s="142">
        <f>+'Balance Sheet'!AB140</f>
        <v>-9.9345548810000945</v>
      </c>
      <c r="AC31" s="142">
        <f>+'Balance Sheet'!AC140</f>
        <v>-10.110822498574009</v>
      </c>
      <c r="AD31" s="143">
        <f t="shared" si="96"/>
        <v>-20.045377379574106</v>
      </c>
      <c r="AE31" s="142">
        <f>+'Balance Sheet'!AE140</f>
        <v>-10.232812067384367</v>
      </c>
      <c r="AF31" s="142">
        <f>+'Balance Sheet'!AF140</f>
        <v>-10.411563705502612</v>
      </c>
      <c r="AG31" s="143">
        <f t="shared" si="97"/>
        <v>-20.644375772886981</v>
      </c>
      <c r="AH31" s="142">
        <f>+'Balance Sheet'!AH140</f>
        <v>-10.531053876884263</v>
      </c>
      <c r="AI31" s="142">
        <f>+'Balance Sheet'!AI140</f>
        <v>-10.710573140489293</v>
      </c>
      <c r="AJ31" s="143">
        <f t="shared" si="98"/>
        <v>-21.241627017373556</v>
      </c>
      <c r="AK31" s="142">
        <f>+'Balance Sheet'!AK140</f>
        <v>-10.825312033825858</v>
      </c>
      <c r="AL31" s="142">
        <f>+'Balance Sheet'!AL140</f>
        <v>-11.003416592826163</v>
      </c>
      <c r="AM31" s="143">
        <f t="shared" si="99"/>
        <v>-21.828728626652023</v>
      </c>
      <c r="AN31" s="142">
        <f>+'Balance Sheet'!AN140</f>
        <v>-11.110617568590984</v>
      </c>
      <c r="AO31" s="142">
        <f>+'Balance Sheet'!AO140</f>
        <v>-11.284564451505709</v>
      </c>
      <c r="AP31" s="143">
        <f t="shared" si="100"/>
        <v>-22.395182020096691</v>
      </c>
      <c r="AQ31" s="142">
        <f>+'Balance Sheet'!AQ140</f>
        <v>-11.380801163411387</v>
      </c>
      <c r="AR31" s="142">
        <f>+'Balance Sheet'!AR140</f>
        <v>-11.547174356854681</v>
      </c>
      <c r="AS31" s="143">
        <f t="shared" si="101"/>
        <v>-22.927975520266067</v>
      </c>
      <c r="AT31" s="142">
        <f>+'Balance Sheet'!AT140</f>
        <v>-11.628256441479596</v>
      </c>
      <c r="AU31" s="142">
        <f>+'Balance Sheet'!AU140</f>
        <v>-11.782833591400189</v>
      </c>
      <c r="AV31" s="143">
        <f t="shared" si="102"/>
        <v>-23.411090032879784</v>
      </c>
      <c r="AW31" s="142">
        <f>+'Balance Sheet'!AW140</f>
        <v>-11.843659506533395</v>
      </c>
      <c r="AX31" s="142">
        <f>+'Balance Sheet'!AX140</f>
        <v>-11.981253944163171</v>
      </c>
      <c r="AY31" s="143">
        <f t="shared" si="103"/>
        <v>-23.824913450696567</v>
      </c>
    </row>
    <row r="32" spans="2:51" s="24" customFormat="1" ht="12" customHeight="1" x14ac:dyDescent="0.2">
      <c r="B32" s="46" t="s">
        <v>331</v>
      </c>
      <c r="C32" s="46"/>
      <c r="D32" s="47"/>
      <c r="E32" s="47"/>
      <c r="F32" s="48"/>
      <c r="G32" s="47"/>
      <c r="H32" s="47"/>
      <c r="I32" s="48">
        <f t="shared" ref="I32:Q32" si="104">SUM(I29:I31)</f>
        <v>-2.2209999999999996</v>
      </c>
      <c r="J32" s="47">
        <f t="shared" si="104"/>
        <v>0</v>
      </c>
      <c r="K32" s="47">
        <f t="shared" si="104"/>
        <v>0</v>
      </c>
      <c r="L32" s="48">
        <f t="shared" si="104"/>
        <v>-2.8350000000000004</v>
      </c>
      <c r="M32" s="47">
        <f t="shared" si="104"/>
        <v>-1.6220000000000003</v>
      </c>
      <c r="N32" s="47">
        <f t="shared" si="104"/>
        <v>-2.2879999999999998</v>
      </c>
      <c r="O32" s="48">
        <f t="shared" si="104"/>
        <v>-3.91</v>
      </c>
      <c r="P32" s="47">
        <f t="shared" si="104"/>
        <v>-4.0830000000000002</v>
      </c>
      <c r="Q32" s="47">
        <f t="shared" si="104"/>
        <v>-3.6290000000000004</v>
      </c>
      <c r="R32" s="48">
        <f>SUM(R29:R31)</f>
        <v>-7.7120000000000006</v>
      </c>
      <c r="S32" s="47">
        <f t="shared" ref="S32" si="105">SUM(S29:S31)</f>
        <v>2.6929999999999996</v>
      </c>
      <c r="T32" s="47">
        <f t="shared" ref="T32" si="106">SUM(T29:T31)</f>
        <v>1.0789999999999988</v>
      </c>
      <c r="U32" s="48">
        <f>SUM(U29:U31)</f>
        <v>3.7719999999999985</v>
      </c>
      <c r="V32" s="47">
        <f t="shared" ref="V32" si="107">SUM(V29:V31)</f>
        <v>-1.8498470999999999</v>
      </c>
      <c r="W32" s="47">
        <f t="shared" ref="W32" si="108">SUM(W29:W31)</f>
        <v>-2.0174752537499998</v>
      </c>
      <c r="X32" s="48">
        <f t="shared" ref="X32" si="109">SUM(X29:X31)</f>
        <v>-3.8673223537499979</v>
      </c>
      <c r="Y32" s="47">
        <f t="shared" ref="Y32" si="110">SUM(Y29:Y31)</f>
        <v>-2.1394181748187489</v>
      </c>
      <c r="Z32" s="47">
        <f t="shared" ref="Z32" si="111">SUM(Z29:Z31)</f>
        <v>-4.7259816483051047</v>
      </c>
      <c r="AA32" s="48">
        <f t="shared" ref="AA32" si="112">SUM(AA29:AA31)</f>
        <v>-6.8653998231238518</v>
      </c>
      <c r="AB32" s="47">
        <f t="shared" ref="AB32" si="113">SUM(AB29:AB31)</f>
        <v>-4.7427730821021425</v>
      </c>
      <c r="AC32" s="47">
        <f t="shared" ref="AC32" si="114">SUM(AC29:AC31)</f>
        <v>-4.6323339947922504</v>
      </c>
      <c r="AD32" s="48">
        <f t="shared" ref="AD32" si="115">SUM(AD29:AD31)</f>
        <v>-9.3751070768943947</v>
      </c>
      <c r="AE32" s="47">
        <f t="shared" ref="AE32" si="116">SUM(AE29:AE31)</f>
        <v>-4.4646350248708844</v>
      </c>
      <c r="AF32" s="47">
        <f t="shared" ref="AF32" si="117">SUM(AF29:AF31)</f>
        <v>-4.1670832691192929</v>
      </c>
      <c r="AG32" s="48">
        <f t="shared" ref="AG32" si="118">SUM(AG29:AG31)</f>
        <v>-8.6317182939901791</v>
      </c>
      <c r="AH32" s="47">
        <f t="shared" ref="AH32" si="119">SUM(AH29:AH31)</f>
        <v>-3.8067192413887421</v>
      </c>
      <c r="AI32" s="47">
        <f t="shared" ref="AI32" si="120">SUM(AI29:AI31)</f>
        <v>-3.2901847944710214</v>
      </c>
      <c r="AJ32" s="48">
        <f t="shared" ref="AJ32" si="121">SUM(AJ29:AJ31)</f>
        <v>-7.0969040358597635</v>
      </c>
      <c r="AK32" s="47">
        <f t="shared" ref="AK32" si="122">SUM(AK29:AK31)</f>
        <v>-2.7246235338410703</v>
      </c>
      <c r="AL32" s="47">
        <f t="shared" ref="AL32" si="123">SUM(AL29:AL31)</f>
        <v>-2.0538441428446355</v>
      </c>
      <c r="AM32" s="48">
        <f t="shared" ref="AM32" si="124">SUM(AM29:AM31)</f>
        <v>-4.7784676766857075</v>
      </c>
      <c r="AN32" s="47">
        <f t="shared" ref="AN32" si="125">SUM(AN29:AN31)</f>
        <v>-1.3464374449768677</v>
      </c>
      <c r="AO32" s="47">
        <f t="shared" ref="AO32" si="126">SUM(AO29:AO31)</f>
        <v>-0.50010048084637404</v>
      </c>
      <c r="AP32" s="48">
        <f t="shared" ref="AP32" si="127">SUM(AP29:AP31)</f>
        <v>-1.8465379258232417</v>
      </c>
      <c r="AQ32" s="47">
        <f t="shared" ref="AQ32" si="128">SUM(AQ29:AQ31)</f>
        <v>0.39497394804190122</v>
      </c>
      <c r="AR32" s="47">
        <f t="shared" ref="AR32" si="129">SUM(AR29:AR31)</f>
        <v>1.4477298603175086</v>
      </c>
      <c r="AS32" s="48">
        <f t="shared" ref="AS32" si="130">SUM(AS29:AS31)</f>
        <v>1.8427038083594098</v>
      </c>
      <c r="AT32" s="47">
        <f t="shared" ref="AT32" si="131">SUM(AT29:AT31)</f>
        <v>2.5507197140914553</v>
      </c>
      <c r="AU32" s="47">
        <f t="shared" ref="AU32" si="132">SUM(AU29:AU31)</f>
        <v>3.8317075905357267</v>
      </c>
      <c r="AV32" s="48">
        <f t="shared" ref="AV32" si="133">SUM(AV29:AV31)</f>
        <v>6.3824273046271855</v>
      </c>
      <c r="AW32" s="47">
        <f t="shared" ref="AW32" si="134">SUM(AW29:AW31)</f>
        <v>5.1650156293115543</v>
      </c>
      <c r="AX32" s="47">
        <f t="shared" ref="AX32" si="135">SUM(AX29:AX31)</f>
        <v>6.6983316590274775</v>
      </c>
      <c r="AY32" s="48">
        <f t="shared" ref="AY32" si="136">SUM(AY29:AY31)</f>
        <v>11.863347288339032</v>
      </c>
    </row>
    <row r="33" spans="1:51" s="24" customFormat="1" ht="12" customHeight="1" x14ac:dyDescent="0.2">
      <c r="B33" s="23"/>
      <c r="C33" s="23"/>
      <c r="D33" s="25"/>
      <c r="E33" s="26"/>
      <c r="F33" s="132"/>
      <c r="G33" s="25"/>
      <c r="H33" s="26"/>
      <c r="I33" s="132"/>
      <c r="J33" s="25"/>
      <c r="K33" s="26"/>
      <c r="L33" s="132"/>
      <c r="M33" s="25"/>
      <c r="N33" s="26"/>
      <c r="O33" s="132"/>
      <c r="P33" s="25"/>
      <c r="Q33" s="26"/>
      <c r="R33" s="132"/>
      <c r="S33" s="25"/>
      <c r="T33" s="26"/>
      <c r="U33" s="132"/>
      <c r="V33" s="142"/>
      <c r="W33" s="142"/>
      <c r="X33" s="143"/>
      <c r="Y33" s="142"/>
      <c r="Z33" s="142"/>
      <c r="AA33" s="143"/>
      <c r="AB33" s="142"/>
      <c r="AC33" s="142"/>
      <c r="AD33" s="143"/>
      <c r="AE33" s="142"/>
      <c r="AF33" s="142"/>
      <c r="AG33" s="143"/>
      <c r="AH33" s="142"/>
      <c r="AI33" s="142"/>
      <c r="AJ33" s="143"/>
      <c r="AK33" s="142"/>
      <c r="AL33" s="142"/>
      <c r="AM33" s="143"/>
      <c r="AN33" s="142"/>
      <c r="AO33" s="142"/>
      <c r="AP33" s="143"/>
      <c r="AQ33" s="142"/>
      <c r="AR33" s="142"/>
      <c r="AS33" s="143"/>
      <c r="AT33" s="142"/>
      <c r="AU33" s="142"/>
      <c r="AV33" s="143"/>
      <c r="AW33" s="142"/>
      <c r="AX33" s="142"/>
      <c r="AY33" s="143"/>
    </row>
    <row r="34" spans="1:51" s="24" customFormat="1" ht="12" customHeight="1" x14ac:dyDescent="0.2">
      <c r="B34" s="46" t="s">
        <v>309</v>
      </c>
      <c r="C34" s="46"/>
      <c r="D34" s="47"/>
      <c r="E34" s="47"/>
      <c r="F34" s="48"/>
      <c r="G34" s="47"/>
      <c r="H34" s="47"/>
      <c r="I34" s="48">
        <f t="shared" ref="I34:AJ34" si="137">+I32+I25</f>
        <v>6.3240000000000052</v>
      </c>
      <c r="J34" s="47">
        <f t="shared" si="137"/>
        <v>0</v>
      </c>
      <c r="K34" s="47">
        <f t="shared" si="137"/>
        <v>0</v>
      </c>
      <c r="L34" s="48">
        <f t="shared" si="137"/>
        <v>6.6110000000000042</v>
      </c>
      <c r="M34" s="47">
        <f t="shared" si="137"/>
        <v>0.34799999999999143</v>
      </c>
      <c r="N34" s="47">
        <f t="shared" si="137"/>
        <v>-0.19200000000002815</v>
      </c>
      <c r="O34" s="48">
        <f t="shared" si="137"/>
        <v>0.15599999999998104</v>
      </c>
      <c r="P34" s="47">
        <f t="shared" si="137"/>
        <v>-1.0790000000000024</v>
      </c>
      <c r="Q34" s="47">
        <f t="shared" si="137"/>
        <v>-10.481999999999999</v>
      </c>
      <c r="R34" s="48">
        <f t="shared" si="137"/>
        <v>-11.561</v>
      </c>
      <c r="S34" s="47">
        <f t="shared" ref="S34:U34" si="138">+S32+S25</f>
        <v>15.191000000000004</v>
      </c>
      <c r="T34" s="47">
        <f t="shared" si="138"/>
        <v>14.019000000000025</v>
      </c>
      <c r="U34" s="48">
        <f t="shared" si="138"/>
        <v>29.210000000000079</v>
      </c>
      <c r="V34" s="47">
        <f t="shared" si="137"/>
        <v>15.577225290347281</v>
      </c>
      <c r="W34" s="47">
        <f t="shared" si="137"/>
        <v>14.118367892884063</v>
      </c>
      <c r="X34" s="48">
        <f t="shared" si="137"/>
        <v>29.695593183231352</v>
      </c>
      <c r="Y34" s="47">
        <f t="shared" si="137"/>
        <v>24.263427700142621</v>
      </c>
      <c r="Z34" s="47">
        <f t="shared" si="137"/>
        <v>21.377019488507948</v>
      </c>
      <c r="AA34" s="48">
        <f t="shared" si="137"/>
        <v>45.640447188650576</v>
      </c>
      <c r="AB34" s="47">
        <f t="shared" si="137"/>
        <v>35.345879214831371</v>
      </c>
      <c r="AC34" s="47">
        <f t="shared" si="137"/>
        <v>35.062113442168432</v>
      </c>
      <c r="AD34" s="48">
        <f t="shared" si="137"/>
        <v>70.407992656999795</v>
      </c>
      <c r="AE34" s="47">
        <f t="shared" si="137"/>
        <v>49.95298794088481</v>
      </c>
      <c r="AF34" s="47">
        <f t="shared" si="137"/>
        <v>49.573706780266065</v>
      </c>
      <c r="AG34" s="48">
        <f t="shared" si="137"/>
        <v>99.526694721150889</v>
      </c>
      <c r="AH34" s="47">
        <f t="shared" si="137"/>
        <v>67.363896035797723</v>
      </c>
      <c r="AI34" s="47">
        <f t="shared" si="137"/>
        <v>65.052872398011274</v>
      </c>
      <c r="AJ34" s="48">
        <f t="shared" si="137"/>
        <v>132.41676843380904</v>
      </c>
      <c r="AK34" s="47">
        <f t="shared" ref="AK34:AY34" si="139">+AK32+AK25</f>
        <v>76.544962396287943</v>
      </c>
      <c r="AL34" s="47">
        <f t="shared" si="139"/>
        <v>75.857414456969224</v>
      </c>
      <c r="AM34" s="48">
        <f t="shared" si="139"/>
        <v>152.40237685325718</v>
      </c>
      <c r="AN34" s="47">
        <f t="shared" si="139"/>
        <v>91.060295290487218</v>
      </c>
      <c r="AO34" s="47">
        <f t="shared" si="139"/>
        <v>90.034646844734851</v>
      </c>
      <c r="AP34" s="48">
        <f t="shared" si="139"/>
        <v>181.09494213522206</v>
      </c>
      <c r="AQ34" s="47">
        <f t="shared" si="139"/>
        <v>107.09380298570855</v>
      </c>
      <c r="AR34" s="47">
        <f t="shared" si="139"/>
        <v>105.7038876726854</v>
      </c>
      <c r="AS34" s="48">
        <f t="shared" si="139"/>
        <v>212.79769065839395</v>
      </c>
      <c r="AT34" s="47">
        <f t="shared" si="139"/>
        <v>124.73283375922463</v>
      </c>
      <c r="AU34" s="47">
        <f t="shared" si="139"/>
        <v>122.94258263393245</v>
      </c>
      <c r="AV34" s="48">
        <f t="shared" si="139"/>
        <v>247.67541639315706</v>
      </c>
      <c r="AW34" s="47">
        <f t="shared" si="139"/>
        <v>144.06384714271695</v>
      </c>
      <c r="AX34" s="47">
        <f t="shared" si="139"/>
        <v>141.83804552584382</v>
      </c>
      <c r="AY34" s="48">
        <f t="shared" si="139"/>
        <v>285.90189266856078</v>
      </c>
    </row>
    <row r="35" spans="1:51" s="24" customFormat="1" ht="12" customHeight="1" x14ac:dyDescent="0.2">
      <c r="B35" s="23" t="s">
        <v>47</v>
      </c>
      <c r="C35" s="23"/>
      <c r="D35" s="142"/>
      <c r="E35" s="142"/>
      <c r="F35" s="143"/>
      <c r="G35" s="142"/>
      <c r="H35" s="142"/>
      <c r="I35" s="143">
        <f t="shared" ref="I35" si="140">+I36-I34</f>
        <v>1.2759999999999945</v>
      </c>
      <c r="J35" s="142"/>
      <c r="K35" s="142"/>
      <c r="L35" s="143">
        <f t="shared" ref="L35:O35" si="141">+L36-L34</f>
        <v>-1.0110000000000046</v>
      </c>
      <c r="M35" s="142">
        <f t="shared" si="141"/>
        <v>2.9520000000000084</v>
      </c>
      <c r="N35" s="142">
        <f t="shared" si="141"/>
        <v>4.4920000000000275</v>
      </c>
      <c r="O35" s="143">
        <f t="shared" si="141"/>
        <v>7.4440000000000186</v>
      </c>
      <c r="P35" s="142">
        <f>+P36-P34</f>
        <v>11.179000000000002</v>
      </c>
      <c r="Q35" s="142">
        <f t="shared" ref="Q35" si="142">+Q36-Q34</f>
        <v>16.682000000000002</v>
      </c>
      <c r="R35" s="143">
        <f t="shared" ref="R35" si="143">+R36-R34</f>
        <v>27.861000000000001</v>
      </c>
      <c r="S35" s="142">
        <f>+S36-S34</f>
        <v>0</v>
      </c>
      <c r="T35" s="142">
        <f t="shared" ref="T35:U35" si="144">+T36-T34</f>
        <v>-1.0000000000026432E-2</v>
      </c>
      <c r="U35" s="143">
        <f t="shared" si="144"/>
        <v>-1.0000000000079723E-2</v>
      </c>
      <c r="V35" s="140">
        <v>0</v>
      </c>
      <c r="W35" s="140">
        <v>0</v>
      </c>
      <c r="X35" s="143">
        <f t="shared" ref="X35" si="145">+W35+V35</f>
        <v>0</v>
      </c>
      <c r="Y35" s="140">
        <v>0</v>
      </c>
      <c r="Z35" s="140">
        <v>0</v>
      </c>
      <c r="AA35" s="143">
        <f t="shared" ref="AA35" si="146">+Z35+Y35</f>
        <v>0</v>
      </c>
      <c r="AB35" s="140">
        <v>0</v>
      </c>
      <c r="AC35" s="140">
        <v>0</v>
      </c>
      <c r="AD35" s="143">
        <f t="shared" ref="AD35" si="147">+AC35+AB35</f>
        <v>0</v>
      </c>
      <c r="AE35" s="140">
        <v>0</v>
      </c>
      <c r="AF35" s="140">
        <v>0</v>
      </c>
      <c r="AG35" s="143">
        <f t="shared" ref="AG35" si="148">+AF35+AE35</f>
        <v>0</v>
      </c>
      <c r="AH35" s="140">
        <v>0</v>
      </c>
      <c r="AI35" s="140">
        <v>0</v>
      </c>
      <c r="AJ35" s="143">
        <f t="shared" ref="AJ35" si="149">+AI35+AH35</f>
        <v>0</v>
      </c>
      <c r="AK35" s="140">
        <v>0</v>
      </c>
      <c r="AL35" s="140">
        <v>0</v>
      </c>
      <c r="AM35" s="143">
        <f t="shared" ref="AM35" si="150">+AL35+AK35</f>
        <v>0</v>
      </c>
      <c r="AN35" s="140">
        <v>0</v>
      </c>
      <c r="AO35" s="140">
        <v>0</v>
      </c>
      <c r="AP35" s="143">
        <f t="shared" ref="AP35" si="151">+AO35+AN35</f>
        <v>0</v>
      </c>
      <c r="AQ35" s="140">
        <v>0</v>
      </c>
      <c r="AR35" s="140">
        <v>0</v>
      </c>
      <c r="AS35" s="143">
        <f t="shared" ref="AS35" si="152">+AR35+AQ35</f>
        <v>0</v>
      </c>
      <c r="AT35" s="140">
        <v>0</v>
      </c>
      <c r="AU35" s="140">
        <v>0</v>
      </c>
      <c r="AV35" s="143">
        <f t="shared" ref="AV35" si="153">+AU35+AT35</f>
        <v>0</v>
      </c>
      <c r="AW35" s="140">
        <v>0</v>
      </c>
      <c r="AX35" s="140">
        <v>0</v>
      </c>
      <c r="AY35" s="143">
        <f t="shared" ref="AY35" si="154">+AX35+AW35</f>
        <v>0</v>
      </c>
    </row>
    <row r="36" spans="1:51" s="24" customFormat="1" ht="12" customHeight="1" x14ac:dyDescent="0.2">
      <c r="B36" s="34" t="s">
        <v>363</v>
      </c>
      <c r="C36" s="35"/>
      <c r="D36" s="198"/>
      <c r="E36" s="198"/>
      <c r="F36" s="199"/>
      <c r="G36" s="187"/>
      <c r="H36" s="147"/>
      <c r="I36" s="188">
        <v>7.6</v>
      </c>
      <c r="J36" s="187"/>
      <c r="K36" s="147"/>
      <c r="L36" s="188">
        <v>5.6</v>
      </c>
      <c r="M36" s="187">
        <v>3.3</v>
      </c>
      <c r="N36" s="147">
        <f>+O36-M36</f>
        <v>4.3</v>
      </c>
      <c r="O36" s="188">
        <v>7.6</v>
      </c>
      <c r="P36" s="187">
        <v>10.1</v>
      </c>
      <c r="Q36" s="147">
        <f>+R36-P36</f>
        <v>6.2000000000000011</v>
      </c>
      <c r="R36" s="188">
        <v>16.3</v>
      </c>
      <c r="S36" s="187">
        <v>15.191000000000001</v>
      </c>
      <c r="T36" s="147">
        <f>+U36-S36</f>
        <v>14.008999999999999</v>
      </c>
      <c r="U36" s="188">
        <v>29.2</v>
      </c>
      <c r="V36" s="147">
        <f t="shared" ref="V36" si="155">+V35+V34</f>
        <v>15.577225290347281</v>
      </c>
      <c r="W36" s="147">
        <f t="shared" ref="W36" si="156">+W35+W34</f>
        <v>14.118367892884063</v>
      </c>
      <c r="X36" s="148">
        <f t="shared" ref="X36" si="157">+X35+X34</f>
        <v>29.695593183231352</v>
      </c>
      <c r="Y36" s="147">
        <f t="shared" ref="Y36" si="158">+Y35+Y34</f>
        <v>24.263427700142621</v>
      </c>
      <c r="Z36" s="147">
        <f t="shared" ref="Z36" si="159">+Z35+Z34</f>
        <v>21.377019488507948</v>
      </c>
      <c r="AA36" s="148">
        <f t="shared" ref="AA36" si="160">+AA35+AA34</f>
        <v>45.640447188650576</v>
      </c>
      <c r="AB36" s="147">
        <f t="shared" ref="AB36" si="161">+AB35+AB34</f>
        <v>35.345879214831371</v>
      </c>
      <c r="AC36" s="147">
        <f t="shared" ref="AC36" si="162">+AC35+AC34</f>
        <v>35.062113442168432</v>
      </c>
      <c r="AD36" s="148">
        <f t="shared" ref="AD36" si="163">+AD35+AD34</f>
        <v>70.407992656999795</v>
      </c>
      <c r="AE36" s="147">
        <f t="shared" ref="AE36" si="164">+AE35+AE34</f>
        <v>49.95298794088481</v>
      </c>
      <c r="AF36" s="147">
        <f t="shared" ref="AF36" si="165">+AF35+AF34</f>
        <v>49.573706780266065</v>
      </c>
      <c r="AG36" s="148">
        <f t="shared" ref="AG36" si="166">+AG35+AG34</f>
        <v>99.526694721150889</v>
      </c>
      <c r="AH36" s="147">
        <f t="shared" ref="AH36" si="167">+AH35+AH34</f>
        <v>67.363896035797723</v>
      </c>
      <c r="AI36" s="147">
        <f t="shared" ref="AI36" si="168">+AI35+AI34</f>
        <v>65.052872398011274</v>
      </c>
      <c r="AJ36" s="148">
        <f t="shared" ref="AJ36:AL36" si="169">+AJ35+AJ34</f>
        <v>132.41676843380904</v>
      </c>
      <c r="AK36" s="147">
        <f t="shared" si="169"/>
        <v>76.544962396287943</v>
      </c>
      <c r="AL36" s="147">
        <f t="shared" si="169"/>
        <v>75.857414456969224</v>
      </c>
      <c r="AM36" s="148">
        <f t="shared" ref="AM36:AY36" si="170">+AM35+AM34</f>
        <v>152.40237685325718</v>
      </c>
      <c r="AN36" s="147">
        <f t="shared" si="170"/>
        <v>91.060295290487218</v>
      </c>
      <c r="AO36" s="147">
        <f t="shared" si="170"/>
        <v>90.034646844734851</v>
      </c>
      <c r="AP36" s="148">
        <f t="shared" si="170"/>
        <v>181.09494213522206</v>
      </c>
      <c r="AQ36" s="147">
        <f t="shared" si="170"/>
        <v>107.09380298570855</v>
      </c>
      <c r="AR36" s="147">
        <f t="shared" si="170"/>
        <v>105.7038876726854</v>
      </c>
      <c r="AS36" s="148">
        <f t="shared" si="170"/>
        <v>212.79769065839395</v>
      </c>
      <c r="AT36" s="147">
        <f t="shared" si="170"/>
        <v>124.73283375922463</v>
      </c>
      <c r="AU36" s="147">
        <f t="shared" si="170"/>
        <v>122.94258263393245</v>
      </c>
      <c r="AV36" s="148">
        <f t="shared" si="170"/>
        <v>247.67541639315706</v>
      </c>
      <c r="AW36" s="147">
        <f t="shared" si="170"/>
        <v>144.06384714271695</v>
      </c>
      <c r="AX36" s="147">
        <f t="shared" si="170"/>
        <v>141.83804552584382</v>
      </c>
      <c r="AY36" s="148">
        <f t="shared" si="170"/>
        <v>285.90189266856078</v>
      </c>
    </row>
    <row r="37" spans="1:51" s="24" customFormat="1" ht="12" customHeight="1" x14ac:dyDescent="0.2">
      <c r="B37" s="23"/>
      <c r="C37" s="23"/>
      <c r="D37" s="26"/>
      <c r="E37" s="26"/>
      <c r="F37" s="27"/>
      <c r="G37" s="26"/>
      <c r="H37" s="26"/>
      <c r="I37" s="27"/>
      <c r="J37" s="26"/>
      <c r="K37" s="26"/>
      <c r="L37" s="27"/>
      <c r="M37" s="26"/>
      <c r="N37" s="26"/>
      <c r="O37" s="27"/>
      <c r="P37" s="26"/>
      <c r="Q37" s="26"/>
      <c r="R37" s="27"/>
      <c r="S37" s="26"/>
      <c r="T37" s="26"/>
      <c r="U37" s="27"/>
      <c r="V37" s="26"/>
      <c r="W37" s="26"/>
      <c r="X37" s="27"/>
      <c r="Y37" s="26"/>
      <c r="Z37" s="26"/>
      <c r="AA37" s="27"/>
      <c r="AB37" s="26"/>
      <c r="AC37" s="26"/>
      <c r="AD37" s="27"/>
      <c r="AE37" s="26"/>
      <c r="AF37" s="26"/>
      <c r="AG37" s="27"/>
      <c r="AH37" s="26"/>
      <c r="AI37" s="26"/>
      <c r="AJ37" s="27"/>
      <c r="AK37" s="26"/>
      <c r="AL37" s="26"/>
      <c r="AM37" s="27"/>
      <c r="AN37" s="26"/>
      <c r="AO37" s="26"/>
      <c r="AP37" s="27"/>
      <c r="AQ37" s="26"/>
      <c r="AR37" s="26"/>
      <c r="AS37" s="27"/>
      <c r="AT37" s="26"/>
      <c r="AU37" s="26"/>
      <c r="AV37" s="27"/>
      <c r="AW37" s="26"/>
      <c r="AX37" s="26"/>
      <c r="AY37" s="27"/>
    </row>
    <row r="38" spans="1:51" s="24" customFormat="1" ht="12" customHeight="1" x14ac:dyDescent="0.2">
      <c r="B38" s="23" t="s">
        <v>55</v>
      </c>
      <c r="C38" s="23"/>
      <c r="D38" s="25"/>
      <c r="E38" s="26"/>
      <c r="F38" s="132"/>
      <c r="G38" s="25"/>
      <c r="H38" s="26"/>
      <c r="I38" s="132">
        <v>-2.3359999999999999</v>
      </c>
      <c r="J38" s="25"/>
      <c r="K38" s="26"/>
      <c r="L38" s="132">
        <v>-2.7</v>
      </c>
      <c r="M38" s="25">
        <v>-1.4690000000000001</v>
      </c>
      <c r="N38" s="26">
        <f>+O38-M38</f>
        <v>-0.95399999999999996</v>
      </c>
      <c r="O38" s="132">
        <v>-2.423</v>
      </c>
      <c r="P38" s="25">
        <v>-2.8809999999999998</v>
      </c>
      <c r="Q38" s="26">
        <f>+R38-P38</f>
        <v>0.69399999999999995</v>
      </c>
      <c r="R38" s="132">
        <v>-2.1869999999999998</v>
      </c>
      <c r="S38" s="25">
        <v>-7.89</v>
      </c>
      <c r="T38" s="26">
        <f>+U38-S38</f>
        <v>-6.8440000000000003</v>
      </c>
      <c r="U38" s="132">
        <v>-14.734</v>
      </c>
      <c r="V38" s="142">
        <f>+-V34*V39</f>
        <v>-4.6731675871041842</v>
      </c>
      <c r="W38" s="142">
        <f>+-W34*W39</f>
        <v>-4.2355103678652188</v>
      </c>
      <c r="X38" s="143">
        <f t="shared" ref="X38" si="171">+W38+V38</f>
        <v>-8.9086779549694022</v>
      </c>
      <c r="Y38" s="142">
        <f>+-Y34*Y39</f>
        <v>-7.2790283100427864</v>
      </c>
      <c r="Z38" s="142">
        <f>+-Z34*Z39</f>
        <v>-6.4131058465523845</v>
      </c>
      <c r="AA38" s="143">
        <f t="shared" ref="AA38" si="172">+Z38+Y38</f>
        <v>-13.69213415659517</v>
      </c>
      <c r="AB38" s="142">
        <f>+-AB34*AB39</f>
        <v>-10.603763764449411</v>
      </c>
      <c r="AC38" s="142">
        <f>+-AC34*AC39</f>
        <v>-10.51863403265053</v>
      </c>
      <c r="AD38" s="143">
        <f t="shared" ref="AD38" si="173">+AC38+AB38</f>
        <v>-21.122397797099943</v>
      </c>
      <c r="AE38" s="142">
        <f>+-AE34*AE39</f>
        <v>-14.985896382265443</v>
      </c>
      <c r="AF38" s="142">
        <f>+-AF34*AF39</f>
        <v>-14.872112034079819</v>
      </c>
      <c r="AG38" s="143">
        <f t="shared" ref="AG38" si="174">+AF38+AE38</f>
        <v>-29.858008416345264</v>
      </c>
      <c r="AH38" s="142">
        <f>+-AH34*AH39</f>
        <v>-20.209168810739317</v>
      </c>
      <c r="AI38" s="142">
        <f>+-AI34*AI39</f>
        <v>-19.515861719403382</v>
      </c>
      <c r="AJ38" s="143">
        <f t="shared" ref="AJ38" si="175">+AI38+AH38</f>
        <v>-39.725030530142703</v>
      </c>
      <c r="AK38" s="142">
        <f>+-AK34*AK39</f>
        <v>-22.963488718886381</v>
      </c>
      <c r="AL38" s="142">
        <f>+-AL34*AL39</f>
        <v>-22.757224337090765</v>
      </c>
      <c r="AM38" s="143">
        <f t="shared" ref="AM38" si="176">+AL38+AK38</f>
        <v>-45.720713055977143</v>
      </c>
      <c r="AN38" s="142">
        <f>+-AN34*AN39</f>
        <v>-27.318088587146164</v>
      </c>
      <c r="AO38" s="142">
        <f>+-AO34*AO39</f>
        <v>-27.010394053420455</v>
      </c>
      <c r="AP38" s="143">
        <f t="shared" ref="AP38" si="177">+AO38+AN38</f>
        <v>-54.328482640566619</v>
      </c>
      <c r="AQ38" s="142">
        <f>+-AQ34*AQ39</f>
        <v>-32.128140895712562</v>
      </c>
      <c r="AR38" s="142">
        <f>+-AR34*AR39</f>
        <v>-31.711166301805619</v>
      </c>
      <c r="AS38" s="143">
        <f t="shared" ref="AS38" si="178">+AR38+AQ38</f>
        <v>-63.839307197518181</v>
      </c>
      <c r="AT38" s="142">
        <f>+-AT34*AT39</f>
        <v>-37.41985012776739</v>
      </c>
      <c r="AU38" s="142">
        <f>+-AU34*AU39</f>
        <v>-36.882774790179731</v>
      </c>
      <c r="AV38" s="143">
        <f t="shared" ref="AV38" si="179">+AU38+AT38</f>
        <v>-74.302624917947128</v>
      </c>
      <c r="AW38" s="142">
        <f>+-AW34*AW39</f>
        <v>-43.219154142815086</v>
      </c>
      <c r="AX38" s="142">
        <f>+-AX34*AX39</f>
        <v>-42.551413657753145</v>
      </c>
      <c r="AY38" s="143">
        <f t="shared" ref="AY38" si="180">+AX38+AW38</f>
        <v>-85.77056780056823</v>
      </c>
    </row>
    <row r="39" spans="1:51" s="51" customFormat="1" ht="12" customHeight="1" x14ac:dyDescent="0.2">
      <c r="A39" s="24"/>
      <c r="B39" s="149" t="s">
        <v>98</v>
      </c>
      <c r="C39" s="59"/>
      <c r="D39" s="60"/>
      <c r="E39" s="60"/>
      <c r="F39" s="150"/>
      <c r="G39" s="60"/>
      <c r="H39" s="60"/>
      <c r="I39" s="150">
        <f t="shared" ref="I39" si="181">-I38/I34</f>
        <v>0.36938646426312427</v>
      </c>
      <c r="J39" s="60"/>
      <c r="K39" s="60"/>
      <c r="L39" s="150">
        <f t="shared" ref="L39:R39" si="182">+-L38/L34</f>
        <v>0.40841022538193894</v>
      </c>
      <c r="M39" s="60">
        <f t="shared" si="182"/>
        <v>4.2212643678161959</v>
      </c>
      <c r="N39" s="60">
        <f t="shared" si="182"/>
        <v>-4.9687499999992717</v>
      </c>
      <c r="O39" s="150">
        <f t="shared" si="182"/>
        <v>15.532051282053169</v>
      </c>
      <c r="P39" s="408">
        <f t="shared" si="182"/>
        <v>-2.670064874884146</v>
      </c>
      <c r="Q39" s="408">
        <f t="shared" si="182"/>
        <v>6.6208738790307198E-2</v>
      </c>
      <c r="R39" s="150">
        <f t="shared" si="182"/>
        <v>-0.18917048698209496</v>
      </c>
      <c r="S39" s="60">
        <f>+-S38/S34</f>
        <v>0.51938647883615285</v>
      </c>
      <c r="T39" s="408">
        <f t="shared" ref="T39:U39" si="183">+-T38/T34</f>
        <v>0.48819459305228535</v>
      </c>
      <c r="U39" s="150">
        <f t="shared" si="183"/>
        <v>0.50441629578911196</v>
      </c>
      <c r="V39" s="151">
        <v>0.3</v>
      </c>
      <c r="W39" s="151">
        <v>0.3</v>
      </c>
      <c r="X39" s="150">
        <f t="shared" ref="X39" si="184">-X38/X34</f>
        <v>0.29999999999999988</v>
      </c>
      <c r="Y39" s="151">
        <v>0.3</v>
      </c>
      <c r="Z39" s="151">
        <v>0.3</v>
      </c>
      <c r="AA39" s="150">
        <f t="shared" ref="AA39" si="185">-AA38/AA34</f>
        <v>0.29999999999999993</v>
      </c>
      <c r="AB39" s="151">
        <v>0.3</v>
      </c>
      <c r="AC39" s="151">
        <v>0.3</v>
      </c>
      <c r="AD39" s="150">
        <f t="shared" ref="AD39" si="186">-AD38/AD34</f>
        <v>0.30000000000000004</v>
      </c>
      <c r="AE39" s="151">
        <v>0.3</v>
      </c>
      <c r="AF39" s="151">
        <v>0.3</v>
      </c>
      <c r="AG39" s="150">
        <f t="shared" ref="AG39" si="187">-AG38/AG34</f>
        <v>0.3</v>
      </c>
      <c r="AH39" s="151">
        <v>0.3</v>
      </c>
      <c r="AI39" s="151">
        <v>0.3</v>
      </c>
      <c r="AJ39" s="150">
        <f t="shared" ref="AJ39" si="188">-AJ38/AJ34</f>
        <v>0.29999999999999993</v>
      </c>
      <c r="AK39" s="151">
        <v>0.3</v>
      </c>
      <c r="AL39" s="151">
        <v>0.3</v>
      </c>
      <c r="AM39" s="150">
        <f t="shared" ref="AM39" si="189">-AM38/AM34</f>
        <v>0.29999999999999993</v>
      </c>
      <c r="AN39" s="151">
        <v>0.3</v>
      </c>
      <c r="AO39" s="151">
        <v>0.3</v>
      </c>
      <c r="AP39" s="150">
        <f t="shared" ref="AP39" si="190">-AP38/AP34</f>
        <v>0.3</v>
      </c>
      <c r="AQ39" s="151">
        <v>0.3</v>
      </c>
      <c r="AR39" s="151">
        <v>0.3</v>
      </c>
      <c r="AS39" s="150">
        <f t="shared" ref="AS39" si="191">-AS38/AS34</f>
        <v>0.3</v>
      </c>
      <c r="AT39" s="151">
        <v>0.3</v>
      </c>
      <c r="AU39" s="151">
        <v>0.3</v>
      </c>
      <c r="AV39" s="150">
        <f t="shared" ref="AV39" si="192">-AV38/AV34</f>
        <v>0.30000000000000004</v>
      </c>
      <c r="AW39" s="151">
        <v>0.3</v>
      </c>
      <c r="AX39" s="151">
        <v>0.3</v>
      </c>
      <c r="AY39" s="150">
        <f t="shared" ref="AY39" si="193">-AY38/AY34</f>
        <v>0.3</v>
      </c>
    </row>
    <row r="40" spans="1:51" s="24" customFormat="1" ht="12" customHeight="1" x14ac:dyDescent="0.2">
      <c r="B40" s="28" t="s">
        <v>310</v>
      </c>
      <c r="C40" s="29"/>
      <c r="D40" s="39"/>
      <c r="E40" s="39"/>
      <c r="F40" s="30"/>
      <c r="G40" s="39"/>
      <c r="H40" s="39"/>
      <c r="I40" s="30">
        <f t="shared" ref="I40:P40" si="194">+I38+I34</f>
        <v>3.9880000000000053</v>
      </c>
      <c r="J40" s="39"/>
      <c r="K40" s="39"/>
      <c r="L40" s="30">
        <f t="shared" si="194"/>
        <v>3.911000000000004</v>
      </c>
      <c r="M40" s="39">
        <f t="shared" si="194"/>
        <v>-1.1210000000000087</v>
      </c>
      <c r="N40" s="39">
        <f t="shared" si="194"/>
        <v>-1.1460000000000281</v>
      </c>
      <c r="O40" s="30">
        <f t="shared" ref="O40" si="195">+O38+O34</f>
        <v>-2.267000000000019</v>
      </c>
      <c r="P40" s="39">
        <f t="shared" si="194"/>
        <v>-3.9600000000000022</v>
      </c>
      <c r="Q40" s="39">
        <f t="shared" ref="Q40" si="196">+Q38+Q34</f>
        <v>-9.7880000000000003</v>
      </c>
      <c r="R40" s="30">
        <f t="shared" ref="R40:AJ40" si="197">+R38+R34</f>
        <v>-13.747999999999999</v>
      </c>
      <c r="S40" s="39">
        <f t="shared" si="197"/>
        <v>7.3010000000000046</v>
      </c>
      <c r="T40" s="39">
        <f t="shared" si="197"/>
        <v>7.1750000000000247</v>
      </c>
      <c r="U40" s="30">
        <f t="shared" ref="U40" si="198">+U38+U34</f>
        <v>14.476000000000079</v>
      </c>
      <c r="V40" s="39">
        <f t="shared" si="197"/>
        <v>10.904057703243097</v>
      </c>
      <c r="W40" s="39">
        <f t="shared" si="197"/>
        <v>9.882857525018844</v>
      </c>
      <c r="X40" s="30">
        <f t="shared" si="197"/>
        <v>20.78691522826195</v>
      </c>
      <c r="Y40" s="39">
        <f t="shared" si="197"/>
        <v>16.984399390099835</v>
      </c>
      <c r="Z40" s="39">
        <f t="shared" si="197"/>
        <v>14.963913641955564</v>
      </c>
      <c r="AA40" s="30">
        <f t="shared" si="197"/>
        <v>31.948313032055406</v>
      </c>
      <c r="AB40" s="39">
        <f t="shared" si="197"/>
        <v>24.742115450381959</v>
      </c>
      <c r="AC40" s="39">
        <f t="shared" si="197"/>
        <v>24.5434794095179</v>
      </c>
      <c r="AD40" s="30">
        <f t="shared" si="197"/>
        <v>49.285594859899852</v>
      </c>
      <c r="AE40" s="39">
        <f t="shared" si="197"/>
        <v>34.967091558619366</v>
      </c>
      <c r="AF40" s="39">
        <f t="shared" si="197"/>
        <v>34.701594746186245</v>
      </c>
      <c r="AG40" s="30">
        <f t="shared" si="197"/>
        <v>69.668686304805618</v>
      </c>
      <c r="AH40" s="39">
        <f t="shared" si="197"/>
        <v>47.154727225058409</v>
      </c>
      <c r="AI40" s="39">
        <f t="shared" si="197"/>
        <v>45.537010678607892</v>
      </c>
      <c r="AJ40" s="30">
        <f t="shared" si="197"/>
        <v>92.691737903666336</v>
      </c>
      <c r="AK40" s="39">
        <f t="shared" ref="AK40:AY40" si="199">+AK38+AK34</f>
        <v>53.581473677401561</v>
      </c>
      <c r="AL40" s="39">
        <f t="shared" si="199"/>
        <v>53.100190119878462</v>
      </c>
      <c r="AM40" s="30">
        <f t="shared" si="199"/>
        <v>106.68166379728004</v>
      </c>
      <c r="AN40" s="39">
        <f t="shared" si="199"/>
        <v>63.742206703341054</v>
      </c>
      <c r="AO40" s="39">
        <f t="shared" si="199"/>
        <v>63.024252791314396</v>
      </c>
      <c r="AP40" s="30">
        <f t="shared" si="199"/>
        <v>126.76645949465544</v>
      </c>
      <c r="AQ40" s="39">
        <f t="shared" si="199"/>
        <v>74.965662089995988</v>
      </c>
      <c r="AR40" s="39">
        <f t="shared" si="199"/>
        <v>73.992721370879778</v>
      </c>
      <c r="AS40" s="30">
        <f t="shared" si="199"/>
        <v>148.95838346087578</v>
      </c>
      <c r="AT40" s="39">
        <f t="shared" si="199"/>
        <v>87.312983631457243</v>
      </c>
      <c r="AU40" s="39">
        <f t="shared" si="199"/>
        <v>86.059807843752708</v>
      </c>
      <c r="AV40" s="30">
        <f t="shared" si="199"/>
        <v>173.37279147520994</v>
      </c>
      <c r="AW40" s="39">
        <f t="shared" si="199"/>
        <v>100.84469299990187</v>
      </c>
      <c r="AX40" s="39">
        <f t="shared" si="199"/>
        <v>99.28663186809068</v>
      </c>
      <c r="AY40" s="30">
        <f t="shared" si="199"/>
        <v>200.13132486799253</v>
      </c>
    </row>
    <row r="41" spans="1:51" s="24" customFormat="1" ht="12" customHeight="1" x14ac:dyDescent="0.2">
      <c r="B41" s="23" t="s">
        <v>47</v>
      </c>
      <c r="C41" s="23"/>
      <c r="D41" s="142"/>
      <c r="E41" s="142"/>
      <c r="F41" s="143"/>
      <c r="G41" s="142"/>
      <c r="H41" s="142"/>
      <c r="I41" s="143">
        <f t="shared" ref="I41" si="200">+I42-I40</f>
        <v>-3.9880000000000053</v>
      </c>
      <c r="J41" s="142"/>
      <c r="K41" s="142"/>
      <c r="L41" s="143">
        <f t="shared" ref="L41:P41" si="201">+L42-L40</f>
        <v>-0.71100000000000385</v>
      </c>
      <c r="M41" s="142">
        <f t="shared" si="201"/>
        <v>2.0210000000000088</v>
      </c>
      <c r="N41" s="142">
        <f t="shared" si="201"/>
        <v>3.246000000000028</v>
      </c>
      <c r="O41" s="143">
        <f t="shared" si="201"/>
        <v>5.267000000000019</v>
      </c>
      <c r="P41" s="142">
        <f t="shared" si="201"/>
        <v>7.7600000000000016</v>
      </c>
      <c r="Q41" s="142">
        <f t="shared" ref="Q41" si="202">+Q42-Q40</f>
        <v>11.688000000000001</v>
      </c>
      <c r="R41" s="143">
        <f t="shared" ref="R41:T41" si="203">+R42-R40</f>
        <v>19.448</v>
      </c>
      <c r="S41" s="142">
        <f t="shared" si="203"/>
        <v>0</v>
      </c>
      <c r="T41" s="142">
        <f t="shared" si="203"/>
        <v>-2.3980817331903381E-14</v>
      </c>
      <c r="U41" s="143">
        <f t="shared" ref="U41" si="204">+U42-U40</f>
        <v>-7.815970093361102E-14</v>
      </c>
      <c r="V41" s="140">
        <v>0</v>
      </c>
      <c r="W41" s="140">
        <v>0</v>
      </c>
      <c r="X41" s="143">
        <f t="shared" ref="X41" si="205">+W41+V41</f>
        <v>0</v>
      </c>
      <c r="Y41" s="140">
        <v>0</v>
      </c>
      <c r="Z41" s="140">
        <v>0</v>
      </c>
      <c r="AA41" s="143">
        <f t="shared" ref="AA41" si="206">+Z41+Y41</f>
        <v>0</v>
      </c>
      <c r="AB41" s="140">
        <v>0</v>
      </c>
      <c r="AC41" s="140">
        <v>0</v>
      </c>
      <c r="AD41" s="143">
        <f t="shared" ref="AD41" si="207">+AC41+AB41</f>
        <v>0</v>
      </c>
      <c r="AE41" s="140">
        <v>0</v>
      </c>
      <c r="AF41" s="140">
        <v>0</v>
      </c>
      <c r="AG41" s="143">
        <f t="shared" ref="AG41" si="208">+AF41+AE41</f>
        <v>0</v>
      </c>
      <c r="AH41" s="140">
        <v>0</v>
      </c>
      <c r="AI41" s="140">
        <v>0</v>
      </c>
      <c r="AJ41" s="143">
        <f t="shared" ref="AJ41" si="209">+AI41+AH41</f>
        <v>0</v>
      </c>
      <c r="AK41" s="140">
        <v>0</v>
      </c>
      <c r="AL41" s="140">
        <v>0</v>
      </c>
      <c r="AM41" s="143">
        <f t="shared" ref="AM41" si="210">+AL41+AK41</f>
        <v>0</v>
      </c>
      <c r="AN41" s="140">
        <v>0</v>
      </c>
      <c r="AO41" s="140">
        <v>0</v>
      </c>
      <c r="AP41" s="143">
        <f t="shared" ref="AP41" si="211">+AO41+AN41</f>
        <v>0</v>
      </c>
      <c r="AQ41" s="140">
        <v>0</v>
      </c>
      <c r="AR41" s="140">
        <v>0</v>
      </c>
      <c r="AS41" s="143">
        <f t="shared" ref="AS41" si="212">+AR41+AQ41</f>
        <v>0</v>
      </c>
      <c r="AT41" s="140">
        <v>0</v>
      </c>
      <c r="AU41" s="140">
        <v>0</v>
      </c>
      <c r="AV41" s="143">
        <f t="shared" ref="AV41" si="213">+AU41+AT41</f>
        <v>0</v>
      </c>
      <c r="AW41" s="140">
        <v>0</v>
      </c>
      <c r="AX41" s="140">
        <v>0</v>
      </c>
      <c r="AY41" s="143">
        <f t="shared" ref="AY41" si="214">+AX41+AW41</f>
        <v>0</v>
      </c>
    </row>
    <row r="42" spans="1:51" s="24" customFormat="1" ht="12" customHeight="1" x14ac:dyDescent="0.2">
      <c r="B42" s="34" t="s">
        <v>365</v>
      </c>
      <c r="C42" s="35"/>
      <c r="D42" s="198"/>
      <c r="E42" s="198"/>
      <c r="F42" s="199"/>
      <c r="G42" s="187"/>
      <c r="H42" s="147"/>
      <c r="I42" s="188"/>
      <c r="J42" s="187"/>
      <c r="K42" s="147"/>
      <c r="L42" s="188">
        <v>3.2</v>
      </c>
      <c r="M42" s="187">
        <v>0.9</v>
      </c>
      <c r="N42" s="147">
        <f>+O42-M42</f>
        <v>2.1</v>
      </c>
      <c r="O42" s="188">
        <v>3</v>
      </c>
      <c r="P42" s="187">
        <v>3.8</v>
      </c>
      <c r="Q42" s="147">
        <f>+R42-P42</f>
        <v>1.9000000000000004</v>
      </c>
      <c r="R42" s="188">
        <v>5.7</v>
      </c>
      <c r="S42" s="187">
        <v>7.3010000000000002</v>
      </c>
      <c r="T42" s="147">
        <f>+U42-S42</f>
        <v>7.1750000000000007</v>
      </c>
      <c r="U42" s="188">
        <v>14.476000000000001</v>
      </c>
      <c r="V42" s="147">
        <f t="shared" ref="V42:AJ42" si="215">+V41+V40</f>
        <v>10.904057703243097</v>
      </c>
      <c r="W42" s="147">
        <f t="shared" si="215"/>
        <v>9.882857525018844</v>
      </c>
      <c r="X42" s="148">
        <f t="shared" si="215"/>
        <v>20.78691522826195</v>
      </c>
      <c r="Y42" s="147">
        <f t="shared" si="215"/>
        <v>16.984399390099835</v>
      </c>
      <c r="Z42" s="147">
        <f t="shared" si="215"/>
        <v>14.963913641955564</v>
      </c>
      <c r="AA42" s="148">
        <f t="shared" si="215"/>
        <v>31.948313032055406</v>
      </c>
      <c r="AB42" s="147">
        <f t="shared" si="215"/>
        <v>24.742115450381959</v>
      </c>
      <c r="AC42" s="147">
        <f t="shared" si="215"/>
        <v>24.5434794095179</v>
      </c>
      <c r="AD42" s="148">
        <f t="shared" si="215"/>
        <v>49.285594859899852</v>
      </c>
      <c r="AE42" s="147">
        <f t="shared" si="215"/>
        <v>34.967091558619366</v>
      </c>
      <c r="AF42" s="147">
        <f t="shared" si="215"/>
        <v>34.701594746186245</v>
      </c>
      <c r="AG42" s="148">
        <f t="shared" si="215"/>
        <v>69.668686304805618</v>
      </c>
      <c r="AH42" s="147">
        <f t="shared" si="215"/>
        <v>47.154727225058409</v>
      </c>
      <c r="AI42" s="147">
        <f t="shared" si="215"/>
        <v>45.537010678607892</v>
      </c>
      <c r="AJ42" s="148">
        <f t="shared" si="215"/>
        <v>92.691737903666336</v>
      </c>
      <c r="AK42" s="147">
        <f t="shared" ref="AK42:AY42" si="216">+AK41+AK40</f>
        <v>53.581473677401561</v>
      </c>
      <c r="AL42" s="147">
        <f t="shared" si="216"/>
        <v>53.100190119878462</v>
      </c>
      <c r="AM42" s="148">
        <f t="shared" si="216"/>
        <v>106.68166379728004</v>
      </c>
      <c r="AN42" s="147">
        <f t="shared" si="216"/>
        <v>63.742206703341054</v>
      </c>
      <c r="AO42" s="147">
        <f t="shared" si="216"/>
        <v>63.024252791314396</v>
      </c>
      <c r="AP42" s="148">
        <f t="shared" si="216"/>
        <v>126.76645949465544</v>
      </c>
      <c r="AQ42" s="147">
        <f t="shared" si="216"/>
        <v>74.965662089995988</v>
      </c>
      <c r="AR42" s="147">
        <f t="shared" si="216"/>
        <v>73.992721370879778</v>
      </c>
      <c r="AS42" s="148">
        <f t="shared" si="216"/>
        <v>148.95838346087578</v>
      </c>
      <c r="AT42" s="147">
        <f t="shared" si="216"/>
        <v>87.312983631457243</v>
      </c>
      <c r="AU42" s="147">
        <f t="shared" si="216"/>
        <v>86.059807843752708</v>
      </c>
      <c r="AV42" s="148">
        <f t="shared" si="216"/>
        <v>173.37279147520994</v>
      </c>
      <c r="AW42" s="147">
        <f t="shared" si="216"/>
        <v>100.84469299990187</v>
      </c>
      <c r="AX42" s="147">
        <f t="shared" si="216"/>
        <v>99.28663186809068</v>
      </c>
      <c r="AY42" s="148">
        <f t="shared" si="216"/>
        <v>200.13132486799253</v>
      </c>
    </row>
    <row r="43" spans="1:51" s="24" customFormat="1" ht="12" customHeight="1" x14ac:dyDescent="0.2">
      <c r="B43" s="153"/>
      <c r="C43" s="23"/>
      <c r="D43" s="26"/>
      <c r="E43" s="26"/>
      <c r="F43" s="27"/>
      <c r="G43" s="26"/>
      <c r="H43" s="26"/>
      <c r="I43" s="27"/>
      <c r="J43" s="26"/>
      <c r="K43" s="26"/>
      <c r="L43" s="27"/>
      <c r="M43" s="26"/>
      <c r="N43" s="26"/>
      <c r="O43" s="27"/>
      <c r="P43" s="26"/>
      <c r="Q43" s="26"/>
      <c r="R43" s="27"/>
      <c r="S43" s="26"/>
      <c r="T43" s="26"/>
      <c r="U43" s="27"/>
      <c r="V43" s="26"/>
      <c r="W43" s="26"/>
      <c r="X43" s="27"/>
      <c r="Y43" s="26"/>
      <c r="Z43" s="26"/>
      <c r="AA43" s="27"/>
      <c r="AB43" s="26"/>
      <c r="AC43" s="26"/>
      <c r="AD43" s="27"/>
      <c r="AE43" s="26"/>
      <c r="AF43" s="26"/>
      <c r="AG43" s="27"/>
      <c r="AH43" s="26"/>
      <c r="AI43" s="26"/>
      <c r="AJ43" s="27"/>
      <c r="AK43" s="26"/>
      <c r="AL43" s="26"/>
      <c r="AM43" s="27"/>
      <c r="AN43" s="26"/>
      <c r="AO43" s="26"/>
      <c r="AP43" s="27"/>
      <c r="AQ43" s="26"/>
      <c r="AR43" s="26"/>
      <c r="AS43" s="27"/>
      <c r="AT43" s="26"/>
      <c r="AU43" s="26"/>
      <c r="AV43" s="27"/>
      <c r="AW43" s="26"/>
      <c r="AX43" s="26"/>
      <c r="AY43" s="27"/>
    </row>
    <row r="44" spans="1:51" s="24" customFormat="1" ht="12" customHeight="1" x14ac:dyDescent="0.2">
      <c r="B44" s="189" t="s">
        <v>344</v>
      </c>
      <c r="C44" s="189"/>
      <c r="D44" s="142"/>
      <c r="E44" s="142"/>
      <c r="F44" s="143"/>
      <c r="G44" s="142"/>
      <c r="H44" s="142"/>
      <c r="I44" s="132">
        <v>-8.9999999999999993E-3</v>
      </c>
      <c r="J44" s="142"/>
      <c r="K44" s="142"/>
      <c r="L44" s="132">
        <v>8.0000000000000002E-3</v>
      </c>
      <c r="M44" s="211">
        <v>0.01</v>
      </c>
      <c r="N44" s="142">
        <f t="shared" ref="N44" si="217">+N45-N40</f>
        <v>0.38900000000001778</v>
      </c>
      <c r="O44" s="132">
        <v>0.39900000000000002</v>
      </c>
      <c r="P44" s="211">
        <v>-0.38700000000000001</v>
      </c>
      <c r="Q44" s="142">
        <f t="shared" ref="Q44" si="218">+Q45-Q40</f>
        <v>0.45700000000000429</v>
      </c>
      <c r="R44" s="249">
        <v>7.0000000000000007E-2</v>
      </c>
      <c r="S44" s="211">
        <v>0.81799999999999995</v>
      </c>
      <c r="T44" s="142">
        <f t="shared" ref="T44" si="219">+T45-T40</f>
        <v>-1.2229999999999501</v>
      </c>
      <c r="U44" s="249">
        <v>-0.40500000000000003</v>
      </c>
      <c r="V44" s="140">
        <v>0</v>
      </c>
      <c r="W44" s="140">
        <v>0</v>
      </c>
      <c r="X44" s="143">
        <f t="shared" ref="X44" si="220">+W44+V44</f>
        <v>0</v>
      </c>
      <c r="Y44" s="140">
        <v>0</v>
      </c>
      <c r="Z44" s="140">
        <v>0</v>
      </c>
      <c r="AA44" s="143">
        <f t="shared" ref="AA44" si="221">+Z44+Y44</f>
        <v>0</v>
      </c>
      <c r="AB44" s="140">
        <v>0</v>
      </c>
      <c r="AC44" s="140">
        <v>0</v>
      </c>
      <c r="AD44" s="143">
        <f t="shared" ref="AD44" si="222">+AC44+AB44</f>
        <v>0</v>
      </c>
      <c r="AE44" s="140">
        <v>0</v>
      </c>
      <c r="AF44" s="140">
        <v>0</v>
      </c>
      <c r="AG44" s="143">
        <f t="shared" ref="AG44" si="223">+AF44+AE44</f>
        <v>0</v>
      </c>
      <c r="AH44" s="140">
        <v>0</v>
      </c>
      <c r="AI44" s="140">
        <v>0</v>
      </c>
      <c r="AJ44" s="143">
        <f t="shared" ref="AJ44" si="224">+AI44+AH44</f>
        <v>0</v>
      </c>
      <c r="AK44" s="140">
        <v>0</v>
      </c>
      <c r="AL44" s="140">
        <v>0</v>
      </c>
      <c r="AM44" s="143">
        <f t="shared" ref="AM44" si="225">+AL44+AK44</f>
        <v>0</v>
      </c>
      <c r="AN44" s="140">
        <v>0</v>
      </c>
      <c r="AO44" s="140">
        <v>0</v>
      </c>
      <c r="AP44" s="143">
        <f t="shared" ref="AP44" si="226">+AO44+AN44</f>
        <v>0</v>
      </c>
      <c r="AQ44" s="140">
        <v>0</v>
      </c>
      <c r="AR44" s="140">
        <v>0</v>
      </c>
      <c r="AS44" s="143">
        <f t="shared" ref="AS44" si="227">+AR44+AQ44</f>
        <v>0</v>
      </c>
      <c r="AT44" s="140">
        <v>0</v>
      </c>
      <c r="AU44" s="140">
        <v>0</v>
      </c>
      <c r="AV44" s="143">
        <f t="shared" ref="AV44" si="228">+AU44+AT44</f>
        <v>0</v>
      </c>
      <c r="AW44" s="140">
        <v>0</v>
      </c>
      <c r="AX44" s="140">
        <v>0</v>
      </c>
      <c r="AY44" s="143">
        <f t="shared" ref="AY44" si="229">+AX44+AW44</f>
        <v>0</v>
      </c>
    </row>
    <row r="45" spans="1:51" s="24" customFormat="1" ht="12" customHeight="1" x14ac:dyDescent="0.2">
      <c r="B45" s="49" t="s">
        <v>343</v>
      </c>
      <c r="C45" s="46"/>
      <c r="D45" s="47"/>
      <c r="E45" s="47"/>
      <c r="F45" s="48"/>
      <c r="G45" s="47"/>
      <c r="H45" s="47"/>
      <c r="I45" s="48">
        <f>+I40+I44</f>
        <v>3.9790000000000054</v>
      </c>
      <c r="J45" s="47"/>
      <c r="K45" s="47"/>
      <c r="L45" s="48">
        <f>+L40+L44</f>
        <v>3.919000000000004</v>
      </c>
      <c r="M45" s="47">
        <f>+M40+M44</f>
        <v>-1.1110000000000086</v>
      </c>
      <c r="N45" s="47">
        <f>+O45-M45</f>
        <v>-0.75700000000001033</v>
      </c>
      <c r="O45" s="48">
        <f>+O40+O44</f>
        <v>-1.868000000000019</v>
      </c>
      <c r="P45" s="47">
        <f t="shared" ref="P45:AJ45" si="230">+P40+P44</f>
        <v>-4.3470000000000022</v>
      </c>
      <c r="Q45" s="47">
        <f>+R45-P45</f>
        <v>-9.330999999999996</v>
      </c>
      <c r="R45" s="48">
        <f>+R40+R44</f>
        <v>-13.677999999999999</v>
      </c>
      <c r="S45" s="47">
        <f t="shared" ref="S45" si="231">+S40+S44</f>
        <v>8.1190000000000051</v>
      </c>
      <c r="T45" s="47">
        <f>+U45-S45</f>
        <v>5.9520000000000746</v>
      </c>
      <c r="U45" s="48">
        <f>+U40+U44</f>
        <v>14.07100000000008</v>
      </c>
      <c r="V45" s="47">
        <f t="shared" si="230"/>
        <v>10.904057703243097</v>
      </c>
      <c r="W45" s="47">
        <f t="shared" si="230"/>
        <v>9.882857525018844</v>
      </c>
      <c r="X45" s="48">
        <f t="shared" si="230"/>
        <v>20.78691522826195</v>
      </c>
      <c r="Y45" s="47">
        <f t="shared" si="230"/>
        <v>16.984399390099835</v>
      </c>
      <c r="Z45" s="47">
        <f t="shared" si="230"/>
        <v>14.963913641955564</v>
      </c>
      <c r="AA45" s="48">
        <f t="shared" si="230"/>
        <v>31.948313032055406</v>
      </c>
      <c r="AB45" s="47">
        <f t="shared" si="230"/>
        <v>24.742115450381959</v>
      </c>
      <c r="AC45" s="47">
        <f t="shared" si="230"/>
        <v>24.5434794095179</v>
      </c>
      <c r="AD45" s="48">
        <f t="shared" si="230"/>
        <v>49.285594859899852</v>
      </c>
      <c r="AE45" s="47">
        <f t="shared" si="230"/>
        <v>34.967091558619366</v>
      </c>
      <c r="AF45" s="47">
        <f t="shared" si="230"/>
        <v>34.701594746186245</v>
      </c>
      <c r="AG45" s="48">
        <f t="shared" si="230"/>
        <v>69.668686304805618</v>
      </c>
      <c r="AH45" s="47">
        <f t="shared" si="230"/>
        <v>47.154727225058409</v>
      </c>
      <c r="AI45" s="47">
        <f t="shared" si="230"/>
        <v>45.537010678607892</v>
      </c>
      <c r="AJ45" s="48">
        <f t="shared" si="230"/>
        <v>92.691737903666336</v>
      </c>
      <c r="AK45" s="47">
        <f t="shared" ref="AK45:AY45" si="232">+AK40+AK44</f>
        <v>53.581473677401561</v>
      </c>
      <c r="AL45" s="47">
        <f t="shared" si="232"/>
        <v>53.100190119878462</v>
      </c>
      <c r="AM45" s="48">
        <f t="shared" si="232"/>
        <v>106.68166379728004</v>
      </c>
      <c r="AN45" s="47">
        <f t="shared" si="232"/>
        <v>63.742206703341054</v>
      </c>
      <c r="AO45" s="47">
        <f t="shared" si="232"/>
        <v>63.024252791314396</v>
      </c>
      <c r="AP45" s="48">
        <f t="shared" si="232"/>
        <v>126.76645949465544</v>
      </c>
      <c r="AQ45" s="47">
        <f t="shared" si="232"/>
        <v>74.965662089995988</v>
      </c>
      <c r="AR45" s="47">
        <f t="shared" si="232"/>
        <v>73.992721370879778</v>
      </c>
      <c r="AS45" s="48">
        <f t="shared" si="232"/>
        <v>148.95838346087578</v>
      </c>
      <c r="AT45" s="47">
        <f t="shared" si="232"/>
        <v>87.312983631457243</v>
      </c>
      <c r="AU45" s="47">
        <f t="shared" si="232"/>
        <v>86.059807843752708</v>
      </c>
      <c r="AV45" s="48">
        <f t="shared" si="232"/>
        <v>173.37279147520994</v>
      </c>
      <c r="AW45" s="47">
        <f t="shared" si="232"/>
        <v>100.84469299990187</v>
      </c>
      <c r="AX45" s="47">
        <f t="shared" si="232"/>
        <v>99.28663186809068</v>
      </c>
      <c r="AY45" s="48">
        <f t="shared" si="232"/>
        <v>200.13132486799253</v>
      </c>
    </row>
    <row r="46" spans="1:51" s="24" customFormat="1" ht="12" customHeight="1" x14ac:dyDescent="0.2">
      <c r="B46" s="23"/>
      <c r="C46" s="23"/>
      <c r="D46" s="26"/>
      <c r="E46" s="26"/>
      <c r="F46" s="27"/>
      <c r="G46" s="26"/>
      <c r="H46" s="26"/>
      <c r="I46" s="27"/>
      <c r="J46" s="26"/>
      <c r="K46" s="26"/>
      <c r="L46" s="27"/>
      <c r="M46" s="26"/>
      <c r="N46" s="26"/>
      <c r="O46" s="27"/>
      <c r="P46" s="26"/>
      <c r="Q46" s="26"/>
      <c r="R46" s="27"/>
      <c r="S46" s="26"/>
      <c r="T46" s="26"/>
      <c r="U46" s="27"/>
      <c r="V46" s="26"/>
      <c r="W46" s="26"/>
      <c r="X46" s="27"/>
      <c r="Y46" s="26"/>
      <c r="Z46" s="26"/>
      <c r="AA46" s="27"/>
      <c r="AB46" s="26"/>
      <c r="AC46" s="26"/>
      <c r="AD46" s="27"/>
      <c r="AE46" s="26"/>
      <c r="AF46" s="26"/>
      <c r="AG46" s="27"/>
      <c r="AH46" s="26"/>
      <c r="AI46" s="26"/>
      <c r="AJ46" s="27"/>
      <c r="AK46" s="26"/>
      <c r="AL46" s="26"/>
      <c r="AM46" s="27"/>
      <c r="AN46" s="26"/>
      <c r="AO46" s="26"/>
      <c r="AP46" s="27"/>
      <c r="AQ46" s="26"/>
      <c r="AR46" s="26"/>
      <c r="AS46" s="27"/>
      <c r="AT46" s="26"/>
      <c r="AU46" s="26"/>
      <c r="AV46" s="27"/>
      <c r="AW46" s="26"/>
      <c r="AX46" s="26"/>
      <c r="AY46" s="27"/>
    </row>
    <row r="47" spans="1:51" s="24" customFormat="1" ht="12" customHeight="1" x14ac:dyDescent="0.2">
      <c r="B47" s="32" t="s">
        <v>99</v>
      </c>
      <c r="C47" s="23"/>
      <c r="D47" s="33"/>
      <c r="E47" s="33"/>
      <c r="F47" s="36"/>
      <c r="G47" s="33"/>
      <c r="H47" s="33"/>
      <c r="I47" s="36">
        <f>ROUND(3.988-I40,3)</f>
        <v>0</v>
      </c>
      <c r="J47" s="33"/>
      <c r="K47" s="174"/>
      <c r="L47" s="36">
        <f>ROUND(3.911-L40,3)</f>
        <v>0</v>
      </c>
      <c r="M47" s="33">
        <f>ROUND(-1.121-M40,3)</f>
        <v>0</v>
      </c>
      <c r="N47" s="174"/>
      <c r="O47" s="204">
        <f>ROUND(-2.267-O40,3)</f>
        <v>0</v>
      </c>
      <c r="P47" s="33">
        <f>ROUND(-3.96-P40,3)</f>
        <v>0</v>
      </c>
      <c r="Q47" s="26"/>
      <c r="R47" s="204">
        <f>ROUND(-13.748-R40,3)</f>
        <v>0</v>
      </c>
      <c r="S47" s="33">
        <f>ROUND(7.301-S40,3)</f>
        <v>0</v>
      </c>
      <c r="T47" s="26"/>
      <c r="U47" s="204">
        <f>ROUND(14.476-U40,3)</f>
        <v>0</v>
      </c>
      <c r="V47" s="26"/>
      <c r="W47" s="26"/>
      <c r="X47" s="38"/>
      <c r="Y47" s="26"/>
      <c r="Z47" s="26"/>
      <c r="AA47" s="38"/>
      <c r="AB47" s="26"/>
      <c r="AC47" s="26"/>
      <c r="AD47" s="38"/>
      <c r="AE47" s="26"/>
      <c r="AF47" s="26"/>
      <c r="AG47" s="38"/>
      <c r="AH47" s="26"/>
      <c r="AI47" s="26"/>
      <c r="AJ47" s="38"/>
      <c r="AK47" s="26"/>
      <c r="AL47" s="26"/>
      <c r="AM47" s="38"/>
      <c r="AN47" s="26"/>
      <c r="AO47" s="26"/>
      <c r="AP47" s="38"/>
      <c r="AQ47" s="26"/>
      <c r="AR47" s="26"/>
      <c r="AS47" s="38"/>
      <c r="AT47" s="26"/>
      <c r="AU47" s="26"/>
      <c r="AV47" s="38"/>
      <c r="AW47" s="26"/>
      <c r="AX47" s="26"/>
      <c r="AY47" s="38"/>
    </row>
    <row r="48" spans="1:51" ht="12" customHeight="1" x14ac:dyDescent="0.2">
      <c r="A48" s="24"/>
      <c r="B48" s="6"/>
      <c r="D48" s="44"/>
      <c r="E48" s="44"/>
      <c r="F48" s="43"/>
      <c r="G48" s="44"/>
      <c r="H48" s="44"/>
      <c r="I48" s="253"/>
      <c r="J48" s="254"/>
      <c r="K48" s="254"/>
      <c r="L48" s="253"/>
      <c r="M48" s="254"/>
      <c r="N48" s="254"/>
      <c r="O48" s="253"/>
      <c r="P48" s="254"/>
      <c r="Q48" s="44"/>
      <c r="R48" s="43" t="s">
        <v>565</v>
      </c>
      <c r="S48" s="254"/>
      <c r="T48" s="44"/>
      <c r="U48" s="43"/>
      <c r="V48" s="44"/>
      <c r="W48" s="44"/>
      <c r="X48" s="43"/>
      <c r="Y48" s="44"/>
      <c r="Z48" s="44"/>
      <c r="AA48" s="43"/>
      <c r="AB48" s="44"/>
      <c r="AC48" s="44"/>
      <c r="AD48" s="43"/>
      <c r="AE48" s="44"/>
      <c r="AF48" s="44"/>
      <c r="AG48" s="43"/>
      <c r="AH48" s="44"/>
      <c r="AI48" s="44"/>
      <c r="AJ48" s="43"/>
      <c r="AK48" s="44"/>
      <c r="AL48" s="44"/>
      <c r="AM48" s="43"/>
      <c r="AN48" s="44"/>
      <c r="AO48" s="44"/>
      <c r="AP48" s="43"/>
      <c r="AQ48" s="44"/>
      <c r="AR48" s="44"/>
      <c r="AS48" s="43"/>
      <c r="AT48" s="44"/>
      <c r="AU48" s="44"/>
      <c r="AV48" s="43"/>
      <c r="AW48" s="44"/>
      <c r="AX48" s="44"/>
      <c r="AY48" s="43"/>
    </row>
    <row r="49" spans="1:51" s="24" customFormat="1" ht="12" customHeight="1" x14ac:dyDescent="0.2">
      <c r="B49" s="23" t="s">
        <v>100</v>
      </c>
      <c r="C49" s="23"/>
      <c r="D49" s="26"/>
      <c r="E49" s="26"/>
      <c r="F49" s="27"/>
      <c r="G49" s="26"/>
      <c r="H49" s="26"/>
      <c r="I49" s="143">
        <f>+'Balance Sheet'!I174</f>
        <v>0</v>
      </c>
      <c r="J49" s="142"/>
      <c r="K49" s="142"/>
      <c r="L49" s="143">
        <f>+'Balance Sheet'!L174</f>
        <v>0</v>
      </c>
      <c r="M49" s="142">
        <f>+'Balance Sheet'!M174</f>
        <v>0</v>
      </c>
      <c r="N49" s="142">
        <f>+'Balance Sheet'!N174</f>
        <v>0</v>
      </c>
      <c r="O49" s="143">
        <f>+'Balance Sheet'!O174</f>
        <v>83.992294999999999</v>
      </c>
      <c r="P49" s="142">
        <f>+'Balance Sheet'!P174</f>
        <v>0</v>
      </c>
      <c r="Q49" s="26">
        <f>+'Balance Sheet'!Q174</f>
        <v>85.568408000000005</v>
      </c>
      <c r="R49" s="27">
        <f>+'Balance Sheet'!R174</f>
        <v>85.568408000000005</v>
      </c>
      <c r="S49" s="142">
        <f>+'Balance Sheet'!S174</f>
        <v>106.134631</v>
      </c>
      <c r="T49" s="26">
        <f>+'Balance Sheet'!T174</f>
        <v>105.90498599999999</v>
      </c>
      <c r="U49" s="27">
        <f>+'Balance Sheet'!U174</f>
        <v>105.90498599999999</v>
      </c>
      <c r="V49" s="26">
        <f>+'Balance Sheet'!V174</f>
        <v>102.86054799999999</v>
      </c>
      <c r="W49" s="26">
        <f>+'Balance Sheet'!W174</f>
        <v>102.86054799999999</v>
      </c>
      <c r="X49" s="27">
        <f>+'Balance Sheet'!X174</f>
        <v>102.86054799999999</v>
      </c>
      <c r="Y49" s="26">
        <f>+'Balance Sheet'!Y174</f>
        <v>102.86054799999999</v>
      </c>
      <c r="Z49" s="26">
        <f>+'Balance Sheet'!Z174</f>
        <v>102.86054799999999</v>
      </c>
      <c r="AA49" s="27">
        <f>+'Balance Sheet'!AA174</f>
        <v>102.86054799999999</v>
      </c>
      <c r="AB49" s="26">
        <f>+'Balance Sheet'!AB174</f>
        <v>102.86054799999999</v>
      </c>
      <c r="AC49" s="26">
        <f>+'Balance Sheet'!AC174</f>
        <v>102.86054799999999</v>
      </c>
      <c r="AD49" s="27">
        <f>+'Balance Sheet'!AD174</f>
        <v>102.86054799999999</v>
      </c>
      <c r="AE49" s="26">
        <f>+'Balance Sheet'!AE174</f>
        <v>102.86054799999999</v>
      </c>
      <c r="AF49" s="26">
        <f>+'Balance Sheet'!AF174</f>
        <v>102.86054799999999</v>
      </c>
      <c r="AG49" s="27">
        <f>+'Balance Sheet'!AG174</f>
        <v>102.86054799999999</v>
      </c>
      <c r="AH49" s="26">
        <f>+'Balance Sheet'!AH174</f>
        <v>102.86054799999999</v>
      </c>
      <c r="AI49" s="26">
        <f>+'Balance Sheet'!AI174</f>
        <v>102.86054799999999</v>
      </c>
      <c r="AJ49" s="27">
        <f>+'Balance Sheet'!AJ174</f>
        <v>102.86054799999999</v>
      </c>
      <c r="AK49" s="26">
        <f>+'Balance Sheet'!AK174</f>
        <v>102.86054799999999</v>
      </c>
      <c r="AL49" s="26">
        <f>+'Balance Sheet'!AL174</f>
        <v>102.86054799999999</v>
      </c>
      <c r="AM49" s="27">
        <f>+'Balance Sheet'!AM174</f>
        <v>102.86054799999999</v>
      </c>
      <c r="AN49" s="26">
        <f>+'Balance Sheet'!AN174</f>
        <v>102.86054799999999</v>
      </c>
      <c r="AO49" s="26">
        <f>+'Balance Sheet'!AO174</f>
        <v>102.86054799999999</v>
      </c>
      <c r="AP49" s="27">
        <f>+'Balance Sheet'!AP174</f>
        <v>102.86054799999999</v>
      </c>
      <c r="AQ49" s="26">
        <f>+'Balance Sheet'!AQ174</f>
        <v>102.86054799999999</v>
      </c>
      <c r="AR49" s="26">
        <f>+'Balance Sheet'!AR174</f>
        <v>102.86054799999999</v>
      </c>
      <c r="AS49" s="27">
        <f>+'Balance Sheet'!AS174</f>
        <v>102.86054799999999</v>
      </c>
      <c r="AT49" s="26">
        <f>+'Balance Sheet'!AT174</f>
        <v>102.86054799999999</v>
      </c>
      <c r="AU49" s="26">
        <f>+'Balance Sheet'!AU174</f>
        <v>102.86054799999999</v>
      </c>
      <c r="AV49" s="27">
        <f>+'Balance Sheet'!AV174</f>
        <v>102.86054799999999</v>
      </c>
      <c r="AW49" s="26">
        <f>+'Balance Sheet'!AW174</f>
        <v>102.86054799999999</v>
      </c>
      <c r="AX49" s="26">
        <f>+'Balance Sheet'!AX174</f>
        <v>102.86054799999999</v>
      </c>
      <c r="AY49" s="27">
        <f>+'Balance Sheet'!AY174</f>
        <v>102.86054799999999</v>
      </c>
    </row>
    <row r="50" spans="1:51" s="24" customFormat="1" ht="12" customHeight="1" x14ac:dyDescent="0.2">
      <c r="B50" s="23" t="s">
        <v>101</v>
      </c>
      <c r="C50" s="23"/>
      <c r="D50" s="26"/>
      <c r="E50" s="26"/>
      <c r="F50" s="27"/>
      <c r="G50" s="26"/>
      <c r="H50" s="26"/>
      <c r="I50" s="143"/>
      <c r="J50" s="142"/>
      <c r="K50" s="142"/>
      <c r="L50" s="143"/>
      <c r="M50" s="26"/>
      <c r="N50" s="26"/>
      <c r="O50" s="27">
        <f t="shared" ref="O50" si="233">O40/O49*100</f>
        <v>-2.699057098035027</v>
      </c>
      <c r="P50" s="26"/>
      <c r="Q50" s="26">
        <f t="shared" ref="Q50:R50" si="234">Q40/Q49*100</f>
        <v>-11.438801105192935</v>
      </c>
      <c r="R50" s="27">
        <f t="shared" si="234"/>
        <v>-16.066677318572996</v>
      </c>
      <c r="S50" s="26"/>
      <c r="T50" s="26">
        <f t="shared" ref="T50:U50" si="235">T40/T49*100</f>
        <v>6.774940700147984</v>
      </c>
      <c r="U50" s="27">
        <f t="shared" si="235"/>
        <v>13.66885596868884</v>
      </c>
      <c r="V50" s="26">
        <f t="shared" ref="V50:AJ50" si="236">V40/V49*100</f>
        <v>10.600816265574531</v>
      </c>
      <c r="W50" s="26">
        <f t="shared" si="236"/>
        <v>9.6080156261843399</v>
      </c>
      <c r="X50" s="27">
        <f t="shared" si="236"/>
        <v>20.20883189175888</v>
      </c>
      <c r="Y50" s="26">
        <f t="shared" si="236"/>
        <v>16.512063877104598</v>
      </c>
      <c r="Z50" s="26">
        <f t="shared" si="236"/>
        <v>14.547767762189606</v>
      </c>
      <c r="AA50" s="27">
        <f t="shared" si="236"/>
        <v>31.05983163929421</v>
      </c>
      <c r="AB50" s="26">
        <f t="shared" si="236"/>
        <v>24.054038143353036</v>
      </c>
      <c r="AC50" s="26">
        <f t="shared" si="236"/>
        <v>23.860926163370141</v>
      </c>
      <c r="AD50" s="27">
        <f t="shared" si="236"/>
        <v>47.914964306723171</v>
      </c>
      <c r="AE50" s="26">
        <f t="shared" si="236"/>
        <v>33.994658047728237</v>
      </c>
      <c r="AF50" s="26">
        <f t="shared" si="236"/>
        <v>33.736544691737642</v>
      </c>
      <c r="AG50" s="27">
        <f t="shared" si="236"/>
        <v>67.731202739465886</v>
      </c>
      <c r="AH50" s="26">
        <f t="shared" si="236"/>
        <v>45.843356021259396</v>
      </c>
      <c r="AI50" s="26">
        <f t="shared" si="236"/>
        <v>44.270628111574808</v>
      </c>
      <c r="AJ50" s="27">
        <f t="shared" si="236"/>
        <v>90.113984132834233</v>
      </c>
      <c r="AK50" s="26">
        <f t="shared" ref="AK50:AY50" si="237">AK40/AK49*100</f>
        <v>52.091374894679312</v>
      </c>
      <c r="AL50" s="26">
        <f t="shared" si="237"/>
        <v>51.62347581492417</v>
      </c>
      <c r="AM50" s="27">
        <f t="shared" si="237"/>
        <v>103.7148507096035</v>
      </c>
      <c r="AN50" s="26">
        <f t="shared" si="237"/>
        <v>61.969538314477049</v>
      </c>
      <c r="AO50" s="26">
        <f t="shared" si="237"/>
        <v>61.271550673941967</v>
      </c>
      <c r="AP50" s="27">
        <f t="shared" si="237"/>
        <v>123.24108898841901</v>
      </c>
      <c r="AQ50" s="26">
        <f t="shared" si="237"/>
        <v>72.880869825811146</v>
      </c>
      <c r="AR50" s="26">
        <f t="shared" si="237"/>
        <v>71.934986551772766</v>
      </c>
      <c r="AS50" s="27">
        <f t="shared" si="237"/>
        <v>144.81585637758394</v>
      </c>
      <c r="AT50" s="26">
        <f t="shared" si="237"/>
        <v>84.884812816141377</v>
      </c>
      <c r="AU50" s="26">
        <f t="shared" si="237"/>
        <v>83.666487800310691</v>
      </c>
      <c r="AV50" s="27">
        <f t="shared" si="237"/>
        <v>168.55130061645204</v>
      </c>
      <c r="AW50" s="26">
        <f t="shared" si="237"/>
        <v>98.040205852200856</v>
      </c>
      <c r="AX50" s="26">
        <f t="shared" si="237"/>
        <v>96.525474342301465</v>
      </c>
      <c r="AY50" s="27">
        <f t="shared" si="237"/>
        <v>194.56568019450231</v>
      </c>
    </row>
    <row r="51" spans="1:51" s="24" customFormat="1" ht="12" customHeight="1" x14ac:dyDescent="0.2">
      <c r="B51" s="23" t="s">
        <v>102</v>
      </c>
      <c r="C51" s="23"/>
      <c r="D51" s="26"/>
      <c r="E51" s="26"/>
      <c r="F51" s="27"/>
      <c r="G51" s="26"/>
      <c r="H51" s="26"/>
      <c r="I51" s="143"/>
      <c r="J51" s="142"/>
      <c r="K51" s="142"/>
      <c r="L51" s="143"/>
      <c r="M51" s="26"/>
      <c r="N51" s="26"/>
      <c r="O51" s="27">
        <f>+O42/O49*100</f>
        <v>3.5717561950176502</v>
      </c>
      <c r="P51" s="26"/>
      <c r="Q51" s="26">
        <f t="shared" ref="Q51" si="238">+Q42/Q49*100</f>
        <v>2.2204456579348775</v>
      </c>
      <c r="R51" s="27">
        <f>+R42/R49*100</f>
        <v>6.6613369738046311</v>
      </c>
      <c r="S51" s="26"/>
      <c r="T51" s="26">
        <f t="shared" ref="T51" si="239">+T42/T49*100</f>
        <v>6.7749407001479618</v>
      </c>
      <c r="U51" s="27">
        <f>+U42/U49*100</f>
        <v>13.668855968688764</v>
      </c>
      <c r="V51" s="26">
        <f t="shared" ref="V51:AY51" si="240">+V42/V49*100</f>
        <v>10.600816265574531</v>
      </c>
      <c r="W51" s="26">
        <f t="shared" si="240"/>
        <v>9.6080156261843399</v>
      </c>
      <c r="X51" s="27">
        <f t="shared" si="240"/>
        <v>20.20883189175888</v>
      </c>
      <c r="Y51" s="26">
        <f t="shared" si="240"/>
        <v>16.512063877104598</v>
      </c>
      <c r="Z51" s="26">
        <f t="shared" si="240"/>
        <v>14.547767762189606</v>
      </c>
      <c r="AA51" s="27">
        <f t="shared" si="240"/>
        <v>31.05983163929421</v>
      </c>
      <c r="AB51" s="26">
        <f t="shared" si="240"/>
        <v>24.054038143353036</v>
      </c>
      <c r="AC51" s="26">
        <f t="shared" si="240"/>
        <v>23.860926163370141</v>
      </c>
      <c r="AD51" s="27">
        <f t="shared" si="240"/>
        <v>47.914964306723171</v>
      </c>
      <c r="AE51" s="26">
        <f t="shared" si="240"/>
        <v>33.994658047728237</v>
      </c>
      <c r="AF51" s="26">
        <f t="shared" si="240"/>
        <v>33.736544691737642</v>
      </c>
      <c r="AG51" s="27">
        <f t="shared" si="240"/>
        <v>67.731202739465886</v>
      </c>
      <c r="AH51" s="26">
        <f t="shared" si="240"/>
        <v>45.843356021259396</v>
      </c>
      <c r="AI51" s="26">
        <f t="shared" si="240"/>
        <v>44.270628111574808</v>
      </c>
      <c r="AJ51" s="27">
        <f t="shared" si="240"/>
        <v>90.113984132834233</v>
      </c>
      <c r="AK51" s="26">
        <f t="shared" si="240"/>
        <v>52.091374894679312</v>
      </c>
      <c r="AL51" s="26">
        <f t="shared" si="240"/>
        <v>51.62347581492417</v>
      </c>
      <c r="AM51" s="27">
        <f t="shared" si="240"/>
        <v>103.7148507096035</v>
      </c>
      <c r="AN51" s="26">
        <f t="shared" si="240"/>
        <v>61.969538314477049</v>
      </c>
      <c r="AO51" s="26">
        <f t="shared" si="240"/>
        <v>61.271550673941967</v>
      </c>
      <c r="AP51" s="27">
        <f t="shared" si="240"/>
        <v>123.24108898841901</v>
      </c>
      <c r="AQ51" s="26">
        <f t="shared" si="240"/>
        <v>72.880869825811146</v>
      </c>
      <c r="AR51" s="26">
        <f t="shared" si="240"/>
        <v>71.934986551772766</v>
      </c>
      <c r="AS51" s="27">
        <f t="shared" si="240"/>
        <v>144.81585637758394</v>
      </c>
      <c r="AT51" s="26">
        <f t="shared" si="240"/>
        <v>84.884812816141377</v>
      </c>
      <c r="AU51" s="26">
        <f t="shared" si="240"/>
        <v>83.666487800310691</v>
      </c>
      <c r="AV51" s="27">
        <f t="shared" si="240"/>
        <v>168.55130061645204</v>
      </c>
      <c r="AW51" s="26">
        <f t="shared" si="240"/>
        <v>98.040205852200856</v>
      </c>
      <c r="AX51" s="26">
        <f t="shared" si="240"/>
        <v>96.525474342301465</v>
      </c>
      <c r="AY51" s="27">
        <f t="shared" si="240"/>
        <v>194.56568019450231</v>
      </c>
    </row>
    <row r="52" spans="1:51" s="24" customFormat="1" ht="12" customHeight="1" x14ac:dyDescent="0.2">
      <c r="B52" s="23" t="s">
        <v>103</v>
      </c>
      <c r="C52" s="23"/>
      <c r="D52" s="26"/>
      <c r="E52" s="26"/>
      <c r="F52" s="27"/>
      <c r="G52" s="26"/>
      <c r="H52" s="26"/>
      <c r="I52" s="143">
        <f>+'Balance Sheet'!I179</f>
        <v>0</v>
      </c>
      <c r="J52" s="142"/>
      <c r="K52" s="142"/>
      <c r="L52" s="143">
        <f>+'Balance Sheet'!L179</f>
        <v>0</v>
      </c>
      <c r="M52" s="142">
        <f>+'Balance Sheet'!M179</f>
        <v>0</v>
      </c>
      <c r="N52" s="142">
        <f>+'Balance Sheet'!N179</f>
        <v>0</v>
      </c>
      <c r="O52" s="143">
        <f>+'Balance Sheet'!O179</f>
        <v>0</v>
      </c>
      <c r="P52" s="142">
        <f>+'Balance Sheet'!P179</f>
        <v>0</v>
      </c>
      <c r="Q52" s="26">
        <f>+'Balance Sheet'!Q179</f>
        <v>0</v>
      </c>
      <c r="R52" s="27">
        <f>+'Balance Sheet'!R179</f>
        <v>0</v>
      </c>
      <c r="S52" s="142">
        <f>+'Balance Sheet'!S179</f>
        <v>0</v>
      </c>
      <c r="T52" s="26">
        <f>+'Balance Sheet'!T179</f>
        <v>0</v>
      </c>
      <c r="U52" s="27">
        <f>+'Balance Sheet'!U179</f>
        <v>0</v>
      </c>
      <c r="V52" s="26">
        <f>+'Balance Sheet'!V179</f>
        <v>0</v>
      </c>
      <c r="W52" s="26">
        <f>+'Balance Sheet'!W179</f>
        <v>0</v>
      </c>
      <c r="X52" s="27">
        <f>+'Balance Sheet'!X179</f>
        <v>0</v>
      </c>
      <c r="Y52" s="26">
        <f>+'Balance Sheet'!Y179</f>
        <v>0</v>
      </c>
      <c r="Z52" s="26">
        <f>+'Balance Sheet'!Z179</f>
        <v>0</v>
      </c>
      <c r="AA52" s="27">
        <f>+'Balance Sheet'!AA179</f>
        <v>0</v>
      </c>
      <c r="AB52" s="26">
        <f>+'Balance Sheet'!AB179</f>
        <v>0</v>
      </c>
      <c r="AC52" s="26">
        <f>+'Balance Sheet'!AC179</f>
        <v>0</v>
      </c>
      <c r="AD52" s="27">
        <f>+'Balance Sheet'!AD179</f>
        <v>0</v>
      </c>
      <c r="AE52" s="26">
        <f>+'Balance Sheet'!AE179</f>
        <v>0</v>
      </c>
      <c r="AF52" s="26">
        <f>+'Balance Sheet'!AF179</f>
        <v>0</v>
      </c>
      <c r="AG52" s="27">
        <f>+'Balance Sheet'!AG179</f>
        <v>0</v>
      </c>
      <c r="AH52" s="26">
        <f>+'Balance Sheet'!AH179</f>
        <v>0</v>
      </c>
      <c r="AI52" s="26">
        <f>+'Balance Sheet'!AI179</f>
        <v>0</v>
      </c>
      <c r="AJ52" s="27">
        <f>+'Balance Sheet'!AJ179</f>
        <v>0</v>
      </c>
      <c r="AK52" s="26">
        <f>+'Balance Sheet'!AK179</f>
        <v>0</v>
      </c>
      <c r="AL52" s="26">
        <f>+'Balance Sheet'!AL179</f>
        <v>0</v>
      </c>
      <c r="AM52" s="27">
        <f>+'Balance Sheet'!AM179</f>
        <v>0</v>
      </c>
      <c r="AN52" s="26">
        <f>+'Balance Sheet'!AN179</f>
        <v>0</v>
      </c>
      <c r="AO52" s="26">
        <f>+'Balance Sheet'!AO179</f>
        <v>0</v>
      </c>
      <c r="AP52" s="27">
        <f>+'Balance Sheet'!AP179</f>
        <v>0</v>
      </c>
      <c r="AQ52" s="26">
        <f>+'Balance Sheet'!AQ179</f>
        <v>0</v>
      </c>
      <c r="AR52" s="26">
        <f>+'Balance Sheet'!AR179</f>
        <v>0</v>
      </c>
      <c r="AS52" s="27">
        <f>+'Balance Sheet'!AS179</f>
        <v>0</v>
      </c>
      <c r="AT52" s="26">
        <f>+'Balance Sheet'!AT179</f>
        <v>0</v>
      </c>
      <c r="AU52" s="26">
        <f>+'Balance Sheet'!AU179</f>
        <v>0</v>
      </c>
      <c r="AV52" s="27">
        <f>+'Balance Sheet'!AV179</f>
        <v>0</v>
      </c>
      <c r="AW52" s="26">
        <f>+'Balance Sheet'!AW179</f>
        <v>0</v>
      </c>
      <c r="AX52" s="26">
        <f>+'Balance Sheet'!AX179</f>
        <v>0</v>
      </c>
      <c r="AY52" s="27">
        <f>+'Balance Sheet'!AY179</f>
        <v>0</v>
      </c>
    </row>
    <row r="53" spans="1:51" ht="12" customHeight="1" x14ac:dyDescent="0.2">
      <c r="A53" s="24"/>
      <c r="B53" s="6"/>
      <c r="D53" s="44"/>
      <c r="E53" s="44"/>
      <c r="F53" s="43"/>
      <c r="G53" s="44"/>
      <c r="H53" s="44"/>
      <c r="I53" s="253"/>
      <c r="J53" s="254"/>
      <c r="K53" s="254"/>
      <c r="L53" s="253"/>
      <c r="M53" s="254"/>
      <c r="N53" s="254"/>
      <c r="O53" s="253"/>
      <c r="P53" s="254"/>
      <c r="Q53" s="44"/>
      <c r="R53" s="43"/>
      <c r="S53" s="254"/>
      <c r="T53" s="44"/>
      <c r="U53" s="43"/>
      <c r="V53" s="44"/>
      <c r="W53" s="44"/>
      <c r="X53" s="43"/>
      <c r="Y53" s="44"/>
      <c r="Z53" s="44"/>
      <c r="AA53" s="43"/>
      <c r="AB53" s="44"/>
      <c r="AC53" s="44"/>
      <c r="AD53" s="43"/>
      <c r="AE53" s="44"/>
      <c r="AF53" s="44"/>
      <c r="AG53" s="43"/>
      <c r="AH53" s="44"/>
      <c r="AI53" s="44"/>
      <c r="AJ53" s="43"/>
      <c r="AK53" s="44"/>
      <c r="AL53" s="44"/>
      <c r="AM53" s="43"/>
      <c r="AN53" s="44"/>
      <c r="AO53" s="44"/>
      <c r="AP53" s="43"/>
      <c r="AQ53" s="44"/>
      <c r="AR53" s="44"/>
      <c r="AS53" s="43"/>
      <c r="AT53" s="44"/>
      <c r="AU53" s="44"/>
      <c r="AV53" s="43"/>
      <c r="AW53" s="44"/>
      <c r="AX53" s="44"/>
      <c r="AY53" s="43"/>
    </row>
    <row r="54" spans="1:51" ht="12" customHeight="1" x14ac:dyDescent="0.2">
      <c r="A54" s="12"/>
      <c r="B54" s="12" t="s">
        <v>104</v>
      </c>
      <c r="D54" s="6"/>
      <c r="E54" s="6"/>
      <c r="F54" s="13"/>
      <c r="G54" s="6"/>
      <c r="H54" s="6"/>
      <c r="I54" s="251"/>
      <c r="J54" s="130"/>
      <c r="K54" s="130"/>
      <c r="L54" s="251"/>
      <c r="M54" s="130"/>
      <c r="N54" s="130"/>
      <c r="O54" s="251"/>
      <c r="P54" s="130"/>
      <c r="Q54" s="6"/>
      <c r="R54" s="13"/>
      <c r="S54" s="130"/>
      <c r="T54" s="6"/>
      <c r="U54" s="13"/>
      <c r="V54" s="6"/>
      <c r="W54" s="6"/>
      <c r="X54" s="13"/>
      <c r="Y54" s="6"/>
      <c r="Z54" s="6"/>
      <c r="AA54" s="13"/>
      <c r="AB54" s="6"/>
      <c r="AC54" s="6"/>
      <c r="AD54" s="13"/>
      <c r="AE54" s="6"/>
      <c r="AF54" s="6"/>
      <c r="AG54" s="13"/>
      <c r="AH54" s="6"/>
      <c r="AI54" s="6"/>
      <c r="AJ54" s="13"/>
      <c r="AK54" s="6"/>
      <c r="AL54" s="6"/>
      <c r="AM54" s="13"/>
      <c r="AN54" s="6"/>
      <c r="AO54" s="6"/>
      <c r="AP54" s="13"/>
      <c r="AQ54" s="6"/>
      <c r="AR54" s="6"/>
      <c r="AS54" s="13"/>
      <c r="AT54" s="6"/>
      <c r="AU54" s="6"/>
      <c r="AV54" s="13"/>
      <c r="AW54" s="6"/>
      <c r="AX54" s="6"/>
      <c r="AY54" s="13"/>
    </row>
    <row r="55" spans="1:51" ht="12" customHeight="1" x14ac:dyDescent="0.2">
      <c r="A55" s="24"/>
      <c r="B55" s="10" t="s">
        <v>19</v>
      </c>
      <c r="D55" s="63"/>
      <c r="E55" s="63"/>
      <c r="F55" s="71"/>
      <c r="G55" s="63"/>
      <c r="H55" s="63"/>
      <c r="I55" s="255"/>
      <c r="J55" s="256"/>
      <c r="K55" s="256"/>
      <c r="L55" s="255"/>
      <c r="M55" s="256"/>
      <c r="N55" s="256"/>
      <c r="O55" s="255"/>
      <c r="P55" s="256"/>
      <c r="Q55" s="63"/>
      <c r="R55" s="71"/>
      <c r="S55" s="256"/>
      <c r="T55" s="63"/>
      <c r="U55" s="71"/>
      <c r="V55" s="63"/>
      <c r="W55" s="63"/>
      <c r="X55" s="71"/>
      <c r="Y55" s="63"/>
      <c r="Z55" s="63"/>
      <c r="AA55" s="71"/>
      <c r="AB55" s="63"/>
      <c r="AC55" s="63"/>
      <c r="AD55" s="71"/>
      <c r="AE55" s="63"/>
      <c r="AF55" s="63"/>
      <c r="AG55" s="71"/>
      <c r="AH55" s="63"/>
      <c r="AI55" s="63"/>
      <c r="AJ55" s="71"/>
      <c r="AK55" s="63"/>
      <c r="AL55" s="63"/>
      <c r="AM55" s="71"/>
      <c r="AN55" s="63"/>
      <c r="AO55" s="63"/>
      <c r="AP55" s="71"/>
      <c r="AQ55" s="63"/>
      <c r="AR55" s="63"/>
      <c r="AS55" s="71"/>
      <c r="AT55" s="63"/>
      <c r="AU55" s="63"/>
      <c r="AV55" s="71"/>
      <c r="AW55" s="63"/>
      <c r="AX55" s="63"/>
      <c r="AY55" s="71"/>
    </row>
    <row r="56" spans="1:51" ht="12" customHeight="1" x14ac:dyDescent="0.2">
      <c r="A56" s="24"/>
      <c r="B56" s="6" t="s">
        <v>17</v>
      </c>
      <c r="D56" s="63"/>
      <c r="E56" s="63"/>
      <c r="F56" s="71"/>
      <c r="G56" s="63"/>
      <c r="H56" s="63"/>
      <c r="I56" s="255"/>
      <c r="J56" s="256"/>
      <c r="K56" s="256"/>
      <c r="L56" s="255"/>
      <c r="M56" s="256"/>
      <c r="N56" s="256"/>
      <c r="O56" s="255">
        <f>O8/L8-1</f>
        <v>0.5078932662754958</v>
      </c>
      <c r="P56" s="256">
        <f t="shared" ref="P56:AY56" si="241">P8/M8-1</f>
        <v>0.38232454511696989</v>
      </c>
      <c r="Q56" s="63">
        <f t="shared" si="241"/>
        <v>0.26721505306146165</v>
      </c>
      <c r="R56" s="71">
        <f t="shared" si="241"/>
        <v>0.32106514723367474</v>
      </c>
      <c r="S56" s="256">
        <f t="shared" si="241"/>
        <v>0.26804443728099248</v>
      </c>
      <c r="T56" s="63">
        <f t="shared" ref="T56" si="242">T8/Q8-1</f>
        <v>0.27971859848766734</v>
      </c>
      <c r="U56" s="71">
        <f t="shared" ref="U56" si="243">U8/R8-1</f>
        <v>0.2740039858100487</v>
      </c>
      <c r="V56" s="63">
        <f t="shared" si="241"/>
        <v>0.24864903773511338</v>
      </c>
      <c r="W56" s="63">
        <f t="shared" si="241"/>
        <v>0.22380744887831594</v>
      </c>
      <c r="X56" s="71">
        <f t="shared" si="241"/>
        <v>0.23591075925207483</v>
      </c>
      <c r="Y56" s="63">
        <f t="shared" si="241"/>
        <v>0.19375607628405844</v>
      </c>
      <c r="Z56" s="63">
        <f t="shared" si="241"/>
        <v>0.18863203438806142</v>
      </c>
      <c r="AA56" s="71">
        <f t="shared" si="241"/>
        <v>0.19115429957993735</v>
      </c>
      <c r="AB56" s="63">
        <f t="shared" si="241"/>
        <v>0.17865376931566601</v>
      </c>
      <c r="AC56" s="63">
        <f t="shared" si="241"/>
        <v>0.16971888584124284</v>
      </c>
      <c r="AD56" s="71">
        <f t="shared" si="241"/>
        <v>0.17412661133922946</v>
      </c>
      <c r="AE56" s="63">
        <f t="shared" si="241"/>
        <v>0.14883032233175286</v>
      </c>
      <c r="AF56" s="63">
        <f t="shared" si="241"/>
        <v>0.14358093745403888</v>
      </c>
      <c r="AG56" s="71">
        <f t="shared" si="241"/>
        <v>0.14618053058547176</v>
      </c>
      <c r="AH56" s="63">
        <f t="shared" si="241"/>
        <v>0.13868679474242729</v>
      </c>
      <c r="AI56" s="63">
        <f t="shared" si="241"/>
        <v>0.13026936027505953</v>
      </c>
      <c r="AJ56" s="71">
        <f t="shared" si="241"/>
        <v>0.13444746740745184</v>
      </c>
      <c r="AK56" s="63">
        <f t="shared" si="241"/>
        <v>0.1262523268881377</v>
      </c>
      <c r="AL56" s="63">
        <f t="shared" si="241"/>
        <v>0.1227120286284793</v>
      </c>
      <c r="AM56" s="71">
        <f t="shared" si="241"/>
        <v>0.12447587019785367</v>
      </c>
      <c r="AN56" s="63">
        <f t="shared" si="241"/>
        <v>0.11932460965183034</v>
      </c>
      <c r="AO56" s="63">
        <f t="shared" si="241"/>
        <v>0.11632175353947916</v>
      </c>
      <c r="AP56" s="71">
        <f t="shared" si="241"/>
        <v>0.11782019508417707</v>
      </c>
      <c r="AQ56" s="63">
        <f t="shared" si="241"/>
        <v>0.11342701963003909</v>
      </c>
      <c r="AR56" s="63">
        <f t="shared" si="241"/>
        <v>0.11084941724795438</v>
      </c>
      <c r="AS56" s="71">
        <f t="shared" si="241"/>
        <v>0.11213738594517397</v>
      </c>
      <c r="AT56" s="63">
        <f t="shared" si="241"/>
        <v>0.10834743527800184</v>
      </c>
      <c r="AU56" s="63">
        <f t="shared" si="241"/>
        <v>0.10611230830045781</v>
      </c>
      <c r="AV56" s="71">
        <f t="shared" si="241"/>
        <v>0.10723044499412349</v>
      </c>
      <c r="AW56" s="63">
        <f t="shared" si="241"/>
        <v>0.10392843303231891</v>
      </c>
      <c r="AX56" s="63">
        <f t="shared" si="241"/>
        <v>0.10197339904008706</v>
      </c>
      <c r="AY56" s="71">
        <f t="shared" si="241"/>
        <v>0.10295240404967765</v>
      </c>
    </row>
    <row r="57" spans="1:51" ht="12" customHeight="1" x14ac:dyDescent="0.2">
      <c r="A57" s="24"/>
      <c r="B57" s="6" t="s">
        <v>105</v>
      </c>
      <c r="D57" s="63"/>
      <c r="E57" s="63"/>
      <c r="F57" s="71"/>
      <c r="G57" s="63"/>
      <c r="H57" s="63"/>
      <c r="I57" s="255"/>
      <c r="J57" s="256"/>
      <c r="K57" s="256"/>
      <c r="L57" s="255"/>
      <c r="M57" s="256"/>
      <c r="N57" s="256"/>
      <c r="O57" s="255">
        <f t="shared" ref="O57" si="244">O16/L16-1</f>
        <v>0.55135036446992958</v>
      </c>
      <c r="P57" s="256">
        <f t="shared" ref="P57" si="245">P16/M16-1</f>
        <v>0.3934907358787787</v>
      </c>
      <c r="Q57" s="63">
        <f t="shared" ref="Q57" si="246">Q16/N16-1</f>
        <v>0.35473019751578083</v>
      </c>
      <c r="R57" s="71">
        <f t="shared" ref="R57:S57" si="247">R16/O16-1</f>
        <v>0.3727481551544527</v>
      </c>
      <c r="S57" s="256">
        <f t="shared" si="247"/>
        <v>0.21685855207821669</v>
      </c>
      <c r="T57" s="63">
        <f t="shared" ref="T57" si="248">T16/Q16-1</f>
        <v>0.14246033416102022</v>
      </c>
      <c r="U57" s="71">
        <f t="shared" ref="U57" si="249">U16/R16-1</f>
        <v>0.17756715564869485</v>
      </c>
      <c r="V57" s="63">
        <f t="shared" ref="V57" si="250">V16/S16-1</f>
        <v>0.23202223254852483</v>
      </c>
      <c r="W57" s="63">
        <f t="shared" ref="W57" si="251">W16/T16-1</f>
        <v>0.22622673451994468</v>
      </c>
      <c r="X57" s="71">
        <f t="shared" ref="X57" si="252">X16/U16-1</f>
        <v>0.22905274751931781</v>
      </c>
      <c r="Y57" s="63">
        <f t="shared" ref="Y57" si="253">Y16/V16-1</f>
        <v>0.17225410042953548</v>
      </c>
      <c r="Z57" s="63">
        <f t="shared" ref="Z57" si="254">Z16/W16-1</f>
        <v>0.16260685415942033</v>
      </c>
      <c r="AA57" s="71">
        <f t="shared" ref="AA57" si="255">AA16/X16-1</f>
        <v>0.16732243050933415</v>
      </c>
      <c r="AB57" s="63">
        <f t="shared" ref="AB57" si="256">AB16/Y16-1</f>
        <v>0.14944090107963559</v>
      </c>
      <c r="AC57" s="63">
        <f t="shared" ref="AC57" si="257">AC16/Z16-1</f>
        <v>0.14025263139101285</v>
      </c>
      <c r="AD57" s="71">
        <f t="shared" ref="AD57" si="258">AD16/AA16-1</f>
        <v>0.14476283428672243</v>
      </c>
      <c r="AE57" s="63">
        <f t="shared" ref="AE57" si="259">AE16/AB16-1</f>
        <v>0.12473266522671311</v>
      </c>
      <c r="AF57" s="63">
        <f t="shared" ref="AF57" si="260">AF16/AC16-1</f>
        <v>0.11987404644826771</v>
      </c>
      <c r="AG57" s="71">
        <f t="shared" ref="AG57" si="261">AG16/AD16-1</f>
        <v>0.12226871987815402</v>
      </c>
      <c r="AH57" s="63">
        <f t="shared" ref="AH57" si="262">AH16/AE16-1</f>
        <v>0.11538621170223551</v>
      </c>
      <c r="AI57" s="63">
        <f t="shared" ref="AI57" si="263">AI16/AF16-1</f>
        <v>0.11139074626883283</v>
      </c>
      <c r="AJ57" s="71">
        <f t="shared" ref="AJ57" si="264">AJ16/AG16-1</f>
        <v>0.11336431974094419</v>
      </c>
      <c r="AK57" s="63">
        <f t="shared" ref="AK57" si="265">AK16/AH16-1</f>
        <v>0.13212222845015087</v>
      </c>
      <c r="AL57" s="63">
        <f t="shared" ref="AL57" si="266">AL16/AI16-1</f>
        <v>0.12275494089229122</v>
      </c>
      <c r="AM57" s="71">
        <f t="shared" ref="AM57" si="267">AM16/AJ16-1</f>
        <v>0.12739034654318693</v>
      </c>
      <c r="AN57" s="63">
        <f t="shared" ref="AN57" si="268">AN16/AK16-1</f>
        <v>0.11402250806943881</v>
      </c>
      <c r="AO57" s="63">
        <f t="shared" ref="AO57" si="269">AO16/AL16-1</f>
        <v>0.11104690196741918</v>
      </c>
      <c r="AP57" s="71">
        <f t="shared" ref="AP57" si="270">AP16/AM16-1</f>
        <v>0.11252556201889674</v>
      </c>
      <c r="AQ57" s="63">
        <f t="shared" ref="AQ57" si="271">AQ16/AN16-1</f>
        <v>0.10851171137345306</v>
      </c>
      <c r="AR57" s="63">
        <f t="shared" ref="AR57" si="272">AR16/AO16-1</f>
        <v>0.10595290323130246</v>
      </c>
      <c r="AS57" s="71">
        <f t="shared" ref="AS57" si="273">AS16/AP16-1</f>
        <v>0.10722615588603834</v>
      </c>
      <c r="AT57" s="63">
        <f t="shared" ref="AT57" si="274">AT16/AQ16-1</f>
        <v>0.10375927710721133</v>
      </c>
      <c r="AU57" s="63">
        <f t="shared" ref="AU57" si="275">AU16/AR16-1</f>
        <v>0.1015385242336051</v>
      </c>
      <c r="AV57" s="71">
        <f t="shared" ref="AV57" si="276">AV16/AS16-1</f>
        <v>0.10264484495899806</v>
      </c>
      <c r="AW57" s="63">
        <f t="shared" ref="AW57" si="277">AW16/AT16-1</f>
        <v>9.9623079632385592E-2</v>
      </c>
      <c r="AX57" s="63">
        <f t="shared" ref="AX57" si="278">AX16/AU16-1</f>
        <v>9.7680728468546807E-2</v>
      </c>
      <c r="AY57" s="71">
        <f t="shared" ref="AY57" si="279">AY16/AV16-1</f>
        <v>9.864933475016735E-2</v>
      </c>
    </row>
    <row r="58" spans="1:51" ht="12" customHeight="1" x14ac:dyDescent="0.2">
      <c r="A58" s="24"/>
      <c r="B58" s="6" t="s">
        <v>21</v>
      </c>
      <c r="D58" s="63"/>
      <c r="E58" s="63"/>
      <c r="F58" s="71"/>
      <c r="G58" s="63"/>
      <c r="H58" s="63"/>
      <c r="I58" s="255"/>
      <c r="J58" s="256"/>
      <c r="K58" s="256"/>
      <c r="L58" s="255"/>
      <c r="M58" s="256"/>
      <c r="N58" s="256"/>
      <c r="O58" s="255">
        <f t="shared" ref="O58" si="280">O18/L18-1</f>
        <v>0.23906132351710752</v>
      </c>
      <c r="P58" s="256">
        <f t="shared" ref="P58" si="281">P18/M18-1</f>
        <v>0.30040586090665244</v>
      </c>
      <c r="Q58" s="63">
        <f t="shared" ref="Q58" si="282">Q18/N18-1</f>
        <v>-0.44510739856801784</v>
      </c>
      <c r="R58" s="71">
        <f t="shared" ref="R58:S58" si="283">R18/O18-1</f>
        <v>-7.923432699773747E-2</v>
      </c>
      <c r="S58" s="256">
        <f t="shared" si="283"/>
        <v>0.67044011849344098</v>
      </c>
      <c r="T58" s="63">
        <f t="shared" ref="T58" si="284">T18/Q18-1</f>
        <v>3.0072879330943856</v>
      </c>
      <c r="U58" s="71">
        <f t="shared" ref="U58" si="285">U18/R18-1</f>
        <v>1.3875852460218554</v>
      </c>
      <c r="V58" s="63">
        <f t="shared" ref="V58" si="286">V18/S18-1</f>
        <v>0.34386748338549866</v>
      </c>
      <c r="W58" s="63">
        <f t="shared" ref="W58" si="287">W18/T18-1</f>
        <v>0.210101313217675</v>
      </c>
      <c r="X58" s="71">
        <f t="shared" ref="X58" si="288">X18/U18-1</f>
        <v>0.27496822028872137</v>
      </c>
      <c r="Y58" s="63">
        <f t="shared" ref="Y58" si="289">Y18/V18-1</f>
        <v>0.30664536809225051</v>
      </c>
      <c r="Z58" s="63">
        <f t="shared" ref="Z58" si="290">Z18/W18-1</f>
        <v>0.33803894035920568</v>
      </c>
      <c r="AA58" s="71">
        <f t="shared" ref="AA58" si="291">AA18/X18-1</f>
        <v>0.32199264726711641</v>
      </c>
      <c r="AB58" s="63">
        <f t="shared" ref="AB58" si="292">AB18/Y18-1</f>
        <v>0.31625192278804759</v>
      </c>
      <c r="AC58" s="63">
        <f t="shared" ref="AC58" si="293">AC18/Z18-1</f>
        <v>0.31670150685619092</v>
      </c>
      <c r="AD58" s="71">
        <f t="shared" ref="AD58" si="294">AD18/AA18-1</f>
        <v>0.31647437733251649</v>
      </c>
      <c r="AE58" s="63">
        <f t="shared" ref="AE58" si="295">AE18/AB18-1</f>
        <v>0.2479502221674903</v>
      </c>
      <c r="AF58" s="63">
        <f t="shared" ref="AF58" si="296">AF18/AC18-1</f>
        <v>0.2459878814662777</v>
      </c>
      <c r="AG58" s="71">
        <f t="shared" ref="AG58" si="297">AG18/AD18-1</f>
        <v>0.24697908695181159</v>
      </c>
      <c r="AH58" s="63">
        <f t="shared" ref="AH58" si="298">AH18/AE18-1</f>
        <v>0.22506513763774882</v>
      </c>
      <c r="AI58" s="63">
        <f t="shared" ref="AI58" si="299">AI18/AF18-1</f>
        <v>0.20356535980507284</v>
      </c>
      <c r="AJ58" s="71">
        <f t="shared" ref="AJ58" si="300">AJ18/AG18-1</f>
        <v>0.21443365310244777</v>
      </c>
      <c r="AK58" s="63">
        <f t="shared" ref="AK58" si="301">AK18/AH18-1</f>
        <v>0.10644002264693486</v>
      </c>
      <c r="AL58" s="63">
        <f t="shared" ref="AL58" si="302">AL18/AI18-1</f>
        <v>0.1225581817504926</v>
      </c>
      <c r="AM58" s="71">
        <f t="shared" ref="AM58" si="303">AM18/AJ18-1</f>
        <v>0.11433900719543955</v>
      </c>
      <c r="AN58" s="63">
        <f t="shared" ref="AN58" si="304">AN18/AK18-1</f>
        <v>0.13763584544258545</v>
      </c>
      <c r="AO58" s="63">
        <f t="shared" ref="AO58" si="305">AO18/AL18-1</f>
        <v>0.13523619932183029</v>
      </c>
      <c r="AP58" s="71">
        <f t="shared" ref="AP58" si="306">AP18/AM18-1</f>
        <v>0.13645118318420657</v>
      </c>
      <c r="AQ58" s="63">
        <f t="shared" ref="AQ58" si="307">AQ18/AN18-1</f>
        <v>0.13005008328765122</v>
      </c>
      <c r="AR58" s="63">
        <f t="shared" ref="AR58" si="308">AR18/AO18-1</f>
        <v>0.12803311165106157</v>
      </c>
      <c r="AS58" s="71">
        <f t="shared" ref="AS58" si="309">AS18/AP18-1</f>
        <v>0.12905540511179869</v>
      </c>
      <c r="AT58" s="63">
        <f t="shared" ref="AT58" si="310">AT18/AQ18-1</f>
        <v>0.12356836862538456</v>
      </c>
      <c r="AU58" s="63">
        <f t="shared" ref="AU58" si="311">AU18/AR18-1</f>
        <v>0.12184923713671592</v>
      </c>
      <c r="AV58" s="71">
        <f t="shared" ref="AV58" si="312">AV18/AS18-1</f>
        <v>0.12272133922087436</v>
      </c>
      <c r="AW58" s="63">
        <f t="shared" ref="AW58" si="313">AW18/AT18-1</f>
        <v>0.117959366698831</v>
      </c>
      <c r="AX58" s="63">
        <f t="shared" ref="AX58" si="314">AX18/AU18-1</f>
        <v>0.11647570549532182</v>
      </c>
      <c r="AY58" s="71">
        <f t="shared" ref="AY58" si="315">AY18/AV18-1</f>
        <v>0.11722892315976985</v>
      </c>
    </row>
    <row r="59" spans="1:51" ht="12" customHeight="1" x14ac:dyDescent="0.2">
      <c r="A59" s="24"/>
      <c r="B59" s="21" t="s">
        <v>298</v>
      </c>
      <c r="C59" s="69"/>
      <c r="D59" s="72"/>
      <c r="E59" s="72"/>
      <c r="F59" s="73"/>
      <c r="G59" s="72"/>
      <c r="H59" s="72"/>
      <c r="I59" s="257"/>
      <c r="J59" s="258"/>
      <c r="K59" s="258"/>
      <c r="L59" s="257"/>
      <c r="M59" s="258"/>
      <c r="N59" s="258"/>
      <c r="O59" s="257">
        <f t="shared" ref="O59" si="316">O20/L20-1</f>
        <v>0.35023041474654382</v>
      </c>
      <c r="P59" s="258">
        <f t="shared" ref="P59" si="317">P20/M20-1</f>
        <v>0.73943661971830998</v>
      </c>
      <c r="Q59" s="72">
        <f t="shared" ref="Q59" si="318">Q20/N20-1</f>
        <v>0.33112582781456923</v>
      </c>
      <c r="R59" s="73">
        <f t="shared" ref="R59:S59" si="319">R20/O20-1</f>
        <v>0.52901023890784971</v>
      </c>
      <c r="S59" s="258">
        <f t="shared" si="319"/>
        <v>0.27846153846153854</v>
      </c>
      <c r="T59" s="72">
        <f t="shared" ref="T59" si="320">T20/Q20-1</f>
        <v>0.66870646766169162</v>
      </c>
      <c r="U59" s="73">
        <f t="shared" ref="U59" si="321">U20/R20-1</f>
        <v>0.45354910714285723</v>
      </c>
      <c r="V59" s="72">
        <f t="shared" ref="V59" si="322">V20/S20-1</f>
        <v>0.34386748338549888</v>
      </c>
      <c r="W59" s="72">
        <f t="shared" ref="W59" si="323">W20/T20-1</f>
        <v>0.21010131321767611</v>
      </c>
      <c r="X59" s="73">
        <f t="shared" ref="X59" si="324">X20/U20-1</f>
        <v>0.27496822028872314</v>
      </c>
      <c r="Y59" s="72">
        <f t="shared" ref="Y59" si="325">Y20/V20-1</f>
        <v>0.30664536809225051</v>
      </c>
      <c r="Z59" s="72">
        <f t="shared" ref="Z59" si="326">Z20/W20-1</f>
        <v>0.33803894035920568</v>
      </c>
      <c r="AA59" s="73">
        <f t="shared" ref="AA59" si="327">AA20/X20-1</f>
        <v>0.32199264726711618</v>
      </c>
      <c r="AB59" s="72">
        <f t="shared" ref="AB59" si="328">AB20/Y20-1</f>
        <v>0.31625192278804759</v>
      </c>
      <c r="AC59" s="72">
        <f t="shared" ref="AC59" si="329">AC20/Z20-1</f>
        <v>0.31670150685619092</v>
      </c>
      <c r="AD59" s="73">
        <f t="shared" ref="AD59" si="330">AD20/AA20-1</f>
        <v>0.31647437733251627</v>
      </c>
      <c r="AE59" s="72">
        <f t="shared" ref="AE59" si="331">AE20/AB20-1</f>
        <v>0.2479502221674903</v>
      </c>
      <c r="AF59" s="72">
        <f t="shared" ref="AF59" si="332">AF20/AC20-1</f>
        <v>0.2459878814662777</v>
      </c>
      <c r="AG59" s="73">
        <f t="shared" ref="AG59" si="333">AG20/AD20-1</f>
        <v>0.24697908695181181</v>
      </c>
      <c r="AH59" s="72">
        <f t="shared" ref="AH59" si="334">AH20/AE20-1</f>
        <v>0.22506513763774882</v>
      </c>
      <c r="AI59" s="72">
        <f t="shared" ref="AI59" si="335">AI20/AF20-1</f>
        <v>0.20356535980507284</v>
      </c>
      <c r="AJ59" s="73">
        <f t="shared" ref="AJ59" si="336">AJ20/AG20-1</f>
        <v>0.21443365310244777</v>
      </c>
      <c r="AK59" s="72">
        <f t="shared" ref="AK59" si="337">AK20/AH20-1</f>
        <v>0.10644002264693486</v>
      </c>
      <c r="AL59" s="72">
        <f t="shared" ref="AL59" si="338">AL20/AI20-1</f>
        <v>0.1225581817504926</v>
      </c>
      <c r="AM59" s="73">
        <f t="shared" ref="AM59" si="339">AM20/AJ20-1</f>
        <v>0.11433900719543955</v>
      </c>
      <c r="AN59" s="72">
        <f t="shared" ref="AN59" si="340">AN20/AK20-1</f>
        <v>0.13763584544258545</v>
      </c>
      <c r="AO59" s="72">
        <f t="shared" ref="AO59" si="341">AO20/AL20-1</f>
        <v>0.13523619932183029</v>
      </c>
      <c r="AP59" s="73">
        <f t="shared" ref="AP59" si="342">AP20/AM20-1</f>
        <v>0.13645118318420679</v>
      </c>
      <c r="AQ59" s="72">
        <f t="shared" ref="AQ59" si="343">AQ20/AN20-1</f>
        <v>0.13005008328765122</v>
      </c>
      <c r="AR59" s="72">
        <f t="shared" ref="AR59" si="344">AR20/AO20-1</f>
        <v>0.12803311165106157</v>
      </c>
      <c r="AS59" s="73">
        <f t="shared" ref="AS59" si="345">AS20/AP20-1</f>
        <v>0.12905540511179869</v>
      </c>
      <c r="AT59" s="72">
        <f t="shared" ref="AT59" si="346">AT20/AQ20-1</f>
        <v>0.12356836862538456</v>
      </c>
      <c r="AU59" s="72">
        <f t="shared" ref="AU59" si="347">AU20/AR20-1</f>
        <v>0.12184923713671592</v>
      </c>
      <c r="AV59" s="73">
        <f t="shared" ref="AV59" si="348">AV20/AS20-1</f>
        <v>0.12272133922087436</v>
      </c>
      <c r="AW59" s="72">
        <f t="shared" ref="AW59" si="349">AW20/AT20-1</f>
        <v>0.117959366698831</v>
      </c>
      <c r="AX59" s="72">
        <f t="shared" ref="AX59" si="350">AX20/AU20-1</f>
        <v>0.11647570549532182</v>
      </c>
      <c r="AY59" s="73">
        <f t="shared" ref="AY59" si="351">AY20/AV20-1</f>
        <v>0.11722892315977029</v>
      </c>
    </row>
    <row r="60" spans="1:51" ht="12" customHeight="1" x14ac:dyDescent="0.2">
      <c r="A60" s="24"/>
      <c r="B60" s="6" t="s">
        <v>506</v>
      </c>
      <c r="D60" s="63"/>
      <c r="E60" s="63"/>
      <c r="F60" s="71"/>
      <c r="G60" s="63"/>
      <c r="H60" s="63"/>
      <c r="I60" s="255"/>
      <c r="J60" s="256"/>
      <c r="K60" s="256"/>
      <c r="L60" s="255"/>
      <c r="M60" s="256"/>
      <c r="N60" s="256"/>
      <c r="O60" s="255">
        <f>+O25/L25-1</f>
        <v>-0.56955325005293467</v>
      </c>
      <c r="P60" s="256">
        <f t="shared" ref="P60:AY60" si="352">+P25/M25-1</f>
        <v>0.52487309644670566</v>
      </c>
      <c r="Q60" s="63">
        <f t="shared" si="352"/>
        <v>-4.2695610687023331</v>
      </c>
      <c r="R60" s="71">
        <f t="shared" si="352"/>
        <v>-1.946630595179542</v>
      </c>
      <c r="S60" s="256">
        <f t="shared" si="352"/>
        <v>3.1604527296937466</v>
      </c>
      <c r="T60" s="63">
        <f t="shared" ref="T60" si="353">+T25/Q25-1</f>
        <v>-2.8882241354151512</v>
      </c>
      <c r="U60" s="71">
        <f t="shared" ref="U60" si="354">+U25/R25-1</f>
        <v>-7.6089893478825879</v>
      </c>
      <c r="V60" s="63">
        <f t="shared" si="352"/>
        <v>0.39438889345073402</v>
      </c>
      <c r="W60" s="63">
        <f t="shared" si="352"/>
        <v>0.24697396805518013</v>
      </c>
      <c r="X60" s="71">
        <f t="shared" si="352"/>
        <v>0.31940072084995852</v>
      </c>
      <c r="Y60" s="63">
        <f t="shared" si="352"/>
        <v>0.51504769611135015</v>
      </c>
      <c r="Z60" s="63">
        <f t="shared" si="352"/>
        <v>0.61770295481944726</v>
      </c>
      <c r="AA60" s="71">
        <f t="shared" si="352"/>
        <v>0.56440065386812943</v>
      </c>
      <c r="AB60" s="63">
        <f t="shared" si="352"/>
        <v>0.51834588160630113</v>
      </c>
      <c r="AC60" s="63">
        <f t="shared" si="352"/>
        <v>0.5206851974189135</v>
      </c>
      <c r="AD60" s="71">
        <f t="shared" si="352"/>
        <v>0.51950885995616525</v>
      </c>
      <c r="AE60" s="63">
        <f t="shared" si="352"/>
        <v>0.35743208733206155</v>
      </c>
      <c r="AF60" s="63">
        <f t="shared" si="352"/>
        <v>0.35386164865330039</v>
      </c>
      <c r="AG60" s="71">
        <f t="shared" si="352"/>
        <v>0.35565568868455744</v>
      </c>
      <c r="AH60" s="63">
        <f t="shared" si="352"/>
        <v>0.30785968585899481</v>
      </c>
      <c r="AI60" s="63">
        <f t="shared" si="352"/>
        <v>0.27171664446462551</v>
      </c>
      <c r="AJ60" s="71">
        <f t="shared" si="352"/>
        <v>0.2899012529902627</v>
      </c>
      <c r="AK60" s="63">
        <f t="shared" si="352"/>
        <v>0.11379655243107956</v>
      </c>
      <c r="AL60" s="63">
        <f t="shared" si="352"/>
        <v>0.14000253720555045</v>
      </c>
      <c r="AM60" s="71">
        <f t="shared" si="352"/>
        <v>0.12663398323282649</v>
      </c>
      <c r="AN60" s="63">
        <f t="shared" si="352"/>
        <v>0.16572745588597648</v>
      </c>
      <c r="AO60" s="63">
        <f t="shared" si="352"/>
        <v>0.16202393534170834</v>
      </c>
      <c r="AP60" s="71">
        <f t="shared" si="352"/>
        <v>0.16389169817824101</v>
      </c>
      <c r="AQ60" s="63">
        <f t="shared" si="352"/>
        <v>0.15466509721880373</v>
      </c>
      <c r="AR60" s="63">
        <f t="shared" si="352"/>
        <v>0.15155960437423777</v>
      </c>
      <c r="AS60" s="71">
        <f t="shared" si="352"/>
        <v>0.15312823958591282</v>
      </c>
      <c r="AT60" s="63">
        <f t="shared" si="352"/>
        <v>0.14511204243863474</v>
      </c>
      <c r="AU60" s="63">
        <f t="shared" si="352"/>
        <v>0.14248287624183487</v>
      </c>
      <c r="AV60" s="71">
        <f t="shared" si="352"/>
        <v>0.14381268104395306</v>
      </c>
      <c r="AW60" s="63">
        <f t="shared" si="352"/>
        <v>0.1368180408312234</v>
      </c>
      <c r="AX60" s="63">
        <f t="shared" si="352"/>
        <v>0.13457074190395879</v>
      </c>
      <c r="AY60" s="71">
        <f t="shared" si="352"/>
        <v>0.13570869346592418</v>
      </c>
    </row>
    <row r="61" spans="1:51" ht="12" customHeight="1" x14ac:dyDescent="0.2">
      <c r="A61" s="24"/>
      <c r="B61" s="6" t="s">
        <v>507</v>
      </c>
      <c r="D61" s="63"/>
      <c r="E61" s="63"/>
      <c r="F61" s="71"/>
      <c r="G61" s="63"/>
      <c r="H61" s="63"/>
      <c r="I61" s="255"/>
      <c r="J61" s="256"/>
      <c r="K61" s="256"/>
      <c r="L61" s="255"/>
      <c r="M61" s="256"/>
      <c r="N61" s="256"/>
      <c r="O61" s="255">
        <f>+O27/L27-1</f>
        <v>-0.48611111111111105</v>
      </c>
      <c r="P61" s="256">
        <f t="shared" ref="P61:AY61" si="355">+P27/M27-1</f>
        <v>4.5</v>
      </c>
      <c r="Q61" s="63">
        <f t="shared" si="355"/>
        <v>1.2857142857142851</v>
      </c>
      <c r="R61" s="71">
        <f t="shared" si="355"/>
        <v>2.6756756756756754</v>
      </c>
      <c r="S61" s="256">
        <f t="shared" si="355"/>
        <v>0.42022727272727245</v>
      </c>
      <c r="T61" s="63">
        <f t="shared" ref="T61" si="356">+T27/Q27-1</f>
        <v>1.6879166666666672</v>
      </c>
      <c r="U61" s="71">
        <f t="shared" ref="U61" si="357">+U27/R27-1</f>
        <v>0.86764705882352944</v>
      </c>
      <c r="V61" s="63">
        <f t="shared" si="355"/>
        <v>0.39438889345073469</v>
      </c>
      <c r="W61" s="63">
        <f t="shared" si="355"/>
        <v>0.25064665529639307</v>
      </c>
      <c r="X61" s="71">
        <f t="shared" si="355"/>
        <v>0.32137462744021073</v>
      </c>
      <c r="Y61" s="63">
        <f t="shared" si="355"/>
        <v>0.51504769611135015</v>
      </c>
      <c r="Z61" s="63">
        <f t="shared" si="355"/>
        <v>0.61770295481944726</v>
      </c>
      <c r="AA61" s="71">
        <f t="shared" si="355"/>
        <v>0.56440065386812943</v>
      </c>
      <c r="AB61" s="63">
        <f t="shared" si="355"/>
        <v>0.51834588160630113</v>
      </c>
      <c r="AC61" s="63">
        <f t="shared" si="355"/>
        <v>0.5206851974189135</v>
      </c>
      <c r="AD61" s="71">
        <f t="shared" si="355"/>
        <v>0.51950885995616525</v>
      </c>
      <c r="AE61" s="63">
        <f t="shared" si="355"/>
        <v>0.35743208733206155</v>
      </c>
      <c r="AF61" s="63">
        <f t="shared" si="355"/>
        <v>0.35386164865330039</v>
      </c>
      <c r="AG61" s="71">
        <f t="shared" si="355"/>
        <v>0.35565568868455744</v>
      </c>
      <c r="AH61" s="63">
        <f t="shared" si="355"/>
        <v>0.30785968585899481</v>
      </c>
      <c r="AI61" s="63">
        <f t="shared" si="355"/>
        <v>0.27171664446462551</v>
      </c>
      <c r="AJ61" s="71">
        <f t="shared" si="355"/>
        <v>0.2899012529902627</v>
      </c>
      <c r="AK61" s="63">
        <f t="shared" si="355"/>
        <v>0.11379655243107956</v>
      </c>
      <c r="AL61" s="63">
        <f t="shared" si="355"/>
        <v>0.14000253720555045</v>
      </c>
      <c r="AM61" s="71">
        <f t="shared" si="355"/>
        <v>0.12663398323282649</v>
      </c>
      <c r="AN61" s="63">
        <f t="shared" si="355"/>
        <v>0.16572745588597648</v>
      </c>
      <c r="AO61" s="63">
        <f t="shared" si="355"/>
        <v>0.16202393534170834</v>
      </c>
      <c r="AP61" s="71">
        <f t="shared" si="355"/>
        <v>0.16389169817824101</v>
      </c>
      <c r="AQ61" s="63">
        <f t="shared" si="355"/>
        <v>0.15466509721880373</v>
      </c>
      <c r="AR61" s="63">
        <f t="shared" si="355"/>
        <v>0.15155960437423777</v>
      </c>
      <c r="AS61" s="71">
        <f t="shared" si="355"/>
        <v>0.15312823958591282</v>
      </c>
      <c r="AT61" s="63">
        <f t="shared" si="355"/>
        <v>0.14511204243863474</v>
      </c>
      <c r="AU61" s="63">
        <f t="shared" si="355"/>
        <v>0.14248287624183487</v>
      </c>
      <c r="AV61" s="71">
        <f t="shared" si="355"/>
        <v>0.14381268104395306</v>
      </c>
      <c r="AW61" s="63">
        <f t="shared" si="355"/>
        <v>0.1368180408312234</v>
      </c>
      <c r="AX61" s="63">
        <f t="shared" si="355"/>
        <v>0.13457074190395879</v>
      </c>
      <c r="AY61" s="71">
        <f t="shared" si="355"/>
        <v>0.13570869346592418</v>
      </c>
    </row>
    <row r="62" spans="1:51" ht="12" customHeight="1" x14ac:dyDescent="0.2">
      <c r="A62" s="24"/>
      <c r="B62" s="6" t="s">
        <v>106</v>
      </c>
      <c r="D62" s="63"/>
      <c r="E62" s="63"/>
      <c r="F62" s="71"/>
      <c r="G62" s="63"/>
      <c r="H62" s="63"/>
      <c r="I62" s="255"/>
      <c r="J62" s="256"/>
      <c r="K62" s="256"/>
      <c r="L62" s="255"/>
      <c r="M62" s="256"/>
      <c r="N62" s="256"/>
      <c r="O62" s="255">
        <f t="shared" ref="O62" si="358">+O40/L40-1</f>
        <v>-1.579647149066739</v>
      </c>
      <c r="P62" s="256">
        <f t="shared" ref="P62" si="359">+P40/M40-1</f>
        <v>2.5325602140945329</v>
      </c>
      <c r="Q62" s="63">
        <f t="shared" ref="Q62" si="360">+Q40/N40-1</f>
        <v>7.5410122164046776</v>
      </c>
      <c r="R62" s="71">
        <f t="shared" ref="R62:S62" si="361">+R40/O40-1</f>
        <v>5.0644022937802751</v>
      </c>
      <c r="S62" s="256">
        <f t="shared" si="361"/>
        <v>-2.843686868686869</v>
      </c>
      <c r="T62" s="63">
        <f t="shared" ref="T62" si="362">+T40/Q40-1</f>
        <v>-1.7330404577033127</v>
      </c>
      <c r="U62" s="71">
        <f t="shared" ref="U62" si="363">+U40/R40-1</f>
        <v>-2.0529531568228165</v>
      </c>
      <c r="V62" s="63">
        <f t="shared" ref="V62" si="364">+V40/S40-1</f>
        <v>0.49350194538324765</v>
      </c>
      <c r="W62" s="63">
        <f t="shared" ref="W62" si="365">+W40/T40-1</f>
        <v>0.37740174564722095</v>
      </c>
      <c r="X62" s="71">
        <f t="shared" ref="X62" si="366">+X40/U40-1</f>
        <v>0.43595711717752406</v>
      </c>
      <c r="Y62" s="63">
        <f t="shared" ref="Y62" si="367">+Y40/V40-1</f>
        <v>0.55762192867415905</v>
      </c>
      <c r="Z62" s="63">
        <f t="shared" ref="Z62" si="368">+Z40/W40-1</f>
        <v>0.51412823710893596</v>
      </c>
      <c r="AA62" s="71">
        <f t="shared" ref="AA62" si="369">+AA40/X40-1</f>
        <v>0.53694344164248031</v>
      </c>
      <c r="AB62" s="63">
        <f t="shared" ref="AB62" si="370">+AB40/Y40-1</f>
        <v>0.45675539547215771</v>
      </c>
      <c r="AC62" s="63">
        <f t="shared" ref="AC62" si="371">+AC40/Z40-1</f>
        <v>0.64017783026382302</v>
      </c>
      <c r="AD62" s="71">
        <f t="shared" ref="AD62" si="372">+AD40/AA40-1</f>
        <v>0.54266658181447802</v>
      </c>
      <c r="AE62" s="63">
        <f t="shared" ref="AE62" si="373">+AE40/AB40-1</f>
        <v>0.41326199971634026</v>
      </c>
      <c r="AF62" s="63">
        <f t="shared" ref="AF62" si="374">+AF40/AC40-1</f>
        <v>0.41388244784596662</v>
      </c>
      <c r="AG62" s="71">
        <f t="shared" ref="AG62" si="375">+AG40/AD40-1</f>
        <v>0.41357097348316718</v>
      </c>
      <c r="AH62" s="63">
        <f t="shared" ref="AH62" si="376">+AH40/AE40-1</f>
        <v>0.34854587908769896</v>
      </c>
      <c r="AI62" s="63">
        <f t="shared" ref="AI62" si="377">+AI40/AF40-1</f>
        <v>0.3122454749320267</v>
      </c>
      <c r="AJ62" s="71">
        <f t="shared" ref="AJ62" si="378">+AJ40/AG40-1</f>
        <v>0.33046484468119841</v>
      </c>
      <c r="AK62" s="63">
        <f t="shared" ref="AK62" si="379">+AK40/AH40-1</f>
        <v>0.13629060818589411</v>
      </c>
      <c r="AL62" s="63">
        <f t="shared" ref="AL62" si="380">+AL40/AI40-1</f>
        <v>0.16608862392505608</v>
      </c>
      <c r="AM62" s="71">
        <f t="shared" ref="AM62" si="381">+AM40/AJ40-1</f>
        <v>0.15092958887180763</v>
      </c>
      <c r="AN62" s="63">
        <f t="shared" ref="AN62" si="382">+AN40/AK40-1</f>
        <v>0.18963145894631994</v>
      </c>
      <c r="AO62" s="63">
        <f t="shared" ref="AO62" si="383">+AO40/AL40-1</f>
        <v>0.18689316646572207</v>
      </c>
      <c r="AP62" s="71">
        <f t="shared" ref="AP62" si="384">+AP40/AM40-1</f>
        <v>0.18826848947107888</v>
      </c>
      <c r="AQ62" s="63">
        <f t="shared" ref="AQ62" si="385">+AQ40/AN40-1</f>
        <v>0.17607572701223506</v>
      </c>
      <c r="AR62" s="63">
        <f t="shared" ref="AR62" si="386">+AR40/AO40-1</f>
        <v>0.17403567823142829</v>
      </c>
      <c r="AS62" s="71">
        <f t="shared" ref="AS62" si="387">+AS40/AP40-1</f>
        <v>0.1750614796270773</v>
      </c>
      <c r="AT62" s="63">
        <f t="shared" ref="AT62" si="388">+AT40/AQ40-1</f>
        <v>0.16470636284967832</v>
      </c>
      <c r="AU62" s="63">
        <f t="shared" ref="AU62" si="389">+AU40/AR40-1</f>
        <v>0.16308477711460401</v>
      </c>
      <c r="AV62" s="71">
        <f t="shared" ref="AV62" si="390">+AV40/AS40-1</f>
        <v>0.16390086577937835</v>
      </c>
      <c r="AW62" s="63">
        <f t="shared" ref="AW62" si="391">+AW40/AT40-1</f>
        <v>0.15497934906864641</v>
      </c>
      <c r="AX62" s="63">
        <f t="shared" ref="AX62" si="392">+AX40/AU40-1</f>
        <v>0.15369339481157285</v>
      </c>
      <c r="AY62" s="71">
        <f t="shared" ref="AY62" si="393">+AY40/AV40-1</f>
        <v>0.15434101951694501</v>
      </c>
    </row>
    <row r="63" spans="1:51" ht="12" customHeight="1" x14ac:dyDescent="0.2">
      <c r="A63" s="24"/>
      <c r="B63" s="21" t="s">
        <v>541</v>
      </c>
      <c r="C63" s="69"/>
      <c r="D63" s="72"/>
      <c r="E63" s="72"/>
      <c r="F63" s="73"/>
      <c r="G63" s="72"/>
      <c r="H63" s="72"/>
      <c r="I63" s="257"/>
      <c r="J63" s="258"/>
      <c r="K63" s="258"/>
      <c r="L63" s="257"/>
      <c r="M63" s="258"/>
      <c r="N63" s="258"/>
      <c r="O63" s="257">
        <f>+O42/L42-1</f>
        <v>-6.25E-2</v>
      </c>
      <c r="P63" s="258">
        <f t="shared" ref="P63:AY63" si="394">+P42/M42-1</f>
        <v>3.2222222222222223</v>
      </c>
      <c r="Q63" s="72">
        <f t="shared" si="394"/>
        <v>-9.5238095238095122E-2</v>
      </c>
      <c r="R63" s="73">
        <f t="shared" si="394"/>
        <v>0.90000000000000013</v>
      </c>
      <c r="S63" s="258">
        <f t="shared" si="394"/>
        <v>0.92131578947368431</v>
      </c>
      <c r="T63" s="72">
        <f t="shared" ref="T63" si="395">+T42/Q42-1</f>
        <v>2.7763157894736841</v>
      </c>
      <c r="U63" s="73">
        <f t="shared" ref="U63" si="396">+U42/R42-1</f>
        <v>1.5396491228070177</v>
      </c>
      <c r="V63" s="72">
        <f t="shared" si="394"/>
        <v>0.49350194538324854</v>
      </c>
      <c r="W63" s="72">
        <f t="shared" si="394"/>
        <v>0.3774017456472254</v>
      </c>
      <c r="X63" s="73">
        <f t="shared" si="394"/>
        <v>0.43595711717753161</v>
      </c>
      <c r="Y63" s="72">
        <f t="shared" si="394"/>
        <v>0.55762192867415905</v>
      </c>
      <c r="Z63" s="72">
        <f t="shared" si="394"/>
        <v>0.51412823710893596</v>
      </c>
      <c r="AA63" s="73">
        <f t="shared" si="394"/>
        <v>0.53694344164248031</v>
      </c>
      <c r="AB63" s="72">
        <f t="shared" si="394"/>
        <v>0.45675539547215771</v>
      </c>
      <c r="AC63" s="72">
        <f t="shared" si="394"/>
        <v>0.64017783026382302</v>
      </c>
      <c r="AD63" s="73">
        <f t="shared" si="394"/>
        <v>0.54266658181447802</v>
      </c>
      <c r="AE63" s="72">
        <f t="shared" si="394"/>
        <v>0.41326199971634026</v>
      </c>
      <c r="AF63" s="72">
        <f t="shared" si="394"/>
        <v>0.41388244784596662</v>
      </c>
      <c r="AG63" s="73">
        <f t="shared" si="394"/>
        <v>0.41357097348316718</v>
      </c>
      <c r="AH63" s="72">
        <f t="shared" si="394"/>
        <v>0.34854587908769896</v>
      </c>
      <c r="AI63" s="72">
        <f t="shared" si="394"/>
        <v>0.3122454749320267</v>
      </c>
      <c r="AJ63" s="73">
        <f t="shared" si="394"/>
        <v>0.33046484468119841</v>
      </c>
      <c r="AK63" s="72">
        <f t="shared" si="394"/>
        <v>0.13629060818589411</v>
      </c>
      <c r="AL63" s="72">
        <f t="shared" si="394"/>
        <v>0.16608862392505608</v>
      </c>
      <c r="AM63" s="73">
        <f t="shared" si="394"/>
        <v>0.15092958887180763</v>
      </c>
      <c r="AN63" s="72">
        <f t="shared" si="394"/>
        <v>0.18963145894631994</v>
      </c>
      <c r="AO63" s="72">
        <f t="shared" si="394"/>
        <v>0.18689316646572207</v>
      </c>
      <c r="AP63" s="73">
        <f t="shared" si="394"/>
        <v>0.18826848947107888</v>
      </c>
      <c r="AQ63" s="72">
        <f t="shared" si="394"/>
        <v>0.17607572701223506</v>
      </c>
      <c r="AR63" s="72">
        <f t="shared" si="394"/>
        <v>0.17403567823142829</v>
      </c>
      <c r="AS63" s="73">
        <f t="shared" si="394"/>
        <v>0.1750614796270773</v>
      </c>
      <c r="AT63" s="72">
        <f t="shared" si="394"/>
        <v>0.16470636284967832</v>
      </c>
      <c r="AU63" s="72">
        <f t="shared" si="394"/>
        <v>0.16308477711460401</v>
      </c>
      <c r="AV63" s="73">
        <f t="shared" si="394"/>
        <v>0.16390086577937835</v>
      </c>
      <c r="AW63" s="72">
        <f t="shared" si="394"/>
        <v>0.15497934906864641</v>
      </c>
      <c r="AX63" s="72">
        <f t="shared" si="394"/>
        <v>0.15369339481157285</v>
      </c>
      <c r="AY63" s="73">
        <f t="shared" si="394"/>
        <v>0.15434101951694501</v>
      </c>
    </row>
    <row r="64" spans="1:51" ht="12" customHeight="1" x14ac:dyDescent="0.2">
      <c r="A64" s="24"/>
      <c r="B64" s="6"/>
      <c r="D64" s="59"/>
      <c r="E64" s="59"/>
      <c r="F64" s="70"/>
      <c r="G64" s="59"/>
      <c r="H64" s="59"/>
      <c r="I64" s="259"/>
      <c r="J64" s="260"/>
      <c r="K64" s="260"/>
      <c r="L64" s="259"/>
      <c r="M64" s="260"/>
      <c r="N64" s="260"/>
      <c r="O64" s="259"/>
      <c r="P64" s="260"/>
      <c r="Q64" s="59"/>
      <c r="R64" s="70"/>
      <c r="S64" s="260"/>
      <c r="T64" s="59"/>
      <c r="U64" s="70"/>
      <c r="V64" s="59"/>
      <c r="W64" s="59"/>
      <c r="X64" s="70"/>
      <c r="Y64" s="59"/>
      <c r="Z64" s="59"/>
      <c r="AA64" s="70"/>
      <c r="AB64" s="59"/>
      <c r="AC64" s="59"/>
      <c r="AD64" s="70"/>
      <c r="AE64" s="59"/>
      <c r="AF64" s="59"/>
      <c r="AG64" s="70"/>
      <c r="AH64" s="59"/>
      <c r="AI64" s="59"/>
      <c r="AJ64" s="70"/>
      <c r="AK64" s="59"/>
      <c r="AL64" s="59"/>
      <c r="AM64" s="70"/>
      <c r="AN64" s="59"/>
      <c r="AO64" s="59"/>
      <c r="AP64" s="70"/>
      <c r="AQ64" s="59"/>
      <c r="AR64" s="59"/>
      <c r="AS64" s="70"/>
      <c r="AT64" s="59"/>
      <c r="AU64" s="59"/>
      <c r="AV64" s="70"/>
      <c r="AW64" s="59"/>
      <c r="AX64" s="59"/>
      <c r="AY64" s="70"/>
    </row>
    <row r="65" spans="1:51" ht="12" customHeight="1" x14ac:dyDescent="0.2">
      <c r="A65" s="24"/>
      <c r="B65" s="6" t="s">
        <v>107</v>
      </c>
      <c r="D65" s="63"/>
      <c r="E65" s="63"/>
      <c r="F65" s="71"/>
      <c r="G65" s="63"/>
      <c r="H65" s="63"/>
      <c r="I65" s="255"/>
      <c r="J65" s="256"/>
      <c r="K65" s="256"/>
      <c r="L65" s="255"/>
      <c r="M65" s="256"/>
      <c r="N65" s="256"/>
      <c r="O65" s="255"/>
      <c r="P65" s="256"/>
      <c r="Q65" s="63"/>
      <c r="R65" s="71"/>
      <c r="S65" s="256"/>
      <c r="T65" s="63"/>
      <c r="U65" s="71"/>
      <c r="V65" s="63" t="e">
        <f t="shared" ref="V65:AY65" si="397">+V50/S50-1</f>
        <v>#DIV/0!</v>
      </c>
      <c r="W65" s="63">
        <f t="shared" si="397"/>
        <v>0.41816970087641847</v>
      </c>
      <c r="X65" s="71">
        <f t="shared" si="397"/>
        <v>0.47845817806926338</v>
      </c>
      <c r="Y65" s="63">
        <f t="shared" si="397"/>
        <v>0.55762192867415905</v>
      </c>
      <c r="Z65" s="63">
        <f t="shared" si="397"/>
        <v>0.51412823710893618</v>
      </c>
      <c r="AA65" s="71">
        <f t="shared" si="397"/>
        <v>0.53694344164248031</v>
      </c>
      <c r="AB65" s="63">
        <f t="shared" si="397"/>
        <v>0.45675539547215749</v>
      </c>
      <c r="AC65" s="63">
        <f t="shared" si="397"/>
        <v>0.64017783026382302</v>
      </c>
      <c r="AD65" s="71">
        <f t="shared" si="397"/>
        <v>0.54266658181447802</v>
      </c>
      <c r="AE65" s="63">
        <f t="shared" si="397"/>
        <v>0.41326199971634026</v>
      </c>
      <c r="AF65" s="63">
        <f t="shared" si="397"/>
        <v>0.41388244784596639</v>
      </c>
      <c r="AG65" s="71">
        <f t="shared" si="397"/>
        <v>0.41357097348316718</v>
      </c>
      <c r="AH65" s="63">
        <f t="shared" si="397"/>
        <v>0.34854587908769896</v>
      </c>
      <c r="AI65" s="63">
        <f t="shared" si="397"/>
        <v>0.3122454749320267</v>
      </c>
      <c r="AJ65" s="71">
        <f t="shared" si="397"/>
        <v>0.33046484468119841</v>
      </c>
      <c r="AK65" s="63">
        <f t="shared" si="397"/>
        <v>0.13629060818589411</v>
      </c>
      <c r="AL65" s="63">
        <f t="shared" si="397"/>
        <v>0.16608862392505608</v>
      </c>
      <c r="AM65" s="71">
        <f t="shared" si="397"/>
        <v>0.15092958887180763</v>
      </c>
      <c r="AN65" s="63">
        <f t="shared" si="397"/>
        <v>0.18963145894631994</v>
      </c>
      <c r="AO65" s="63">
        <f t="shared" si="397"/>
        <v>0.18689316646572207</v>
      </c>
      <c r="AP65" s="71">
        <f t="shared" si="397"/>
        <v>0.18826848947107888</v>
      </c>
      <c r="AQ65" s="63">
        <f t="shared" si="397"/>
        <v>0.17607572701223506</v>
      </c>
      <c r="AR65" s="63">
        <f t="shared" si="397"/>
        <v>0.17403567823142807</v>
      </c>
      <c r="AS65" s="71">
        <f t="shared" si="397"/>
        <v>0.1750614796270773</v>
      </c>
      <c r="AT65" s="63">
        <f t="shared" si="397"/>
        <v>0.16470636284967832</v>
      </c>
      <c r="AU65" s="63">
        <f t="shared" si="397"/>
        <v>0.16308477711460445</v>
      </c>
      <c r="AV65" s="71">
        <f t="shared" si="397"/>
        <v>0.16390086577937812</v>
      </c>
      <c r="AW65" s="63">
        <f t="shared" si="397"/>
        <v>0.15497934906864641</v>
      </c>
      <c r="AX65" s="63">
        <f t="shared" si="397"/>
        <v>0.15369339481157263</v>
      </c>
      <c r="AY65" s="71">
        <f t="shared" si="397"/>
        <v>0.15434101951694479</v>
      </c>
    </row>
    <row r="66" spans="1:51" ht="12" customHeight="1" x14ac:dyDescent="0.2">
      <c r="A66" s="24"/>
      <c r="B66" s="21" t="s">
        <v>306</v>
      </c>
      <c r="C66" s="69"/>
      <c r="D66" s="72"/>
      <c r="E66" s="72"/>
      <c r="F66" s="73"/>
      <c r="G66" s="72"/>
      <c r="H66" s="72"/>
      <c r="I66" s="257"/>
      <c r="J66" s="258"/>
      <c r="K66" s="258"/>
      <c r="L66" s="257"/>
      <c r="M66" s="258"/>
      <c r="N66" s="258"/>
      <c r="O66" s="257"/>
      <c r="P66" s="258"/>
      <c r="Q66" s="72"/>
      <c r="R66" s="73"/>
      <c r="S66" s="258"/>
      <c r="T66" s="72"/>
      <c r="U66" s="73"/>
      <c r="V66" s="72" t="e">
        <f t="shared" ref="V66:AY66" si="398">+V51/S51-1</f>
        <v>#DIV/0!</v>
      </c>
      <c r="W66" s="72">
        <f t="shared" si="398"/>
        <v>0.41816970087642313</v>
      </c>
      <c r="X66" s="73">
        <f t="shared" si="398"/>
        <v>0.47845817806927182</v>
      </c>
      <c r="Y66" s="72">
        <f t="shared" si="398"/>
        <v>0.55762192867415905</v>
      </c>
      <c r="Z66" s="72">
        <f t="shared" si="398"/>
        <v>0.51412823710893618</v>
      </c>
      <c r="AA66" s="73">
        <f t="shared" si="398"/>
        <v>0.53694344164248031</v>
      </c>
      <c r="AB66" s="72">
        <f t="shared" si="398"/>
        <v>0.45675539547215749</v>
      </c>
      <c r="AC66" s="72">
        <f t="shared" si="398"/>
        <v>0.64017783026382302</v>
      </c>
      <c r="AD66" s="73">
        <f t="shared" si="398"/>
        <v>0.54266658181447802</v>
      </c>
      <c r="AE66" s="72">
        <f t="shared" si="398"/>
        <v>0.41326199971634026</v>
      </c>
      <c r="AF66" s="72">
        <f t="shared" si="398"/>
        <v>0.41388244784596639</v>
      </c>
      <c r="AG66" s="73">
        <f t="shared" si="398"/>
        <v>0.41357097348316718</v>
      </c>
      <c r="AH66" s="72">
        <f t="shared" si="398"/>
        <v>0.34854587908769896</v>
      </c>
      <c r="AI66" s="72">
        <f t="shared" si="398"/>
        <v>0.3122454749320267</v>
      </c>
      <c r="AJ66" s="73">
        <f t="shared" si="398"/>
        <v>0.33046484468119841</v>
      </c>
      <c r="AK66" s="72">
        <f t="shared" si="398"/>
        <v>0.13629060818589411</v>
      </c>
      <c r="AL66" s="72">
        <f t="shared" si="398"/>
        <v>0.16608862392505608</v>
      </c>
      <c r="AM66" s="73">
        <f t="shared" si="398"/>
        <v>0.15092958887180763</v>
      </c>
      <c r="AN66" s="72">
        <f t="shared" si="398"/>
        <v>0.18963145894631994</v>
      </c>
      <c r="AO66" s="72">
        <f t="shared" si="398"/>
        <v>0.18689316646572207</v>
      </c>
      <c r="AP66" s="73">
        <f t="shared" si="398"/>
        <v>0.18826848947107888</v>
      </c>
      <c r="AQ66" s="72">
        <f t="shared" si="398"/>
        <v>0.17607572701223506</v>
      </c>
      <c r="AR66" s="72">
        <f t="shared" si="398"/>
        <v>0.17403567823142807</v>
      </c>
      <c r="AS66" s="73">
        <f t="shared" si="398"/>
        <v>0.1750614796270773</v>
      </c>
      <c r="AT66" s="72">
        <f t="shared" si="398"/>
        <v>0.16470636284967832</v>
      </c>
      <c r="AU66" s="72">
        <f t="shared" si="398"/>
        <v>0.16308477711460445</v>
      </c>
      <c r="AV66" s="73">
        <f t="shared" si="398"/>
        <v>0.16390086577937812</v>
      </c>
      <c r="AW66" s="72">
        <f t="shared" si="398"/>
        <v>0.15497934906864641</v>
      </c>
      <c r="AX66" s="72">
        <f t="shared" si="398"/>
        <v>0.15369339481157263</v>
      </c>
      <c r="AY66" s="73">
        <f t="shared" si="398"/>
        <v>0.15434101951694479</v>
      </c>
    </row>
    <row r="67" spans="1:51" ht="12" customHeight="1" x14ac:dyDescent="0.2">
      <c r="A67" s="24"/>
      <c r="B67" s="6" t="s">
        <v>108</v>
      </c>
      <c r="D67" s="63"/>
      <c r="E67" s="63"/>
      <c r="F67" s="71"/>
      <c r="G67" s="63"/>
      <c r="H67" s="63"/>
      <c r="I67" s="255"/>
      <c r="J67" s="256"/>
      <c r="K67" s="256"/>
      <c r="L67" s="255"/>
      <c r="M67" s="256"/>
      <c r="N67" s="256"/>
      <c r="O67" s="255"/>
      <c r="P67" s="256"/>
      <c r="Q67" s="63"/>
      <c r="R67" s="71"/>
      <c r="S67" s="256"/>
      <c r="T67" s="63"/>
      <c r="U67" s="71"/>
      <c r="V67" s="63"/>
      <c r="W67" s="63"/>
      <c r="X67" s="71"/>
      <c r="Y67" s="63"/>
      <c r="Z67" s="63"/>
      <c r="AA67" s="71"/>
      <c r="AB67" s="63"/>
      <c r="AC67" s="63"/>
      <c r="AD67" s="71"/>
      <c r="AE67" s="63"/>
      <c r="AF67" s="63"/>
      <c r="AG67" s="71"/>
      <c r="AH67" s="63"/>
      <c r="AI67" s="63"/>
      <c r="AJ67" s="71"/>
      <c r="AK67" s="63"/>
      <c r="AL67" s="63"/>
      <c r="AM67" s="71"/>
      <c r="AN67" s="63"/>
      <c r="AO67" s="63"/>
      <c r="AP67" s="71"/>
      <c r="AQ67" s="63"/>
      <c r="AR67" s="63"/>
      <c r="AS67" s="71"/>
      <c r="AT67" s="63"/>
      <c r="AU67" s="63"/>
      <c r="AV67" s="71"/>
      <c r="AW67" s="63"/>
      <c r="AX67" s="63"/>
      <c r="AY67" s="71"/>
    </row>
    <row r="68" spans="1:51" ht="12" customHeight="1" x14ac:dyDescent="0.2">
      <c r="A68" s="24"/>
      <c r="B68" s="6"/>
      <c r="D68" s="59"/>
      <c r="E68" s="59"/>
      <c r="F68" s="70"/>
      <c r="G68" s="59"/>
      <c r="H68" s="59"/>
      <c r="I68" s="259"/>
      <c r="J68" s="260"/>
      <c r="K68" s="260"/>
      <c r="L68" s="259"/>
      <c r="M68" s="260"/>
      <c r="N68" s="260"/>
      <c r="O68" s="259"/>
      <c r="P68" s="260"/>
      <c r="Q68" s="59"/>
      <c r="R68" s="70"/>
      <c r="S68" s="260"/>
      <c r="T68" s="59"/>
      <c r="U68" s="70"/>
      <c r="V68" s="59"/>
      <c r="W68" s="59"/>
      <c r="X68" s="70"/>
      <c r="Y68" s="59"/>
      <c r="Z68" s="59"/>
      <c r="AA68" s="70"/>
      <c r="AB68" s="59"/>
      <c r="AC68" s="59"/>
      <c r="AD68" s="70"/>
      <c r="AE68" s="59"/>
      <c r="AF68" s="59"/>
      <c r="AG68" s="70"/>
      <c r="AH68" s="59"/>
      <c r="AI68" s="59"/>
      <c r="AJ68" s="70"/>
      <c r="AK68" s="59"/>
      <c r="AL68" s="59"/>
      <c r="AM68" s="70"/>
      <c r="AN68" s="59"/>
      <c r="AO68" s="59"/>
      <c r="AP68" s="70"/>
      <c r="AQ68" s="59"/>
      <c r="AR68" s="59"/>
      <c r="AS68" s="70"/>
      <c r="AT68" s="59"/>
      <c r="AU68" s="59"/>
      <c r="AV68" s="70"/>
      <c r="AW68" s="59"/>
      <c r="AX68" s="59"/>
      <c r="AY68" s="70"/>
    </row>
    <row r="69" spans="1:51" ht="12" customHeight="1" x14ac:dyDescent="0.2">
      <c r="A69" s="24"/>
      <c r="B69" s="6" t="s">
        <v>508</v>
      </c>
      <c r="D69" s="63"/>
      <c r="E69" s="63"/>
      <c r="F69" s="71"/>
      <c r="G69" s="63"/>
      <c r="H69" s="63"/>
      <c r="I69" s="255">
        <f>(R8/I8)^(1/3)-1</f>
        <v>0.41994788959444107</v>
      </c>
      <c r="J69" s="256"/>
      <c r="K69" s="256"/>
      <c r="L69" s="255">
        <f t="shared" ref="L69:AP69" si="399">(U8/L8)^(1/3)-1</f>
        <v>0.36402356882216202</v>
      </c>
      <c r="M69" s="256">
        <f t="shared" si="399"/>
        <v>0.29835949965025432</v>
      </c>
      <c r="N69" s="256">
        <f t="shared" si="399"/>
        <v>0.2566836527946319</v>
      </c>
      <c r="O69" s="255">
        <f t="shared" si="399"/>
        <v>0.27651927901049356</v>
      </c>
      <c r="P69" s="256">
        <f t="shared" si="399"/>
        <v>0.23641277895158885</v>
      </c>
      <c r="Q69" s="63">
        <f t="shared" si="399"/>
        <v>0.23015074751366416</v>
      </c>
      <c r="R69" s="71">
        <f t="shared" si="399"/>
        <v>0.23322401739420928</v>
      </c>
      <c r="S69" s="256">
        <f t="shared" si="399"/>
        <v>0.20664840677919805</v>
      </c>
      <c r="T69" s="63">
        <f t="shared" ref="T69" si="400">(AC8/T8)^(1/3)-1</f>
        <v>0.19384334162705308</v>
      </c>
      <c r="U69" s="71">
        <f t="shared" ref="U69" si="401">(AD8/U8)^(1/3)-1</f>
        <v>0.20011635889126422</v>
      </c>
      <c r="V69" s="63">
        <f t="shared" si="399"/>
        <v>0.17359768676487275</v>
      </c>
      <c r="W69" s="63">
        <f t="shared" si="399"/>
        <v>0.16716416911768439</v>
      </c>
      <c r="X69" s="71">
        <f t="shared" si="399"/>
        <v>0.1703398519966135</v>
      </c>
      <c r="Y69" s="63">
        <f t="shared" si="399"/>
        <v>0.15526639663906594</v>
      </c>
      <c r="Z69" s="63">
        <f t="shared" si="399"/>
        <v>0.1477398339122884</v>
      </c>
      <c r="AA69" s="71">
        <f t="shared" si="399"/>
        <v>0.15146510906248789</v>
      </c>
      <c r="AB69" s="63">
        <f t="shared" si="399"/>
        <v>0.13788566201156671</v>
      </c>
      <c r="AC69" s="63">
        <f t="shared" si="399"/>
        <v>0.13215462733731598</v>
      </c>
      <c r="AD69" s="71">
        <f t="shared" si="399"/>
        <v>0.13499997639928729</v>
      </c>
      <c r="AE69" s="63">
        <f t="shared" si="399"/>
        <v>0.1280595137445022</v>
      </c>
      <c r="AF69" s="63">
        <f t="shared" si="399"/>
        <v>0.12308658418459628</v>
      </c>
      <c r="AG69" s="71">
        <f t="shared" si="399"/>
        <v>0.12556045744032995</v>
      </c>
      <c r="AH69" s="63">
        <f t="shared" si="399"/>
        <v>0.11965572032380267</v>
      </c>
      <c r="AI69" s="63">
        <f t="shared" si="399"/>
        <v>0.11661721297987571</v>
      </c>
      <c r="AJ69" s="71">
        <f t="shared" si="399"/>
        <v>0.11813311735867504</v>
      </c>
      <c r="AK69" s="63">
        <f t="shared" si="399"/>
        <v>0.11369065725889249</v>
      </c>
      <c r="AL69" s="63">
        <f t="shared" si="399"/>
        <v>0.11108666360845532</v>
      </c>
      <c r="AM69" s="71">
        <f t="shared" si="399"/>
        <v>0.11238759453539426</v>
      </c>
      <c r="AN69" s="63">
        <f t="shared" si="399"/>
        <v>0.10856083742247091</v>
      </c>
      <c r="AO69" s="63">
        <f t="shared" si="399"/>
        <v>0.10630576583752771</v>
      </c>
      <c r="AP69" s="71">
        <f t="shared" si="399"/>
        <v>0.10743372130742612</v>
      </c>
      <c r="AQ69" s="63"/>
      <c r="AR69" s="63"/>
      <c r="AS69" s="71"/>
      <c r="AT69" s="63"/>
      <c r="AU69" s="63"/>
      <c r="AV69" s="71"/>
      <c r="AW69" s="63"/>
      <c r="AX69" s="63"/>
      <c r="AY69" s="71"/>
    </row>
    <row r="70" spans="1:51" ht="12" customHeight="1" x14ac:dyDescent="0.2">
      <c r="A70" s="24"/>
      <c r="B70" s="6" t="s">
        <v>317</v>
      </c>
      <c r="D70" s="63"/>
      <c r="E70" s="63"/>
      <c r="F70" s="71"/>
      <c r="G70" s="63"/>
      <c r="H70" s="63"/>
      <c r="I70" s="255">
        <f>(R20/I20)^(1/3)-1</f>
        <v>0.41178714748748702</v>
      </c>
      <c r="J70" s="256"/>
      <c r="K70" s="256"/>
      <c r="L70" s="255">
        <f t="shared" ref="L70:AP70" si="402">(U20/L20)^(1/3)-1</f>
        <v>0.4423898676773963</v>
      </c>
      <c r="M70" s="256">
        <f t="shared" si="402"/>
        <v>0.44040374081153044</v>
      </c>
      <c r="N70" s="256">
        <f t="shared" si="402"/>
        <v>0.39040161598142897</v>
      </c>
      <c r="O70" s="255">
        <f t="shared" si="402"/>
        <v>0.41507618048039907</v>
      </c>
      <c r="P70" s="256">
        <f t="shared" si="402"/>
        <v>0.30938476065053266</v>
      </c>
      <c r="Q70" s="63">
        <f t="shared" si="402"/>
        <v>0.39280444691183258</v>
      </c>
      <c r="R70" s="71">
        <f t="shared" si="402"/>
        <v>0.34809149682777996</v>
      </c>
      <c r="S70" s="256">
        <f t="shared" si="402"/>
        <v>0.3221611724750908</v>
      </c>
      <c r="T70" s="63">
        <f t="shared" ref="T70" si="403">(AC20/T20)^(1/3)-1</f>
        <v>0.28704166330184067</v>
      </c>
      <c r="U70" s="71">
        <f t="shared" ref="U70" si="404">(AD20/U20)^(1/3)-1</f>
        <v>0.30430833645572553</v>
      </c>
      <c r="V70" s="63">
        <f t="shared" si="402"/>
        <v>0.28992562860944315</v>
      </c>
      <c r="W70" s="63">
        <f t="shared" si="402"/>
        <v>0.29964069346008637</v>
      </c>
      <c r="X70" s="71">
        <f t="shared" si="402"/>
        <v>0.29469321935360338</v>
      </c>
      <c r="Y70" s="63">
        <f t="shared" si="402"/>
        <v>0.26250126166038013</v>
      </c>
      <c r="Z70" s="63">
        <f t="shared" si="402"/>
        <v>0.25455665013554274</v>
      </c>
      <c r="AA70" s="71">
        <f t="shared" si="402"/>
        <v>0.25858279739284828</v>
      </c>
      <c r="AB70" s="63">
        <f t="shared" si="402"/>
        <v>0.19150199418981662</v>
      </c>
      <c r="AC70" s="63">
        <f t="shared" si="402"/>
        <v>0.18959040485750545</v>
      </c>
      <c r="AD70" s="71">
        <f t="shared" si="402"/>
        <v>0.19055674236331721</v>
      </c>
      <c r="AE70" s="63">
        <f t="shared" si="402"/>
        <v>0.15530532532711971</v>
      </c>
      <c r="AF70" s="63">
        <f t="shared" si="402"/>
        <v>0.15324502585199129</v>
      </c>
      <c r="AG70" s="71">
        <f t="shared" si="402"/>
        <v>0.15428744139277306</v>
      </c>
      <c r="AH70" s="63">
        <f t="shared" si="402"/>
        <v>0.12462986465865966</v>
      </c>
      <c r="AI70" s="63">
        <f t="shared" si="402"/>
        <v>0.12859722864493017</v>
      </c>
      <c r="AJ70" s="71">
        <f t="shared" si="402"/>
        <v>0.12657763204487438</v>
      </c>
      <c r="AK70" s="63">
        <f t="shared" si="402"/>
        <v>0.13040348517524203</v>
      </c>
      <c r="AL70" s="63">
        <f t="shared" si="402"/>
        <v>0.12835959243330075</v>
      </c>
      <c r="AM70" s="71">
        <f t="shared" si="402"/>
        <v>0.1293953765456799</v>
      </c>
      <c r="AN70" s="63">
        <f t="shared" si="402"/>
        <v>0.12384841720391582</v>
      </c>
      <c r="AO70" s="63">
        <f t="shared" si="402"/>
        <v>0.12210941772722816</v>
      </c>
      <c r="AP70" s="71">
        <f t="shared" si="402"/>
        <v>0.12299149528323694</v>
      </c>
      <c r="AQ70" s="63"/>
      <c r="AR70" s="63"/>
      <c r="AS70" s="71"/>
      <c r="AT70" s="63"/>
      <c r="AU70" s="63"/>
      <c r="AV70" s="71"/>
      <c r="AW70" s="63"/>
      <c r="AX70" s="63"/>
      <c r="AY70" s="71"/>
    </row>
    <row r="71" spans="1:51" ht="12" customHeight="1" x14ac:dyDescent="0.2">
      <c r="A71" s="24"/>
      <c r="B71" s="6" t="s">
        <v>509</v>
      </c>
      <c r="D71" s="63"/>
      <c r="E71" s="63"/>
      <c r="F71" s="71"/>
      <c r="G71" s="63"/>
      <c r="H71" s="63"/>
      <c r="I71" s="255"/>
      <c r="J71" s="256"/>
      <c r="K71" s="256"/>
      <c r="L71" s="255">
        <f t="shared" ref="L71:AP71" si="405">(U42/L42)^(1/3)-1</f>
        <v>0.65386300269892317</v>
      </c>
      <c r="M71" s="256">
        <f t="shared" si="405"/>
        <v>1.2967578560186821</v>
      </c>
      <c r="N71" s="256">
        <f t="shared" si="405"/>
        <v>0.67579573163242057</v>
      </c>
      <c r="O71" s="255">
        <f t="shared" si="405"/>
        <v>0.90643907150700231</v>
      </c>
      <c r="P71" s="256">
        <f t="shared" si="405"/>
        <v>0.6472348896388338</v>
      </c>
      <c r="Q71" s="63">
        <f t="shared" si="405"/>
        <v>0.98959125819575955</v>
      </c>
      <c r="R71" s="71">
        <f t="shared" si="405"/>
        <v>0.77633289540847938</v>
      </c>
      <c r="S71" s="256">
        <f t="shared" si="405"/>
        <v>0.50205151222370348</v>
      </c>
      <c r="T71" s="63">
        <f t="shared" ref="T71" si="406">(AC42/T42)^(1/3)-1</f>
        <v>0.50673915780371392</v>
      </c>
      <c r="U71" s="71">
        <f t="shared" ref="U71" si="407">(AD42/U42)^(1/3)-1</f>
        <v>0.5043785856688221</v>
      </c>
      <c r="V71" s="63">
        <f t="shared" si="405"/>
        <v>0.47465509796855065</v>
      </c>
      <c r="W71" s="63">
        <f t="shared" si="405"/>
        <v>0.51992549461943516</v>
      </c>
      <c r="X71" s="71">
        <f t="shared" si="405"/>
        <v>0.49652000074336478</v>
      </c>
      <c r="Y71" s="63">
        <f t="shared" si="405"/>
        <v>0.40548111463349512</v>
      </c>
      <c r="Z71" s="63">
        <f t="shared" si="405"/>
        <v>0.44912697727239159</v>
      </c>
      <c r="AA71" s="71">
        <f t="shared" si="405"/>
        <v>0.42625670129111293</v>
      </c>
      <c r="AB71" s="63">
        <f t="shared" si="405"/>
        <v>0.29377654944029352</v>
      </c>
      <c r="AC71" s="63">
        <f t="shared" si="405"/>
        <v>0.29336165733789299</v>
      </c>
      <c r="AD71" s="71">
        <f t="shared" si="405"/>
        <v>0.29356997272717411</v>
      </c>
      <c r="AE71" s="63">
        <f t="shared" si="405"/>
        <v>0.22158172744588867</v>
      </c>
      <c r="AF71" s="63">
        <f t="shared" si="405"/>
        <v>0.22007377035068254</v>
      </c>
      <c r="AG71" s="71">
        <f t="shared" si="405"/>
        <v>0.22083108784184335</v>
      </c>
      <c r="AH71" s="63">
        <f t="shared" si="405"/>
        <v>0.16711158868111986</v>
      </c>
      <c r="AI71" s="63">
        <f t="shared" si="405"/>
        <v>0.17564128192228412</v>
      </c>
      <c r="AJ71" s="71">
        <f t="shared" si="405"/>
        <v>0.17131752694608893</v>
      </c>
      <c r="AK71" s="63">
        <f t="shared" si="405"/>
        <v>0.17676043554695453</v>
      </c>
      <c r="AL71" s="63">
        <f t="shared" si="405"/>
        <v>0.17463092904192901</v>
      </c>
      <c r="AM71" s="71">
        <f t="shared" si="405"/>
        <v>0.17570145007398685</v>
      </c>
      <c r="AN71" s="63">
        <f t="shared" si="405"/>
        <v>0.16522193440636834</v>
      </c>
      <c r="AO71" s="63">
        <f t="shared" si="405"/>
        <v>0.16357493560215031</v>
      </c>
      <c r="AP71" s="71">
        <f t="shared" si="405"/>
        <v>0.16440368135348682</v>
      </c>
      <c r="AQ71" s="63"/>
      <c r="AR71" s="63"/>
      <c r="AS71" s="71"/>
      <c r="AT71" s="63"/>
      <c r="AU71" s="63"/>
      <c r="AV71" s="71"/>
      <c r="AW71" s="63"/>
      <c r="AX71" s="63"/>
      <c r="AY71" s="71"/>
    </row>
    <row r="72" spans="1:51" ht="12" customHeight="1" x14ac:dyDescent="0.2">
      <c r="A72" s="24"/>
      <c r="B72" s="6"/>
      <c r="D72" s="59"/>
      <c r="E72" s="59"/>
      <c r="F72" s="70"/>
      <c r="G72" s="59"/>
      <c r="H72" s="59"/>
      <c r="I72" s="259"/>
      <c r="J72" s="260"/>
      <c r="K72" s="260"/>
      <c r="L72" s="259"/>
      <c r="M72" s="260"/>
      <c r="N72" s="260"/>
      <c r="O72" s="259"/>
      <c r="P72" s="260"/>
      <c r="Q72" s="59"/>
      <c r="R72" s="70"/>
      <c r="S72" s="260"/>
      <c r="T72" s="59"/>
      <c r="U72" s="70"/>
      <c r="V72" s="59"/>
      <c r="W72" s="59"/>
      <c r="X72" s="70"/>
      <c r="Y72" s="59"/>
      <c r="Z72" s="59"/>
      <c r="AA72" s="70"/>
      <c r="AB72" s="59"/>
      <c r="AC72" s="59"/>
      <c r="AD72" s="70"/>
      <c r="AE72" s="59"/>
      <c r="AF72" s="59"/>
      <c r="AG72" s="70"/>
      <c r="AH72" s="59"/>
      <c r="AI72" s="59"/>
      <c r="AJ72" s="70"/>
      <c r="AK72" s="59"/>
      <c r="AL72" s="59"/>
      <c r="AM72" s="70"/>
      <c r="AN72" s="59"/>
      <c r="AO72" s="59"/>
      <c r="AP72" s="70"/>
      <c r="AQ72" s="59"/>
      <c r="AR72" s="59"/>
      <c r="AS72" s="70"/>
      <c r="AT72" s="59"/>
      <c r="AU72" s="59"/>
      <c r="AV72" s="70"/>
      <c r="AW72" s="59"/>
      <c r="AX72" s="59"/>
      <c r="AY72" s="70"/>
    </row>
    <row r="73" spans="1:51" ht="12" customHeight="1" x14ac:dyDescent="0.2">
      <c r="A73" s="24"/>
      <c r="B73" s="10" t="s">
        <v>22</v>
      </c>
      <c r="D73" s="59"/>
      <c r="E73" s="59"/>
      <c r="F73" s="70"/>
      <c r="G73" s="59"/>
      <c r="H73" s="59"/>
      <c r="I73" s="259"/>
      <c r="J73" s="260"/>
      <c r="K73" s="260"/>
      <c r="L73" s="259"/>
      <c r="M73" s="260"/>
      <c r="N73" s="260"/>
      <c r="O73" s="259"/>
      <c r="P73" s="260"/>
      <c r="Q73" s="59"/>
      <c r="R73" s="70"/>
      <c r="S73" s="260"/>
      <c r="T73" s="59"/>
      <c r="U73" s="70"/>
      <c r="V73" s="59"/>
      <c r="W73" s="59"/>
      <c r="X73" s="70"/>
      <c r="Y73" s="59"/>
      <c r="Z73" s="59"/>
      <c r="AA73" s="70"/>
      <c r="AB73" s="59"/>
      <c r="AC73" s="59"/>
      <c r="AD73" s="70"/>
      <c r="AE73" s="59"/>
      <c r="AF73" s="59"/>
      <c r="AG73" s="70"/>
      <c r="AH73" s="59"/>
      <c r="AI73" s="59"/>
      <c r="AJ73" s="70"/>
      <c r="AK73" s="59"/>
      <c r="AL73" s="59"/>
      <c r="AM73" s="70"/>
      <c r="AN73" s="59"/>
      <c r="AO73" s="59"/>
      <c r="AP73" s="70"/>
      <c r="AQ73" s="59"/>
      <c r="AR73" s="59"/>
      <c r="AS73" s="70"/>
      <c r="AT73" s="59"/>
      <c r="AU73" s="59"/>
      <c r="AV73" s="70"/>
      <c r="AW73" s="59"/>
      <c r="AX73" s="59"/>
      <c r="AY73" s="70"/>
    </row>
    <row r="74" spans="1:51" ht="12" customHeight="1" x14ac:dyDescent="0.2">
      <c r="A74" s="24"/>
      <c r="B74" s="6" t="s">
        <v>510</v>
      </c>
      <c r="D74" s="63"/>
      <c r="E74" s="63"/>
      <c r="F74" s="71"/>
      <c r="G74" s="63"/>
      <c r="H74" s="63"/>
      <c r="I74" s="255">
        <f>I16/I8</f>
        <v>-0.84394843178756973</v>
      </c>
      <c r="J74" s="256"/>
      <c r="K74" s="256"/>
      <c r="L74" s="255">
        <f t="shared" ref="L74:AY74" si="408">L16/L8</f>
        <v>-0.86084334544099839</v>
      </c>
      <c r="M74" s="256">
        <f t="shared" si="408"/>
        <v>-0.88004290960102327</v>
      </c>
      <c r="N74" s="256">
        <f t="shared" si="408"/>
        <v>-0.89058385741953749</v>
      </c>
      <c r="O74" s="255">
        <f t="shared" si="408"/>
        <v>-0.8856526304411606</v>
      </c>
      <c r="P74" s="256">
        <f t="shared" si="408"/>
        <v>-0.88715175176250771</v>
      </c>
      <c r="Q74" s="63">
        <f t="shared" si="408"/>
        <v>-0.95208847318500034</v>
      </c>
      <c r="R74" s="71">
        <f t="shared" si="408"/>
        <v>-0.92030133191511743</v>
      </c>
      <c r="S74" s="256">
        <f t="shared" ref="S74:U74" si="409">S16/S8</f>
        <v>-0.8513409817389217</v>
      </c>
      <c r="T74" s="63">
        <f t="shared" si="409"/>
        <v>-0.84997070177086542</v>
      </c>
      <c r="U74" s="71">
        <f t="shared" si="409"/>
        <v>-0.85063832910532988</v>
      </c>
      <c r="V74" s="63">
        <f t="shared" si="408"/>
        <v>-0.84000466526971773</v>
      </c>
      <c r="W74" s="63">
        <f t="shared" si="408"/>
        <v>-0.85165096766276205</v>
      </c>
      <c r="X74" s="71">
        <f t="shared" si="408"/>
        <v>-0.84591817629683141</v>
      </c>
      <c r="Y74" s="63">
        <f t="shared" si="408"/>
        <v>-0.82487447210116105</v>
      </c>
      <c r="Z74" s="63">
        <f t="shared" si="408"/>
        <v>-0.83300401109076383</v>
      </c>
      <c r="AA74" s="71">
        <f t="shared" si="408"/>
        <v>-0.82899357532023332</v>
      </c>
      <c r="AB74" s="63">
        <f t="shared" si="408"/>
        <v>-0.80443000410548571</v>
      </c>
      <c r="AC74" s="63">
        <f t="shared" si="408"/>
        <v>-0.81201990247631683</v>
      </c>
      <c r="AD74" s="71">
        <f t="shared" si="408"/>
        <v>-0.80826124348431772</v>
      </c>
      <c r="AE74" s="63">
        <f t="shared" si="408"/>
        <v>-0.78755642579968788</v>
      </c>
      <c r="AF74" s="63">
        <f t="shared" si="408"/>
        <v>-0.79518640456459011</v>
      </c>
      <c r="AG74" s="71">
        <f t="shared" si="408"/>
        <v>-0.7913991616913334</v>
      </c>
      <c r="AH74" s="63">
        <f t="shared" si="408"/>
        <v>-0.77144091099534406</v>
      </c>
      <c r="AI74" s="63">
        <f t="shared" si="408"/>
        <v>-0.78190459960517689</v>
      </c>
      <c r="AJ74" s="71">
        <f t="shared" si="408"/>
        <v>-0.77669139789578345</v>
      </c>
      <c r="AK74" s="63">
        <f t="shared" si="408"/>
        <v>-0.77546157501560331</v>
      </c>
      <c r="AL74" s="63">
        <f t="shared" si="408"/>
        <v>-0.78193448553816636</v>
      </c>
      <c r="AM74" s="71">
        <f t="shared" si="408"/>
        <v>-0.7787044679551639</v>
      </c>
      <c r="AN74" s="63">
        <f t="shared" si="408"/>
        <v>-0.77178830989794178</v>
      </c>
      <c r="AO74" s="63">
        <f t="shared" si="408"/>
        <v>-0.77823968308787705</v>
      </c>
      <c r="AP74" s="71">
        <f t="shared" si="408"/>
        <v>-0.77501608010687817</v>
      </c>
      <c r="AQ74" s="63">
        <f t="shared" si="408"/>
        <v>-0.76838119170779917</v>
      </c>
      <c r="AR74" s="63">
        <f t="shared" si="408"/>
        <v>-0.77480927977903347</v>
      </c>
      <c r="AS74" s="71">
        <f t="shared" si="408"/>
        <v>-0.77159358724130522</v>
      </c>
      <c r="AT74" s="63">
        <f t="shared" si="408"/>
        <v>-0.76520037102756588</v>
      </c>
      <c r="AU74" s="63">
        <f t="shared" si="408"/>
        <v>-0.77160543663208569</v>
      </c>
      <c r="AV74" s="71">
        <f t="shared" si="408"/>
        <v>-0.76839802881283803</v>
      </c>
      <c r="AW74" s="63">
        <f t="shared" si="408"/>
        <v>-0.7622160670451199</v>
      </c>
      <c r="AX74" s="63">
        <f t="shared" si="408"/>
        <v>-0.76859969443036269</v>
      </c>
      <c r="AY74" s="71">
        <f t="shared" si="408"/>
        <v>-0.76540019322587305</v>
      </c>
    </row>
    <row r="75" spans="1:51" ht="12" customHeight="1" x14ac:dyDescent="0.2">
      <c r="A75" s="24"/>
      <c r="B75" s="6" t="s">
        <v>109</v>
      </c>
      <c r="D75" s="63"/>
      <c r="E75" s="63"/>
      <c r="F75" s="71"/>
      <c r="G75" s="63"/>
      <c r="H75" s="63"/>
      <c r="I75" s="255">
        <f>I18/I8</f>
        <v>0.1560515682124303</v>
      </c>
      <c r="J75" s="256"/>
      <c r="K75" s="256"/>
      <c r="L75" s="255">
        <f t="shared" ref="L75:AY75" si="410">L18/L8</f>
        <v>0.13915665455900161</v>
      </c>
      <c r="M75" s="256">
        <f t="shared" si="410"/>
        <v>0.1199570903989767</v>
      </c>
      <c r="N75" s="256">
        <f t="shared" si="410"/>
        <v>0.10941614258046248</v>
      </c>
      <c r="O75" s="255">
        <f t="shared" si="410"/>
        <v>0.11434736955883935</v>
      </c>
      <c r="P75" s="256">
        <f t="shared" si="410"/>
        <v>0.1128482482374923</v>
      </c>
      <c r="Q75" s="63">
        <f t="shared" si="410"/>
        <v>4.791152681499971E-2</v>
      </c>
      <c r="R75" s="71">
        <f t="shared" si="410"/>
        <v>7.969866808488256E-2</v>
      </c>
      <c r="S75" s="256">
        <f t="shared" ref="S75:U75" si="411">S18/S8</f>
        <v>0.14865901826107836</v>
      </c>
      <c r="T75" s="63">
        <f t="shared" si="411"/>
        <v>0.15002929822913461</v>
      </c>
      <c r="U75" s="71">
        <f t="shared" si="411"/>
        <v>0.14936167089467015</v>
      </c>
      <c r="V75" s="63">
        <f t="shared" si="410"/>
        <v>0.15999533473028221</v>
      </c>
      <c r="W75" s="63">
        <f t="shared" si="410"/>
        <v>0.14834903233723798</v>
      </c>
      <c r="X75" s="71">
        <f t="shared" si="410"/>
        <v>0.1540818237031685</v>
      </c>
      <c r="Y75" s="63">
        <f t="shared" si="410"/>
        <v>0.17512552789883898</v>
      </c>
      <c r="Z75" s="63">
        <f t="shared" si="410"/>
        <v>0.16699598890923609</v>
      </c>
      <c r="AA75" s="71">
        <f t="shared" si="410"/>
        <v>0.17100642467976671</v>
      </c>
      <c r="AB75" s="63">
        <f t="shared" si="410"/>
        <v>0.19556999589451438</v>
      </c>
      <c r="AC75" s="63">
        <f t="shared" si="410"/>
        <v>0.18798009752368319</v>
      </c>
      <c r="AD75" s="71">
        <f t="shared" si="410"/>
        <v>0.19173875651568237</v>
      </c>
      <c r="AE75" s="63">
        <f t="shared" si="410"/>
        <v>0.21244357420031224</v>
      </c>
      <c r="AF75" s="63">
        <f t="shared" si="410"/>
        <v>0.20481359543540989</v>
      </c>
      <c r="AG75" s="71">
        <f t="shared" si="410"/>
        <v>0.20860083830866627</v>
      </c>
      <c r="AH75" s="63">
        <f t="shared" si="410"/>
        <v>0.22855908900465594</v>
      </c>
      <c r="AI75" s="63">
        <f t="shared" si="410"/>
        <v>0.21809540039482317</v>
      </c>
      <c r="AJ75" s="71">
        <f t="shared" si="410"/>
        <v>0.22330860210421638</v>
      </c>
      <c r="AK75" s="63">
        <f t="shared" si="410"/>
        <v>0.22453842498439666</v>
      </c>
      <c r="AL75" s="63">
        <f t="shared" si="410"/>
        <v>0.21806551446183373</v>
      </c>
      <c r="AM75" s="71">
        <f t="shared" si="410"/>
        <v>0.22129553204483593</v>
      </c>
      <c r="AN75" s="63">
        <f t="shared" si="410"/>
        <v>0.22821169010205808</v>
      </c>
      <c r="AO75" s="63">
        <f t="shared" si="410"/>
        <v>0.221760316912123</v>
      </c>
      <c r="AP75" s="71">
        <f t="shared" si="410"/>
        <v>0.22498391989312183</v>
      </c>
      <c r="AQ75" s="63">
        <f t="shared" si="410"/>
        <v>0.23161880829220069</v>
      </c>
      <c r="AR75" s="63">
        <f t="shared" si="410"/>
        <v>0.22519072022096639</v>
      </c>
      <c r="AS75" s="71">
        <f t="shared" si="410"/>
        <v>0.22840641275869469</v>
      </c>
      <c r="AT75" s="63">
        <f t="shared" si="410"/>
        <v>0.234799628972434</v>
      </c>
      <c r="AU75" s="63">
        <f t="shared" si="410"/>
        <v>0.22839456336791422</v>
      </c>
      <c r="AV75" s="71">
        <f t="shared" si="410"/>
        <v>0.23160197118716194</v>
      </c>
      <c r="AW75" s="63">
        <f t="shared" si="410"/>
        <v>0.23778393295488015</v>
      </c>
      <c r="AX75" s="63">
        <f t="shared" si="410"/>
        <v>0.23140030556963731</v>
      </c>
      <c r="AY75" s="71">
        <f t="shared" si="410"/>
        <v>0.23459980677412678</v>
      </c>
    </row>
    <row r="76" spans="1:51" ht="12" customHeight="1" x14ac:dyDescent="0.2">
      <c r="A76" s="24"/>
      <c r="B76" s="6" t="s">
        <v>110</v>
      </c>
      <c r="D76" s="63"/>
      <c r="E76" s="63"/>
      <c r="F76" s="71"/>
      <c r="G76" s="63"/>
      <c r="H76" s="63"/>
      <c r="I76" s="255">
        <f>I25/I8</f>
        <v>7.14877312161699E-2</v>
      </c>
      <c r="J76" s="256"/>
      <c r="K76" s="256"/>
      <c r="L76" s="255">
        <f t="shared" ref="L76:AY76" si="412">L25/L8</f>
        <v>5.4985098258358976E-2</v>
      </c>
      <c r="M76" s="256">
        <f t="shared" si="412"/>
        <v>1.6256137310723204E-2</v>
      </c>
      <c r="N76" s="256">
        <f t="shared" si="412"/>
        <v>1.5203940257799432E-2</v>
      </c>
      <c r="O76" s="255">
        <f t="shared" si="412"/>
        <v>1.5696175167152999E-2</v>
      </c>
      <c r="P76" s="256">
        <f t="shared" si="412"/>
        <v>1.7932508342436874E-2</v>
      </c>
      <c r="Q76" s="63">
        <f t="shared" si="412"/>
        <v>-3.9227920342077983E-2</v>
      </c>
      <c r="R76" s="71">
        <f t="shared" si="412"/>
        <v>-1.1247348150572449E-2</v>
      </c>
      <c r="S76" s="256">
        <f t="shared" ref="S76:U76" si="413">S25/S8</f>
        <v>5.8836544753529597E-2</v>
      </c>
      <c r="T76" s="63">
        <f t="shared" si="413"/>
        <v>5.7880776335976998E-2</v>
      </c>
      <c r="U76" s="71">
        <f t="shared" si="413"/>
        <v>5.8346445495456416E-2</v>
      </c>
      <c r="V76" s="63">
        <f t="shared" si="412"/>
        <v>6.5703830343032538E-2</v>
      </c>
      <c r="W76" s="63">
        <f t="shared" si="412"/>
        <v>5.8976452061915909E-2</v>
      </c>
      <c r="X76" s="71">
        <f t="shared" si="412"/>
        <v>6.22879456865678E-2</v>
      </c>
      <c r="Y76" s="63">
        <f t="shared" si="412"/>
        <v>8.3387585424290256E-2</v>
      </c>
      <c r="Z76" s="63">
        <f t="shared" si="412"/>
        <v>8.0265698723530135E-2</v>
      </c>
      <c r="AA76" s="71">
        <f t="shared" si="412"/>
        <v>8.1805776963179963E-2</v>
      </c>
      <c r="AB76" s="63">
        <f t="shared" si="412"/>
        <v>0.10742017732618461</v>
      </c>
      <c r="AC76" s="63">
        <f t="shared" si="412"/>
        <v>0.10434888363931621</v>
      </c>
      <c r="AD76" s="71">
        <f t="shared" si="412"/>
        <v>0.10586984545846032</v>
      </c>
      <c r="AE76" s="63">
        <f t="shared" si="412"/>
        <v>0.12692526711299246</v>
      </c>
      <c r="AF76" s="63">
        <f t="shared" si="412"/>
        <v>0.12353646953365198</v>
      </c>
      <c r="AG76" s="71">
        <f t="shared" si="412"/>
        <v>0.12521854492032311</v>
      </c>
      <c r="AH76" s="63">
        <f t="shared" si="412"/>
        <v>0.14578235274214879</v>
      </c>
      <c r="AI76" s="63">
        <f t="shared" si="412"/>
        <v>0.13899641096712564</v>
      </c>
      <c r="AJ76" s="71">
        <f t="shared" si="412"/>
        <v>0.1423772917043592</v>
      </c>
      <c r="AK76" s="63">
        <f t="shared" si="412"/>
        <v>0.14417007451441569</v>
      </c>
      <c r="AL76" s="63">
        <f t="shared" si="412"/>
        <v>0.14113704772412658</v>
      </c>
      <c r="AM76" s="71">
        <f t="shared" si="412"/>
        <v>0.14265054460133531</v>
      </c>
      <c r="AN76" s="63">
        <f t="shared" si="412"/>
        <v>0.15014680525147928</v>
      </c>
      <c r="AO76" s="63">
        <f t="shared" si="412"/>
        <v>0.14691519456545282</v>
      </c>
      <c r="AP76" s="71">
        <f t="shared" si="412"/>
        <v>0.14852995618816517</v>
      </c>
      <c r="AQ76" s="63">
        <f t="shared" si="412"/>
        <v>0.15570780340897236</v>
      </c>
      <c r="AR76" s="63">
        <f t="shared" si="412"/>
        <v>0.15229931321338916</v>
      </c>
      <c r="AS76" s="71">
        <f t="shared" si="412"/>
        <v>0.15400443242852654</v>
      </c>
      <c r="AT76" s="63">
        <f t="shared" si="412"/>
        <v>0.16087273278217029</v>
      </c>
      <c r="AU76" s="63">
        <f t="shared" si="412"/>
        <v>0.15730713427919366</v>
      </c>
      <c r="AV76" s="71">
        <f t="shared" si="412"/>
        <v>0.15909264737537102</v>
      </c>
      <c r="AW76" s="63">
        <f t="shared" si="412"/>
        <v>0.16566565316398335</v>
      </c>
      <c r="AX76" s="63">
        <f t="shared" si="412"/>
        <v>0.16196041773911996</v>
      </c>
      <c r="AY76" s="71">
        <f t="shared" si="412"/>
        <v>0.16381749749790614</v>
      </c>
    </row>
    <row r="77" spans="1:51" ht="12" customHeight="1" x14ac:dyDescent="0.2">
      <c r="A77" s="24"/>
      <c r="B77" s="6" t="s">
        <v>111</v>
      </c>
      <c r="D77" s="63"/>
      <c r="E77" s="63"/>
      <c r="F77" s="71"/>
      <c r="G77" s="63"/>
      <c r="H77" s="63"/>
      <c r="I77" s="255">
        <f>I40/I8</f>
        <v>3.3363729911069138E-2</v>
      </c>
      <c r="J77" s="256"/>
      <c r="K77" s="256"/>
      <c r="L77" s="255">
        <f t="shared" ref="L77:AY77" si="414">L40/L8</f>
        <v>2.2765902952407584E-2</v>
      </c>
      <c r="M77" s="256">
        <f t="shared" si="414"/>
        <v>-9.2503197590461574E-3</v>
      </c>
      <c r="N77" s="256">
        <f t="shared" si="414"/>
        <v>-8.3128413814116467E-3</v>
      </c>
      <c r="O77" s="255">
        <f t="shared" si="414"/>
        <v>-8.7514090270379517E-3</v>
      </c>
      <c r="P77" s="256">
        <f t="shared" si="414"/>
        <v>-2.3639391822919478E-2</v>
      </c>
      <c r="Q77" s="63">
        <f t="shared" si="414"/>
        <v>-5.6028437809464385E-2</v>
      </c>
      <c r="R77" s="71">
        <f t="shared" si="414"/>
        <v>-4.0173692484819438E-2</v>
      </c>
      <c r="S77" s="256">
        <f t="shared" ref="S77:U77" si="415">S40/S8</f>
        <v>3.4370748379382275E-2</v>
      </c>
      <c r="T77" s="63">
        <f t="shared" si="415"/>
        <v>3.2093861685520524E-2</v>
      </c>
      <c r="U77" s="71">
        <f t="shared" si="415"/>
        <v>3.3203205636930147E-2</v>
      </c>
      <c r="V77" s="63">
        <f t="shared" si="414"/>
        <v>4.1110654809774654E-2</v>
      </c>
      <c r="W77" s="63">
        <f t="shared" si="414"/>
        <v>3.6121810788710011E-2</v>
      </c>
      <c r="X77" s="71">
        <f t="shared" si="414"/>
        <v>3.8577525998974092E-2</v>
      </c>
      <c r="Y77" s="63">
        <f t="shared" si="414"/>
        <v>5.3641492350084988E-2</v>
      </c>
      <c r="Z77" s="63">
        <f t="shared" si="414"/>
        <v>4.6013444117589709E-2</v>
      </c>
      <c r="AA77" s="71">
        <f t="shared" si="414"/>
        <v>4.9776486219984047E-2</v>
      </c>
      <c r="AB77" s="63">
        <f t="shared" si="414"/>
        <v>6.6298123703905726E-2</v>
      </c>
      <c r="AC77" s="63">
        <f t="shared" si="414"/>
        <v>6.4519973003151945E-2</v>
      </c>
      <c r="AD77" s="71">
        <f t="shared" si="414"/>
        <v>6.54005463381261E-2</v>
      </c>
      <c r="AE77" s="63">
        <f t="shared" si="414"/>
        <v>8.1558274587538171E-2</v>
      </c>
      <c r="AF77" s="63">
        <f t="shared" si="414"/>
        <v>7.9770180121875686E-2</v>
      </c>
      <c r="AG77" s="71">
        <f t="shared" si="414"/>
        <v>8.065772492775905E-2</v>
      </c>
      <c r="AH77" s="63">
        <f t="shared" si="414"/>
        <v>9.6589400709969936E-2</v>
      </c>
      <c r="AI77" s="63">
        <f t="shared" si="414"/>
        <v>9.261337304053778E-2</v>
      </c>
      <c r="AJ77" s="71">
        <f t="shared" si="414"/>
        <v>9.4594302998965707E-2</v>
      </c>
      <c r="AK77" s="63">
        <f t="shared" si="414"/>
        <v>9.7450301550359233E-2</v>
      </c>
      <c r="AL77" s="63">
        <f t="shared" si="414"/>
        <v>9.6191541528086483E-2</v>
      </c>
      <c r="AM77" s="71">
        <f t="shared" si="414"/>
        <v>9.6819669630668612E-2</v>
      </c>
      <c r="AN77" s="63">
        <f t="shared" si="414"/>
        <v>0.10357133525740407</v>
      </c>
      <c r="AO77" s="63">
        <f t="shared" si="414"/>
        <v>0.10227255981485443</v>
      </c>
      <c r="AP77" s="71">
        <f t="shared" si="414"/>
        <v>0.10292152806781224</v>
      </c>
      <c r="AQ77" s="63">
        <f t="shared" si="414"/>
        <v>0.10939893793034838</v>
      </c>
      <c r="AR77" s="63">
        <f t="shared" si="414"/>
        <v>0.10808992853789792</v>
      </c>
      <c r="AS77" s="71">
        <f t="shared" si="414"/>
        <v>0.10874476893343578</v>
      </c>
      <c r="AT77" s="63">
        <f t="shared" si="414"/>
        <v>0.11496182067179521</v>
      </c>
      <c r="AU77" s="63">
        <f t="shared" si="414"/>
        <v>0.11365731083401458</v>
      </c>
      <c r="AV77" s="71">
        <f t="shared" si="414"/>
        <v>0.11431055864009959</v>
      </c>
      <c r="AW77" s="63">
        <f t="shared" si="414"/>
        <v>0.12027820358112763</v>
      </c>
      <c r="AX77" s="63">
        <f t="shared" si="414"/>
        <v>0.11899170061225625</v>
      </c>
      <c r="AY77" s="71">
        <f t="shared" si="414"/>
        <v>0.11963650137365385</v>
      </c>
    </row>
    <row r="78" spans="1:51" ht="12" customHeight="1" x14ac:dyDescent="0.2">
      <c r="A78" s="24"/>
      <c r="B78" s="6"/>
      <c r="D78" s="59"/>
      <c r="E78" s="59"/>
      <c r="F78" s="70"/>
      <c r="G78" s="59"/>
      <c r="H78" s="59"/>
      <c r="I78" s="259"/>
      <c r="J78" s="260"/>
      <c r="K78" s="260"/>
      <c r="L78" s="259"/>
      <c r="M78" s="260"/>
      <c r="N78" s="260"/>
      <c r="O78" s="259"/>
      <c r="P78" s="260"/>
      <c r="Q78" s="59"/>
      <c r="R78" s="70"/>
      <c r="S78" s="260"/>
      <c r="T78" s="59"/>
      <c r="U78" s="70"/>
      <c r="V78" s="59"/>
      <c r="W78" s="59"/>
      <c r="X78" s="70"/>
      <c r="Y78" s="59"/>
      <c r="Z78" s="59"/>
      <c r="AA78" s="70"/>
      <c r="AB78" s="59"/>
      <c r="AC78" s="59"/>
      <c r="AD78" s="70"/>
      <c r="AE78" s="59"/>
      <c r="AF78" s="59"/>
      <c r="AG78" s="70"/>
      <c r="AH78" s="59"/>
      <c r="AI78" s="59"/>
      <c r="AJ78" s="70"/>
      <c r="AK78" s="59"/>
      <c r="AL78" s="59"/>
      <c r="AM78" s="70"/>
      <c r="AN78" s="59"/>
      <c r="AO78" s="59"/>
      <c r="AP78" s="70"/>
      <c r="AQ78" s="59"/>
      <c r="AR78" s="59"/>
      <c r="AS78" s="70"/>
      <c r="AT78" s="59"/>
      <c r="AU78" s="59"/>
      <c r="AV78" s="70"/>
      <c r="AW78" s="59"/>
      <c r="AX78" s="59"/>
      <c r="AY78" s="70"/>
    </row>
    <row r="79" spans="1:51" ht="12" customHeight="1" x14ac:dyDescent="0.2">
      <c r="A79" s="24"/>
      <c r="B79" s="6" t="s">
        <v>18</v>
      </c>
      <c r="D79" s="63"/>
      <c r="E79" s="63"/>
      <c r="F79" s="71"/>
      <c r="G79" s="63"/>
      <c r="H79" s="63"/>
      <c r="I79" s="255">
        <f>(I8+I11)/I8</f>
        <v>0.73399369201295073</v>
      </c>
      <c r="J79" s="256"/>
      <c r="K79" s="256"/>
      <c r="L79" s="255">
        <f t="shared" ref="L79:AY79" si="416">(L8+L11)/L8</f>
        <v>0.74274704293564309</v>
      </c>
      <c r="M79" s="256">
        <f t="shared" si="416"/>
        <v>0.72846474398646688</v>
      </c>
      <c r="N79" s="256">
        <f t="shared" si="416"/>
        <v>0.7278233557475392</v>
      </c>
      <c r="O79" s="255">
        <f t="shared" si="416"/>
        <v>0.7281234076064298</v>
      </c>
      <c r="P79" s="256">
        <f t="shared" si="416"/>
        <v>0.74189485246273512</v>
      </c>
      <c r="Q79" s="63">
        <f t="shared" si="416"/>
        <v>0.74617194342203941</v>
      </c>
      <c r="R79" s="71">
        <f t="shared" si="416"/>
        <v>0.74407826681550149</v>
      </c>
      <c r="S79" s="256">
        <f t="shared" ref="S79:U79" si="417">(S8+S11)/S8</f>
        <v>0.74074353047514585</v>
      </c>
      <c r="T79" s="63">
        <f t="shared" si="417"/>
        <v>0.73664246767130526</v>
      </c>
      <c r="U79" s="71">
        <f t="shared" si="417"/>
        <v>0.73864058607924188</v>
      </c>
      <c r="V79" s="59">
        <f t="shared" si="416"/>
        <v>0.76640754243880782</v>
      </c>
      <c r="W79" s="59">
        <f t="shared" si="416"/>
        <v>0.76316888376228897</v>
      </c>
      <c r="X79" s="70">
        <f t="shared" si="416"/>
        <v>0.76476308541285165</v>
      </c>
      <c r="Y79" s="59">
        <f t="shared" si="416"/>
        <v>0.77061501788715414</v>
      </c>
      <c r="Z79" s="59">
        <f t="shared" si="416"/>
        <v>0.76835431735781712</v>
      </c>
      <c r="AA79" s="70">
        <f t="shared" si="416"/>
        <v>0.76946955824428132</v>
      </c>
      <c r="AB79" s="59">
        <f t="shared" si="416"/>
        <v>0.77630031193383353</v>
      </c>
      <c r="AC79" s="59">
        <f t="shared" si="416"/>
        <v>0.77418967721192655</v>
      </c>
      <c r="AD79" s="70">
        <f t="shared" si="416"/>
        <v>0.77523490282480301</v>
      </c>
      <c r="AE79" s="59">
        <f t="shared" si="416"/>
        <v>0.78099259614041827</v>
      </c>
      <c r="AF79" s="59">
        <f t="shared" si="416"/>
        <v>0.77887081567356709</v>
      </c>
      <c r="AG79" s="70">
        <f t="shared" si="416"/>
        <v>0.7799239900269036</v>
      </c>
      <c r="AH79" s="59">
        <f t="shared" si="416"/>
        <v>0.78547407447459128</v>
      </c>
      <c r="AI79" s="59">
        <f t="shared" si="416"/>
        <v>0.78256428261439837</v>
      </c>
      <c r="AJ79" s="71">
        <f t="shared" si="416"/>
        <v>0.78401399432364038</v>
      </c>
      <c r="AK79" s="59">
        <f t="shared" si="416"/>
        <v>0.78435598926822081</v>
      </c>
      <c r="AL79" s="59">
        <f t="shared" si="416"/>
        <v>0.78255597179325398</v>
      </c>
      <c r="AM79" s="71">
        <f t="shared" si="416"/>
        <v>0.78345419031081076</v>
      </c>
      <c r="AN79" s="59">
        <f t="shared" si="416"/>
        <v>0.7853774681499277</v>
      </c>
      <c r="AO79" s="59">
        <f t="shared" si="416"/>
        <v>0.78358343987795687</v>
      </c>
      <c r="AP79" s="71">
        <f t="shared" si="416"/>
        <v>0.7844798745927466</v>
      </c>
      <c r="AQ79" s="59">
        <f t="shared" si="416"/>
        <v>0.78632493563926775</v>
      </c>
      <c r="AR79" s="59">
        <f t="shared" si="416"/>
        <v>0.78453738260288386</v>
      </c>
      <c r="AS79" s="71">
        <f t="shared" si="416"/>
        <v>0.78543161754431479</v>
      </c>
      <c r="AT79" s="59">
        <f t="shared" si="416"/>
        <v>0.78720947325016122</v>
      </c>
      <c r="AU79" s="59">
        <f t="shared" si="416"/>
        <v>0.78542832240986193</v>
      </c>
      <c r="AV79" s="71">
        <f t="shared" si="416"/>
        <v>0.78632025349771906</v>
      </c>
      <c r="AW79" s="59">
        <f t="shared" si="416"/>
        <v>0.78803936257124663</v>
      </c>
      <c r="AX79" s="59">
        <f t="shared" si="416"/>
        <v>0.78626417337203536</v>
      </c>
      <c r="AY79" s="71">
        <f t="shared" si="416"/>
        <v>0.78715390575118438</v>
      </c>
    </row>
    <row r="80" spans="1:51" ht="12" customHeight="1" x14ac:dyDescent="0.2">
      <c r="A80" s="24"/>
      <c r="B80" s="6" t="s">
        <v>304</v>
      </c>
      <c r="D80" s="63"/>
      <c r="E80" s="63"/>
      <c r="F80" s="71"/>
      <c r="G80" s="63"/>
      <c r="H80" s="63"/>
      <c r="I80" s="255">
        <f>I20/I8</f>
        <v>0.13319557269662263</v>
      </c>
      <c r="J80" s="256"/>
      <c r="K80" s="256"/>
      <c r="L80" s="255">
        <f t="shared" ref="L80:AY80" si="418">L20/L8</f>
        <v>0.12631554437924933</v>
      </c>
      <c r="M80" s="256">
        <f t="shared" si="418"/>
        <v>0.1171762181788175</v>
      </c>
      <c r="N80" s="256">
        <f t="shared" si="418"/>
        <v>0.10953220319311763</v>
      </c>
      <c r="O80" s="255">
        <f t="shared" si="418"/>
        <v>0.11310819783511683</v>
      </c>
      <c r="P80" s="256">
        <f t="shared" si="418"/>
        <v>0.14744772172376536</v>
      </c>
      <c r="Q80" s="63">
        <f t="shared" si="418"/>
        <v>0.11505635471702431</v>
      </c>
      <c r="R80" s="71">
        <f t="shared" si="418"/>
        <v>0.1309122362030776</v>
      </c>
      <c r="S80" s="256">
        <f t="shared" ref="S80:U80" si="419">S20/S8</f>
        <v>0.14865901826107833</v>
      </c>
      <c r="T80" s="63">
        <f t="shared" si="419"/>
        <v>0.15002929822913449</v>
      </c>
      <c r="U80" s="71">
        <f t="shared" si="419"/>
        <v>0.14936167089466995</v>
      </c>
      <c r="V80" s="63">
        <f t="shared" si="418"/>
        <v>0.15999533473028221</v>
      </c>
      <c r="W80" s="63">
        <f t="shared" si="418"/>
        <v>0.14834903233723798</v>
      </c>
      <c r="X80" s="71">
        <f t="shared" si="418"/>
        <v>0.1540818237031685</v>
      </c>
      <c r="Y80" s="63">
        <f t="shared" si="418"/>
        <v>0.17512552789883898</v>
      </c>
      <c r="Z80" s="63">
        <f t="shared" si="418"/>
        <v>0.16699598890923609</v>
      </c>
      <c r="AA80" s="71">
        <f t="shared" si="418"/>
        <v>0.17100642467976671</v>
      </c>
      <c r="AB80" s="63">
        <f t="shared" si="418"/>
        <v>0.19556999589451438</v>
      </c>
      <c r="AC80" s="63">
        <f t="shared" si="418"/>
        <v>0.18798009752368319</v>
      </c>
      <c r="AD80" s="71">
        <f t="shared" si="418"/>
        <v>0.19173875651568234</v>
      </c>
      <c r="AE80" s="63">
        <f t="shared" si="418"/>
        <v>0.21244357420031224</v>
      </c>
      <c r="AF80" s="63">
        <f t="shared" si="418"/>
        <v>0.20481359543540989</v>
      </c>
      <c r="AG80" s="71">
        <f t="shared" si="418"/>
        <v>0.20860083830866627</v>
      </c>
      <c r="AH80" s="63">
        <f t="shared" si="418"/>
        <v>0.22855908900465594</v>
      </c>
      <c r="AI80" s="63">
        <f t="shared" si="418"/>
        <v>0.21809540039482317</v>
      </c>
      <c r="AJ80" s="71">
        <f t="shared" si="418"/>
        <v>0.22330860210421638</v>
      </c>
      <c r="AK80" s="63">
        <f t="shared" si="418"/>
        <v>0.22453842498439666</v>
      </c>
      <c r="AL80" s="63">
        <f t="shared" si="418"/>
        <v>0.21806551446183373</v>
      </c>
      <c r="AM80" s="71">
        <f t="shared" si="418"/>
        <v>0.22129553204483593</v>
      </c>
      <c r="AN80" s="63">
        <f t="shared" si="418"/>
        <v>0.22821169010205808</v>
      </c>
      <c r="AO80" s="63">
        <f t="shared" si="418"/>
        <v>0.221760316912123</v>
      </c>
      <c r="AP80" s="71">
        <f t="shared" si="418"/>
        <v>0.22498391989312189</v>
      </c>
      <c r="AQ80" s="63">
        <f t="shared" si="418"/>
        <v>0.23161880829220069</v>
      </c>
      <c r="AR80" s="63">
        <f t="shared" si="418"/>
        <v>0.22519072022096639</v>
      </c>
      <c r="AS80" s="71">
        <f t="shared" si="418"/>
        <v>0.22840641275869472</v>
      </c>
      <c r="AT80" s="63">
        <f t="shared" si="418"/>
        <v>0.234799628972434</v>
      </c>
      <c r="AU80" s="63">
        <f t="shared" si="418"/>
        <v>0.22839456336791422</v>
      </c>
      <c r="AV80" s="71">
        <f t="shared" si="418"/>
        <v>0.23160197118716194</v>
      </c>
      <c r="AW80" s="63">
        <f t="shared" si="418"/>
        <v>0.23778393295488015</v>
      </c>
      <c r="AX80" s="63">
        <f t="shared" si="418"/>
        <v>0.23140030556963731</v>
      </c>
      <c r="AY80" s="71">
        <f t="shared" si="418"/>
        <v>0.2345998067741269</v>
      </c>
    </row>
    <row r="81" spans="1:54" ht="12" customHeight="1" x14ac:dyDescent="0.2">
      <c r="A81" s="24"/>
      <c r="B81" s="22" t="s">
        <v>302</v>
      </c>
      <c r="C81" s="69"/>
      <c r="D81" s="72"/>
      <c r="E81" s="72"/>
      <c r="F81" s="73"/>
      <c r="G81" s="72"/>
      <c r="H81" s="72"/>
      <c r="I81" s="257">
        <f>I42/I8</f>
        <v>0</v>
      </c>
      <c r="J81" s="258"/>
      <c r="K81" s="258"/>
      <c r="L81" s="257">
        <f t="shared" ref="L81:AY81" si="420">L42/L8</f>
        <v>1.8627177051317875E-2</v>
      </c>
      <c r="M81" s="258">
        <f t="shared" si="420"/>
        <v>7.4266617155588563E-3</v>
      </c>
      <c r="N81" s="258">
        <f t="shared" si="420"/>
        <v>1.5232955410963379E-2</v>
      </c>
      <c r="O81" s="257">
        <f t="shared" si="420"/>
        <v>1.1581044146940288E-2</v>
      </c>
      <c r="P81" s="258">
        <f t="shared" si="420"/>
        <v>2.2684264880579286E-2</v>
      </c>
      <c r="Q81" s="72">
        <f t="shared" si="420"/>
        <v>1.0875973828972452E-2</v>
      </c>
      <c r="R81" s="73">
        <f t="shared" si="420"/>
        <v>1.6656244338338001E-2</v>
      </c>
      <c r="S81" s="258">
        <f t="shared" ref="S81:U81" si="421">S42/S8</f>
        <v>3.4370748379382254E-2</v>
      </c>
      <c r="T81" s="72">
        <f t="shared" si="421"/>
        <v>3.2093861685520413E-2</v>
      </c>
      <c r="U81" s="73">
        <f t="shared" si="421"/>
        <v>3.3203205636929967E-2</v>
      </c>
      <c r="V81" s="72">
        <f t="shared" si="420"/>
        <v>4.1110654809774654E-2</v>
      </c>
      <c r="W81" s="72">
        <f t="shared" si="420"/>
        <v>3.6121810788710011E-2</v>
      </c>
      <c r="X81" s="73">
        <f t="shared" si="420"/>
        <v>3.8577525998974092E-2</v>
      </c>
      <c r="Y81" s="72">
        <f t="shared" si="420"/>
        <v>5.3641492350084988E-2</v>
      </c>
      <c r="Z81" s="72">
        <f t="shared" si="420"/>
        <v>4.6013444117589709E-2</v>
      </c>
      <c r="AA81" s="73">
        <f t="shared" si="420"/>
        <v>4.9776486219984047E-2</v>
      </c>
      <c r="AB81" s="72">
        <f t="shared" si="420"/>
        <v>6.6298123703905726E-2</v>
      </c>
      <c r="AC81" s="72">
        <f t="shared" si="420"/>
        <v>6.4519973003151945E-2</v>
      </c>
      <c r="AD81" s="73">
        <f t="shared" si="420"/>
        <v>6.54005463381261E-2</v>
      </c>
      <c r="AE81" s="72">
        <f t="shared" si="420"/>
        <v>8.1558274587538171E-2</v>
      </c>
      <c r="AF81" s="72">
        <f t="shared" si="420"/>
        <v>7.9770180121875686E-2</v>
      </c>
      <c r="AG81" s="73">
        <f t="shared" si="420"/>
        <v>8.065772492775905E-2</v>
      </c>
      <c r="AH81" s="72">
        <f t="shared" si="420"/>
        <v>9.6589400709969936E-2</v>
      </c>
      <c r="AI81" s="72">
        <f t="shared" si="420"/>
        <v>9.261337304053778E-2</v>
      </c>
      <c r="AJ81" s="73">
        <f t="shared" si="420"/>
        <v>9.4594302998965707E-2</v>
      </c>
      <c r="AK81" s="72">
        <f t="shared" si="420"/>
        <v>9.7450301550359233E-2</v>
      </c>
      <c r="AL81" s="72">
        <f t="shared" si="420"/>
        <v>9.6191541528086483E-2</v>
      </c>
      <c r="AM81" s="73">
        <f t="shared" si="420"/>
        <v>9.6819669630668612E-2</v>
      </c>
      <c r="AN81" s="72">
        <f t="shared" si="420"/>
        <v>0.10357133525740407</v>
      </c>
      <c r="AO81" s="72">
        <f t="shared" si="420"/>
        <v>0.10227255981485443</v>
      </c>
      <c r="AP81" s="73">
        <f t="shared" si="420"/>
        <v>0.10292152806781224</v>
      </c>
      <c r="AQ81" s="72">
        <f t="shared" si="420"/>
        <v>0.10939893793034838</v>
      </c>
      <c r="AR81" s="72">
        <f t="shared" si="420"/>
        <v>0.10808992853789792</v>
      </c>
      <c r="AS81" s="73">
        <f t="shared" si="420"/>
        <v>0.10874476893343578</v>
      </c>
      <c r="AT81" s="72">
        <f t="shared" si="420"/>
        <v>0.11496182067179521</v>
      </c>
      <c r="AU81" s="72">
        <f t="shared" si="420"/>
        <v>0.11365731083401458</v>
      </c>
      <c r="AV81" s="73">
        <f t="shared" si="420"/>
        <v>0.11431055864009959</v>
      </c>
      <c r="AW81" s="72">
        <f t="shared" si="420"/>
        <v>0.12027820358112763</v>
      </c>
      <c r="AX81" s="72">
        <f t="shared" si="420"/>
        <v>0.11899170061225625</v>
      </c>
      <c r="AY81" s="73">
        <f t="shared" si="420"/>
        <v>0.11963650137365385</v>
      </c>
    </row>
    <row r="82" spans="1:54" ht="12" customHeight="1" x14ac:dyDescent="0.2">
      <c r="A82" s="24"/>
      <c r="B82" s="6"/>
      <c r="D82" s="59"/>
      <c r="E82" s="59"/>
      <c r="F82" s="70"/>
      <c r="G82" s="59"/>
      <c r="H82" s="59"/>
      <c r="I82" s="70"/>
      <c r="J82" s="59"/>
      <c r="K82" s="59"/>
      <c r="L82" s="70"/>
      <c r="M82" s="59"/>
      <c r="N82" s="59"/>
      <c r="O82" s="70"/>
      <c r="P82" s="59"/>
      <c r="Q82" s="59"/>
      <c r="R82" s="70"/>
      <c r="S82" s="59"/>
      <c r="T82" s="59"/>
      <c r="U82" s="70"/>
      <c r="V82" s="59"/>
      <c r="W82" s="59"/>
      <c r="X82" s="70"/>
      <c r="Y82" s="59"/>
      <c r="Z82" s="59"/>
      <c r="AA82" s="70"/>
      <c r="AB82" s="59"/>
      <c r="AC82" s="59"/>
      <c r="AD82" s="70"/>
      <c r="AE82" s="59"/>
      <c r="AF82" s="59"/>
      <c r="AG82" s="70"/>
      <c r="AH82" s="59"/>
      <c r="AI82" s="59"/>
      <c r="AJ82" s="70"/>
      <c r="AK82" s="59"/>
      <c r="AL82" s="59"/>
      <c r="AM82" s="70"/>
      <c r="AN82" s="59"/>
      <c r="AO82" s="59"/>
      <c r="AP82" s="70"/>
      <c r="AQ82" s="59"/>
      <c r="AR82" s="59"/>
      <c r="AS82" s="70"/>
      <c r="AT82" s="59"/>
      <c r="AU82" s="59"/>
      <c r="AV82" s="70"/>
      <c r="AW82" s="59"/>
      <c r="AX82" s="59"/>
      <c r="AY82" s="70"/>
    </row>
    <row r="83" spans="1:54" ht="12" customHeight="1" x14ac:dyDescent="0.2">
      <c r="A83" s="24"/>
      <c r="B83" s="6"/>
      <c r="D83" s="6"/>
      <c r="E83" s="6"/>
      <c r="F83" s="13"/>
      <c r="G83" s="6"/>
      <c r="H83" s="6"/>
      <c r="I83" s="13"/>
      <c r="J83" s="6"/>
      <c r="K83" s="6"/>
      <c r="L83" s="13"/>
      <c r="M83" s="6"/>
      <c r="N83" s="6"/>
      <c r="O83" s="13"/>
      <c r="P83" s="6"/>
      <c r="Q83" s="6"/>
      <c r="R83" s="13"/>
      <c r="S83" s="6"/>
      <c r="T83" s="6"/>
      <c r="U83" s="13"/>
      <c r="V83" s="6"/>
      <c r="W83" s="6"/>
      <c r="X83" s="13"/>
      <c r="Y83" s="6"/>
      <c r="Z83" s="6"/>
      <c r="AA83" s="13"/>
      <c r="AB83" s="6"/>
      <c r="AC83" s="6"/>
      <c r="AD83" s="13"/>
      <c r="AE83" s="6"/>
      <c r="AF83" s="6"/>
      <c r="AG83" s="13"/>
      <c r="AH83" s="6"/>
      <c r="AI83" s="6"/>
      <c r="AJ83" s="13"/>
      <c r="AK83" s="6"/>
      <c r="AL83" s="6"/>
      <c r="AM83" s="13"/>
      <c r="AN83" s="6"/>
      <c r="AO83" s="6"/>
      <c r="AP83" s="13"/>
      <c r="AQ83" s="6"/>
      <c r="AR83" s="6"/>
      <c r="AS83" s="13"/>
      <c r="AT83" s="6"/>
      <c r="AU83" s="6"/>
      <c r="AV83" s="13"/>
      <c r="AW83" s="6"/>
      <c r="AX83" s="6"/>
      <c r="AY83" s="13"/>
    </row>
    <row r="84" spans="1:54" s="14" customFormat="1" ht="12" customHeight="1" x14ac:dyDescent="0.2">
      <c r="B84" s="16" t="s">
        <v>112</v>
      </c>
    </row>
    <row r="85" spans="1:54" ht="12" customHeight="1" x14ac:dyDescent="0.2">
      <c r="A85" s="24"/>
      <c r="B85" s="5" t="s">
        <v>113</v>
      </c>
      <c r="D85" s="6"/>
      <c r="E85" s="6"/>
      <c r="F85" s="13"/>
      <c r="G85" s="6"/>
      <c r="H85" s="6"/>
      <c r="I85" s="13"/>
      <c r="J85" s="6"/>
      <c r="K85" s="6"/>
      <c r="L85" s="13"/>
      <c r="M85" s="6"/>
      <c r="N85" s="6"/>
      <c r="O85" s="13"/>
      <c r="P85" s="6"/>
      <c r="Q85" s="6"/>
      <c r="R85" s="13"/>
      <c r="S85" s="6"/>
      <c r="T85" s="6"/>
      <c r="U85" s="13"/>
      <c r="V85" s="6"/>
      <c r="W85" s="6"/>
      <c r="X85" s="13"/>
      <c r="Y85" s="6"/>
      <c r="Z85" s="6"/>
      <c r="AA85" s="13"/>
      <c r="AB85" s="6"/>
      <c r="AC85" s="6"/>
      <c r="AD85" s="13"/>
      <c r="AE85" s="6"/>
      <c r="AF85" s="6"/>
      <c r="AG85" s="13"/>
      <c r="AH85" s="6"/>
      <c r="AI85" s="6"/>
      <c r="AJ85" s="13"/>
      <c r="AK85" s="6"/>
      <c r="AL85" s="6"/>
      <c r="AM85" s="13"/>
      <c r="AN85" s="6"/>
      <c r="AO85" s="6"/>
      <c r="AP85" s="13"/>
      <c r="AQ85" s="6"/>
      <c r="AR85" s="6"/>
      <c r="AS85" s="13"/>
      <c r="AT85" s="6"/>
      <c r="AU85" s="6"/>
      <c r="AV85" s="13"/>
      <c r="AW85" s="6"/>
      <c r="AX85" s="6"/>
      <c r="AY85" s="13"/>
    </row>
    <row r="86" spans="1:54" s="24" customFormat="1" ht="12" customHeight="1" x14ac:dyDescent="0.2">
      <c r="B86" s="23" t="s">
        <v>20</v>
      </c>
      <c r="C86" s="23"/>
      <c r="D86" s="26"/>
      <c r="E86" s="26"/>
      <c r="F86" s="27"/>
      <c r="G86" s="26"/>
      <c r="H86" s="26"/>
      <c r="I86" s="27">
        <f>+I18</f>
        <v>18.653000000000006</v>
      </c>
      <c r="J86" s="26"/>
      <c r="K86" s="26"/>
      <c r="L86" s="27">
        <f t="shared" ref="L86:R86" si="422">+L18</f>
        <v>23.906000000000006</v>
      </c>
      <c r="M86" s="26">
        <f t="shared" si="422"/>
        <v>14.536999999999992</v>
      </c>
      <c r="N86" s="26">
        <f t="shared" si="422"/>
        <v>15.083999999999975</v>
      </c>
      <c r="O86" s="27">
        <f t="shared" si="422"/>
        <v>29.620999999999981</v>
      </c>
      <c r="P86" s="26">
        <f t="shared" si="422"/>
        <v>18.903999999999996</v>
      </c>
      <c r="Q86" s="26">
        <f t="shared" si="422"/>
        <v>8.3700000000000045</v>
      </c>
      <c r="R86" s="27">
        <f t="shared" si="422"/>
        <v>27.274000000000001</v>
      </c>
      <c r="S86" s="26">
        <f t="shared" ref="S86:U86" si="423">+S18</f>
        <v>31.578000000000003</v>
      </c>
      <c r="T86" s="26">
        <f t="shared" si="423"/>
        <v>33.541000000000025</v>
      </c>
      <c r="U86" s="27">
        <f t="shared" si="423"/>
        <v>65.119000000000085</v>
      </c>
      <c r="V86" s="26">
        <f>+V18</f>
        <v>42.436647390347282</v>
      </c>
      <c r="W86" s="26">
        <f>+W18</f>
        <v>40.588008146634067</v>
      </c>
      <c r="X86" s="27">
        <f t="shared" ref="X86:X90" si="424">+W86+V86</f>
        <v>83.024655536981356</v>
      </c>
      <c r="Y86" s="26">
        <f>+Y18</f>
        <v>55.449648749961369</v>
      </c>
      <c r="Z86" s="26">
        <f>+Z18</f>
        <v>54.308335411813054</v>
      </c>
      <c r="AA86" s="27">
        <f t="shared" ref="AA86:AA90" si="425">+Z86+Y86</f>
        <v>109.75798416177443</v>
      </c>
      <c r="AB86" s="26">
        <f>+AB18</f>
        <v>72.985706785058511</v>
      </c>
      <c r="AC86" s="26">
        <f>+AC18</f>
        <v>71.507867071585679</v>
      </c>
      <c r="AD86" s="27">
        <f t="shared" ref="AD86:AD90" si="426">+AC86+AB86</f>
        <v>144.49357385664419</v>
      </c>
      <c r="AE86" s="26">
        <f>+AE18</f>
        <v>91.082528997465076</v>
      </c>
      <c r="AF86" s="26">
        <f>+AF18</f>
        <v>89.097935800697243</v>
      </c>
      <c r="AG86" s="27">
        <f t="shared" ref="AG86:AG90" si="427">+AF86+AE86</f>
        <v>180.18046479816232</v>
      </c>
      <c r="AH86" s="26">
        <f>+AH18</f>
        <v>111.58203092267381</v>
      </c>
      <c r="AI86" s="26">
        <f>+AI18</f>
        <v>107.23518915985545</v>
      </c>
      <c r="AJ86" s="27">
        <f t="shared" ref="AJ86:AJ90" si="428">+AI86+AH86</f>
        <v>218.81722008252927</v>
      </c>
      <c r="AK86" s="26">
        <f>+AK18</f>
        <v>123.45882482107419</v>
      </c>
      <c r="AL86" s="26">
        <f>+AL18</f>
        <v>120.37773896295747</v>
      </c>
      <c r="AM86" s="27">
        <f t="shared" ref="AM86:AM90" si="429">+AL86+AK86</f>
        <v>243.83656378403165</v>
      </c>
      <c r="AN86" s="26">
        <f>+AN18</f>
        <v>140.45118455267078</v>
      </c>
      <c r="AO86" s="26">
        <f>+AO18</f>
        <v>136.65716686326323</v>
      </c>
      <c r="AP86" s="27">
        <f t="shared" ref="AP86:AP90" si="430">+AO86+AN86</f>
        <v>277.10835141593401</v>
      </c>
      <c r="AQ86" s="26">
        <f>+AQ18</f>
        <v>158.71687280159489</v>
      </c>
      <c r="AR86" s="26">
        <f>+AR18</f>
        <v>154.15380916618517</v>
      </c>
      <c r="AS86" s="27">
        <f t="shared" ref="AS86:AS90" si="431">+AR86+AQ86</f>
        <v>312.87068196778006</v>
      </c>
      <c r="AT86" s="26">
        <f>+AT18</f>
        <v>178.32925784701064</v>
      </c>
      <c r="AU86" s="26">
        <f>+AU18</f>
        <v>172.93733321480372</v>
      </c>
      <c r="AV86" s="27">
        <f t="shared" ref="AV86:AV90" si="432">+AU86+AT86</f>
        <v>351.26659106181432</v>
      </c>
      <c r="AW86" s="26">
        <f>+AW18</f>
        <v>199.36486416651655</v>
      </c>
      <c r="AX86" s="26">
        <f>+AX18</f>
        <v>193.08033110747752</v>
      </c>
      <c r="AY86" s="27">
        <f t="shared" ref="AY86:AY90" si="433">+AX86+AW86</f>
        <v>392.44519527399405</v>
      </c>
      <c r="BB86" s="15"/>
    </row>
    <row r="87" spans="1:54" s="24" customFormat="1" ht="12" customHeight="1" x14ac:dyDescent="0.2">
      <c r="B87" s="23" t="s">
        <v>114</v>
      </c>
      <c r="C87" s="23"/>
      <c r="D87" s="26"/>
      <c r="E87" s="26"/>
      <c r="F87" s="27"/>
      <c r="G87" s="26"/>
      <c r="H87" s="26"/>
      <c r="I87" s="143">
        <f>+'Balance Sheet'!I92</f>
        <v>-10.452000000000002</v>
      </c>
      <c r="J87" s="142"/>
      <c r="K87" s="142"/>
      <c r="L87" s="143">
        <f>+'Balance Sheet'!L92</f>
        <v>0.78300000000000125</v>
      </c>
      <c r="M87" s="212">
        <f>+'Balance Sheet'!M92</f>
        <v>0</v>
      </c>
      <c r="N87" s="26">
        <f>+'Balance Sheet'!N92</f>
        <v>0</v>
      </c>
      <c r="O87" s="143">
        <f>+'Balance Sheet'!O92</f>
        <v>3.1340000000000003</v>
      </c>
      <c r="P87" s="142">
        <f>+'Balance Sheet'!P92</f>
        <v>8.8689999999999998</v>
      </c>
      <c r="Q87" s="26">
        <f>+'Balance Sheet'!Q92</f>
        <v>-12.876000000000001</v>
      </c>
      <c r="R87" s="27">
        <f>+'Balance Sheet'!R92</f>
        <v>-4.0070000000000014</v>
      </c>
      <c r="S87" s="142">
        <f>+'Balance Sheet'!S92</f>
        <v>3.4450000000000003</v>
      </c>
      <c r="T87" s="26">
        <f>+'Balance Sheet'!T92</f>
        <v>-4.8780000000000001</v>
      </c>
      <c r="U87" s="27">
        <f>+'Balance Sheet'!U92</f>
        <v>-1.4329999999999998</v>
      </c>
      <c r="V87" s="26">
        <f>+'Balance Sheet'!V92+V112</f>
        <v>-11.330138507583714</v>
      </c>
      <c r="W87" s="26">
        <f>+'Balance Sheet'!W92+W112</f>
        <v>-10.084884051748922</v>
      </c>
      <c r="X87" s="27">
        <f t="shared" si="424"/>
        <v>-21.415022559332634</v>
      </c>
      <c r="Y87" s="26">
        <f>+'Balance Sheet'!Y92+Y112</f>
        <v>-10.731185898273642</v>
      </c>
      <c r="Z87" s="26">
        <f>+'Balance Sheet'!Z92+Z112</f>
        <v>-10.311696893903811</v>
      </c>
      <c r="AA87" s="27">
        <f t="shared" si="425"/>
        <v>-21.042882792177451</v>
      </c>
      <c r="AB87" s="26">
        <f>+'Balance Sheet'!AB92+AB112</f>
        <v>-10.560408984067868</v>
      </c>
      <c r="AC87" s="26">
        <f>+'Balance Sheet'!AC92+AC112</f>
        <v>-10.587271951601039</v>
      </c>
      <c r="AD87" s="27">
        <f t="shared" si="426"/>
        <v>-21.147680935668909</v>
      </c>
      <c r="AE87" s="26">
        <f>+'Balance Sheet'!AE92+AE112</f>
        <v>-10.67013631430512</v>
      </c>
      <c r="AF87" s="26">
        <f>+'Balance Sheet'!AF92+AF112</f>
        <v>-10.902827198210705</v>
      </c>
      <c r="AG87" s="27">
        <f t="shared" si="427"/>
        <v>-21.572963512515827</v>
      </c>
      <c r="AH87" s="26">
        <f>+'Balance Sheet'!AH92+AH112</f>
        <v>-10.772394898534783</v>
      </c>
      <c r="AI87" s="26">
        <f>+'Balance Sheet'!AI92+AI112</f>
        <v>-11.337323575888389</v>
      </c>
      <c r="AJ87" s="27">
        <f t="shared" si="428"/>
        <v>-22.109718474423172</v>
      </c>
      <c r="AK87" s="26">
        <f>+'Balance Sheet'!AK92+AK112</f>
        <v>-13.002013240899101</v>
      </c>
      <c r="AL87" s="26">
        <f>+'Balance Sheet'!AL92+AL112</f>
        <v>-11.435273874099728</v>
      </c>
      <c r="AM87" s="27">
        <f t="shared" si="429"/>
        <v>-24.437287114998831</v>
      </c>
      <c r="AN87" s="26">
        <f>+'Balance Sheet'!AN92+AN112</f>
        <v>-12.714234953949118</v>
      </c>
      <c r="AO87" s="26">
        <f>+'Balance Sheet'!AO92+AO112</f>
        <v>-11.733075043039541</v>
      </c>
      <c r="AP87" s="27">
        <f t="shared" si="430"/>
        <v>-24.447309996988658</v>
      </c>
      <c r="AQ87" s="26">
        <f>+'Balance Sheet'!AQ92+AQ112</f>
        <v>-13.057525420516281</v>
      </c>
      <c r="AR87" s="26">
        <f>+'Balance Sheet'!AR92+AR112</f>
        <v>-12.013992035340165</v>
      </c>
      <c r="AS87" s="27">
        <f t="shared" si="431"/>
        <v>-25.071517455856444</v>
      </c>
      <c r="AT87" s="26">
        <f>+'Balance Sheet'!AT92+AT112</f>
        <v>-13.381277573338895</v>
      </c>
      <c r="AU87" s="26">
        <f>+'Balance Sheet'!AU92+AU112</f>
        <v>-12.269755307682926</v>
      </c>
      <c r="AV87" s="27">
        <f t="shared" si="432"/>
        <v>-25.65103288102182</v>
      </c>
      <c r="AW87" s="26">
        <f>+'Balance Sheet'!AW92+AW112</f>
        <v>-13.67643434186304</v>
      </c>
      <c r="AX87" s="26">
        <f>+'Balance Sheet'!AX92+AX112</f>
        <v>-12.490238629937977</v>
      </c>
      <c r="AY87" s="27">
        <f t="shared" si="433"/>
        <v>-26.166672971801017</v>
      </c>
      <c r="BB87" s="15"/>
    </row>
    <row r="88" spans="1:54" s="24" customFormat="1" ht="12" customHeight="1" x14ac:dyDescent="0.2">
      <c r="B88" s="23" t="s">
        <v>115</v>
      </c>
      <c r="C88" s="23"/>
      <c r="D88" s="26"/>
      <c r="E88" s="26"/>
      <c r="F88" s="27"/>
      <c r="G88" s="26"/>
      <c r="H88" s="26"/>
      <c r="I88" s="27">
        <f>-I32</f>
        <v>2.2209999999999996</v>
      </c>
      <c r="J88" s="26"/>
      <c r="K88" s="26"/>
      <c r="L88" s="27">
        <f t="shared" ref="L88:R88" si="434">-L32</f>
        <v>2.8350000000000004</v>
      </c>
      <c r="M88" s="26">
        <f t="shared" si="434"/>
        <v>1.6220000000000003</v>
      </c>
      <c r="N88" s="26">
        <f t="shared" si="434"/>
        <v>2.2879999999999998</v>
      </c>
      <c r="O88" s="27">
        <f t="shared" si="434"/>
        <v>3.91</v>
      </c>
      <c r="P88" s="26">
        <f t="shared" si="434"/>
        <v>4.0830000000000002</v>
      </c>
      <c r="Q88" s="26">
        <f t="shared" si="434"/>
        <v>3.6290000000000004</v>
      </c>
      <c r="R88" s="27">
        <f t="shared" si="434"/>
        <v>7.7120000000000006</v>
      </c>
      <c r="S88" s="26">
        <f t="shared" ref="S88:U88" si="435">-S32</f>
        <v>-2.6929999999999996</v>
      </c>
      <c r="T88" s="26">
        <f t="shared" si="435"/>
        <v>-1.0789999999999988</v>
      </c>
      <c r="U88" s="27">
        <f t="shared" si="435"/>
        <v>-3.7719999999999985</v>
      </c>
      <c r="V88" s="26">
        <f>-V32</f>
        <v>1.8498470999999999</v>
      </c>
      <c r="W88" s="26">
        <f>-W32</f>
        <v>2.0174752537499998</v>
      </c>
      <c r="X88" s="27">
        <f t="shared" si="424"/>
        <v>3.8673223537499997</v>
      </c>
      <c r="Y88" s="26">
        <f>-Y32</f>
        <v>2.1394181748187489</v>
      </c>
      <c r="Z88" s="26">
        <f>-Z32</f>
        <v>4.7259816483051047</v>
      </c>
      <c r="AA88" s="27">
        <f t="shared" si="425"/>
        <v>6.8653998231238536</v>
      </c>
      <c r="AB88" s="26">
        <f>-AB32</f>
        <v>4.7427730821021425</v>
      </c>
      <c r="AC88" s="26">
        <f>-AC32</f>
        <v>4.6323339947922504</v>
      </c>
      <c r="AD88" s="27">
        <f t="shared" si="426"/>
        <v>9.3751070768943929</v>
      </c>
      <c r="AE88" s="26">
        <f>-AE32</f>
        <v>4.4646350248708844</v>
      </c>
      <c r="AF88" s="26">
        <f>-AF32</f>
        <v>4.1670832691192929</v>
      </c>
      <c r="AG88" s="27">
        <f t="shared" si="427"/>
        <v>8.6317182939901773</v>
      </c>
      <c r="AH88" s="26">
        <f>-AH32</f>
        <v>3.8067192413887421</v>
      </c>
      <c r="AI88" s="26">
        <f>-AI32</f>
        <v>3.2901847944710214</v>
      </c>
      <c r="AJ88" s="27">
        <f t="shared" si="428"/>
        <v>7.0969040358597635</v>
      </c>
      <c r="AK88" s="26">
        <f>-AK32</f>
        <v>2.7246235338410703</v>
      </c>
      <c r="AL88" s="26">
        <f>-AL32</f>
        <v>2.0538441428446355</v>
      </c>
      <c r="AM88" s="27">
        <f t="shared" si="429"/>
        <v>4.7784676766857057</v>
      </c>
      <c r="AN88" s="26">
        <f>-AN32</f>
        <v>1.3464374449768677</v>
      </c>
      <c r="AO88" s="26">
        <f>-AO32</f>
        <v>0.50010048084637404</v>
      </c>
      <c r="AP88" s="27">
        <f t="shared" si="430"/>
        <v>1.8465379258232417</v>
      </c>
      <c r="AQ88" s="26">
        <f>-AQ32</f>
        <v>-0.39497394804190122</v>
      </c>
      <c r="AR88" s="26">
        <f>-AR32</f>
        <v>-1.4477298603175086</v>
      </c>
      <c r="AS88" s="27">
        <f t="shared" si="431"/>
        <v>-1.8427038083594098</v>
      </c>
      <c r="AT88" s="26">
        <f>-AT32</f>
        <v>-2.5507197140914553</v>
      </c>
      <c r="AU88" s="26">
        <f>-AU32</f>
        <v>-3.8317075905357267</v>
      </c>
      <c r="AV88" s="27">
        <f t="shared" si="432"/>
        <v>-6.382427304627182</v>
      </c>
      <c r="AW88" s="26">
        <f>-AW32</f>
        <v>-5.1650156293115543</v>
      </c>
      <c r="AX88" s="26">
        <f>-AX32</f>
        <v>-6.6983316590274775</v>
      </c>
      <c r="AY88" s="27">
        <f t="shared" si="433"/>
        <v>-11.863347288339032</v>
      </c>
      <c r="BB88" s="15"/>
    </row>
    <row r="89" spans="1:54" s="24" customFormat="1" ht="12" customHeight="1" x14ac:dyDescent="0.2">
      <c r="B89" s="23" t="s">
        <v>116</v>
      </c>
      <c r="C89" s="23"/>
      <c r="D89" s="26"/>
      <c r="E89" s="26"/>
      <c r="F89" s="27"/>
      <c r="G89" s="26"/>
      <c r="H89" s="26"/>
      <c r="I89" s="27">
        <f>+-I38</f>
        <v>2.3359999999999999</v>
      </c>
      <c r="J89" s="26"/>
      <c r="K89" s="26"/>
      <c r="L89" s="27">
        <f t="shared" ref="L89:R89" si="436">+-L38</f>
        <v>2.7</v>
      </c>
      <c r="M89" s="26">
        <f t="shared" si="436"/>
        <v>1.4690000000000001</v>
      </c>
      <c r="N89" s="26">
        <f t="shared" si="436"/>
        <v>0.95399999999999996</v>
      </c>
      <c r="O89" s="27">
        <f t="shared" si="436"/>
        <v>2.423</v>
      </c>
      <c r="P89" s="26">
        <f t="shared" si="436"/>
        <v>2.8809999999999998</v>
      </c>
      <c r="Q89" s="26">
        <f t="shared" si="436"/>
        <v>-0.69399999999999995</v>
      </c>
      <c r="R89" s="27">
        <f t="shared" si="436"/>
        <v>2.1869999999999998</v>
      </c>
      <c r="S89" s="26">
        <f t="shared" ref="S89:U89" si="437">+-S38</f>
        <v>7.89</v>
      </c>
      <c r="T89" s="26">
        <f t="shared" si="437"/>
        <v>6.8440000000000003</v>
      </c>
      <c r="U89" s="27">
        <f t="shared" si="437"/>
        <v>14.734</v>
      </c>
      <c r="V89" s="26">
        <f>+-V38</f>
        <v>4.6731675871041842</v>
      </c>
      <c r="W89" s="26">
        <f>+-W38</f>
        <v>4.2355103678652188</v>
      </c>
      <c r="X89" s="27">
        <f t="shared" si="424"/>
        <v>8.9086779549694022</v>
      </c>
      <c r="Y89" s="26">
        <f>+-Y38</f>
        <v>7.2790283100427864</v>
      </c>
      <c r="Z89" s="26">
        <f>+-Z38</f>
        <v>6.4131058465523845</v>
      </c>
      <c r="AA89" s="27">
        <f t="shared" si="425"/>
        <v>13.69213415659517</v>
      </c>
      <c r="AB89" s="26">
        <f>+-AB38</f>
        <v>10.603763764449411</v>
      </c>
      <c r="AC89" s="26">
        <f>+-AC38</f>
        <v>10.51863403265053</v>
      </c>
      <c r="AD89" s="27">
        <f t="shared" si="426"/>
        <v>21.122397797099943</v>
      </c>
      <c r="AE89" s="26">
        <f>+-AE38</f>
        <v>14.985896382265443</v>
      </c>
      <c r="AF89" s="26">
        <f>+-AF38</f>
        <v>14.872112034079819</v>
      </c>
      <c r="AG89" s="27">
        <f t="shared" si="427"/>
        <v>29.858008416345264</v>
      </c>
      <c r="AH89" s="26">
        <f>+-AH38</f>
        <v>20.209168810739317</v>
      </c>
      <c r="AI89" s="26">
        <f>+-AI38</f>
        <v>19.515861719403382</v>
      </c>
      <c r="AJ89" s="27">
        <f t="shared" si="428"/>
        <v>39.725030530142703</v>
      </c>
      <c r="AK89" s="26">
        <f>+-AK38</f>
        <v>22.963488718886381</v>
      </c>
      <c r="AL89" s="26">
        <f>+-AL38</f>
        <v>22.757224337090765</v>
      </c>
      <c r="AM89" s="27">
        <f t="shared" si="429"/>
        <v>45.720713055977143</v>
      </c>
      <c r="AN89" s="26">
        <f>+-AN38</f>
        <v>27.318088587146164</v>
      </c>
      <c r="AO89" s="26">
        <f>+-AO38</f>
        <v>27.010394053420455</v>
      </c>
      <c r="AP89" s="27">
        <f t="shared" si="430"/>
        <v>54.328482640566619</v>
      </c>
      <c r="AQ89" s="26">
        <f>+-AQ38</f>
        <v>32.128140895712562</v>
      </c>
      <c r="AR89" s="26">
        <f>+-AR38</f>
        <v>31.711166301805619</v>
      </c>
      <c r="AS89" s="27">
        <f t="shared" si="431"/>
        <v>63.839307197518181</v>
      </c>
      <c r="AT89" s="26">
        <f>+-AT38</f>
        <v>37.41985012776739</v>
      </c>
      <c r="AU89" s="26">
        <f>+-AU38</f>
        <v>36.882774790179731</v>
      </c>
      <c r="AV89" s="27">
        <f t="shared" si="432"/>
        <v>74.302624917947128</v>
      </c>
      <c r="AW89" s="26">
        <f>+-AW38</f>
        <v>43.219154142815086</v>
      </c>
      <c r="AX89" s="26">
        <f>+-AX38</f>
        <v>42.551413657753145</v>
      </c>
      <c r="AY89" s="27">
        <f t="shared" si="433"/>
        <v>85.77056780056823</v>
      </c>
      <c r="BB89" s="15"/>
    </row>
    <row r="90" spans="1:54" s="24" customFormat="1" ht="12" customHeight="1" x14ac:dyDescent="0.2">
      <c r="B90" s="23" t="s">
        <v>117</v>
      </c>
      <c r="C90" s="23"/>
      <c r="D90" s="26"/>
      <c r="E90" s="26"/>
      <c r="F90" s="27"/>
      <c r="G90" s="26"/>
      <c r="H90" s="26"/>
      <c r="I90" s="27">
        <f t="shared" ref="I90:O90" si="438">+I89+I88+I87-I86+I91</f>
        <v>-1.4820000000000064</v>
      </c>
      <c r="J90" s="26"/>
      <c r="K90" s="26"/>
      <c r="L90" s="27">
        <f t="shared" si="438"/>
        <v>2.0559999999999761</v>
      </c>
      <c r="M90" s="26">
        <f t="shared" si="438"/>
        <v>2.2280000000000229</v>
      </c>
      <c r="N90" s="26">
        <f t="shared" si="438"/>
        <v>9.4310000000000151</v>
      </c>
      <c r="O90" s="27">
        <f t="shared" si="438"/>
        <v>14.793000000000021</v>
      </c>
      <c r="P90" s="26">
        <f t="shared" ref="P90:R90" si="439">+P89+P88+P87-P86+P91</f>
        <v>11.044999999999998</v>
      </c>
      <c r="Q90" s="26">
        <f t="shared" si="439"/>
        <v>4.3379999999999619</v>
      </c>
      <c r="R90" s="27">
        <f t="shared" si="439"/>
        <v>15.382999999999964</v>
      </c>
      <c r="S90" s="26">
        <f t="shared" ref="S90:U90" si="440">+S89+S88+S87-S86+S91</f>
        <v>-3.7420000000000009</v>
      </c>
      <c r="T90" s="26">
        <f t="shared" si="440"/>
        <v>5.4789999999999281</v>
      </c>
      <c r="U90" s="27">
        <f t="shared" si="440"/>
        <v>1.736999999999874</v>
      </c>
      <c r="V90" s="140">
        <v>0</v>
      </c>
      <c r="W90" s="140">
        <v>0</v>
      </c>
      <c r="X90" s="27">
        <f t="shared" si="424"/>
        <v>0</v>
      </c>
      <c r="Y90" s="140">
        <v>0</v>
      </c>
      <c r="Z90" s="140">
        <v>0</v>
      </c>
      <c r="AA90" s="27">
        <f t="shared" si="425"/>
        <v>0</v>
      </c>
      <c r="AB90" s="140">
        <v>0</v>
      </c>
      <c r="AC90" s="140">
        <v>0</v>
      </c>
      <c r="AD90" s="27">
        <f t="shared" si="426"/>
        <v>0</v>
      </c>
      <c r="AE90" s="140">
        <v>0</v>
      </c>
      <c r="AF90" s="140">
        <v>0</v>
      </c>
      <c r="AG90" s="27">
        <f t="shared" si="427"/>
        <v>0</v>
      </c>
      <c r="AH90" s="140">
        <v>0</v>
      </c>
      <c r="AI90" s="140">
        <v>0</v>
      </c>
      <c r="AJ90" s="27">
        <f t="shared" si="428"/>
        <v>0</v>
      </c>
      <c r="AK90" s="140">
        <v>0</v>
      </c>
      <c r="AL90" s="140">
        <v>0</v>
      </c>
      <c r="AM90" s="27">
        <f t="shared" si="429"/>
        <v>0</v>
      </c>
      <c r="AN90" s="140">
        <v>0</v>
      </c>
      <c r="AO90" s="140">
        <v>0</v>
      </c>
      <c r="AP90" s="27">
        <f t="shared" si="430"/>
        <v>0</v>
      </c>
      <c r="AQ90" s="140">
        <v>0</v>
      </c>
      <c r="AR90" s="140">
        <v>0</v>
      </c>
      <c r="AS90" s="27">
        <f t="shared" si="431"/>
        <v>0</v>
      </c>
      <c r="AT90" s="140">
        <v>0</v>
      </c>
      <c r="AU90" s="140">
        <v>0</v>
      </c>
      <c r="AV90" s="27">
        <f t="shared" si="432"/>
        <v>0</v>
      </c>
      <c r="AW90" s="140">
        <v>0</v>
      </c>
      <c r="AX90" s="140">
        <v>0</v>
      </c>
      <c r="AY90" s="27">
        <f t="shared" si="433"/>
        <v>0</v>
      </c>
      <c r="BB90" s="15"/>
    </row>
    <row r="91" spans="1:54" s="24" customFormat="1" ht="12" customHeight="1" x14ac:dyDescent="0.2">
      <c r="B91" s="49" t="s">
        <v>67</v>
      </c>
      <c r="C91" s="46"/>
      <c r="D91" s="47"/>
      <c r="E91" s="47"/>
      <c r="F91" s="48"/>
      <c r="G91" s="47"/>
      <c r="H91" s="47"/>
      <c r="I91" s="48">
        <f t="shared" ref="I91:O91" si="441">+I98</f>
        <v>23.066000000000003</v>
      </c>
      <c r="J91" s="47"/>
      <c r="K91" s="47"/>
      <c r="L91" s="48">
        <f t="shared" si="441"/>
        <v>19.643999999999981</v>
      </c>
      <c r="M91" s="47">
        <f t="shared" si="441"/>
        <v>13.674000000000014</v>
      </c>
      <c r="N91" s="47">
        <f t="shared" si="441"/>
        <v>21.272999999999989</v>
      </c>
      <c r="O91" s="48">
        <f t="shared" si="441"/>
        <v>34.947000000000003</v>
      </c>
      <c r="P91" s="47">
        <f t="shared" ref="P91:R91" si="442">+P98</f>
        <v>14.115999999999994</v>
      </c>
      <c r="Q91" s="47">
        <f t="shared" si="442"/>
        <v>22.648999999999969</v>
      </c>
      <c r="R91" s="48">
        <f t="shared" si="442"/>
        <v>36.764999999999965</v>
      </c>
      <c r="S91" s="47">
        <f t="shared" ref="S91:U91" si="443">+S98</f>
        <v>19.194000000000003</v>
      </c>
      <c r="T91" s="47">
        <f t="shared" si="443"/>
        <v>38.132999999999953</v>
      </c>
      <c r="U91" s="48">
        <f t="shared" si="443"/>
        <v>57.326999999999956</v>
      </c>
      <c r="V91" s="47">
        <f t="shared" ref="V91:AA91" si="444">+V86-V87-V88-V89+V90</f>
        <v>47.243771210826814</v>
      </c>
      <c r="W91" s="47">
        <f t="shared" si="444"/>
        <v>44.419906576767772</v>
      </c>
      <c r="X91" s="48">
        <f t="shared" si="444"/>
        <v>91.663677787594594</v>
      </c>
      <c r="Y91" s="47">
        <f t="shared" si="444"/>
        <v>56.762388163373473</v>
      </c>
      <c r="Z91" s="47">
        <f t="shared" si="444"/>
        <v>53.48094481085937</v>
      </c>
      <c r="AA91" s="48">
        <f t="shared" si="444"/>
        <v>110.24333297423284</v>
      </c>
      <c r="AB91" s="47">
        <f t="shared" ref="AB91:AY91" si="445">+AB86-AB87-AB88-AB89+AB90</f>
        <v>68.199578922574815</v>
      </c>
      <c r="AC91" s="47">
        <f t="shared" si="445"/>
        <v>66.944170995743946</v>
      </c>
      <c r="AD91" s="48">
        <f t="shared" si="445"/>
        <v>135.14374991831878</v>
      </c>
      <c r="AE91" s="47">
        <f t="shared" si="445"/>
        <v>82.302133904633877</v>
      </c>
      <c r="AF91" s="47">
        <f t="shared" si="445"/>
        <v>80.961567695708837</v>
      </c>
      <c r="AG91" s="48">
        <f t="shared" si="445"/>
        <v>163.2637016003427</v>
      </c>
      <c r="AH91" s="47">
        <f t="shared" si="445"/>
        <v>98.338537769080531</v>
      </c>
      <c r="AI91" s="47">
        <f t="shared" si="445"/>
        <v>95.76646622186945</v>
      </c>
      <c r="AJ91" s="48">
        <f t="shared" si="445"/>
        <v>194.10500399095</v>
      </c>
      <c r="AK91" s="47">
        <f t="shared" si="445"/>
        <v>110.77272580924581</v>
      </c>
      <c r="AL91" s="47">
        <f t="shared" si="445"/>
        <v>107.00194435712179</v>
      </c>
      <c r="AM91" s="48">
        <f t="shared" si="445"/>
        <v>217.77467016636766</v>
      </c>
      <c r="AN91" s="47">
        <f t="shared" si="445"/>
        <v>124.50089347449689</v>
      </c>
      <c r="AO91" s="47">
        <f t="shared" si="445"/>
        <v>120.87974737203594</v>
      </c>
      <c r="AP91" s="48">
        <f t="shared" si="445"/>
        <v>245.3806408465328</v>
      </c>
      <c r="AQ91" s="47">
        <f t="shared" si="445"/>
        <v>140.04123127444049</v>
      </c>
      <c r="AR91" s="47">
        <f t="shared" si="445"/>
        <v>135.9043647600372</v>
      </c>
      <c r="AS91" s="48">
        <f t="shared" si="445"/>
        <v>275.94559603447777</v>
      </c>
      <c r="AT91" s="47">
        <f t="shared" si="445"/>
        <v>156.8414050066736</v>
      </c>
      <c r="AU91" s="47">
        <f t="shared" si="445"/>
        <v>152.15602132284263</v>
      </c>
      <c r="AV91" s="48">
        <f t="shared" si="445"/>
        <v>308.9974263295162</v>
      </c>
      <c r="AW91" s="47">
        <f t="shared" si="445"/>
        <v>174.98715999487607</v>
      </c>
      <c r="AX91" s="47">
        <f t="shared" si="445"/>
        <v>169.71748773868984</v>
      </c>
      <c r="AY91" s="48">
        <f t="shared" si="445"/>
        <v>344.70464773356582</v>
      </c>
      <c r="BB91" s="15"/>
    </row>
    <row r="92" spans="1:54" ht="12" customHeight="1" x14ac:dyDescent="0.2">
      <c r="A92" s="24"/>
      <c r="B92" s="6"/>
      <c r="D92" s="6"/>
      <c r="E92" s="6"/>
      <c r="F92" s="13"/>
      <c r="G92" s="6"/>
      <c r="H92" s="6"/>
      <c r="I92" s="13"/>
      <c r="J92" s="6"/>
      <c r="K92" s="6"/>
      <c r="L92" s="13"/>
      <c r="M92" s="6"/>
      <c r="N92" s="6"/>
      <c r="O92" s="13"/>
      <c r="P92" s="6"/>
      <c r="Q92" s="6"/>
      <c r="R92" s="13"/>
      <c r="S92" s="6"/>
      <c r="T92" s="6"/>
      <c r="U92" s="13"/>
      <c r="V92" s="6"/>
      <c r="W92" s="6"/>
      <c r="X92" s="13"/>
      <c r="Y92" s="6"/>
      <c r="Z92" s="6"/>
      <c r="AA92" s="13"/>
      <c r="AB92" s="6"/>
      <c r="AC92" s="6"/>
      <c r="AD92" s="13"/>
      <c r="AE92" s="6"/>
      <c r="AF92" s="6"/>
      <c r="AG92" s="13"/>
      <c r="AH92" s="6"/>
      <c r="AI92" s="6"/>
      <c r="AJ92" s="13"/>
      <c r="AK92" s="6"/>
      <c r="AL92" s="6"/>
      <c r="AM92" s="13"/>
      <c r="AN92" s="6"/>
      <c r="AO92" s="6"/>
      <c r="AP92" s="13"/>
      <c r="AQ92" s="6"/>
      <c r="AR92" s="6"/>
      <c r="AS92" s="13"/>
      <c r="AT92" s="6"/>
      <c r="AU92" s="6"/>
      <c r="AV92" s="13"/>
      <c r="AW92" s="6"/>
      <c r="AX92" s="6"/>
      <c r="AY92" s="13"/>
    </row>
    <row r="93" spans="1:54" ht="12" customHeight="1" x14ac:dyDescent="0.2">
      <c r="A93" s="24"/>
      <c r="B93" s="5" t="s">
        <v>118</v>
      </c>
      <c r="D93" s="6"/>
      <c r="E93" s="6"/>
      <c r="F93" s="13"/>
      <c r="G93" s="6"/>
      <c r="H93" s="6"/>
      <c r="I93" s="13"/>
      <c r="J93" s="6"/>
      <c r="K93" s="6"/>
      <c r="L93" s="13"/>
      <c r="M93" s="6"/>
      <c r="N93" s="6"/>
      <c r="O93" s="13"/>
      <c r="P93" s="6"/>
      <c r="Q93" s="6"/>
      <c r="R93" s="13"/>
      <c r="S93" s="6"/>
      <c r="T93" s="6"/>
      <c r="U93" s="13"/>
      <c r="V93" s="6"/>
      <c r="W93" s="6"/>
      <c r="X93" s="13"/>
      <c r="Y93" s="6"/>
      <c r="Z93" s="6"/>
      <c r="AA93" s="13"/>
      <c r="AB93" s="6"/>
      <c r="AC93" s="6"/>
      <c r="AD93" s="13"/>
      <c r="AE93" s="6"/>
      <c r="AF93" s="6"/>
      <c r="AG93" s="13"/>
      <c r="AH93" s="6"/>
      <c r="AI93" s="6"/>
      <c r="AJ93" s="13"/>
      <c r="AK93" s="6"/>
      <c r="AL93" s="6"/>
      <c r="AM93" s="13"/>
      <c r="AN93" s="6"/>
      <c r="AO93" s="6"/>
      <c r="AP93" s="13"/>
      <c r="AQ93" s="6"/>
      <c r="AR93" s="6"/>
      <c r="AS93" s="13"/>
      <c r="AT93" s="6"/>
      <c r="AU93" s="6"/>
      <c r="AV93" s="13"/>
      <c r="AW93" s="6"/>
      <c r="AX93" s="6"/>
      <c r="AY93" s="13"/>
    </row>
    <row r="94" spans="1:54" s="24" customFormat="1" ht="12" customHeight="1" x14ac:dyDescent="0.2">
      <c r="B94" s="23" t="s">
        <v>119</v>
      </c>
      <c r="C94" s="23"/>
      <c r="D94" s="25"/>
      <c r="E94" s="26"/>
      <c r="F94" s="132"/>
      <c r="G94" s="25"/>
      <c r="H94" s="26"/>
      <c r="I94" s="132">
        <v>140.762</v>
      </c>
      <c r="J94" s="25"/>
      <c r="K94" s="26"/>
      <c r="L94" s="132">
        <v>190.58199999999999</v>
      </c>
      <c r="M94" s="25">
        <v>143.465</v>
      </c>
      <c r="N94" s="26">
        <f>+O94-M94</f>
        <v>152.124</v>
      </c>
      <c r="O94" s="132">
        <v>295.589</v>
      </c>
      <c r="P94" s="25">
        <v>200.82599999999999</v>
      </c>
      <c r="Q94" s="26">
        <f>+R94-P94</f>
        <v>199.75199999999998</v>
      </c>
      <c r="R94" s="132">
        <v>400.57799999999997</v>
      </c>
      <c r="S94" s="25">
        <v>256.298</v>
      </c>
      <c r="T94" s="26">
        <f>+U94-S94</f>
        <v>258.57899999999995</v>
      </c>
      <c r="U94" s="132">
        <v>514.87699999999995</v>
      </c>
      <c r="V94" s="142"/>
      <c r="W94" s="142"/>
      <c r="X94" s="143"/>
      <c r="Y94" s="142"/>
      <c r="Z94" s="142"/>
      <c r="AA94" s="143"/>
      <c r="AB94" s="142"/>
      <c r="AC94" s="142"/>
      <c r="AD94" s="143"/>
      <c r="AE94" s="142"/>
      <c r="AF94" s="142"/>
      <c r="AG94" s="143"/>
      <c r="AH94" s="142"/>
      <c r="AI94" s="142"/>
      <c r="AJ94" s="143"/>
      <c r="AK94" s="142"/>
      <c r="AL94" s="142"/>
      <c r="AM94" s="143"/>
      <c r="AN94" s="142"/>
      <c r="AO94" s="142"/>
      <c r="AP94" s="143"/>
      <c r="AQ94" s="142"/>
      <c r="AR94" s="142"/>
      <c r="AS94" s="143"/>
      <c r="AT94" s="142"/>
      <c r="AU94" s="142"/>
      <c r="AV94" s="143"/>
      <c r="AW94" s="142"/>
      <c r="AX94" s="142"/>
      <c r="AY94" s="143"/>
    </row>
    <row r="95" spans="1:54" s="24" customFormat="1" ht="12" customHeight="1" x14ac:dyDescent="0.2">
      <c r="B95" s="23" t="s">
        <v>120</v>
      </c>
      <c r="C95" s="23"/>
      <c r="D95" s="25"/>
      <c r="E95" s="26"/>
      <c r="F95" s="132"/>
      <c r="G95" s="25"/>
      <c r="H95" s="26"/>
      <c r="I95" s="132">
        <v>-115.976</v>
      </c>
      <c r="J95" s="25"/>
      <c r="K95" s="26"/>
      <c r="L95" s="132">
        <v>-167.68100000000001</v>
      </c>
      <c r="M95" s="25">
        <v>-129.84899999999999</v>
      </c>
      <c r="N95" s="26">
        <f t="shared" ref="N95:N97" si="446">+O95-M95</f>
        <v>-130.495</v>
      </c>
      <c r="O95" s="132">
        <v>-260.34399999999999</v>
      </c>
      <c r="P95" s="25">
        <v>-187.583</v>
      </c>
      <c r="Q95" s="26">
        <f t="shared" ref="Q95:Q97" si="447">+R95-P95</f>
        <v>-171.74100000000001</v>
      </c>
      <c r="R95" s="132">
        <v>-359.32400000000001</v>
      </c>
      <c r="S95" s="25">
        <v>-223.423</v>
      </c>
      <c r="T95" s="26">
        <f t="shared" ref="T95:T97" si="448">+U95-S95</f>
        <v>-214.738</v>
      </c>
      <c r="U95" s="132">
        <v>-438.161</v>
      </c>
      <c r="V95" s="142"/>
      <c r="W95" s="142"/>
      <c r="X95" s="143"/>
      <c r="Y95" s="142"/>
      <c r="Z95" s="142"/>
      <c r="AA95" s="143"/>
      <c r="AB95" s="142"/>
      <c r="AC95" s="142"/>
      <c r="AD95" s="143"/>
      <c r="AE95" s="142"/>
      <c r="AF95" s="142"/>
      <c r="AG95" s="143"/>
      <c r="AH95" s="142"/>
      <c r="AI95" s="142"/>
      <c r="AJ95" s="143"/>
      <c r="AK95" s="142"/>
      <c r="AL95" s="142"/>
      <c r="AM95" s="143"/>
      <c r="AN95" s="142"/>
      <c r="AO95" s="142"/>
      <c r="AP95" s="143"/>
      <c r="AQ95" s="142"/>
      <c r="AR95" s="142"/>
      <c r="AS95" s="143"/>
      <c r="AT95" s="142"/>
      <c r="AU95" s="142"/>
      <c r="AV95" s="143"/>
      <c r="AW95" s="142"/>
      <c r="AX95" s="142"/>
      <c r="AY95" s="143"/>
    </row>
    <row r="96" spans="1:54" s="24" customFormat="1" ht="12" customHeight="1" x14ac:dyDescent="0.2">
      <c r="B96" s="23" t="s">
        <v>121</v>
      </c>
      <c r="C96" s="23"/>
      <c r="D96" s="25"/>
      <c r="E96" s="26"/>
      <c r="F96" s="132"/>
      <c r="G96" s="25"/>
      <c r="H96" s="26"/>
      <c r="I96" s="132">
        <v>-2.2210000000000001</v>
      </c>
      <c r="J96" s="25"/>
      <c r="K96" s="26"/>
      <c r="L96" s="132">
        <f>3.173-6.008</f>
        <v>-2.835</v>
      </c>
      <c r="M96" s="25">
        <f>0.261-0.124</f>
        <v>0.13700000000000001</v>
      </c>
      <c r="N96" s="26">
        <f t="shared" si="446"/>
        <v>-0.13700000000000001</v>
      </c>
      <c r="O96" s="132">
        <v>0</v>
      </c>
      <c r="P96" s="25">
        <f>0.503-0.149</f>
        <v>0.35399999999999998</v>
      </c>
      <c r="Q96" s="26">
        <f t="shared" si="447"/>
        <v>-0.35399999999999998</v>
      </c>
      <c r="R96" s="132">
        <v>0</v>
      </c>
      <c r="S96" s="25">
        <v>0</v>
      </c>
      <c r="T96" s="26">
        <f t="shared" si="448"/>
        <v>0</v>
      </c>
      <c r="U96" s="132">
        <v>0</v>
      </c>
      <c r="V96" s="142"/>
      <c r="W96" s="142"/>
      <c r="X96" s="143"/>
      <c r="Y96" s="142"/>
      <c r="Z96" s="142"/>
      <c r="AA96" s="143"/>
      <c r="AB96" s="142"/>
      <c r="AC96" s="142"/>
      <c r="AD96" s="143"/>
      <c r="AE96" s="142"/>
      <c r="AF96" s="142"/>
      <c r="AG96" s="143"/>
      <c r="AH96" s="142"/>
      <c r="AI96" s="142"/>
      <c r="AJ96" s="143"/>
      <c r="AK96" s="142"/>
      <c r="AL96" s="142"/>
      <c r="AM96" s="143"/>
      <c r="AN96" s="142"/>
      <c r="AO96" s="142"/>
      <c r="AP96" s="143"/>
      <c r="AQ96" s="142"/>
      <c r="AR96" s="142"/>
      <c r="AS96" s="143"/>
      <c r="AT96" s="142"/>
      <c r="AU96" s="142"/>
      <c r="AV96" s="143"/>
      <c r="AW96" s="142"/>
      <c r="AX96" s="142"/>
      <c r="AY96" s="143"/>
    </row>
    <row r="97" spans="1:54" s="24" customFormat="1" ht="12" customHeight="1" x14ac:dyDescent="0.2">
      <c r="B97" s="23" t="s">
        <v>348</v>
      </c>
      <c r="C97" s="23"/>
      <c r="D97" s="25"/>
      <c r="E97" s="26"/>
      <c r="F97" s="132"/>
      <c r="G97" s="25"/>
      <c r="H97" s="26"/>
      <c r="I97" s="132">
        <v>0.501</v>
      </c>
      <c r="J97" s="25"/>
      <c r="K97" s="26"/>
      <c r="L97" s="132">
        <v>-0.42199999999999999</v>
      </c>
      <c r="M97" s="25">
        <v>-7.9000000000000001E-2</v>
      </c>
      <c r="N97" s="26">
        <f t="shared" si="446"/>
        <v>-0.21899999999999997</v>
      </c>
      <c r="O97" s="132">
        <v>-0.29799999999999999</v>
      </c>
      <c r="P97" s="25">
        <v>0.51900000000000002</v>
      </c>
      <c r="Q97" s="26">
        <f t="shared" si="447"/>
        <v>-5.008</v>
      </c>
      <c r="R97" s="132">
        <v>-4.4889999999999999</v>
      </c>
      <c r="S97" s="25">
        <v>-13.680999999999999</v>
      </c>
      <c r="T97" s="26">
        <f t="shared" si="448"/>
        <v>-5.7080000000000002</v>
      </c>
      <c r="U97" s="132">
        <v>-19.388999999999999</v>
      </c>
      <c r="V97" s="142"/>
      <c r="W97" s="142"/>
      <c r="X97" s="143"/>
      <c r="Y97" s="142"/>
      <c r="Z97" s="142"/>
      <c r="AA97" s="143"/>
      <c r="AB97" s="142"/>
      <c r="AC97" s="142"/>
      <c r="AD97" s="143"/>
      <c r="AE97" s="142"/>
      <c r="AF97" s="142"/>
      <c r="AG97" s="143"/>
      <c r="AH97" s="142"/>
      <c r="AI97" s="142"/>
      <c r="AJ97" s="143"/>
      <c r="AK97" s="142"/>
      <c r="AL97" s="142"/>
      <c r="AM97" s="143"/>
      <c r="AN97" s="142"/>
      <c r="AO97" s="142"/>
      <c r="AP97" s="143"/>
      <c r="AQ97" s="142"/>
      <c r="AR97" s="142"/>
      <c r="AS97" s="143"/>
      <c r="AT97" s="142"/>
      <c r="AU97" s="142"/>
      <c r="AV97" s="143"/>
      <c r="AW97" s="142"/>
      <c r="AX97" s="142"/>
      <c r="AY97" s="143"/>
    </row>
    <row r="98" spans="1:54" s="24" customFormat="1" ht="12" customHeight="1" x14ac:dyDescent="0.2">
      <c r="B98" s="49" t="s">
        <v>67</v>
      </c>
      <c r="C98" s="46"/>
      <c r="D98" s="47"/>
      <c r="E98" s="47"/>
      <c r="F98" s="48"/>
      <c r="G98" s="47"/>
      <c r="H98" s="47"/>
      <c r="I98" s="48">
        <f>SUM(I94:I97)</f>
        <v>23.066000000000003</v>
      </c>
      <c r="J98" s="47"/>
      <c r="K98" s="47"/>
      <c r="L98" s="48">
        <f t="shared" ref="L98:R98" si="449">SUM(L94:L97)</f>
        <v>19.643999999999981</v>
      </c>
      <c r="M98" s="47">
        <f t="shared" si="449"/>
        <v>13.674000000000014</v>
      </c>
      <c r="N98" s="47">
        <f t="shared" si="449"/>
        <v>21.272999999999989</v>
      </c>
      <c r="O98" s="48">
        <f t="shared" si="449"/>
        <v>34.947000000000003</v>
      </c>
      <c r="P98" s="47">
        <f t="shared" si="449"/>
        <v>14.115999999999994</v>
      </c>
      <c r="Q98" s="47">
        <f t="shared" si="449"/>
        <v>22.648999999999969</v>
      </c>
      <c r="R98" s="48">
        <f t="shared" si="449"/>
        <v>36.764999999999965</v>
      </c>
      <c r="S98" s="47">
        <f t="shared" ref="S98:U98" si="450">SUM(S94:S97)</f>
        <v>19.194000000000003</v>
      </c>
      <c r="T98" s="47">
        <f t="shared" si="450"/>
        <v>38.132999999999953</v>
      </c>
      <c r="U98" s="48">
        <f t="shared" si="450"/>
        <v>57.326999999999956</v>
      </c>
      <c r="V98" s="47">
        <f t="shared" ref="V98:AA98" si="451">+V91</f>
        <v>47.243771210826814</v>
      </c>
      <c r="W98" s="47">
        <f t="shared" si="451"/>
        <v>44.419906576767772</v>
      </c>
      <c r="X98" s="48">
        <f t="shared" si="451"/>
        <v>91.663677787594594</v>
      </c>
      <c r="Y98" s="47">
        <f t="shared" si="451"/>
        <v>56.762388163373473</v>
      </c>
      <c r="Z98" s="47">
        <f t="shared" si="451"/>
        <v>53.48094481085937</v>
      </c>
      <c r="AA98" s="48">
        <f t="shared" si="451"/>
        <v>110.24333297423284</v>
      </c>
      <c r="AB98" s="47">
        <f t="shared" ref="AB98:AY98" si="452">+AB91</f>
        <v>68.199578922574815</v>
      </c>
      <c r="AC98" s="47">
        <f t="shared" si="452"/>
        <v>66.944170995743946</v>
      </c>
      <c r="AD98" s="48">
        <f t="shared" si="452"/>
        <v>135.14374991831878</v>
      </c>
      <c r="AE98" s="47">
        <f t="shared" si="452"/>
        <v>82.302133904633877</v>
      </c>
      <c r="AF98" s="47">
        <f t="shared" si="452"/>
        <v>80.961567695708837</v>
      </c>
      <c r="AG98" s="48">
        <f t="shared" si="452"/>
        <v>163.2637016003427</v>
      </c>
      <c r="AH98" s="47">
        <f t="shared" si="452"/>
        <v>98.338537769080531</v>
      </c>
      <c r="AI98" s="47">
        <f t="shared" si="452"/>
        <v>95.76646622186945</v>
      </c>
      <c r="AJ98" s="48">
        <f t="shared" si="452"/>
        <v>194.10500399095</v>
      </c>
      <c r="AK98" s="47">
        <f t="shared" si="452"/>
        <v>110.77272580924581</v>
      </c>
      <c r="AL98" s="47">
        <f t="shared" si="452"/>
        <v>107.00194435712179</v>
      </c>
      <c r="AM98" s="48">
        <f t="shared" si="452"/>
        <v>217.77467016636766</v>
      </c>
      <c r="AN98" s="47">
        <f t="shared" si="452"/>
        <v>124.50089347449689</v>
      </c>
      <c r="AO98" s="47">
        <f t="shared" si="452"/>
        <v>120.87974737203594</v>
      </c>
      <c r="AP98" s="48">
        <f t="shared" si="452"/>
        <v>245.3806408465328</v>
      </c>
      <c r="AQ98" s="47">
        <f t="shared" si="452"/>
        <v>140.04123127444049</v>
      </c>
      <c r="AR98" s="47">
        <f t="shared" si="452"/>
        <v>135.9043647600372</v>
      </c>
      <c r="AS98" s="48">
        <f t="shared" si="452"/>
        <v>275.94559603447777</v>
      </c>
      <c r="AT98" s="47">
        <f t="shared" si="452"/>
        <v>156.8414050066736</v>
      </c>
      <c r="AU98" s="47">
        <f t="shared" si="452"/>
        <v>152.15602132284263</v>
      </c>
      <c r="AV98" s="48">
        <f t="shared" si="452"/>
        <v>308.9974263295162</v>
      </c>
      <c r="AW98" s="47">
        <f t="shared" si="452"/>
        <v>174.98715999487607</v>
      </c>
      <c r="AX98" s="47">
        <f t="shared" si="452"/>
        <v>169.71748773868984</v>
      </c>
      <c r="AY98" s="48">
        <f t="shared" si="452"/>
        <v>344.70464773356582</v>
      </c>
      <c r="BB98" s="15"/>
    </row>
    <row r="99" spans="1:54" ht="12" customHeight="1" x14ac:dyDescent="0.2">
      <c r="A99" s="24"/>
      <c r="B99" s="6"/>
      <c r="D99" s="6"/>
      <c r="E99" s="6"/>
      <c r="F99" s="13"/>
      <c r="G99" s="6"/>
      <c r="H99" s="6"/>
      <c r="I99" s="13"/>
      <c r="J99" s="6"/>
      <c r="K99" s="6"/>
      <c r="L99" s="13"/>
      <c r="M99" s="6"/>
      <c r="N99" s="6"/>
      <c r="O99" s="13"/>
      <c r="P99" s="6"/>
      <c r="Q99" s="6"/>
      <c r="R99" s="13"/>
      <c r="S99" s="6"/>
      <c r="T99" s="6"/>
      <c r="U99" s="13"/>
      <c r="V99" s="6"/>
      <c r="W99" s="6"/>
      <c r="X99" s="13"/>
      <c r="Y99" s="6"/>
      <c r="Z99" s="6"/>
      <c r="AA99" s="13"/>
      <c r="AB99" s="6"/>
      <c r="AC99" s="6"/>
      <c r="AD99" s="13"/>
      <c r="AE99" s="6"/>
      <c r="AF99" s="6"/>
      <c r="AG99" s="13"/>
      <c r="AH99" s="6"/>
      <c r="AI99" s="6"/>
      <c r="AJ99" s="13"/>
      <c r="AK99" s="6"/>
      <c r="AL99" s="6"/>
      <c r="AM99" s="13"/>
      <c r="AN99" s="6"/>
      <c r="AO99" s="6"/>
      <c r="AP99" s="13"/>
      <c r="AQ99" s="6"/>
      <c r="AR99" s="6"/>
      <c r="AS99" s="13"/>
      <c r="AT99" s="6"/>
      <c r="AU99" s="6"/>
      <c r="AV99" s="13"/>
      <c r="AW99" s="6"/>
      <c r="AX99" s="6"/>
      <c r="AY99" s="13"/>
    </row>
    <row r="100" spans="1:54" ht="12" customHeight="1" x14ac:dyDescent="0.2">
      <c r="A100" s="24"/>
      <c r="B100" s="5" t="s">
        <v>122</v>
      </c>
      <c r="D100" s="6"/>
      <c r="E100" s="6"/>
      <c r="F100" s="13"/>
      <c r="G100" s="6"/>
      <c r="H100" s="6"/>
      <c r="I100" s="13"/>
      <c r="J100" s="6"/>
      <c r="K100" s="6"/>
      <c r="L100" s="13"/>
      <c r="M100" s="6"/>
      <c r="N100" s="6"/>
      <c r="O100" s="13"/>
      <c r="P100" s="6"/>
      <c r="Q100" s="6"/>
      <c r="R100" s="13"/>
      <c r="S100" s="6"/>
      <c r="T100" s="6"/>
      <c r="U100" s="13"/>
      <c r="V100" s="6"/>
      <c r="W100" s="6"/>
      <c r="X100" s="13"/>
      <c r="Y100" s="6"/>
      <c r="Z100" s="6"/>
      <c r="AA100" s="13"/>
      <c r="AB100" s="6"/>
      <c r="AC100" s="6"/>
      <c r="AD100" s="13"/>
      <c r="AE100" s="6"/>
      <c r="AF100" s="6"/>
      <c r="AG100" s="13"/>
      <c r="AH100" s="6"/>
      <c r="AI100" s="6"/>
      <c r="AJ100" s="13"/>
      <c r="AK100" s="6"/>
      <c r="AL100" s="6"/>
      <c r="AM100" s="13"/>
      <c r="AN100" s="6"/>
      <c r="AO100" s="6"/>
      <c r="AP100" s="13"/>
      <c r="AQ100" s="6"/>
      <c r="AR100" s="6"/>
      <c r="AS100" s="13"/>
      <c r="AT100" s="6"/>
      <c r="AU100" s="6"/>
      <c r="AV100" s="13"/>
      <c r="AW100" s="6"/>
      <c r="AX100" s="6"/>
      <c r="AY100" s="13"/>
    </row>
    <row r="101" spans="1:54" s="24" customFormat="1" ht="12" customHeight="1" x14ac:dyDescent="0.2">
      <c r="B101" s="23" t="s">
        <v>345</v>
      </c>
      <c r="C101" s="23"/>
      <c r="D101" s="25"/>
      <c r="E101" s="26"/>
      <c r="F101" s="132"/>
      <c r="G101" s="25"/>
      <c r="H101" s="26"/>
      <c r="I101" s="132">
        <v>-2.3929999999999998</v>
      </c>
      <c r="J101" s="25"/>
      <c r="K101" s="26"/>
      <c r="L101" s="132">
        <v>-5.8250000000000002</v>
      </c>
      <c r="M101" s="25">
        <v>-5.4269999999999996</v>
      </c>
      <c r="N101" s="26">
        <f>+O101-M101</f>
        <v>-1.0130000000000008</v>
      </c>
      <c r="O101" s="132">
        <v>-6.44</v>
      </c>
      <c r="P101" s="25">
        <v>0</v>
      </c>
      <c r="Q101" s="26">
        <f>+R101-P101</f>
        <v>-3.1280000000000001</v>
      </c>
      <c r="R101" s="132">
        <v>-3.1280000000000001</v>
      </c>
      <c r="S101" s="25">
        <v>-12.09</v>
      </c>
      <c r="T101" s="26">
        <f>+U101-S101</f>
        <v>-3.3830000000000009</v>
      </c>
      <c r="U101" s="132">
        <v>-15.473000000000001</v>
      </c>
      <c r="V101" s="142">
        <f>+-'Balance Sheet'!V115</f>
        <v>0</v>
      </c>
      <c r="W101" s="142">
        <f>+-'Balance Sheet'!W115</f>
        <v>0</v>
      </c>
      <c r="X101" s="143">
        <f t="shared" ref="X101:X105" si="453">+W101+V101</f>
        <v>0</v>
      </c>
      <c r="Y101" s="142">
        <f>+-'Balance Sheet'!Y115</f>
        <v>0</v>
      </c>
      <c r="Z101" s="142">
        <f>+-'Balance Sheet'!Z115</f>
        <v>0</v>
      </c>
      <c r="AA101" s="143">
        <f t="shared" ref="AA101:AA105" si="454">+Z101+Y101</f>
        <v>0</v>
      </c>
      <c r="AB101" s="142">
        <f>+-'Balance Sheet'!AB115</f>
        <v>0</v>
      </c>
      <c r="AC101" s="142">
        <f>+-'Balance Sheet'!AC115</f>
        <v>0</v>
      </c>
      <c r="AD101" s="143">
        <f t="shared" ref="AD101:AD105" si="455">+AC101+AB101</f>
        <v>0</v>
      </c>
      <c r="AE101" s="142">
        <f>+-'Balance Sheet'!AE115</f>
        <v>0</v>
      </c>
      <c r="AF101" s="142">
        <f>+-'Balance Sheet'!AF115</f>
        <v>0</v>
      </c>
      <c r="AG101" s="143">
        <f t="shared" ref="AG101:AG105" si="456">+AF101+AE101</f>
        <v>0</v>
      </c>
      <c r="AH101" s="142">
        <f>+-'Balance Sheet'!AH115</f>
        <v>0</v>
      </c>
      <c r="AI101" s="142">
        <f>+-'Balance Sheet'!AI115</f>
        <v>0</v>
      </c>
      <c r="AJ101" s="143">
        <f t="shared" ref="AJ101:AJ105" si="457">+AI101+AH101</f>
        <v>0</v>
      </c>
      <c r="AK101" s="142">
        <f>+-'Balance Sheet'!AK115</f>
        <v>0</v>
      </c>
      <c r="AL101" s="142">
        <f>+-'Balance Sheet'!AL115</f>
        <v>0</v>
      </c>
      <c r="AM101" s="143">
        <f t="shared" ref="AM101:AM105" si="458">+AL101+AK101</f>
        <v>0</v>
      </c>
      <c r="AN101" s="142">
        <f>+-'Balance Sheet'!AN115</f>
        <v>0</v>
      </c>
      <c r="AO101" s="142">
        <f>+-'Balance Sheet'!AO115</f>
        <v>0</v>
      </c>
      <c r="AP101" s="143">
        <f t="shared" ref="AP101:AP105" si="459">+AO101+AN101</f>
        <v>0</v>
      </c>
      <c r="AQ101" s="142">
        <f>+-'Balance Sheet'!AQ115</f>
        <v>0</v>
      </c>
      <c r="AR101" s="142">
        <f>+-'Balance Sheet'!AR115</f>
        <v>0</v>
      </c>
      <c r="AS101" s="143">
        <f t="shared" ref="AS101:AS105" si="460">+AR101+AQ101</f>
        <v>0</v>
      </c>
      <c r="AT101" s="142">
        <f>+-'Balance Sheet'!AT115</f>
        <v>0</v>
      </c>
      <c r="AU101" s="142">
        <f>+-'Balance Sheet'!AU115</f>
        <v>0</v>
      </c>
      <c r="AV101" s="143">
        <f t="shared" ref="AV101:AV105" si="461">+AU101+AT101</f>
        <v>0</v>
      </c>
      <c r="AW101" s="142">
        <f>+-'Balance Sheet'!AW115</f>
        <v>0</v>
      </c>
      <c r="AX101" s="142">
        <f>+-'Balance Sheet'!AX115</f>
        <v>0</v>
      </c>
      <c r="AY101" s="143">
        <f t="shared" ref="AY101:AY105" si="462">+AX101+AW101</f>
        <v>0</v>
      </c>
    </row>
    <row r="102" spans="1:54" s="24" customFormat="1" ht="12" customHeight="1" x14ac:dyDescent="0.2">
      <c r="B102" s="23" t="s">
        <v>123</v>
      </c>
      <c r="C102" s="23"/>
      <c r="D102" s="25"/>
      <c r="E102" s="26"/>
      <c r="F102" s="132"/>
      <c r="G102" s="25"/>
      <c r="H102" s="26"/>
      <c r="I102" s="132">
        <v>-11.667</v>
      </c>
      <c r="J102" s="25"/>
      <c r="K102" s="26"/>
      <c r="L102" s="132">
        <v>-19.391999999999999</v>
      </c>
      <c r="M102" s="25">
        <v>-14.667</v>
      </c>
      <c r="N102" s="26">
        <f t="shared" ref="N102:N103" si="463">+O102-M102</f>
        <v>-25.045999999999999</v>
      </c>
      <c r="O102" s="132">
        <v>-39.713000000000001</v>
      </c>
      <c r="P102" s="25">
        <v>-14.867000000000001</v>
      </c>
      <c r="Q102" s="26">
        <f t="shared" ref="Q102:Q105" si="464">+R102-P102</f>
        <v>-18.629000000000001</v>
      </c>
      <c r="R102" s="132">
        <v>-33.496000000000002</v>
      </c>
      <c r="S102" s="25">
        <v>-21.855</v>
      </c>
      <c r="T102" s="26">
        <f t="shared" ref="T102:T105" si="465">+U102-S102</f>
        <v>-39.471000000000004</v>
      </c>
      <c r="U102" s="132">
        <v>-61.326000000000001</v>
      </c>
      <c r="V102" s="142">
        <f>+-'Balance Sheet'!V102</f>
        <v>-30</v>
      </c>
      <c r="W102" s="142">
        <f>+-'Balance Sheet'!W102</f>
        <v>-30</v>
      </c>
      <c r="X102" s="143">
        <f t="shared" si="453"/>
        <v>-60</v>
      </c>
      <c r="Y102" s="142">
        <f>+-'Balance Sheet'!Y102</f>
        <v>-31.95</v>
      </c>
      <c r="Z102" s="142">
        <f>+-'Balance Sheet'!Z102</f>
        <v>-31.95</v>
      </c>
      <c r="AA102" s="143">
        <f t="shared" si="454"/>
        <v>-63.9</v>
      </c>
      <c r="AB102" s="142">
        <f>+-'Balance Sheet'!AB102</f>
        <v>-34.186500000000002</v>
      </c>
      <c r="AC102" s="142">
        <f>+-'Balance Sheet'!AC102</f>
        <v>-34.186500000000002</v>
      </c>
      <c r="AD102" s="143">
        <f t="shared" si="455"/>
        <v>-68.373000000000005</v>
      </c>
      <c r="AE102" s="142">
        <f>+-'Balance Sheet'!AE102</f>
        <v>-36.579555000000006</v>
      </c>
      <c r="AF102" s="142">
        <f>+-'Balance Sheet'!AF102</f>
        <v>-36.579555000000006</v>
      </c>
      <c r="AG102" s="143">
        <f t="shared" si="456"/>
        <v>-73.159110000000013</v>
      </c>
      <c r="AH102" s="142">
        <f>+-'Balance Sheet'!AH102</f>
        <v>-39.140123850000009</v>
      </c>
      <c r="AI102" s="142">
        <f>+-'Balance Sheet'!AI102</f>
        <v>-39.140123850000009</v>
      </c>
      <c r="AJ102" s="143">
        <f t="shared" si="457"/>
        <v>-78.280247700000018</v>
      </c>
      <c r="AK102" s="142">
        <f>+-'Balance Sheet'!AK102</f>
        <v>-41.879932519500009</v>
      </c>
      <c r="AL102" s="142">
        <f>+-'Balance Sheet'!AL102</f>
        <v>-41.879932519500009</v>
      </c>
      <c r="AM102" s="143">
        <f t="shared" si="458"/>
        <v>-83.759865039000019</v>
      </c>
      <c r="AN102" s="142">
        <f>+-'Balance Sheet'!AN102</f>
        <v>-44.811527795865011</v>
      </c>
      <c r="AO102" s="142">
        <f>+-'Balance Sheet'!AO102</f>
        <v>-44.811527795865011</v>
      </c>
      <c r="AP102" s="143">
        <f t="shared" si="459"/>
        <v>-89.623055591730022</v>
      </c>
      <c r="AQ102" s="142">
        <f>+-'Balance Sheet'!AQ102</f>
        <v>-47.948334741575565</v>
      </c>
      <c r="AR102" s="142">
        <f>+-'Balance Sheet'!AR102</f>
        <v>-47.948334741575565</v>
      </c>
      <c r="AS102" s="143">
        <f t="shared" si="460"/>
        <v>-95.896669483151129</v>
      </c>
      <c r="AT102" s="142">
        <f>+-'Balance Sheet'!AT102</f>
        <v>-51.30471817348586</v>
      </c>
      <c r="AU102" s="142">
        <f>+-'Balance Sheet'!AU102</f>
        <v>-51.30471817348586</v>
      </c>
      <c r="AV102" s="143">
        <f t="shared" si="461"/>
        <v>-102.60943634697172</v>
      </c>
      <c r="AW102" s="142">
        <f>+-'Balance Sheet'!AW102</f>
        <v>-54.896048445629873</v>
      </c>
      <c r="AX102" s="142">
        <f>+-'Balance Sheet'!AX102</f>
        <v>-54.896048445629873</v>
      </c>
      <c r="AY102" s="143">
        <f t="shared" si="462"/>
        <v>-109.79209689125975</v>
      </c>
    </row>
    <row r="103" spans="1:54" s="24" customFormat="1" ht="12" customHeight="1" x14ac:dyDescent="0.2">
      <c r="B103" s="23" t="s">
        <v>366</v>
      </c>
      <c r="C103" s="23"/>
      <c r="D103" s="25"/>
      <c r="E103" s="26"/>
      <c r="F103" s="132"/>
      <c r="G103" s="25"/>
      <c r="H103" s="26"/>
      <c r="I103" s="132">
        <v>-3.496</v>
      </c>
      <c r="J103" s="25"/>
      <c r="K103" s="26"/>
      <c r="L103" s="132">
        <v>-7.0110000000000001</v>
      </c>
      <c r="M103" s="25">
        <v>-1.4490000000000001</v>
      </c>
      <c r="N103" s="26">
        <f t="shared" si="463"/>
        <v>-1.4949999999999999</v>
      </c>
      <c r="O103" s="132">
        <v>-2.944</v>
      </c>
      <c r="P103" s="25">
        <v>-8.9999999999999993E-3</v>
      </c>
      <c r="Q103" s="26">
        <f t="shared" si="464"/>
        <v>-5.3999999999999999E-2</v>
      </c>
      <c r="R103" s="132">
        <v>-6.3E-2</v>
      </c>
      <c r="S103" s="25">
        <v>-8.0000000000000002E-3</v>
      </c>
      <c r="T103" s="26">
        <f t="shared" si="465"/>
        <v>-2.8999999999999998E-2</v>
      </c>
      <c r="U103" s="132">
        <v>-3.6999999999999998E-2</v>
      </c>
      <c r="V103" s="142">
        <f>-'Balance Sheet'!V103-'Balance Sheet'!V114</f>
        <v>0</v>
      </c>
      <c r="W103" s="142">
        <f>-'Balance Sheet'!W103-'Balance Sheet'!W114</f>
        <v>0</v>
      </c>
      <c r="X103" s="143">
        <f t="shared" si="453"/>
        <v>0</v>
      </c>
      <c r="Y103" s="142">
        <f>-'Balance Sheet'!Y103-'Balance Sheet'!Y114</f>
        <v>0</v>
      </c>
      <c r="Z103" s="142">
        <f>-'Balance Sheet'!Z103-'Balance Sheet'!Z114</f>
        <v>0</v>
      </c>
      <c r="AA103" s="143">
        <f t="shared" si="454"/>
        <v>0</v>
      </c>
      <c r="AB103" s="142">
        <f>-'Balance Sheet'!AB103-'Balance Sheet'!AB114</f>
        <v>0</v>
      </c>
      <c r="AC103" s="142">
        <f>-'Balance Sheet'!AC103-'Balance Sheet'!AC114</f>
        <v>0</v>
      </c>
      <c r="AD103" s="143">
        <f t="shared" si="455"/>
        <v>0</v>
      </c>
      <c r="AE103" s="142">
        <f>-'Balance Sheet'!AE103-'Balance Sheet'!AE114</f>
        <v>0</v>
      </c>
      <c r="AF103" s="142">
        <f>-'Balance Sheet'!AF103-'Balance Sheet'!AF114</f>
        <v>0</v>
      </c>
      <c r="AG103" s="143">
        <f t="shared" si="456"/>
        <v>0</v>
      </c>
      <c r="AH103" s="142">
        <f>-'Balance Sheet'!AH103-'Balance Sheet'!AH114</f>
        <v>0</v>
      </c>
      <c r="AI103" s="142">
        <f>-'Balance Sheet'!AI103-'Balance Sheet'!AI114</f>
        <v>0</v>
      </c>
      <c r="AJ103" s="143">
        <f t="shared" si="457"/>
        <v>0</v>
      </c>
      <c r="AK103" s="142">
        <f>-'Balance Sheet'!AK103-'Balance Sheet'!AK114</f>
        <v>0</v>
      </c>
      <c r="AL103" s="142">
        <f>-'Balance Sheet'!AL103-'Balance Sheet'!AL114</f>
        <v>0</v>
      </c>
      <c r="AM103" s="143">
        <f t="shared" si="458"/>
        <v>0</v>
      </c>
      <c r="AN103" s="142">
        <f>-'Balance Sheet'!AN103-'Balance Sheet'!AN114</f>
        <v>0</v>
      </c>
      <c r="AO103" s="142">
        <f>-'Balance Sheet'!AO103-'Balance Sheet'!AO114</f>
        <v>0</v>
      </c>
      <c r="AP103" s="143">
        <f t="shared" si="459"/>
        <v>0</v>
      </c>
      <c r="AQ103" s="142">
        <f>-'Balance Sheet'!AQ103-'Balance Sheet'!AQ114</f>
        <v>0</v>
      </c>
      <c r="AR103" s="142">
        <f>-'Balance Sheet'!AR103-'Balance Sheet'!AR114</f>
        <v>0</v>
      </c>
      <c r="AS103" s="143">
        <f t="shared" si="460"/>
        <v>0</v>
      </c>
      <c r="AT103" s="142">
        <f>-'Balance Sheet'!AT103-'Balance Sheet'!AT114</f>
        <v>0</v>
      </c>
      <c r="AU103" s="142">
        <f>-'Balance Sheet'!AU103-'Balance Sheet'!AU114</f>
        <v>0</v>
      </c>
      <c r="AV103" s="143">
        <f t="shared" si="461"/>
        <v>0</v>
      </c>
      <c r="AW103" s="142">
        <f>-'Balance Sheet'!AW103-'Balance Sheet'!AW114</f>
        <v>0</v>
      </c>
      <c r="AX103" s="142">
        <f>-'Balance Sheet'!AX103-'Balance Sheet'!AX114</f>
        <v>0</v>
      </c>
      <c r="AY103" s="143">
        <f t="shared" si="462"/>
        <v>0</v>
      </c>
    </row>
    <row r="104" spans="1:54" s="24" customFormat="1" ht="12" customHeight="1" x14ac:dyDescent="0.2">
      <c r="B104" s="23" t="s">
        <v>349</v>
      </c>
      <c r="C104" s="23"/>
      <c r="D104" s="25"/>
      <c r="E104" s="26"/>
      <c r="F104" s="132"/>
      <c r="G104" s="25"/>
      <c r="H104" s="26"/>
      <c r="I104" s="132">
        <v>0</v>
      </c>
      <c r="J104" s="25"/>
      <c r="K104" s="26"/>
      <c r="L104" s="132">
        <v>0.53</v>
      </c>
      <c r="M104" s="25">
        <v>1.9E-2</v>
      </c>
      <c r="N104" s="26">
        <f>+O104-M104</f>
        <v>0.67499999999999993</v>
      </c>
      <c r="O104" s="132">
        <v>0.69399999999999995</v>
      </c>
      <c r="P104" s="25">
        <v>0</v>
      </c>
      <c r="Q104" s="26">
        <f t="shared" si="464"/>
        <v>2.964</v>
      </c>
      <c r="R104" s="132">
        <v>2.964</v>
      </c>
      <c r="S104" s="25">
        <v>0</v>
      </c>
      <c r="T104" s="26">
        <f t="shared" si="465"/>
        <v>3.879</v>
      </c>
      <c r="U104" s="132">
        <v>3.879</v>
      </c>
      <c r="V104" s="142">
        <f>-'Balance Sheet'!V104-'Balance Sheet'!V116</f>
        <v>0</v>
      </c>
      <c r="W104" s="142">
        <f>-'Balance Sheet'!W104-'Balance Sheet'!W116</f>
        <v>0</v>
      </c>
      <c r="X104" s="143">
        <f t="shared" si="453"/>
        <v>0</v>
      </c>
      <c r="Y104" s="142">
        <f>-'Balance Sheet'!Y104-'Balance Sheet'!Y116</f>
        <v>0</v>
      </c>
      <c r="Z104" s="142">
        <f>-'Balance Sheet'!Z104-'Balance Sheet'!Z116</f>
        <v>0</v>
      </c>
      <c r="AA104" s="143">
        <f t="shared" si="454"/>
        <v>0</v>
      </c>
      <c r="AB104" s="142">
        <f>-'Balance Sheet'!AB104-'Balance Sheet'!AB116</f>
        <v>0</v>
      </c>
      <c r="AC104" s="142">
        <f>-'Balance Sheet'!AC104-'Balance Sheet'!AC116</f>
        <v>0</v>
      </c>
      <c r="AD104" s="143">
        <f t="shared" si="455"/>
        <v>0</v>
      </c>
      <c r="AE104" s="142">
        <f>-'Balance Sheet'!AE104-'Balance Sheet'!AE116</f>
        <v>0</v>
      </c>
      <c r="AF104" s="142">
        <f>-'Balance Sheet'!AF104-'Balance Sheet'!AF116</f>
        <v>0</v>
      </c>
      <c r="AG104" s="143">
        <f t="shared" si="456"/>
        <v>0</v>
      </c>
      <c r="AH104" s="142">
        <f>-'Balance Sheet'!AH104-'Balance Sheet'!AH116</f>
        <v>0</v>
      </c>
      <c r="AI104" s="142">
        <f>-'Balance Sheet'!AI104-'Balance Sheet'!AI116</f>
        <v>0</v>
      </c>
      <c r="AJ104" s="143">
        <f t="shared" si="457"/>
        <v>0</v>
      </c>
      <c r="AK104" s="142">
        <f>-'Balance Sheet'!AK104-'Balance Sheet'!AK116</f>
        <v>0</v>
      </c>
      <c r="AL104" s="142">
        <f>-'Balance Sheet'!AL104-'Balance Sheet'!AL116</f>
        <v>0</v>
      </c>
      <c r="AM104" s="143">
        <f t="shared" si="458"/>
        <v>0</v>
      </c>
      <c r="AN104" s="142">
        <f>-'Balance Sheet'!AN104-'Balance Sheet'!AN116</f>
        <v>0</v>
      </c>
      <c r="AO104" s="142">
        <f>-'Balance Sheet'!AO104-'Balance Sheet'!AO116</f>
        <v>0</v>
      </c>
      <c r="AP104" s="143">
        <f t="shared" si="459"/>
        <v>0</v>
      </c>
      <c r="AQ104" s="142">
        <f>-'Balance Sheet'!AQ104-'Balance Sheet'!AQ116</f>
        <v>0</v>
      </c>
      <c r="AR104" s="142">
        <f>-'Balance Sheet'!AR104-'Balance Sheet'!AR116</f>
        <v>0</v>
      </c>
      <c r="AS104" s="143">
        <f t="shared" si="460"/>
        <v>0</v>
      </c>
      <c r="AT104" s="142">
        <f>-'Balance Sheet'!AT104-'Balance Sheet'!AT116</f>
        <v>0</v>
      </c>
      <c r="AU104" s="142">
        <f>-'Balance Sheet'!AU104-'Balance Sheet'!AU116</f>
        <v>0</v>
      </c>
      <c r="AV104" s="143">
        <f t="shared" si="461"/>
        <v>0</v>
      </c>
      <c r="AW104" s="142">
        <f>-'Balance Sheet'!AW104-'Balance Sheet'!AW116</f>
        <v>0</v>
      </c>
      <c r="AX104" s="142">
        <f>-'Balance Sheet'!AX104-'Balance Sheet'!AX116</f>
        <v>0</v>
      </c>
      <c r="AY104" s="143">
        <f t="shared" si="462"/>
        <v>0</v>
      </c>
    </row>
    <row r="105" spans="1:54" s="24" customFormat="1" ht="12" customHeight="1" x14ac:dyDescent="0.2">
      <c r="B105" s="23" t="s">
        <v>13</v>
      </c>
      <c r="C105" s="23"/>
      <c r="D105" s="25"/>
      <c r="E105" s="26"/>
      <c r="F105" s="132"/>
      <c r="G105" s="25"/>
      <c r="H105" s="26"/>
      <c r="I105" s="132">
        <v>0</v>
      </c>
      <c r="J105" s="25"/>
      <c r="K105" s="26"/>
      <c r="L105" s="132">
        <v>0</v>
      </c>
      <c r="M105" s="25">
        <v>0</v>
      </c>
      <c r="N105" s="26">
        <f>+O105-M105</f>
        <v>0</v>
      </c>
      <c r="O105" s="132">
        <v>0</v>
      </c>
      <c r="P105" s="25">
        <v>0</v>
      </c>
      <c r="Q105" s="26">
        <f t="shared" si="464"/>
        <v>-278.09500000000003</v>
      </c>
      <c r="R105" s="132">
        <v>-278.09500000000003</v>
      </c>
      <c r="S105" s="25">
        <v>25.873000000000001</v>
      </c>
      <c r="T105" s="26">
        <f t="shared" si="465"/>
        <v>12.532999999999998</v>
      </c>
      <c r="U105" s="132">
        <v>38.405999999999999</v>
      </c>
      <c r="V105" s="140">
        <v>0</v>
      </c>
      <c r="W105" s="140">
        <v>0</v>
      </c>
      <c r="X105" s="143">
        <f t="shared" si="453"/>
        <v>0</v>
      </c>
      <c r="Y105" s="140">
        <v>0</v>
      </c>
      <c r="Z105" s="140">
        <v>0</v>
      </c>
      <c r="AA105" s="143">
        <f t="shared" si="454"/>
        <v>0</v>
      </c>
      <c r="AB105" s="140">
        <v>0</v>
      </c>
      <c r="AC105" s="140">
        <v>0</v>
      </c>
      <c r="AD105" s="143">
        <f t="shared" si="455"/>
        <v>0</v>
      </c>
      <c r="AE105" s="140">
        <v>0</v>
      </c>
      <c r="AF105" s="140">
        <v>0</v>
      </c>
      <c r="AG105" s="143">
        <f t="shared" si="456"/>
        <v>0</v>
      </c>
      <c r="AH105" s="140">
        <v>0</v>
      </c>
      <c r="AI105" s="140">
        <v>0</v>
      </c>
      <c r="AJ105" s="143">
        <f t="shared" si="457"/>
        <v>0</v>
      </c>
      <c r="AK105" s="140">
        <v>0</v>
      </c>
      <c r="AL105" s="140">
        <v>0</v>
      </c>
      <c r="AM105" s="143">
        <f t="shared" si="458"/>
        <v>0</v>
      </c>
      <c r="AN105" s="140">
        <v>0</v>
      </c>
      <c r="AO105" s="140">
        <v>0</v>
      </c>
      <c r="AP105" s="143">
        <f t="shared" si="459"/>
        <v>0</v>
      </c>
      <c r="AQ105" s="140">
        <v>0</v>
      </c>
      <c r="AR105" s="140">
        <v>0</v>
      </c>
      <c r="AS105" s="143">
        <f t="shared" si="460"/>
        <v>0</v>
      </c>
      <c r="AT105" s="140">
        <v>0</v>
      </c>
      <c r="AU105" s="140">
        <v>0</v>
      </c>
      <c r="AV105" s="143">
        <f t="shared" si="461"/>
        <v>0</v>
      </c>
      <c r="AW105" s="140">
        <v>0</v>
      </c>
      <c r="AX105" s="140">
        <v>0</v>
      </c>
      <c r="AY105" s="143">
        <f t="shared" si="462"/>
        <v>0</v>
      </c>
    </row>
    <row r="106" spans="1:54" s="24" customFormat="1" ht="12" customHeight="1" x14ac:dyDescent="0.2">
      <c r="B106" s="49" t="s">
        <v>68</v>
      </c>
      <c r="C106" s="46"/>
      <c r="D106" s="47"/>
      <c r="E106" s="47"/>
      <c r="F106" s="48"/>
      <c r="G106" s="47"/>
      <c r="H106" s="47"/>
      <c r="I106" s="48">
        <f>SUM(I101:I105)</f>
        <v>-17.555999999999997</v>
      </c>
      <c r="J106" s="47"/>
      <c r="K106" s="47"/>
      <c r="L106" s="48">
        <f t="shared" ref="L106:R106" si="466">SUM(L101:L105)</f>
        <v>-31.698</v>
      </c>
      <c r="M106" s="47">
        <f t="shared" si="466"/>
        <v>-21.524000000000004</v>
      </c>
      <c r="N106" s="47">
        <f t="shared" si="466"/>
        <v>-26.879000000000001</v>
      </c>
      <c r="O106" s="48">
        <f t="shared" si="466"/>
        <v>-48.402999999999999</v>
      </c>
      <c r="P106" s="47">
        <f t="shared" si="466"/>
        <v>-14.876000000000001</v>
      </c>
      <c r="Q106" s="47">
        <f t="shared" si="466"/>
        <v>-296.94200000000001</v>
      </c>
      <c r="R106" s="48">
        <f t="shared" si="466"/>
        <v>-311.81800000000004</v>
      </c>
      <c r="S106" s="47">
        <f>SUM(S101:S105)</f>
        <v>-8.0800000000000018</v>
      </c>
      <c r="T106" s="47">
        <f t="shared" ref="T106:U106" si="467">SUM(T101:T105)</f>
        <v>-26.471000000000014</v>
      </c>
      <c r="U106" s="48">
        <f t="shared" si="467"/>
        <v>-34.551000000000009</v>
      </c>
      <c r="V106" s="47">
        <f t="shared" ref="V106:AY106" si="468">SUM(V101:V105)</f>
        <v>-30</v>
      </c>
      <c r="W106" s="47">
        <f t="shared" si="468"/>
        <v>-30</v>
      </c>
      <c r="X106" s="48">
        <f t="shared" si="468"/>
        <v>-60</v>
      </c>
      <c r="Y106" s="47">
        <f t="shared" si="468"/>
        <v>-31.95</v>
      </c>
      <c r="Z106" s="47">
        <f t="shared" si="468"/>
        <v>-31.95</v>
      </c>
      <c r="AA106" s="48">
        <f t="shared" si="468"/>
        <v>-63.9</v>
      </c>
      <c r="AB106" s="47">
        <f t="shared" si="468"/>
        <v>-34.186500000000002</v>
      </c>
      <c r="AC106" s="47">
        <f t="shared" si="468"/>
        <v>-34.186500000000002</v>
      </c>
      <c r="AD106" s="48">
        <f t="shared" si="468"/>
        <v>-68.373000000000005</v>
      </c>
      <c r="AE106" s="47">
        <f t="shared" si="468"/>
        <v>-36.579555000000006</v>
      </c>
      <c r="AF106" s="47">
        <f t="shared" si="468"/>
        <v>-36.579555000000006</v>
      </c>
      <c r="AG106" s="48">
        <f t="shared" si="468"/>
        <v>-73.159110000000013</v>
      </c>
      <c r="AH106" s="47">
        <f t="shared" si="468"/>
        <v>-39.140123850000009</v>
      </c>
      <c r="AI106" s="47">
        <f t="shared" si="468"/>
        <v>-39.140123850000009</v>
      </c>
      <c r="AJ106" s="48">
        <f t="shared" si="468"/>
        <v>-78.280247700000018</v>
      </c>
      <c r="AK106" s="47">
        <f t="shared" si="468"/>
        <v>-41.879932519500009</v>
      </c>
      <c r="AL106" s="47">
        <f t="shared" si="468"/>
        <v>-41.879932519500009</v>
      </c>
      <c r="AM106" s="48">
        <f t="shared" si="468"/>
        <v>-83.759865039000019</v>
      </c>
      <c r="AN106" s="47">
        <f t="shared" si="468"/>
        <v>-44.811527795865011</v>
      </c>
      <c r="AO106" s="47">
        <f t="shared" si="468"/>
        <v>-44.811527795865011</v>
      </c>
      <c r="AP106" s="48">
        <f t="shared" si="468"/>
        <v>-89.623055591730022</v>
      </c>
      <c r="AQ106" s="47">
        <f t="shared" si="468"/>
        <v>-47.948334741575565</v>
      </c>
      <c r="AR106" s="47">
        <f t="shared" si="468"/>
        <v>-47.948334741575565</v>
      </c>
      <c r="AS106" s="48">
        <f t="shared" si="468"/>
        <v>-95.896669483151129</v>
      </c>
      <c r="AT106" s="47">
        <f t="shared" si="468"/>
        <v>-51.30471817348586</v>
      </c>
      <c r="AU106" s="47">
        <f t="shared" si="468"/>
        <v>-51.30471817348586</v>
      </c>
      <c r="AV106" s="48">
        <f t="shared" si="468"/>
        <v>-102.60943634697172</v>
      </c>
      <c r="AW106" s="47">
        <f t="shared" si="468"/>
        <v>-54.896048445629873</v>
      </c>
      <c r="AX106" s="47">
        <f t="shared" si="468"/>
        <v>-54.896048445629873</v>
      </c>
      <c r="AY106" s="48">
        <f t="shared" si="468"/>
        <v>-109.79209689125975</v>
      </c>
      <c r="BB106" s="15"/>
    </row>
    <row r="107" spans="1:54" ht="12" customHeight="1" x14ac:dyDescent="0.2">
      <c r="A107" s="24"/>
      <c r="B107" s="6"/>
      <c r="D107" s="6"/>
      <c r="E107" s="6"/>
      <c r="F107" s="13"/>
      <c r="G107" s="6"/>
      <c r="H107" s="6"/>
      <c r="I107" s="13"/>
      <c r="J107" s="6"/>
      <c r="K107" s="6"/>
      <c r="L107" s="13"/>
      <c r="M107" s="6"/>
      <c r="N107" s="6"/>
      <c r="O107" s="13"/>
      <c r="P107" s="6"/>
      <c r="Q107" s="6"/>
      <c r="R107" s="13"/>
      <c r="S107" s="6"/>
      <c r="T107" s="6"/>
      <c r="U107" s="13"/>
      <c r="V107" s="6"/>
      <c r="W107" s="6"/>
      <c r="X107" s="13"/>
      <c r="Y107" s="6"/>
      <c r="Z107" s="6"/>
      <c r="AA107" s="13"/>
      <c r="AB107" s="6"/>
      <c r="AC107" s="6"/>
      <c r="AD107" s="13"/>
      <c r="AE107" s="6"/>
      <c r="AF107" s="6"/>
      <c r="AG107" s="13"/>
      <c r="AH107" s="6"/>
      <c r="AI107" s="6"/>
      <c r="AJ107" s="13"/>
      <c r="AK107" s="6"/>
      <c r="AL107" s="6"/>
      <c r="AM107" s="13"/>
      <c r="AN107" s="6"/>
      <c r="AO107" s="6"/>
      <c r="AP107" s="13"/>
      <c r="AQ107" s="6"/>
      <c r="AR107" s="6"/>
      <c r="AS107" s="13"/>
      <c r="AT107" s="6"/>
      <c r="AU107" s="6"/>
      <c r="AV107" s="13"/>
      <c r="AW107" s="6"/>
      <c r="AX107" s="6"/>
      <c r="AY107" s="13"/>
    </row>
    <row r="108" spans="1:54" ht="12" customHeight="1" x14ac:dyDescent="0.2">
      <c r="A108" s="24"/>
      <c r="B108" s="5" t="s">
        <v>124</v>
      </c>
      <c r="D108" s="6"/>
      <c r="E108" s="6"/>
      <c r="F108" s="246"/>
      <c r="G108" s="247"/>
      <c r="H108" s="247"/>
      <c r="I108" s="246"/>
      <c r="J108" s="247"/>
      <c r="K108" s="247"/>
      <c r="L108" s="132"/>
      <c r="M108" s="247"/>
      <c r="N108" s="247"/>
      <c r="O108" s="246"/>
      <c r="P108" s="247"/>
      <c r="Q108" s="247"/>
      <c r="R108" s="246"/>
      <c r="S108" s="247"/>
      <c r="T108" s="247"/>
      <c r="U108" s="246"/>
      <c r="V108" s="6"/>
      <c r="W108" s="6"/>
      <c r="X108" s="13"/>
      <c r="Y108" s="6"/>
      <c r="Z108" s="6"/>
      <c r="AA108" s="13"/>
      <c r="AB108" s="6"/>
      <c r="AC108" s="6"/>
      <c r="AD108" s="13"/>
      <c r="AE108" s="6"/>
      <c r="AF108" s="6"/>
      <c r="AG108" s="13"/>
      <c r="AH108" s="6"/>
      <c r="AI108" s="6"/>
      <c r="AJ108" s="13"/>
      <c r="AK108" s="6"/>
      <c r="AL108" s="6"/>
      <c r="AM108" s="13"/>
      <c r="AN108" s="6"/>
      <c r="AO108" s="6"/>
      <c r="AP108" s="13"/>
      <c r="AQ108" s="6"/>
      <c r="AR108" s="6"/>
      <c r="AS108" s="13"/>
      <c r="AT108" s="6"/>
      <c r="AU108" s="6"/>
      <c r="AV108" s="13"/>
      <c r="AW108" s="6"/>
      <c r="AX108" s="6"/>
      <c r="AY108" s="13"/>
    </row>
    <row r="109" spans="1:54" ht="12" customHeight="1" x14ac:dyDescent="0.2">
      <c r="A109" s="24"/>
      <c r="B109" s="6" t="s">
        <v>125</v>
      </c>
      <c r="D109" s="6"/>
      <c r="E109" s="6"/>
      <c r="F109" s="246"/>
      <c r="G109" s="247"/>
      <c r="H109" s="247"/>
      <c r="I109" s="132">
        <v>0.67400000000000004</v>
      </c>
      <c r="J109" s="247"/>
      <c r="K109" s="247"/>
      <c r="L109" s="132">
        <v>0</v>
      </c>
      <c r="M109" s="25">
        <v>0</v>
      </c>
      <c r="N109" s="26">
        <f t="shared" ref="N109:N118" si="469">+O109-M109</f>
        <v>0</v>
      </c>
      <c r="O109" s="132">
        <v>0</v>
      </c>
      <c r="P109" s="25">
        <v>0</v>
      </c>
      <c r="Q109" s="26">
        <f>+R109-P109</f>
        <v>0</v>
      </c>
      <c r="R109" s="132">
        <v>0</v>
      </c>
      <c r="S109" s="25">
        <v>0</v>
      </c>
      <c r="T109" s="26">
        <f>+U109-S109</f>
        <v>0</v>
      </c>
      <c r="U109" s="132">
        <v>0</v>
      </c>
      <c r="V109" s="6"/>
      <c r="W109" s="6"/>
      <c r="X109" s="13"/>
      <c r="Y109" s="6"/>
      <c r="Z109" s="6"/>
      <c r="AA109" s="13"/>
      <c r="AB109" s="6"/>
      <c r="AC109" s="6"/>
      <c r="AD109" s="13"/>
      <c r="AE109" s="6"/>
      <c r="AF109" s="6"/>
      <c r="AG109" s="13"/>
      <c r="AH109" s="6"/>
      <c r="AI109" s="6"/>
      <c r="AJ109" s="13"/>
      <c r="AK109" s="6"/>
      <c r="AL109" s="6"/>
      <c r="AM109" s="13"/>
      <c r="AN109" s="6"/>
      <c r="AO109" s="6"/>
      <c r="AP109" s="13"/>
      <c r="AQ109" s="6"/>
      <c r="AR109" s="6"/>
      <c r="AS109" s="13"/>
      <c r="AT109" s="6"/>
      <c r="AU109" s="6"/>
      <c r="AV109" s="13"/>
      <c r="AW109" s="6"/>
      <c r="AX109" s="6"/>
      <c r="AY109" s="13"/>
    </row>
    <row r="110" spans="1:54" ht="12" customHeight="1" x14ac:dyDescent="0.2">
      <c r="A110" s="24"/>
      <c r="B110" s="6" t="s">
        <v>126</v>
      </c>
      <c r="D110" s="6"/>
      <c r="E110" s="6"/>
      <c r="F110" s="246"/>
      <c r="G110" s="247"/>
      <c r="H110" s="247"/>
      <c r="I110" s="132">
        <v>-0.501</v>
      </c>
      <c r="J110" s="247"/>
      <c r="K110" s="247"/>
      <c r="L110" s="132">
        <v>-0.48899999999999999</v>
      </c>
      <c r="M110" s="25">
        <v>-0.23300000000000001</v>
      </c>
      <c r="N110" s="26">
        <f t="shared" si="469"/>
        <v>-0.12499999999999997</v>
      </c>
      <c r="O110" s="132">
        <v>-0.35799999999999998</v>
      </c>
      <c r="P110" s="25">
        <v>0</v>
      </c>
      <c r="Q110" s="26">
        <f>+R110-P110</f>
        <v>-3</v>
      </c>
      <c r="R110" s="132">
        <v>-3</v>
      </c>
      <c r="S110" s="25">
        <v>0</v>
      </c>
      <c r="T110" s="26">
        <f>+U110-S110</f>
        <v>0</v>
      </c>
      <c r="U110" s="132">
        <v>0</v>
      </c>
      <c r="V110" s="142">
        <f>+'Balance Sheet'!V145</f>
        <v>0</v>
      </c>
      <c r="W110" s="142">
        <f>+'Balance Sheet'!W145</f>
        <v>0</v>
      </c>
      <c r="X110" s="143">
        <f t="shared" ref="X110:X113" si="470">+W110+V110</f>
        <v>0</v>
      </c>
      <c r="Y110" s="142">
        <f>+'Balance Sheet'!Y145</f>
        <v>0</v>
      </c>
      <c r="Z110" s="142">
        <f>+'Balance Sheet'!Z145</f>
        <v>0</v>
      </c>
      <c r="AA110" s="143">
        <f t="shared" ref="AA110:AA113" si="471">+Z110+Y110</f>
        <v>0</v>
      </c>
      <c r="AB110" s="142">
        <f>+'Balance Sheet'!AB145</f>
        <v>0</v>
      </c>
      <c r="AC110" s="142">
        <f>+'Balance Sheet'!AC145</f>
        <v>0</v>
      </c>
      <c r="AD110" s="143">
        <f t="shared" ref="AD110:AD113" si="472">+AC110+AB110</f>
        <v>0</v>
      </c>
      <c r="AE110" s="142">
        <f>+'Balance Sheet'!AE145</f>
        <v>0</v>
      </c>
      <c r="AF110" s="142">
        <f>+'Balance Sheet'!AF145</f>
        <v>0</v>
      </c>
      <c r="AG110" s="143">
        <f t="shared" ref="AG110:AG113" si="473">+AF110+AE110</f>
        <v>0</v>
      </c>
      <c r="AH110" s="142">
        <f>+'Balance Sheet'!AH145</f>
        <v>0</v>
      </c>
      <c r="AI110" s="142">
        <f>+'Balance Sheet'!AI145</f>
        <v>0</v>
      </c>
      <c r="AJ110" s="143">
        <f t="shared" ref="AJ110:AJ113" si="474">+AI110+AH110</f>
        <v>0</v>
      </c>
      <c r="AK110" s="142">
        <f>+'Balance Sheet'!AK145</f>
        <v>0</v>
      </c>
      <c r="AL110" s="142">
        <f>+'Balance Sheet'!AL145</f>
        <v>0</v>
      </c>
      <c r="AM110" s="143">
        <f t="shared" ref="AM110:AM113" si="475">+AL110+AK110</f>
        <v>0</v>
      </c>
      <c r="AN110" s="142">
        <f>+'Balance Sheet'!AN145</f>
        <v>0</v>
      </c>
      <c r="AO110" s="142">
        <f>+'Balance Sheet'!AO145</f>
        <v>0</v>
      </c>
      <c r="AP110" s="143">
        <f t="shared" ref="AP110:AP113" si="476">+AO110+AN110</f>
        <v>0</v>
      </c>
      <c r="AQ110" s="142">
        <f>+'Balance Sheet'!AQ145</f>
        <v>0</v>
      </c>
      <c r="AR110" s="142">
        <f>+'Balance Sheet'!AR145</f>
        <v>0</v>
      </c>
      <c r="AS110" s="143">
        <f t="shared" ref="AS110:AS113" si="477">+AR110+AQ110</f>
        <v>0</v>
      </c>
      <c r="AT110" s="142">
        <f>+'Balance Sheet'!AT145</f>
        <v>0</v>
      </c>
      <c r="AU110" s="142">
        <f>+'Balance Sheet'!AU145</f>
        <v>0</v>
      </c>
      <c r="AV110" s="143">
        <f t="shared" ref="AV110:AV113" si="478">+AU110+AT110</f>
        <v>0</v>
      </c>
      <c r="AW110" s="142">
        <f>+'Balance Sheet'!AW145</f>
        <v>0</v>
      </c>
      <c r="AX110" s="142">
        <f>+'Balance Sheet'!AX145</f>
        <v>0</v>
      </c>
      <c r="AY110" s="143">
        <f t="shared" ref="AY110:AY113" si="479">+AX110+AW110</f>
        <v>0</v>
      </c>
    </row>
    <row r="111" spans="1:54" ht="12" customHeight="1" x14ac:dyDescent="0.2">
      <c r="A111" s="24"/>
      <c r="B111" s="6" t="s">
        <v>504</v>
      </c>
      <c r="D111" s="6"/>
      <c r="E111" s="6"/>
      <c r="F111" s="246"/>
      <c r="G111" s="247"/>
      <c r="H111" s="247"/>
      <c r="I111" s="132">
        <v>0</v>
      </c>
      <c r="J111" s="247"/>
      <c r="K111" s="247"/>
      <c r="L111" s="132">
        <v>0</v>
      </c>
      <c r="M111" s="25">
        <v>-4.931</v>
      </c>
      <c r="N111" s="26">
        <f t="shared" si="469"/>
        <v>-1.7889999999999997</v>
      </c>
      <c r="O111" s="132">
        <v>-6.72</v>
      </c>
      <c r="P111" s="25">
        <v>-3.552</v>
      </c>
      <c r="Q111" s="26">
        <f>+R111-P111</f>
        <v>-6.3600000000000012</v>
      </c>
      <c r="R111" s="132">
        <v>-9.9120000000000008</v>
      </c>
      <c r="S111" s="25">
        <v>-7.5149999999999997</v>
      </c>
      <c r="T111" s="26">
        <f>+U111-S111</f>
        <v>-3.3150000000000004</v>
      </c>
      <c r="U111" s="132">
        <v>-10.83</v>
      </c>
      <c r="V111" s="142">
        <f>+'Balance Sheet'!V136</f>
        <v>-6.6589799999999997</v>
      </c>
      <c r="W111" s="142">
        <f>+'Balance Sheet'!W136</f>
        <v>-5.2726600000000001</v>
      </c>
      <c r="X111" s="143">
        <f t="shared" si="470"/>
        <v>-11.93164</v>
      </c>
      <c r="Y111" s="142">
        <f>+'Balance Sheet'!Y136</f>
        <v>-7.1584035000000004</v>
      </c>
      <c r="Z111" s="142">
        <f>+'Balance Sheet'!Z136</f>
        <v>-5.6681094999999999</v>
      </c>
      <c r="AA111" s="143">
        <f t="shared" si="471"/>
        <v>-12.826513</v>
      </c>
      <c r="AB111" s="142">
        <f>+'Balance Sheet'!AB136</f>
        <v>-7.6952837625000008</v>
      </c>
      <c r="AC111" s="142">
        <f>+'Balance Sheet'!AC136</f>
        <v>-6.0932177124999995</v>
      </c>
      <c r="AD111" s="143">
        <f t="shared" si="472"/>
        <v>-13.788501475</v>
      </c>
      <c r="AE111" s="142">
        <f>+'Balance Sheet'!AE136</f>
        <v>-8.2724300446874999</v>
      </c>
      <c r="AF111" s="142">
        <f>+'Balance Sheet'!AF136</f>
        <v>-6.5502090409374993</v>
      </c>
      <c r="AG111" s="143">
        <f t="shared" si="473"/>
        <v>-14.822639085624999</v>
      </c>
      <c r="AH111" s="142">
        <f>+'Balance Sheet'!AH136</f>
        <v>-8.892862298039061</v>
      </c>
      <c r="AI111" s="142">
        <f>+'Balance Sheet'!AI136</f>
        <v>-7.0414747190078106</v>
      </c>
      <c r="AJ111" s="143">
        <f t="shared" si="474"/>
        <v>-15.934337017046872</v>
      </c>
      <c r="AK111" s="142">
        <f>+'Balance Sheet'!AK136</f>
        <v>-9.5598269703919918</v>
      </c>
      <c r="AL111" s="142">
        <f>+'Balance Sheet'!AL136</f>
        <v>-7.5695853229333965</v>
      </c>
      <c r="AM111" s="143">
        <f t="shared" si="475"/>
        <v>-17.129412293325387</v>
      </c>
      <c r="AN111" s="142">
        <f>+'Balance Sheet'!AN136</f>
        <v>-10.276813993171391</v>
      </c>
      <c r="AO111" s="142">
        <f>+'Balance Sheet'!AO136</f>
        <v>-8.1373042221534018</v>
      </c>
      <c r="AP111" s="143">
        <f t="shared" si="476"/>
        <v>-18.414118215324791</v>
      </c>
      <c r="AQ111" s="142">
        <f>+'Balance Sheet'!AQ136</f>
        <v>-11.047575042659245</v>
      </c>
      <c r="AR111" s="142">
        <f>+'Balance Sheet'!AR136</f>
        <v>-8.7476020388149056</v>
      </c>
      <c r="AS111" s="143">
        <f t="shared" si="477"/>
        <v>-19.795177081474151</v>
      </c>
      <c r="AT111" s="142">
        <f>+'Balance Sheet'!AT136</f>
        <v>-11.876143170858688</v>
      </c>
      <c r="AU111" s="142">
        <f>+'Balance Sheet'!AU136</f>
        <v>-9.403672191726022</v>
      </c>
      <c r="AV111" s="143">
        <f t="shared" si="478"/>
        <v>-21.27981536258471</v>
      </c>
      <c r="AW111" s="142">
        <f>+'Balance Sheet'!AW136</f>
        <v>-12.766853908673088</v>
      </c>
      <c r="AX111" s="142">
        <f>+'Balance Sheet'!AX136</f>
        <v>-10.108947606105474</v>
      </c>
      <c r="AY111" s="143">
        <f t="shared" si="479"/>
        <v>-22.875801514778562</v>
      </c>
    </row>
    <row r="112" spans="1:54" ht="12" customHeight="1" x14ac:dyDescent="0.2">
      <c r="A112" s="24"/>
      <c r="B112" s="6" t="s">
        <v>503</v>
      </c>
      <c r="D112" s="6"/>
      <c r="E112" s="6"/>
      <c r="F112" s="246"/>
      <c r="G112" s="247"/>
      <c r="H112" s="247"/>
      <c r="I112" s="132">
        <v>-3.6760000000000002</v>
      </c>
      <c r="J112" s="247"/>
      <c r="K112" s="247"/>
      <c r="L112" s="132">
        <v>-4.1079999999999997</v>
      </c>
      <c r="M112" s="25">
        <f>-1.759</f>
        <v>-1.7589999999999999</v>
      </c>
      <c r="N112" s="26">
        <f t="shared" si="469"/>
        <v>-2.847</v>
      </c>
      <c r="O112" s="132">
        <f>-4.606</f>
        <v>-4.6059999999999999</v>
      </c>
      <c r="P112" s="25">
        <f>-2.995</f>
        <v>-2.9950000000000001</v>
      </c>
      <c r="Q112" s="26">
        <f t="shared" ref="Q112:Q118" si="480">+R112-P112</f>
        <v>-3.3250000000000002</v>
      </c>
      <c r="R112" s="132">
        <f>-6.32</f>
        <v>-6.32</v>
      </c>
      <c r="S112" s="25">
        <v>-3.9140000000000001</v>
      </c>
      <c r="T112" s="26">
        <f t="shared" ref="T112:T113" si="481">+U112-S112</f>
        <v>-4.7119999999999997</v>
      </c>
      <c r="U112" s="132">
        <v>-8.6259999999999994</v>
      </c>
      <c r="V112" s="142">
        <f>+'Balance Sheet'!V140</f>
        <v>-9.3498470999999999</v>
      </c>
      <c r="W112" s="142">
        <f>+'Balance Sheet'!W140</f>
        <v>-9.5174752537499998</v>
      </c>
      <c r="X112" s="143">
        <f t="shared" si="470"/>
        <v>-18.867322353749998</v>
      </c>
      <c r="Y112" s="142">
        <f>+'Balance Sheet'!Y140</f>
        <v>-9.6394181748187489</v>
      </c>
      <c r="Z112" s="142">
        <f>+'Balance Sheet'!Z140</f>
        <v>-9.8118715819470914</v>
      </c>
      <c r="AA112" s="143">
        <f t="shared" si="471"/>
        <v>-19.451289756765838</v>
      </c>
      <c r="AB112" s="142">
        <f>+'Balance Sheet'!AB140</f>
        <v>-9.9345548810000945</v>
      </c>
      <c r="AC112" s="142">
        <f>+'Balance Sheet'!AC140</f>
        <v>-10.110822498574009</v>
      </c>
      <c r="AD112" s="143">
        <f t="shared" si="472"/>
        <v>-20.045377379574106</v>
      </c>
      <c r="AE112" s="142">
        <f>+'Balance Sheet'!AE140</f>
        <v>-10.232812067384367</v>
      </c>
      <c r="AF112" s="142">
        <f>+'Balance Sheet'!AF140</f>
        <v>-10.411563705502612</v>
      </c>
      <c r="AG112" s="143">
        <f t="shared" si="473"/>
        <v>-20.644375772886981</v>
      </c>
      <c r="AH112" s="142">
        <f>+'Balance Sheet'!AH140</f>
        <v>-10.531053876884263</v>
      </c>
      <c r="AI112" s="142">
        <f>+'Balance Sheet'!AI140</f>
        <v>-10.710573140489293</v>
      </c>
      <c r="AJ112" s="143">
        <f t="shared" si="474"/>
        <v>-21.241627017373556</v>
      </c>
      <c r="AK112" s="142">
        <f>+'Balance Sheet'!AK140</f>
        <v>-10.825312033825858</v>
      </c>
      <c r="AL112" s="142">
        <f>+'Balance Sheet'!AL140</f>
        <v>-11.003416592826163</v>
      </c>
      <c r="AM112" s="143">
        <f t="shared" si="475"/>
        <v>-21.828728626652023</v>
      </c>
      <c r="AN112" s="142">
        <f>+'Balance Sheet'!AN140</f>
        <v>-11.110617568590984</v>
      </c>
      <c r="AO112" s="142">
        <f>+'Balance Sheet'!AO140</f>
        <v>-11.284564451505709</v>
      </c>
      <c r="AP112" s="143">
        <f t="shared" si="476"/>
        <v>-22.395182020096691</v>
      </c>
      <c r="AQ112" s="142">
        <f>+'Balance Sheet'!AQ140</f>
        <v>-11.380801163411387</v>
      </c>
      <c r="AR112" s="142">
        <f>+'Balance Sheet'!AR140</f>
        <v>-11.547174356854681</v>
      </c>
      <c r="AS112" s="143">
        <f t="shared" si="477"/>
        <v>-22.927975520266067</v>
      </c>
      <c r="AT112" s="142">
        <f>+'Balance Sheet'!AT140</f>
        <v>-11.628256441479596</v>
      </c>
      <c r="AU112" s="142">
        <f>+'Balance Sheet'!AU140</f>
        <v>-11.782833591400189</v>
      </c>
      <c r="AV112" s="143">
        <f t="shared" si="478"/>
        <v>-23.411090032879784</v>
      </c>
      <c r="AW112" s="142">
        <f>+'Balance Sheet'!AW140</f>
        <v>-11.843659506533395</v>
      </c>
      <c r="AX112" s="142">
        <f>+'Balance Sheet'!AX140</f>
        <v>-11.981253944163171</v>
      </c>
      <c r="AY112" s="143">
        <f t="shared" si="479"/>
        <v>-23.824913450696567</v>
      </c>
    </row>
    <row r="113" spans="1:54" ht="12" customHeight="1" x14ac:dyDescent="0.2">
      <c r="A113" s="24"/>
      <c r="B113" s="15" t="s">
        <v>46</v>
      </c>
      <c r="D113" s="6"/>
      <c r="E113" s="6"/>
      <c r="F113" s="246"/>
      <c r="G113" s="247"/>
      <c r="H113" s="247"/>
      <c r="I113" s="132">
        <v>0</v>
      </c>
      <c r="J113" s="247"/>
      <c r="K113" s="247"/>
      <c r="L113" s="132">
        <v>0</v>
      </c>
      <c r="M113" s="25">
        <v>0</v>
      </c>
      <c r="N113" s="26">
        <f t="shared" si="469"/>
        <v>0</v>
      </c>
      <c r="O113" s="132">
        <v>0</v>
      </c>
      <c r="P113" s="25">
        <v>0</v>
      </c>
      <c r="Q113" s="26">
        <f t="shared" ref="Q113" si="482">+R113-P113</f>
        <v>0</v>
      </c>
      <c r="R113" s="132">
        <v>0</v>
      </c>
      <c r="S113" s="25">
        <v>0</v>
      </c>
      <c r="T113" s="26">
        <f t="shared" si="481"/>
        <v>0</v>
      </c>
      <c r="U113" s="132">
        <v>0</v>
      </c>
      <c r="V113" s="25">
        <f>+'Balance Sheet'!V185</f>
        <v>0</v>
      </c>
      <c r="W113" s="25">
        <f>+'Balance Sheet'!W185</f>
        <v>0</v>
      </c>
      <c r="X113" s="143">
        <f t="shared" si="470"/>
        <v>0</v>
      </c>
      <c r="Y113" s="25">
        <f>+'Balance Sheet'!Y185</f>
        <v>0</v>
      </c>
      <c r="Z113" s="25">
        <f>+'Balance Sheet'!Z185</f>
        <v>0</v>
      </c>
      <c r="AA113" s="143">
        <f t="shared" si="471"/>
        <v>0</v>
      </c>
      <c r="AB113" s="25">
        <f>+'Balance Sheet'!AB185</f>
        <v>0</v>
      </c>
      <c r="AC113" s="25">
        <f>+'Balance Sheet'!AC185</f>
        <v>0</v>
      </c>
      <c r="AD113" s="143">
        <f t="shared" si="472"/>
        <v>0</v>
      </c>
      <c r="AE113" s="25">
        <f>+'Balance Sheet'!AE185</f>
        <v>0</v>
      </c>
      <c r="AF113" s="25">
        <f>+'Balance Sheet'!AF185</f>
        <v>0</v>
      </c>
      <c r="AG113" s="143">
        <f t="shared" si="473"/>
        <v>0</v>
      </c>
      <c r="AH113" s="25">
        <f>+'Balance Sheet'!AH185</f>
        <v>0</v>
      </c>
      <c r="AI113" s="25">
        <f>+'Balance Sheet'!AI185</f>
        <v>0</v>
      </c>
      <c r="AJ113" s="143">
        <f t="shared" si="474"/>
        <v>0</v>
      </c>
      <c r="AK113" s="25">
        <f>+'Balance Sheet'!AK185</f>
        <v>0</v>
      </c>
      <c r="AL113" s="25">
        <f>+'Balance Sheet'!AL185</f>
        <v>0</v>
      </c>
      <c r="AM113" s="143">
        <f t="shared" si="475"/>
        <v>0</v>
      </c>
      <c r="AN113" s="25">
        <f>+'Balance Sheet'!AN185</f>
        <v>0</v>
      </c>
      <c r="AO113" s="25">
        <f>+'Balance Sheet'!AO185</f>
        <v>0</v>
      </c>
      <c r="AP113" s="143">
        <f t="shared" si="476"/>
        <v>0</v>
      </c>
      <c r="AQ113" s="25">
        <f>+'Balance Sheet'!AQ185</f>
        <v>0</v>
      </c>
      <c r="AR113" s="25">
        <f>+'Balance Sheet'!AR185</f>
        <v>0</v>
      </c>
      <c r="AS113" s="143">
        <f t="shared" si="477"/>
        <v>0</v>
      </c>
      <c r="AT113" s="25">
        <f>+'Balance Sheet'!AT185</f>
        <v>0</v>
      </c>
      <c r="AU113" s="25">
        <f>+'Balance Sheet'!AU185</f>
        <v>0</v>
      </c>
      <c r="AV113" s="143">
        <f t="shared" si="478"/>
        <v>0</v>
      </c>
      <c r="AW113" s="25">
        <f>+'Balance Sheet'!AW185</f>
        <v>0</v>
      </c>
      <c r="AX113" s="25">
        <f>+'Balance Sheet'!AX185</f>
        <v>0</v>
      </c>
      <c r="AY113" s="143">
        <f t="shared" si="479"/>
        <v>0</v>
      </c>
    </row>
    <row r="114" spans="1:54" ht="12" customHeight="1" x14ac:dyDescent="0.2">
      <c r="A114" s="24"/>
      <c r="B114" s="6" t="s">
        <v>346</v>
      </c>
      <c r="C114" s="360"/>
      <c r="D114" s="6"/>
      <c r="E114" s="6"/>
      <c r="F114" s="246"/>
      <c r="G114" s="247"/>
      <c r="H114" s="247"/>
      <c r="I114" s="132">
        <v>35.664000000000001</v>
      </c>
      <c r="J114" s="247"/>
      <c r="K114" s="247"/>
      <c r="L114" s="132">
        <v>8.9079999999999995</v>
      </c>
      <c r="M114" s="25">
        <v>4.4580000000000002</v>
      </c>
      <c r="N114" s="26">
        <f>+O114-M114</f>
        <v>0.42499999999999982</v>
      </c>
      <c r="O114" s="132">
        <v>4.883</v>
      </c>
      <c r="P114" s="25">
        <v>0.14199999999999999</v>
      </c>
      <c r="Q114" s="26">
        <f>+R114-P114</f>
        <v>284.15699999999998</v>
      </c>
      <c r="R114" s="132">
        <v>284.29899999999998</v>
      </c>
      <c r="S114" s="25">
        <v>0</v>
      </c>
      <c r="T114" s="26">
        <f>+U114-S114</f>
        <v>0</v>
      </c>
      <c r="U114" s="132">
        <v>0</v>
      </c>
      <c r="V114" s="140">
        <v>0</v>
      </c>
      <c r="W114" s="140">
        <v>0</v>
      </c>
      <c r="X114" s="27">
        <f t="shared" ref="X114:X118" si="483">+W114+V114</f>
        <v>0</v>
      </c>
      <c r="Y114" s="140">
        <v>0</v>
      </c>
      <c r="Z114" s="140">
        <v>0</v>
      </c>
      <c r="AA114" s="27">
        <f t="shared" ref="AA114:AA118" si="484">+Z114+Y114</f>
        <v>0</v>
      </c>
      <c r="AB114" s="140">
        <v>0</v>
      </c>
      <c r="AC114" s="140">
        <v>0</v>
      </c>
      <c r="AD114" s="27">
        <f t="shared" ref="AD114:AD118" si="485">+AC114+AB114</f>
        <v>0</v>
      </c>
      <c r="AE114" s="140">
        <v>0</v>
      </c>
      <c r="AF114" s="140">
        <v>0</v>
      </c>
      <c r="AG114" s="27">
        <f t="shared" ref="AG114:AG118" si="486">+AF114+AE114</f>
        <v>0</v>
      </c>
      <c r="AH114" s="140">
        <v>0</v>
      </c>
      <c r="AI114" s="140">
        <v>0</v>
      </c>
      <c r="AJ114" s="27">
        <f t="shared" ref="AJ114:AJ118" si="487">+AI114+AH114</f>
        <v>0</v>
      </c>
      <c r="AK114" s="140">
        <v>0</v>
      </c>
      <c r="AL114" s="140">
        <v>0</v>
      </c>
      <c r="AM114" s="27">
        <f t="shared" ref="AM114:AM118" si="488">+AL114+AK114</f>
        <v>0</v>
      </c>
      <c r="AN114" s="140">
        <v>0</v>
      </c>
      <c r="AO114" s="140">
        <v>0</v>
      </c>
      <c r="AP114" s="27">
        <f t="shared" ref="AP114:AP118" si="489">+AO114+AN114</f>
        <v>0</v>
      </c>
      <c r="AQ114" s="140">
        <v>0</v>
      </c>
      <c r="AR114" s="140">
        <v>0</v>
      </c>
      <c r="AS114" s="27">
        <f t="shared" ref="AS114:AS118" si="490">+AR114+AQ114</f>
        <v>0</v>
      </c>
      <c r="AT114" s="140">
        <v>0</v>
      </c>
      <c r="AU114" s="140">
        <v>0</v>
      </c>
      <c r="AV114" s="27">
        <f t="shared" ref="AV114:AV118" si="491">+AU114+AT114</f>
        <v>0</v>
      </c>
      <c r="AW114" s="140">
        <v>0</v>
      </c>
      <c r="AX114" s="140">
        <v>0</v>
      </c>
      <c r="AY114" s="27">
        <f t="shared" ref="AY114:AY118" si="492">+AX114+AW114</f>
        <v>0</v>
      </c>
    </row>
    <row r="115" spans="1:54" ht="12" customHeight="1" x14ac:dyDescent="0.2">
      <c r="A115" s="24"/>
      <c r="B115" s="15" t="s">
        <v>358</v>
      </c>
      <c r="C115" s="360"/>
      <c r="D115" s="6"/>
      <c r="E115" s="6"/>
      <c r="F115" s="246"/>
      <c r="G115" s="247"/>
      <c r="H115" s="247"/>
      <c r="I115" s="132">
        <v>0</v>
      </c>
      <c r="J115" s="247"/>
      <c r="K115" s="247"/>
      <c r="L115" s="132">
        <v>0</v>
      </c>
      <c r="M115" s="25">
        <v>0</v>
      </c>
      <c r="N115" s="26">
        <f>+O115-M115</f>
        <v>1.429</v>
      </c>
      <c r="O115" s="132">
        <v>1.429</v>
      </c>
      <c r="P115" s="25">
        <v>0</v>
      </c>
      <c r="Q115" s="26">
        <f>+R115-P115</f>
        <v>6.1</v>
      </c>
      <c r="R115" s="132">
        <v>6.1</v>
      </c>
      <c r="S115" s="25">
        <v>8.7999999999999995E-2</v>
      </c>
      <c r="T115" s="26">
        <f>+U115-S115</f>
        <v>3.1519999999999997</v>
      </c>
      <c r="U115" s="132">
        <f>0.96+2.28</f>
        <v>3.2399999999999998</v>
      </c>
      <c r="V115" s="140">
        <v>0</v>
      </c>
      <c r="W115" s="140">
        <v>0</v>
      </c>
      <c r="X115" s="27">
        <f t="shared" si="483"/>
        <v>0</v>
      </c>
      <c r="Y115" s="140">
        <v>0</v>
      </c>
      <c r="Z115" s="140">
        <v>0</v>
      </c>
      <c r="AA115" s="27">
        <f t="shared" si="484"/>
        <v>0</v>
      </c>
      <c r="AB115" s="140">
        <v>0</v>
      </c>
      <c r="AC115" s="140">
        <v>0</v>
      </c>
      <c r="AD115" s="27">
        <f t="shared" si="485"/>
        <v>0</v>
      </c>
      <c r="AE115" s="140">
        <v>0</v>
      </c>
      <c r="AF115" s="140">
        <v>0</v>
      </c>
      <c r="AG115" s="27">
        <f t="shared" si="486"/>
        <v>0</v>
      </c>
      <c r="AH115" s="140">
        <v>0</v>
      </c>
      <c r="AI115" s="140">
        <v>0</v>
      </c>
      <c r="AJ115" s="27">
        <f t="shared" si="487"/>
        <v>0</v>
      </c>
      <c r="AK115" s="140">
        <v>0</v>
      </c>
      <c r="AL115" s="140">
        <v>0</v>
      </c>
      <c r="AM115" s="27">
        <f t="shared" si="488"/>
        <v>0</v>
      </c>
      <c r="AN115" s="140">
        <v>0</v>
      </c>
      <c r="AO115" s="140">
        <v>0</v>
      </c>
      <c r="AP115" s="27">
        <f t="shared" si="489"/>
        <v>0</v>
      </c>
      <c r="AQ115" s="140">
        <v>0</v>
      </c>
      <c r="AR115" s="140">
        <v>0</v>
      </c>
      <c r="AS115" s="27">
        <f t="shared" si="490"/>
        <v>0</v>
      </c>
      <c r="AT115" s="140">
        <v>0</v>
      </c>
      <c r="AU115" s="140">
        <v>0</v>
      </c>
      <c r="AV115" s="27">
        <f t="shared" si="491"/>
        <v>0</v>
      </c>
      <c r="AW115" s="140">
        <v>0</v>
      </c>
      <c r="AX115" s="140">
        <v>0</v>
      </c>
      <c r="AY115" s="27">
        <f t="shared" si="492"/>
        <v>0</v>
      </c>
    </row>
    <row r="116" spans="1:54" ht="12" customHeight="1" x14ac:dyDescent="0.2">
      <c r="A116" s="24"/>
      <c r="B116" s="6" t="s">
        <v>357</v>
      </c>
      <c r="C116" s="360"/>
      <c r="D116" s="6"/>
      <c r="E116" s="6"/>
      <c r="F116" s="246"/>
      <c r="G116" s="247"/>
      <c r="H116" s="247"/>
      <c r="I116" s="132">
        <v>6.0999999999999999E-2</v>
      </c>
      <c r="J116" s="247"/>
      <c r="K116" s="247"/>
      <c r="L116" s="132">
        <v>7.9000000000000001E-2</v>
      </c>
      <c r="M116" s="25">
        <v>0.28999999999999998</v>
      </c>
      <c r="N116" s="26">
        <f>+O116-M116</f>
        <v>-4.4999999999999984E-2</v>
      </c>
      <c r="O116" s="132">
        <v>0.245</v>
      </c>
      <c r="P116" s="25">
        <v>0.17299999999999999</v>
      </c>
      <c r="Q116" s="26">
        <f>+R116-P116</f>
        <v>7.6180000000000003</v>
      </c>
      <c r="R116" s="132">
        <v>7.7910000000000004</v>
      </c>
      <c r="S116" s="25">
        <v>0.88500000000000001</v>
      </c>
      <c r="T116" s="26">
        <f>+U116-S116</f>
        <v>7.6490000000000009</v>
      </c>
      <c r="U116" s="132">
        <v>8.5340000000000007</v>
      </c>
      <c r="V116" s="140">
        <v>0</v>
      </c>
      <c r="W116" s="140">
        <v>0</v>
      </c>
      <c r="X116" s="27">
        <f t="shared" si="483"/>
        <v>0</v>
      </c>
      <c r="Y116" s="140">
        <v>0</v>
      </c>
      <c r="Z116" s="140">
        <v>0</v>
      </c>
      <c r="AA116" s="27">
        <f t="shared" si="484"/>
        <v>0</v>
      </c>
      <c r="AB116" s="140">
        <v>0</v>
      </c>
      <c r="AC116" s="140">
        <v>0</v>
      </c>
      <c r="AD116" s="27">
        <f t="shared" si="485"/>
        <v>0</v>
      </c>
      <c r="AE116" s="140">
        <v>0</v>
      </c>
      <c r="AF116" s="140">
        <v>0</v>
      </c>
      <c r="AG116" s="27">
        <f t="shared" si="486"/>
        <v>0</v>
      </c>
      <c r="AH116" s="140">
        <v>0</v>
      </c>
      <c r="AI116" s="140">
        <v>0</v>
      </c>
      <c r="AJ116" s="27">
        <f t="shared" si="487"/>
        <v>0</v>
      </c>
      <c r="AK116" s="140">
        <v>0</v>
      </c>
      <c r="AL116" s="140">
        <v>0</v>
      </c>
      <c r="AM116" s="27">
        <f t="shared" si="488"/>
        <v>0</v>
      </c>
      <c r="AN116" s="140">
        <v>0</v>
      </c>
      <c r="AO116" s="140">
        <v>0</v>
      </c>
      <c r="AP116" s="27">
        <f t="shared" si="489"/>
        <v>0</v>
      </c>
      <c r="AQ116" s="140">
        <v>0</v>
      </c>
      <c r="AR116" s="140">
        <v>0</v>
      </c>
      <c r="AS116" s="27">
        <f t="shared" si="490"/>
        <v>0</v>
      </c>
      <c r="AT116" s="140">
        <v>0</v>
      </c>
      <c r="AU116" s="140">
        <v>0</v>
      </c>
      <c r="AV116" s="27">
        <f t="shared" si="491"/>
        <v>0</v>
      </c>
      <c r="AW116" s="140">
        <v>0</v>
      </c>
      <c r="AX116" s="140">
        <v>0</v>
      </c>
      <c r="AY116" s="27">
        <f t="shared" si="492"/>
        <v>0</v>
      </c>
    </row>
    <row r="117" spans="1:54" ht="12" customHeight="1" x14ac:dyDescent="0.2">
      <c r="A117" s="24"/>
      <c r="B117" s="6" t="s">
        <v>356</v>
      </c>
      <c r="C117" s="360"/>
      <c r="D117" s="6"/>
      <c r="E117" s="6"/>
      <c r="F117" s="246"/>
      <c r="G117" s="247"/>
      <c r="H117" s="247"/>
      <c r="I117" s="132">
        <v>0</v>
      </c>
      <c r="J117" s="247"/>
      <c r="K117" s="247"/>
      <c r="L117" s="132">
        <v>0</v>
      </c>
      <c r="M117" s="25">
        <v>0</v>
      </c>
      <c r="N117" s="26">
        <f>+O117-M117</f>
        <v>0</v>
      </c>
      <c r="O117" s="132">
        <v>0</v>
      </c>
      <c r="P117" s="25">
        <v>-15.893000000000001</v>
      </c>
      <c r="Q117" s="26">
        <f>+R117-P117</f>
        <v>-9.9999999999944578E-4</v>
      </c>
      <c r="R117" s="132">
        <v>-15.894</v>
      </c>
      <c r="S117" s="25">
        <v>0</v>
      </c>
      <c r="T117" s="26">
        <f>+U117-S117</f>
        <v>0</v>
      </c>
      <c r="U117" s="132"/>
      <c r="V117" s="140">
        <v>0</v>
      </c>
      <c r="W117" s="140">
        <v>0</v>
      </c>
      <c r="X117" s="27">
        <f t="shared" si="483"/>
        <v>0</v>
      </c>
      <c r="Y117" s="140">
        <v>0</v>
      </c>
      <c r="Z117" s="140">
        <v>0</v>
      </c>
      <c r="AA117" s="27">
        <f t="shared" si="484"/>
        <v>0</v>
      </c>
      <c r="AB117" s="140">
        <v>0</v>
      </c>
      <c r="AC117" s="140">
        <v>0</v>
      </c>
      <c r="AD117" s="27">
        <f t="shared" si="485"/>
        <v>0</v>
      </c>
      <c r="AE117" s="140">
        <v>0</v>
      </c>
      <c r="AF117" s="140">
        <v>0</v>
      </c>
      <c r="AG117" s="27">
        <f t="shared" si="486"/>
        <v>0</v>
      </c>
      <c r="AH117" s="140">
        <v>0</v>
      </c>
      <c r="AI117" s="140">
        <v>0</v>
      </c>
      <c r="AJ117" s="27">
        <f t="shared" si="487"/>
        <v>0</v>
      </c>
      <c r="AK117" s="140">
        <v>0</v>
      </c>
      <c r="AL117" s="140">
        <v>0</v>
      </c>
      <c r="AM117" s="27">
        <f t="shared" si="488"/>
        <v>0</v>
      </c>
      <c r="AN117" s="140">
        <v>0</v>
      </c>
      <c r="AO117" s="140">
        <v>0</v>
      </c>
      <c r="AP117" s="27">
        <f t="shared" si="489"/>
        <v>0</v>
      </c>
      <c r="AQ117" s="140">
        <v>0</v>
      </c>
      <c r="AR117" s="140">
        <v>0</v>
      </c>
      <c r="AS117" s="27">
        <f t="shared" si="490"/>
        <v>0</v>
      </c>
      <c r="AT117" s="140">
        <v>0</v>
      </c>
      <c r="AU117" s="140">
        <v>0</v>
      </c>
      <c r="AV117" s="27">
        <f t="shared" si="491"/>
        <v>0</v>
      </c>
      <c r="AW117" s="140">
        <v>0</v>
      </c>
      <c r="AX117" s="140">
        <v>0</v>
      </c>
      <c r="AY117" s="27">
        <f t="shared" si="492"/>
        <v>0</v>
      </c>
    </row>
    <row r="118" spans="1:54" ht="12" customHeight="1" x14ac:dyDescent="0.2">
      <c r="A118" s="24"/>
      <c r="B118" s="6" t="s">
        <v>13</v>
      </c>
      <c r="D118" s="6"/>
      <c r="E118" s="6"/>
      <c r="F118" s="246"/>
      <c r="G118" s="247"/>
      <c r="H118" s="247"/>
      <c r="I118" s="132">
        <v>0</v>
      </c>
      <c r="J118" s="247"/>
      <c r="K118" s="247"/>
      <c r="L118" s="132">
        <v>0</v>
      </c>
      <c r="M118" s="25">
        <v>0</v>
      </c>
      <c r="N118" s="26">
        <f t="shared" si="469"/>
        <v>0.65999999999999992</v>
      </c>
      <c r="O118" s="132">
        <f>0.964-0.304</f>
        <v>0.65999999999999992</v>
      </c>
      <c r="P118" s="25">
        <v>0</v>
      </c>
      <c r="Q118" s="26">
        <f t="shared" si="480"/>
        <v>-8.1300000000000008</v>
      </c>
      <c r="R118" s="132">
        <f>-8.973+1.172-0.329</f>
        <v>-8.1300000000000008</v>
      </c>
      <c r="S118" s="25">
        <f>-1.693+0.162+1.261-0.066</f>
        <v>-0.33600000000000024</v>
      </c>
      <c r="T118" s="26">
        <f t="shared" ref="T118" si="493">+U118-S118</f>
        <v>8.697000000000001</v>
      </c>
      <c r="U118" s="132">
        <f>-1.693-0.131+10.185</f>
        <v>8.3610000000000007</v>
      </c>
      <c r="V118" s="140">
        <v>0</v>
      </c>
      <c r="W118" s="140">
        <v>0</v>
      </c>
      <c r="X118" s="27">
        <f t="shared" si="483"/>
        <v>0</v>
      </c>
      <c r="Y118" s="140">
        <v>0</v>
      </c>
      <c r="Z118" s="140">
        <v>0</v>
      </c>
      <c r="AA118" s="27">
        <f t="shared" si="484"/>
        <v>0</v>
      </c>
      <c r="AB118" s="140">
        <v>0</v>
      </c>
      <c r="AC118" s="140">
        <v>0</v>
      </c>
      <c r="AD118" s="27">
        <f t="shared" si="485"/>
        <v>0</v>
      </c>
      <c r="AE118" s="140">
        <v>0</v>
      </c>
      <c r="AF118" s="140">
        <v>0</v>
      </c>
      <c r="AG118" s="27">
        <f t="shared" si="486"/>
        <v>0</v>
      </c>
      <c r="AH118" s="140">
        <v>0</v>
      </c>
      <c r="AI118" s="140">
        <v>0</v>
      </c>
      <c r="AJ118" s="27">
        <f t="shared" si="487"/>
        <v>0</v>
      </c>
      <c r="AK118" s="140">
        <v>0</v>
      </c>
      <c r="AL118" s="140">
        <v>0</v>
      </c>
      <c r="AM118" s="27">
        <f t="shared" si="488"/>
        <v>0</v>
      </c>
      <c r="AN118" s="140">
        <v>0</v>
      </c>
      <c r="AO118" s="140">
        <v>0</v>
      </c>
      <c r="AP118" s="27">
        <f t="shared" si="489"/>
        <v>0</v>
      </c>
      <c r="AQ118" s="140">
        <v>0</v>
      </c>
      <c r="AR118" s="140">
        <v>0</v>
      </c>
      <c r="AS118" s="27">
        <f t="shared" si="490"/>
        <v>0</v>
      </c>
      <c r="AT118" s="140">
        <v>0</v>
      </c>
      <c r="AU118" s="140">
        <v>0</v>
      </c>
      <c r="AV118" s="27">
        <f t="shared" si="491"/>
        <v>0</v>
      </c>
      <c r="AW118" s="140">
        <v>0</v>
      </c>
      <c r="AX118" s="140">
        <v>0</v>
      </c>
      <c r="AY118" s="27">
        <f t="shared" si="492"/>
        <v>0</v>
      </c>
    </row>
    <row r="119" spans="1:54" s="24" customFormat="1" ht="12" customHeight="1" x14ac:dyDescent="0.2">
      <c r="B119" s="49" t="s">
        <v>69</v>
      </c>
      <c r="C119" s="46"/>
      <c r="D119" s="47"/>
      <c r="E119" s="47"/>
      <c r="F119" s="48"/>
      <c r="G119" s="47"/>
      <c r="H119" s="47"/>
      <c r="I119" s="48">
        <f>SUM(I109:I118)</f>
        <v>32.222000000000001</v>
      </c>
      <c r="J119" s="47"/>
      <c r="K119" s="47"/>
      <c r="L119" s="48">
        <f t="shared" ref="L119:R119" si="494">SUM(L109:L118)</f>
        <v>4.3899999999999997</v>
      </c>
      <c r="M119" s="248">
        <f t="shared" si="494"/>
        <v>-2.1749999999999998</v>
      </c>
      <c r="N119" s="248">
        <f t="shared" si="494"/>
        <v>-2.2919999999999989</v>
      </c>
      <c r="O119" s="48">
        <f t="shared" si="494"/>
        <v>-4.4669999999999987</v>
      </c>
      <c r="P119" s="248">
        <f t="shared" si="494"/>
        <v>-22.125</v>
      </c>
      <c r="Q119" s="248">
        <f t="shared" si="494"/>
        <v>277.05900000000003</v>
      </c>
      <c r="R119" s="48">
        <f t="shared" si="494"/>
        <v>254.93400000000003</v>
      </c>
      <c r="S119" s="407">
        <f t="shared" ref="S119:U119" si="495">SUM(S109:S118)</f>
        <v>-10.792000000000002</v>
      </c>
      <c r="T119" s="248">
        <f t="shared" si="495"/>
        <v>11.471</v>
      </c>
      <c r="U119" s="48">
        <f t="shared" si="495"/>
        <v>0.67900000000000027</v>
      </c>
      <c r="V119" s="47">
        <f t="shared" ref="V119:AY119" si="496">SUM(V109:V118)</f>
        <v>-16.008827099999998</v>
      </c>
      <c r="W119" s="47">
        <f t="shared" si="496"/>
        <v>-14.79013525375</v>
      </c>
      <c r="X119" s="48">
        <f t="shared" si="496"/>
        <v>-30.798962353749999</v>
      </c>
      <c r="Y119" s="47">
        <f t="shared" si="496"/>
        <v>-16.797821674818749</v>
      </c>
      <c r="Z119" s="47">
        <f t="shared" si="496"/>
        <v>-15.479981081947091</v>
      </c>
      <c r="AA119" s="48">
        <f t="shared" si="496"/>
        <v>-32.277802756765837</v>
      </c>
      <c r="AB119" s="47">
        <f t="shared" si="496"/>
        <v>-17.629838643500094</v>
      </c>
      <c r="AC119" s="47">
        <f t="shared" si="496"/>
        <v>-16.204040211074009</v>
      </c>
      <c r="AD119" s="48">
        <f t="shared" si="496"/>
        <v>-33.83387885457411</v>
      </c>
      <c r="AE119" s="47">
        <f t="shared" si="496"/>
        <v>-18.505242112071869</v>
      </c>
      <c r="AF119" s="47">
        <f t="shared" si="496"/>
        <v>-16.961772746440111</v>
      </c>
      <c r="AG119" s="48">
        <f t="shared" si="496"/>
        <v>-35.46701485851198</v>
      </c>
      <c r="AH119" s="47">
        <f t="shared" si="496"/>
        <v>-19.423916174923324</v>
      </c>
      <c r="AI119" s="47">
        <f t="shared" si="496"/>
        <v>-17.752047859497104</v>
      </c>
      <c r="AJ119" s="48">
        <f t="shared" si="496"/>
        <v>-37.175964034420431</v>
      </c>
      <c r="AK119" s="47">
        <f t="shared" si="496"/>
        <v>-20.385139004217848</v>
      </c>
      <c r="AL119" s="47">
        <f t="shared" si="496"/>
        <v>-18.573001915759558</v>
      </c>
      <c r="AM119" s="48">
        <f t="shared" si="496"/>
        <v>-38.95814091997741</v>
      </c>
      <c r="AN119" s="47">
        <f t="shared" si="496"/>
        <v>-21.387431561762376</v>
      </c>
      <c r="AO119" s="47">
        <f t="shared" si="496"/>
        <v>-19.421868673659112</v>
      </c>
      <c r="AP119" s="48">
        <f t="shared" si="496"/>
        <v>-40.809300235421482</v>
      </c>
      <c r="AQ119" s="47">
        <f t="shared" si="496"/>
        <v>-22.428376206070631</v>
      </c>
      <c r="AR119" s="47">
        <f t="shared" si="496"/>
        <v>-20.294776395669587</v>
      </c>
      <c r="AS119" s="48">
        <f t="shared" si="496"/>
        <v>-42.723152601740217</v>
      </c>
      <c r="AT119" s="47">
        <f t="shared" si="496"/>
        <v>-23.504399612338283</v>
      </c>
      <c r="AU119" s="47">
        <f t="shared" si="496"/>
        <v>-21.186505783126211</v>
      </c>
      <c r="AV119" s="48">
        <f t="shared" si="496"/>
        <v>-44.690905395464497</v>
      </c>
      <c r="AW119" s="47">
        <f t="shared" si="496"/>
        <v>-24.610513415206484</v>
      </c>
      <c r="AX119" s="47">
        <f t="shared" si="496"/>
        <v>-22.090201550268645</v>
      </c>
      <c r="AY119" s="48">
        <f t="shared" si="496"/>
        <v>-46.700714965475129</v>
      </c>
      <c r="BB119" s="15"/>
    </row>
    <row r="120" spans="1:54" ht="12" customHeight="1" x14ac:dyDescent="0.2">
      <c r="A120" s="24"/>
      <c r="B120" s="6"/>
      <c r="D120" s="6"/>
      <c r="E120" s="6"/>
      <c r="F120" s="13"/>
      <c r="G120" s="6"/>
      <c r="H120" s="6"/>
      <c r="I120" s="13"/>
      <c r="J120" s="6"/>
      <c r="K120" s="6"/>
      <c r="L120" s="13"/>
      <c r="M120" s="6"/>
      <c r="N120" s="6"/>
      <c r="O120" s="13"/>
      <c r="P120" s="6"/>
      <c r="Q120" s="6"/>
      <c r="R120" s="13"/>
      <c r="S120" s="6"/>
      <c r="T120" s="6"/>
      <c r="U120" s="13"/>
      <c r="V120" s="6"/>
      <c r="W120" s="6"/>
      <c r="X120" s="13"/>
      <c r="Y120" s="6"/>
      <c r="Z120" s="6"/>
      <c r="AA120" s="13"/>
      <c r="AB120" s="6"/>
      <c r="AC120" s="6"/>
      <c r="AD120" s="13"/>
      <c r="AE120" s="6"/>
      <c r="AF120" s="6"/>
      <c r="AG120" s="13"/>
      <c r="AH120" s="6"/>
      <c r="AI120" s="6"/>
      <c r="AJ120" s="13"/>
      <c r="AK120" s="6"/>
      <c r="AL120" s="6"/>
      <c r="AM120" s="13"/>
      <c r="AN120" s="6"/>
      <c r="AO120" s="6"/>
      <c r="AP120" s="13"/>
      <c r="AQ120" s="6"/>
      <c r="AR120" s="6"/>
      <c r="AS120" s="13"/>
      <c r="AT120" s="6"/>
      <c r="AU120" s="6"/>
      <c r="AV120" s="13"/>
      <c r="AW120" s="6"/>
      <c r="AX120" s="6"/>
      <c r="AY120" s="13"/>
    </row>
    <row r="121" spans="1:54" s="24" customFormat="1" ht="12" customHeight="1" x14ac:dyDescent="0.2">
      <c r="B121" s="34" t="s">
        <v>127</v>
      </c>
      <c r="C121" s="35"/>
      <c r="D121" s="147"/>
      <c r="E121" s="147"/>
      <c r="F121" s="148"/>
      <c r="G121" s="147"/>
      <c r="H121" s="147"/>
      <c r="I121" s="148">
        <f>+I119+I106+I98</f>
        <v>37.732000000000006</v>
      </c>
      <c r="J121" s="147"/>
      <c r="K121" s="147"/>
      <c r="L121" s="148">
        <f t="shared" ref="L121:AY121" si="497">+L119+L106+L98</f>
        <v>-7.6640000000000192</v>
      </c>
      <c r="M121" s="147">
        <f t="shared" si="497"/>
        <v>-10.024999999999991</v>
      </c>
      <c r="N121" s="147">
        <f t="shared" si="497"/>
        <v>-7.8980000000000103</v>
      </c>
      <c r="O121" s="148">
        <f t="shared" si="497"/>
        <v>-17.922999999999995</v>
      </c>
      <c r="P121" s="147">
        <f t="shared" si="497"/>
        <v>-22.885000000000012</v>
      </c>
      <c r="Q121" s="147">
        <f t="shared" si="497"/>
        <v>2.7659999999999876</v>
      </c>
      <c r="R121" s="148">
        <f t="shared" si="497"/>
        <v>-20.11900000000005</v>
      </c>
      <c r="S121" s="147">
        <f t="shared" ref="S121:U121" si="498">+S119+S106+S98</f>
        <v>0.32199999999999918</v>
      </c>
      <c r="T121" s="147">
        <f t="shared" si="498"/>
        <v>23.132999999999939</v>
      </c>
      <c r="U121" s="148">
        <f t="shared" si="498"/>
        <v>23.454999999999949</v>
      </c>
      <c r="V121" s="147">
        <f t="shared" si="497"/>
        <v>1.2349441108268167</v>
      </c>
      <c r="W121" s="147">
        <f t="shared" si="497"/>
        <v>-0.37022867698222939</v>
      </c>
      <c r="X121" s="148">
        <f t="shared" si="497"/>
        <v>0.86471543384459437</v>
      </c>
      <c r="Y121" s="147">
        <f t="shared" si="497"/>
        <v>8.0145664885547205</v>
      </c>
      <c r="Z121" s="147">
        <f t="shared" si="497"/>
        <v>6.0509637289122793</v>
      </c>
      <c r="AA121" s="148">
        <f t="shared" si="497"/>
        <v>14.065530217467014</v>
      </c>
      <c r="AB121" s="147">
        <f t="shared" si="497"/>
        <v>16.38324027907472</v>
      </c>
      <c r="AC121" s="147">
        <f t="shared" si="497"/>
        <v>16.553630784669934</v>
      </c>
      <c r="AD121" s="148">
        <f t="shared" si="497"/>
        <v>32.936871063744661</v>
      </c>
      <c r="AE121" s="147">
        <f t="shared" si="497"/>
        <v>27.217336792562001</v>
      </c>
      <c r="AF121" s="147">
        <f t="shared" si="497"/>
        <v>27.420239949268719</v>
      </c>
      <c r="AG121" s="148">
        <f t="shared" si="497"/>
        <v>54.637576741830713</v>
      </c>
      <c r="AH121" s="147">
        <f t="shared" si="497"/>
        <v>39.774497744157202</v>
      </c>
      <c r="AI121" s="147">
        <f t="shared" si="497"/>
        <v>38.874294512372337</v>
      </c>
      <c r="AJ121" s="148">
        <f t="shared" si="497"/>
        <v>78.648792256529546</v>
      </c>
      <c r="AK121" s="147">
        <f t="shared" si="497"/>
        <v>48.507654285527956</v>
      </c>
      <c r="AL121" s="147">
        <f t="shared" si="497"/>
        <v>46.549009921862222</v>
      </c>
      <c r="AM121" s="148">
        <f t="shared" si="497"/>
        <v>95.056664207390227</v>
      </c>
      <c r="AN121" s="147">
        <f t="shared" si="497"/>
        <v>58.301934116869504</v>
      </c>
      <c r="AO121" s="147">
        <f t="shared" si="497"/>
        <v>56.646350902511813</v>
      </c>
      <c r="AP121" s="148">
        <f t="shared" si="497"/>
        <v>114.9482850193813</v>
      </c>
      <c r="AQ121" s="147">
        <f t="shared" si="497"/>
        <v>69.664520326794303</v>
      </c>
      <c r="AR121" s="147">
        <f t="shared" si="497"/>
        <v>67.661253622792046</v>
      </c>
      <c r="AS121" s="148">
        <f t="shared" si="497"/>
        <v>137.32577394958642</v>
      </c>
      <c r="AT121" s="147">
        <f t="shared" si="497"/>
        <v>82.032287220849454</v>
      </c>
      <c r="AU121" s="147">
        <f t="shared" si="497"/>
        <v>79.664797366230559</v>
      </c>
      <c r="AV121" s="148">
        <f t="shared" si="497"/>
        <v>161.69708458707998</v>
      </c>
      <c r="AW121" s="147">
        <f t="shared" si="497"/>
        <v>95.48059813403971</v>
      </c>
      <c r="AX121" s="147">
        <f t="shared" si="497"/>
        <v>92.731237742791322</v>
      </c>
      <c r="AY121" s="148">
        <f t="shared" si="497"/>
        <v>188.21183587683095</v>
      </c>
      <c r="BB121" s="15"/>
    </row>
    <row r="122" spans="1:54" s="24" customFormat="1" ht="12" customHeight="1" x14ac:dyDescent="0.2">
      <c r="B122" s="23" t="s">
        <v>128</v>
      </c>
      <c r="C122" s="23"/>
      <c r="D122" s="142"/>
      <c r="E122" s="142"/>
      <c r="F122" s="143"/>
      <c r="G122" s="142"/>
      <c r="H122" s="142"/>
      <c r="I122" s="132">
        <v>24.359000000000002</v>
      </c>
      <c r="J122" s="142"/>
      <c r="K122" s="142"/>
      <c r="L122" s="48">
        <f>I124</f>
        <v>62.091000000000008</v>
      </c>
      <c r="M122" s="142">
        <f>+L124</f>
        <v>54.426999999999992</v>
      </c>
      <c r="N122" s="142">
        <f>+M124</f>
        <v>44.402000000000001</v>
      </c>
      <c r="O122" s="143">
        <f>L124</f>
        <v>54.426999999999992</v>
      </c>
      <c r="P122" s="142">
        <f t="shared" ref="P122" si="499">+O124</f>
        <v>36.503999999999998</v>
      </c>
      <c r="Q122" s="142">
        <f>+P124</f>
        <v>13.618999999999986</v>
      </c>
      <c r="R122" s="143">
        <f t="shared" ref="R122" si="500">+O124</f>
        <v>36.503999999999998</v>
      </c>
      <c r="S122" s="142">
        <f t="shared" ref="S122" si="501">+R124</f>
        <v>16.384999999999948</v>
      </c>
      <c r="T122" s="142">
        <f>+S124</f>
        <v>16.881999999999948</v>
      </c>
      <c r="U122" s="143">
        <f t="shared" ref="U122" si="502">+R124</f>
        <v>16.384999999999948</v>
      </c>
      <c r="V122" s="142">
        <f t="shared" ref="V122:W122" si="503">+U124</f>
        <v>39.674999999999898</v>
      </c>
      <c r="W122" s="142">
        <f t="shared" si="503"/>
        <v>40.909944110826714</v>
      </c>
      <c r="X122" s="143">
        <f t="shared" ref="X122" si="504">+U124</f>
        <v>39.674999999999898</v>
      </c>
      <c r="Y122" s="142">
        <f t="shared" ref="Y122:Z122" si="505">+X124</f>
        <v>40.539715433844492</v>
      </c>
      <c r="Z122" s="142">
        <f t="shared" si="505"/>
        <v>48.554281922399213</v>
      </c>
      <c r="AA122" s="143">
        <f t="shared" ref="AA122" si="506">+X124</f>
        <v>40.539715433844492</v>
      </c>
      <c r="AB122" s="142">
        <f t="shared" ref="AB122" si="507">+AA124</f>
        <v>54.605245651311506</v>
      </c>
      <c r="AC122" s="142">
        <f t="shared" ref="AC122" si="508">+AB124</f>
        <v>70.988485930386219</v>
      </c>
      <c r="AD122" s="143">
        <f t="shared" ref="AD122" si="509">+AA124</f>
        <v>54.605245651311506</v>
      </c>
      <c r="AE122" s="142">
        <f t="shared" ref="AE122" si="510">+AD124</f>
        <v>87.542116715056167</v>
      </c>
      <c r="AF122" s="142">
        <f t="shared" ref="AF122" si="511">+AE124</f>
        <v>114.75945350761816</v>
      </c>
      <c r="AG122" s="143">
        <f t="shared" ref="AG122" si="512">+AD124</f>
        <v>87.542116715056167</v>
      </c>
      <c r="AH122" s="142">
        <f t="shared" ref="AH122" si="513">+AG124</f>
        <v>142.17969345688687</v>
      </c>
      <c r="AI122" s="142">
        <f t="shared" ref="AI122" si="514">+AH124</f>
        <v>181.95419120104407</v>
      </c>
      <c r="AJ122" s="143">
        <f t="shared" ref="AJ122" si="515">+AG124</f>
        <v>142.17969345688687</v>
      </c>
      <c r="AK122" s="142">
        <f t="shared" ref="AK122" si="516">+AJ124</f>
        <v>220.8284857134164</v>
      </c>
      <c r="AL122" s="142">
        <f t="shared" ref="AL122" si="517">+AK124</f>
        <v>269.33613999894436</v>
      </c>
      <c r="AM122" s="143">
        <f t="shared" ref="AM122" si="518">+AJ124</f>
        <v>220.8284857134164</v>
      </c>
      <c r="AN122" s="142">
        <f t="shared" ref="AN122" si="519">+AM124</f>
        <v>315.88514992080661</v>
      </c>
      <c r="AO122" s="142">
        <f t="shared" ref="AO122" si="520">+AN124</f>
        <v>374.18708403767613</v>
      </c>
      <c r="AP122" s="143">
        <f t="shared" ref="AP122" si="521">+AM124</f>
        <v>315.88514992080661</v>
      </c>
      <c r="AQ122" s="142">
        <f t="shared" ref="AQ122" si="522">+AP124</f>
        <v>430.83343494018789</v>
      </c>
      <c r="AR122" s="142">
        <f t="shared" ref="AR122" si="523">+AQ124</f>
        <v>500.49795526698222</v>
      </c>
      <c r="AS122" s="143">
        <f t="shared" ref="AS122" si="524">+AP124</f>
        <v>430.83343494018789</v>
      </c>
      <c r="AT122" s="142">
        <f t="shared" ref="AT122" si="525">+AS124</f>
        <v>568.15920888977428</v>
      </c>
      <c r="AU122" s="142">
        <f t="shared" ref="AU122" si="526">+AT124</f>
        <v>650.19149611062369</v>
      </c>
      <c r="AV122" s="143">
        <f t="shared" ref="AV122" si="527">+AS124</f>
        <v>568.15920888977428</v>
      </c>
      <c r="AW122" s="142">
        <f t="shared" ref="AW122" si="528">+AV124</f>
        <v>729.85629347685426</v>
      </c>
      <c r="AX122" s="142">
        <f t="shared" ref="AX122" si="529">+AW124</f>
        <v>825.33689161089399</v>
      </c>
      <c r="AY122" s="143">
        <f t="shared" ref="AY122" si="530">+AV124</f>
        <v>729.85629347685426</v>
      </c>
      <c r="BB122" s="15"/>
    </row>
    <row r="123" spans="1:54" s="24" customFormat="1" ht="12" customHeight="1" x14ac:dyDescent="0.2">
      <c r="B123" s="23" t="s">
        <v>129</v>
      </c>
      <c r="C123" s="23"/>
      <c r="D123" s="25"/>
      <c r="E123" s="26"/>
      <c r="F123" s="132"/>
      <c r="G123" s="25"/>
      <c r="H123" s="26"/>
      <c r="I123" s="132">
        <v>0</v>
      </c>
      <c r="J123" s="25"/>
      <c r="K123" s="26"/>
      <c r="L123" s="132">
        <v>0</v>
      </c>
      <c r="M123" s="25">
        <v>0</v>
      </c>
      <c r="N123" s="26">
        <f t="shared" ref="N123" si="531">+O123-M123</f>
        <v>0</v>
      </c>
      <c r="O123" s="132">
        <v>0</v>
      </c>
      <c r="P123" s="25">
        <v>0</v>
      </c>
      <c r="Q123" s="26">
        <f t="shared" ref="Q123" si="532">+R123-P123</f>
        <v>0</v>
      </c>
      <c r="R123" s="132"/>
      <c r="S123" s="25">
        <v>0.17499999999999999</v>
      </c>
      <c r="T123" s="26">
        <f t="shared" ref="T123" si="533">+U123-S123</f>
        <v>-0.33999999999999997</v>
      </c>
      <c r="U123" s="132">
        <v>-0.16500000000000001</v>
      </c>
      <c r="V123" s="140">
        <v>0</v>
      </c>
      <c r="W123" s="140">
        <v>0</v>
      </c>
      <c r="X123" s="27">
        <f t="shared" ref="X123" si="534">+W123+V123</f>
        <v>0</v>
      </c>
      <c r="Y123" s="140">
        <v>0</v>
      </c>
      <c r="Z123" s="140">
        <v>0</v>
      </c>
      <c r="AA123" s="27">
        <f t="shared" ref="AA123" si="535">+Z123+Y123</f>
        <v>0</v>
      </c>
      <c r="AB123" s="140">
        <v>0</v>
      </c>
      <c r="AC123" s="140">
        <v>0</v>
      </c>
      <c r="AD123" s="27">
        <f t="shared" ref="AD123" si="536">+AC123+AB123</f>
        <v>0</v>
      </c>
      <c r="AE123" s="140">
        <v>0</v>
      </c>
      <c r="AF123" s="140">
        <v>0</v>
      </c>
      <c r="AG123" s="27">
        <f t="shared" ref="AG123" si="537">+AF123+AE123</f>
        <v>0</v>
      </c>
      <c r="AH123" s="140">
        <v>0</v>
      </c>
      <c r="AI123" s="140">
        <v>0</v>
      </c>
      <c r="AJ123" s="27">
        <f t="shared" ref="AJ123" si="538">+AI123+AH123</f>
        <v>0</v>
      </c>
      <c r="AK123" s="140">
        <v>0</v>
      </c>
      <c r="AL123" s="140">
        <v>0</v>
      </c>
      <c r="AM123" s="27">
        <f t="shared" ref="AM123" si="539">+AL123+AK123</f>
        <v>0</v>
      </c>
      <c r="AN123" s="140">
        <v>0</v>
      </c>
      <c r="AO123" s="140">
        <v>0</v>
      </c>
      <c r="AP123" s="27">
        <f t="shared" ref="AP123" si="540">+AO123+AN123</f>
        <v>0</v>
      </c>
      <c r="AQ123" s="140">
        <v>0</v>
      </c>
      <c r="AR123" s="140">
        <v>0</v>
      </c>
      <c r="AS123" s="27">
        <f t="shared" ref="AS123" si="541">+AR123+AQ123</f>
        <v>0</v>
      </c>
      <c r="AT123" s="140">
        <v>0</v>
      </c>
      <c r="AU123" s="140">
        <v>0</v>
      </c>
      <c r="AV123" s="27">
        <f t="shared" ref="AV123" si="542">+AU123+AT123</f>
        <v>0</v>
      </c>
      <c r="AW123" s="140">
        <v>0</v>
      </c>
      <c r="AX123" s="140">
        <v>0</v>
      </c>
      <c r="AY123" s="27">
        <f t="shared" ref="AY123" si="543">+AX123+AW123</f>
        <v>0</v>
      </c>
      <c r="BB123" s="15"/>
    </row>
    <row r="124" spans="1:54" s="24" customFormat="1" ht="12" customHeight="1" x14ac:dyDescent="0.2">
      <c r="B124" s="28" t="s">
        <v>71</v>
      </c>
      <c r="C124" s="29"/>
      <c r="D124" s="31"/>
      <c r="E124" s="31"/>
      <c r="F124" s="30"/>
      <c r="G124" s="31"/>
      <c r="H124" s="31"/>
      <c r="I124" s="30">
        <f t="shared" ref="I124" si="544">+I123+I122+I121</f>
        <v>62.091000000000008</v>
      </c>
      <c r="J124" s="31"/>
      <c r="K124" s="31"/>
      <c r="L124" s="30">
        <f t="shared" ref="L124" si="545">+L123+L122+L121</f>
        <v>54.426999999999992</v>
      </c>
      <c r="M124" s="31">
        <f t="shared" ref="M124" si="546">+M123+M122+M121</f>
        <v>44.402000000000001</v>
      </c>
      <c r="N124" s="31">
        <f t="shared" ref="N124:O124" si="547">+N123+N122+N121</f>
        <v>36.503999999999991</v>
      </c>
      <c r="O124" s="30">
        <f t="shared" si="547"/>
        <v>36.503999999999998</v>
      </c>
      <c r="P124" s="31">
        <f t="shared" ref="P124:Q124" si="548">+P123+P122+P121</f>
        <v>13.618999999999986</v>
      </c>
      <c r="Q124" s="31">
        <f t="shared" si="548"/>
        <v>16.384999999999973</v>
      </c>
      <c r="R124" s="30">
        <f t="shared" ref="R124:T124" si="549">+R123+R122+R121</f>
        <v>16.384999999999948</v>
      </c>
      <c r="S124" s="31">
        <f t="shared" si="549"/>
        <v>16.881999999999948</v>
      </c>
      <c r="T124" s="31">
        <f t="shared" si="549"/>
        <v>39.674999999999883</v>
      </c>
      <c r="U124" s="30">
        <f t="shared" ref="U124" si="550">+U123+U122+U121</f>
        <v>39.674999999999898</v>
      </c>
      <c r="V124" s="31">
        <f t="shared" ref="V124" si="551">+V123+V122+V121</f>
        <v>40.909944110826714</v>
      </c>
      <c r="W124" s="31">
        <f t="shared" ref="W124" si="552">+W123+W122+W121</f>
        <v>40.539715433844485</v>
      </c>
      <c r="X124" s="30">
        <f t="shared" ref="X124" si="553">+X123+X122+X121</f>
        <v>40.539715433844492</v>
      </c>
      <c r="Y124" s="31">
        <f t="shared" ref="Y124" si="554">+Y123+Y122+Y121</f>
        <v>48.554281922399213</v>
      </c>
      <c r="Z124" s="31">
        <f t="shared" ref="Z124" si="555">+Z123+Z122+Z121</f>
        <v>54.605245651311492</v>
      </c>
      <c r="AA124" s="30">
        <f t="shared" ref="AA124:AC124" si="556">+AA123+AA122+AA121</f>
        <v>54.605245651311506</v>
      </c>
      <c r="AB124" s="31">
        <f t="shared" si="556"/>
        <v>70.988485930386219</v>
      </c>
      <c r="AC124" s="31">
        <f t="shared" si="556"/>
        <v>87.542116715056153</v>
      </c>
      <c r="AD124" s="30">
        <f t="shared" ref="AD124:AY124" si="557">+AD123+AD122+AD121</f>
        <v>87.542116715056167</v>
      </c>
      <c r="AE124" s="31">
        <f t="shared" si="557"/>
        <v>114.75945350761816</v>
      </c>
      <c r="AF124" s="31">
        <f t="shared" si="557"/>
        <v>142.17969345688687</v>
      </c>
      <c r="AG124" s="30">
        <f t="shared" si="557"/>
        <v>142.17969345688687</v>
      </c>
      <c r="AH124" s="31">
        <f t="shared" si="557"/>
        <v>181.95419120104407</v>
      </c>
      <c r="AI124" s="31">
        <f t="shared" si="557"/>
        <v>220.8284857134164</v>
      </c>
      <c r="AJ124" s="30">
        <f t="shared" si="557"/>
        <v>220.8284857134164</v>
      </c>
      <c r="AK124" s="31">
        <f t="shared" si="557"/>
        <v>269.33613999894436</v>
      </c>
      <c r="AL124" s="31">
        <f t="shared" si="557"/>
        <v>315.88514992080661</v>
      </c>
      <c r="AM124" s="30">
        <f t="shared" si="557"/>
        <v>315.88514992080661</v>
      </c>
      <c r="AN124" s="31">
        <f t="shared" si="557"/>
        <v>374.18708403767613</v>
      </c>
      <c r="AO124" s="31">
        <f t="shared" si="557"/>
        <v>430.83343494018794</v>
      </c>
      <c r="AP124" s="30">
        <f t="shared" si="557"/>
        <v>430.83343494018789</v>
      </c>
      <c r="AQ124" s="31">
        <f t="shared" si="557"/>
        <v>500.49795526698222</v>
      </c>
      <c r="AR124" s="31">
        <f t="shared" si="557"/>
        <v>568.15920888977428</v>
      </c>
      <c r="AS124" s="30">
        <f t="shared" si="557"/>
        <v>568.15920888977428</v>
      </c>
      <c r="AT124" s="31">
        <f t="shared" si="557"/>
        <v>650.19149611062369</v>
      </c>
      <c r="AU124" s="31">
        <f t="shared" si="557"/>
        <v>729.85629347685426</v>
      </c>
      <c r="AV124" s="30">
        <f t="shared" si="557"/>
        <v>729.85629347685426</v>
      </c>
      <c r="AW124" s="31">
        <f t="shared" si="557"/>
        <v>825.33689161089399</v>
      </c>
      <c r="AX124" s="31">
        <f t="shared" si="557"/>
        <v>918.06812935368532</v>
      </c>
      <c r="AY124" s="30">
        <f t="shared" si="557"/>
        <v>918.06812935368521</v>
      </c>
      <c r="BB124" s="15"/>
    </row>
    <row r="125" spans="1:54" s="144" customFormat="1" ht="12" customHeight="1" x14ac:dyDescent="0.2">
      <c r="A125" s="24"/>
      <c r="B125" s="32" t="s">
        <v>11</v>
      </c>
      <c r="C125" s="145"/>
      <c r="D125" s="33"/>
      <c r="E125" s="33"/>
      <c r="F125" s="36"/>
      <c r="G125" s="33"/>
      <c r="H125" s="33"/>
      <c r="I125" s="36">
        <f>ROUND(I124-'Balance Sheet'!I6,3)</f>
        <v>0</v>
      </c>
      <c r="J125" s="33"/>
      <c r="K125" s="33"/>
      <c r="L125" s="36">
        <f>ROUND(L124-'Balance Sheet'!L6,3)</f>
        <v>0</v>
      </c>
      <c r="M125" s="33">
        <f>ROUND(M124-'Balance Sheet'!M6,3)</f>
        <v>44.402000000000001</v>
      </c>
      <c r="N125" s="33">
        <f>ROUND(N124-'Balance Sheet'!N6,3)</f>
        <v>36.503999999999998</v>
      </c>
      <c r="O125" s="36">
        <f>ROUND(O124-'Balance Sheet'!O6,3)</f>
        <v>0</v>
      </c>
      <c r="P125" s="33">
        <f>ROUND(P124-'Balance Sheet'!P6,3)</f>
        <v>0</v>
      </c>
      <c r="Q125" s="140">
        <f>ROUND(Q124-'Balance Sheet'!Q6,3)</f>
        <v>0</v>
      </c>
      <c r="R125" s="36">
        <f>ROUND(R124-'Balance Sheet'!R6,3)</f>
        <v>0</v>
      </c>
      <c r="S125" s="361">
        <f>ROUND(S124-'Balance Sheet'!S6,3)</f>
        <v>0</v>
      </c>
      <c r="T125" s="140">
        <f>ROUND(T124-'Balance Sheet'!T6,3)</f>
        <v>0</v>
      </c>
      <c r="U125" s="36">
        <f>ROUND(U124-'Balance Sheet'!U6,3)</f>
        <v>0</v>
      </c>
      <c r="V125" s="140">
        <f>ROUND(V124-'Balance Sheet'!V6,3)</f>
        <v>0</v>
      </c>
      <c r="W125" s="140">
        <f>ROUND(W124-'Balance Sheet'!W6,3)</f>
        <v>0</v>
      </c>
      <c r="X125" s="152">
        <f>ROUND(X124-'Balance Sheet'!X6,3)</f>
        <v>0</v>
      </c>
      <c r="Y125" s="140">
        <f>ROUND(Y124-'Balance Sheet'!Y6,3)</f>
        <v>0</v>
      </c>
      <c r="Z125" s="140">
        <f>ROUND(Z124-'Balance Sheet'!Z6,3)</f>
        <v>0</v>
      </c>
      <c r="AA125" s="152">
        <f>ROUND(AA124-'Balance Sheet'!AA6,3)</f>
        <v>0</v>
      </c>
      <c r="AB125" s="140">
        <f>ROUND(AB124-'Balance Sheet'!AB6,3)</f>
        <v>0</v>
      </c>
      <c r="AC125" s="140">
        <f>ROUND(AC124-'Balance Sheet'!AC6,3)</f>
        <v>0</v>
      </c>
      <c r="AD125" s="152">
        <f>ROUND(AD124-'Balance Sheet'!AD6,3)</f>
        <v>0</v>
      </c>
      <c r="AE125" s="140">
        <f>ROUND(AE124-'Balance Sheet'!AE6,3)</f>
        <v>0</v>
      </c>
      <c r="AF125" s="140">
        <f>ROUND(AF124-'Balance Sheet'!AF6,3)</f>
        <v>0</v>
      </c>
      <c r="AG125" s="152">
        <f>ROUND(AG124-'Balance Sheet'!AG6,3)</f>
        <v>0</v>
      </c>
      <c r="AH125" s="140">
        <f>ROUND(AH124-'Balance Sheet'!AH6,3)</f>
        <v>0</v>
      </c>
      <c r="AI125" s="140">
        <f>ROUND(AI124-'Balance Sheet'!AI6,3)</f>
        <v>0</v>
      </c>
      <c r="AJ125" s="152">
        <f>ROUND(AJ124-'Balance Sheet'!AJ6,3)</f>
        <v>0</v>
      </c>
      <c r="AK125" s="140">
        <f>ROUND(AK124-'Balance Sheet'!AK6,3)</f>
        <v>0</v>
      </c>
      <c r="AL125" s="140">
        <f>ROUND(AL124-'Balance Sheet'!AL6,3)</f>
        <v>0</v>
      </c>
      <c r="AM125" s="152">
        <f>ROUND(AM124-'Balance Sheet'!AM6,3)</f>
        <v>0</v>
      </c>
      <c r="AN125" s="140">
        <f>ROUND(AN124-'Balance Sheet'!AN6,3)</f>
        <v>0</v>
      </c>
      <c r="AO125" s="140">
        <f>ROUND(AO124-'Balance Sheet'!AO6,3)</f>
        <v>0</v>
      </c>
      <c r="AP125" s="152">
        <f>ROUND(AP124-'Balance Sheet'!AP6,3)</f>
        <v>0</v>
      </c>
      <c r="AQ125" s="140">
        <f>ROUND(AQ124-'Balance Sheet'!AQ6,3)</f>
        <v>0</v>
      </c>
      <c r="AR125" s="140">
        <f>ROUND(AR124-'Balance Sheet'!AR6,3)</f>
        <v>0</v>
      </c>
      <c r="AS125" s="152">
        <f>ROUND(AS124-'Balance Sheet'!AS6,3)</f>
        <v>0</v>
      </c>
      <c r="AT125" s="140">
        <f>ROUND(AT124-'Balance Sheet'!AT6,3)</f>
        <v>0</v>
      </c>
      <c r="AU125" s="140">
        <f>ROUND(AU124-'Balance Sheet'!AU6,3)</f>
        <v>0</v>
      </c>
      <c r="AV125" s="152">
        <f>ROUND(AV124-'Balance Sheet'!AV6,3)</f>
        <v>0</v>
      </c>
      <c r="AW125" s="140">
        <f>ROUND(AW124-'Balance Sheet'!AW6,3)</f>
        <v>0</v>
      </c>
      <c r="AX125" s="140">
        <f>ROUND(AX124-'Balance Sheet'!AX6,3)</f>
        <v>0</v>
      </c>
      <c r="AY125" s="152">
        <f>ROUND(AY124-'Balance Sheet'!AY6,3)</f>
        <v>0</v>
      </c>
      <c r="BB125" s="15"/>
    </row>
    <row r="126" spans="1:54" ht="12" customHeight="1" x14ac:dyDescent="0.2">
      <c r="A126" s="24"/>
      <c r="B126" s="6"/>
      <c r="D126" s="6"/>
      <c r="E126" s="6"/>
      <c r="F126" s="13"/>
      <c r="G126" s="6"/>
      <c r="H126" s="6"/>
      <c r="I126" s="13"/>
      <c r="J126" s="6"/>
      <c r="K126" s="6"/>
      <c r="L126" s="13"/>
      <c r="M126" s="6"/>
      <c r="N126" s="6"/>
      <c r="O126" s="13"/>
      <c r="P126" s="6"/>
      <c r="Q126" s="6"/>
      <c r="R126" s="13"/>
      <c r="S126" s="6"/>
      <c r="T126" s="6"/>
      <c r="U126" s="13"/>
      <c r="V126" s="6"/>
      <c r="W126" s="6"/>
      <c r="X126" s="13"/>
      <c r="Y126" s="6"/>
      <c r="Z126" s="6"/>
      <c r="AA126" s="13"/>
      <c r="AB126" s="6"/>
      <c r="AC126" s="6"/>
      <c r="AD126" s="13"/>
      <c r="AE126" s="6"/>
      <c r="AF126" s="6"/>
      <c r="AG126" s="13"/>
      <c r="AH126" s="6"/>
      <c r="AI126" s="6"/>
      <c r="AJ126" s="13"/>
      <c r="AK126" s="6"/>
      <c r="AL126" s="6"/>
      <c r="AM126" s="13"/>
      <c r="AN126" s="6"/>
      <c r="AO126" s="6"/>
      <c r="AP126" s="13"/>
      <c r="AQ126" s="6"/>
      <c r="AR126" s="6"/>
      <c r="AS126" s="13"/>
      <c r="AT126" s="6"/>
      <c r="AU126" s="6"/>
      <c r="AV126" s="13"/>
      <c r="AW126" s="6"/>
      <c r="AX126" s="6"/>
      <c r="AY126" s="13"/>
    </row>
    <row r="127" spans="1:54" ht="12" customHeight="1" x14ac:dyDescent="0.2">
      <c r="A127" s="24"/>
      <c r="B127" s="6"/>
      <c r="D127" s="6"/>
      <c r="E127" s="6"/>
      <c r="F127" s="13"/>
      <c r="G127" s="6"/>
      <c r="H127" s="6"/>
      <c r="I127" s="13"/>
      <c r="J127" s="6"/>
      <c r="K127" s="6"/>
      <c r="L127" s="13"/>
      <c r="M127" s="6"/>
      <c r="N127" s="6"/>
      <c r="O127" s="13"/>
      <c r="P127" s="6"/>
      <c r="Q127" s="6"/>
      <c r="R127" s="13"/>
      <c r="S127" s="6"/>
      <c r="T127" s="6"/>
      <c r="U127" s="13"/>
      <c r="V127" s="6"/>
      <c r="W127" s="6"/>
      <c r="X127" s="13"/>
      <c r="Y127" s="6"/>
      <c r="Z127" s="6"/>
      <c r="AA127" s="13"/>
      <c r="AB127" s="6"/>
      <c r="AC127" s="6"/>
      <c r="AD127" s="13"/>
      <c r="AE127" s="6"/>
      <c r="AF127" s="6"/>
      <c r="AG127" s="13"/>
      <c r="AH127" s="6"/>
      <c r="AI127" s="6"/>
      <c r="AJ127" s="13"/>
      <c r="AK127" s="6"/>
      <c r="AL127" s="6"/>
      <c r="AM127" s="13"/>
      <c r="AN127" s="6"/>
      <c r="AO127" s="6"/>
      <c r="AP127" s="13"/>
      <c r="AQ127" s="6"/>
      <c r="AR127" s="6"/>
      <c r="AS127" s="13"/>
      <c r="AT127" s="6"/>
      <c r="AU127" s="6"/>
      <c r="AV127" s="13"/>
      <c r="AW127" s="6"/>
      <c r="AX127" s="6"/>
      <c r="AY127" s="13"/>
    </row>
    <row r="128" spans="1:54" ht="12" customHeight="1" x14ac:dyDescent="0.2">
      <c r="A128" s="14"/>
      <c r="B128" s="12" t="s">
        <v>130</v>
      </c>
      <c r="D128" s="6"/>
      <c r="E128" s="6"/>
      <c r="F128" s="13"/>
      <c r="G128" s="6"/>
      <c r="H128" s="6"/>
      <c r="I128" s="13"/>
      <c r="J128" s="6"/>
      <c r="K128" s="6"/>
      <c r="L128" s="13"/>
      <c r="M128" s="6"/>
      <c r="N128" s="6"/>
      <c r="O128" s="13"/>
      <c r="P128" s="6"/>
      <c r="Q128" s="6"/>
      <c r="R128" s="13"/>
      <c r="S128" s="6"/>
      <c r="T128" s="6"/>
      <c r="U128" s="13"/>
      <c r="V128" s="6"/>
      <c r="W128" s="6"/>
      <c r="X128" s="13"/>
      <c r="Y128" s="6"/>
      <c r="Z128" s="6"/>
      <c r="AA128" s="13"/>
      <c r="AB128" s="6"/>
      <c r="AC128" s="6"/>
      <c r="AD128" s="13"/>
      <c r="AE128" s="6"/>
      <c r="AF128" s="6"/>
      <c r="AG128" s="13"/>
      <c r="AH128" s="6"/>
      <c r="AI128" s="6"/>
      <c r="AJ128" s="13"/>
      <c r="AK128" s="6"/>
      <c r="AL128" s="6"/>
      <c r="AM128" s="13"/>
      <c r="AN128" s="6"/>
      <c r="AO128" s="6"/>
      <c r="AP128" s="13"/>
      <c r="AQ128" s="6"/>
      <c r="AR128" s="6"/>
      <c r="AS128" s="13"/>
      <c r="AT128" s="6"/>
      <c r="AU128" s="6"/>
      <c r="AV128" s="13"/>
      <c r="AW128" s="6"/>
      <c r="AX128" s="6"/>
      <c r="AY128" s="13"/>
    </row>
    <row r="129" spans="1:54" ht="12" customHeight="1" x14ac:dyDescent="0.2">
      <c r="B129" s="6"/>
      <c r="D129" s="6"/>
      <c r="E129" s="6"/>
      <c r="F129" s="13"/>
      <c r="G129" s="6"/>
      <c r="H129" s="6"/>
      <c r="I129" s="13"/>
      <c r="J129" s="6"/>
      <c r="K129" s="6"/>
      <c r="L129" s="13"/>
      <c r="M129" s="6"/>
      <c r="N129" s="6"/>
      <c r="O129" s="13"/>
      <c r="P129" s="6"/>
      <c r="Q129" s="6"/>
      <c r="R129" s="13"/>
      <c r="S129" s="6"/>
      <c r="T129" s="6"/>
      <c r="U129" s="13"/>
      <c r="V129" s="6"/>
      <c r="W129" s="6"/>
      <c r="X129" s="13"/>
      <c r="Y129" s="6"/>
      <c r="Z129" s="6"/>
      <c r="AA129" s="13"/>
      <c r="AB129" s="6"/>
      <c r="AC129" s="6"/>
      <c r="AD129" s="13"/>
      <c r="AE129" s="6"/>
      <c r="AF129" s="6"/>
      <c r="AG129" s="13"/>
      <c r="AH129" s="6"/>
      <c r="AI129" s="6"/>
      <c r="AJ129" s="13"/>
      <c r="AK129" s="6"/>
      <c r="AL129" s="6"/>
      <c r="AM129" s="13"/>
      <c r="AN129" s="6"/>
      <c r="AO129" s="6"/>
      <c r="AP129" s="13"/>
      <c r="AQ129" s="6"/>
      <c r="AR129" s="6"/>
      <c r="AS129" s="13"/>
      <c r="AT129" s="6"/>
      <c r="AU129" s="6"/>
      <c r="AV129" s="13"/>
      <c r="AW129" s="6"/>
      <c r="AX129" s="6"/>
      <c r="AY129" s="13"/>
    </row>
    <row r="130" spans="1:54" s="24" customFormat="1" ht="12" customHeight="1" x14ac:dyDescent="0.2">
      <c r="A130" s="15"/>
      <c r="B130" s="23" t="s">
        <v>131</v>
      </c>
      <c r="C130" s="23"/>
      <c r="D130" s="68"/>
      <c r="E130" s="68"/>
      <c r="F130" s="110"/>
      <c r="G130" s="68"/>
      <c r="H130" s="68"/>
      <c r="I130" s="207"/>
      <c r="J130" s="68"/>
      <c r="K130" s="68"/>
      <c r="L130" s="110">
        <f>Valuation!$C$12</f>
        <v>23.85</v>
      </c>
      <c r="M130" s="68">
        <f>Valuation!$C$12</f>
        <v>23.85</v>
      </c>
      <c r="N130" s="68">
        <f>Valuation!$C$12</f>
        <v>23.85</v>
      </c>
      <c r="O130" s="110">
        <f>Valuation!$C$12</f>
        <v>23.85</v>
      </c>
      <c r="P130" s="68">
        <f>Valuation!$C$12</f>
        <v>23.85</v>
      </c>
      <c r="Q130" s="68">
        <f>Valuation!$C$12</f>
        <v>23.85</v>
      </c>
      <c r="R130" s="110">
        <f>Valuation!$C$12</f>
        <v>23.85</v>
      </c>
      <c r="S130" s="68">
        <f>Valuation!$C$12</f>
        <v>23.85</v>
      </c>
      <c r="T130" s="68">
        <f>Valuation!$C$12</f>
        <v>23.85</v>
      </c>
      <c r="U130" s="110">
        <f>Valuation!$C$12</f>
        <v>23.85</v>
      </c>
      <c r="V130" s="68">
        <f>Valuation!$C$12</f>
        <v>23.85</v>
      </c>
      <c r="W130" s="68">
        <f>Valuation!$C$12</f>
        <v>23.85</v>
      </c>
      <c r="X130" s="110">
        <f>Valuation!$C$12</f>
        <v>23.85</v>
      </c>
      <c r="Y130" s="68">
        <f>Valuation!$C$12</f>
        <v>23.85</v>
      </c>
      <c r="Z130" s="68">
        <f>Valuation!$C$12</f>
        <v>23.85</v>
      </c>
      <c r="AA130" s="110">
        <f>Valuation!$C$12</f>
        <v>23.85</v>
      </c>
      <c r="AB130" s="68">
        <f>Valuation!$C$12</f>
        <v>23.85</v>
      </c>
      <c r="AC130" s="68">
        <f>Valuation!$C$12</f>
        <v>23.85</v>
      </c>
      <c r="AD130" s="110">
        <f>Valuation!$C$12</f>
        <v>23.85</v>
      </c>
      <c r="AE130" s="68">
        <f>Valuation!$C$12</f>
        <v>23.85</v>
      </c>
      <c r="AF130" s="68">
        <f>Valuation!$C$12</f>
        <v>23.85</v>
      </c>
      <c r="AG130" s="110">
        <f>Valuation!$C$12</f>
        <v>23.85</v>
      </c>
      <c r="AH130" s="68">
        <f>Valuation!$C$12</f>
        <v>23.85</v>
      </c>
      <c r="AI130" s="68">
        <f>Valuation!$C$12</f>
        <v>23.85</v>
      </c>
      <c r="AJ130" s="110">
        <f>Valuation!$C$12</f>
        <v>23.85</v>
      </c>
      <c r="AK130" s="68">
        <f>Valuation!$C$12</f>
        <v>23.85</v>
      </c>
      <c r="AL130" s="68">
        <f>Valuation!$C$12</f>
        <v>23.85</v>
      </c>
      <c r="AM130" s="110">
        <f>Valuation!$C$12</f>
        <v>23.85</v>
      </c>
      <c r="AN130" s="68">
        <f>Valuation!$C$12</f>
        <v>23.85</v>
      </c>
      <c r="AO130" s="68">
        <f>Valuation!$C$12</f>
        <v>23.85</v>
      </c>
      <c r="AP130" s="110">
        <f>Valuation!$C$12</f>
        <v>23.85</v>
      </c>
      <c r="AQ130" s="68">
        <f>Valuation!$C$12</f>
        <v>23.85</v>
      </c>
      <c r="AR130" s="68">
        <f>Valuation!$C$12</f>
        <v>23.85</v>
      </c>
      <c r="AS130" s="110">
        <f>Valuation!$C$12</f>
        <v>23.85</v>
      </c>
      <c r="AT130" s="68">
        <f>Valuation!$C$12</f>
        <v>23.85</v>
      </c>
      <c r="AU130" s="68">
        <f>Valuation!$C$12</f>
        <v>23.85</v>
      </c>
      <c r="AV130" s="110">
        <f>Valuation!$C$12</f>
        <v>23.85</v>
      </c>
      <c r="AW130" s="68">
        <f>Valuation!$C$12</f>
        <v>23.85</v>
      </c>
      <c r="AX130" s="68">
        <f>Valuation!$C$12</f>
        <v>23.85</v>
      </c>
      <c r="AY130" s="110">
        <f>Valuation!$C$12</f>
        <v>23.85</v>
      </c>
      <c r="BB130" s="15"/>
    </row>
    <row r="131" spans="1:54" s="24" customFormat="1" ht="12" customHeight="1" x14ac:dyDescent="0.2">
      <c r="A131" s="15"/>
      <c r="B131" s="23" t="s">
        <v>301</v>
      </c>
      <c r="C131" s="23"/>
      <c r="D131" s="26"/>
      <c r="E131" s="26"/>
      <c r="F131" s="27"/>
      <c r="G131" s="26"/>
      <c r="H131" s="26"/>
      <c r="I131" s="205"/>
      <c r="J131" s="26"/>
      <c r="K131" s="26"/>
      <c r="L131" s="27">
        <f t="shared" ref="L131" si="558">+L20</f>
        <v>21.7</v>
      </c>
      <c r="M131" s="26">
        <f t="shared" ref="M131:O131" si="559">+M20</f>
        <v>14.2</v>
      </c>
      <c r="N131" s="26">
        <f t="shared" si="559"/>
        <v>15.100000000000001</v>
      </c>
      <c r="O131" s="27">
        <f t="shared" si="559"/>
        <v>29.3</v>
      </c>
      <c r="P131" s="26">
        <f t="shared" ref="P131:R131" si="560">+P20</f>
        <v>24.7</v>
      </c>
      <c r="Q131" s="26">
        <f t="shared" si="560"/>
        <v>20.099999999999998</v>
      </c>
      <c r="R131" s="27">
        <f t="shared" si="560"/>
        <v>44.8</v>
      </c>
      <c r="S131" s="26">
        <f t="shared" ref="S131:U131" si="561">+S20</f>
        <v>31.577999999999999</v>
      </c>
      <c r="T131" s="26">
        <f t="shared" si="561"/>
        <v>33.540999999999997</v>
      </c>
      <c r="U131" s="27">
        <f t="shared" si="561"/>
        <v>65.119</v>
      </c>
      <c r="V131" s="26">
        <f t="shared" ref="V131:AY131" si="562">+V20</f>
        <v>42.436647390347282</v>
      </c>
      <c r="W131" s="26">
        <f t="shared" si="562"/>
        <v>40.588008146634067</v>
      </c>
      <c r="X131" s="27">
        <f t="shared" si="562"/>
        <v>83.024655536981356</v>
      </c>
      <c r="Y131" s="26">
        <f t="shared" si="562"/>
        <v>55.449648749961369</v>
      </c>
      <c r="Z131" s="26">
        <f t="shared" si="562"/>
        <v>54.308335411813054</v>
      </c>
      <c r="AA131" s="27">
        <f t="shared" si="562"/>
        <v>109.75798416177442</v>
      </c>
      <c r="AB131" s="26">
        <f t="shared" si="562"/>
        <v>72.985706785058511</v>
      </c>
      <c r="AC131" s="26">
        <f t="shared" si="562"/>
        <v>71.507867071585679</v>
      </c>
      <c r="AD131" s="27">
        <f t="shared" si="562"/>
        <v>144.49357385664416</v>
      </c>
      <c r="AE131" s="26">
        <f t="shared" si="562"/>
        <v>91.082528997465076</v>
      </c>
      <c r="AF131" s="26">
        <f t="shared" si="562"/>
        <v>89.097935800697243</v>
      </c>
      <c r="AG131" s="27">
        <f t="shared" si="562"/>
        <v>180.18046479816232</v>
      </c>
      <c r="AH131" s="26">
        <f t="shared" si="562"/>
        <v>111.58203092267381</v>
      </c>
      <c r="AI131" s="26">
        <f t="shared" si="562"/>
        <v>107.23518915985545</v>
      </c>
      <c r="AJ131" s="27">
        <f t="shared" si="562"/>
        <v>218.81722008252927</v>
      </c>
      <c r="AK131" s="26">
        <f t="shared" si="562"/>
        <v>123.45882482107419</v>
      </c>
      <c r="AL131" s="26">
        <f t="shared" si="562"/>
        <v>120.37773896295747</v>
      </c>
      <c r="AM131" s="27">
        <f t="shared" si="562"/>
        <v>243.83656378403165</v>
      </c>
      <c r="AN131" s="26">
        <f t="shared" si="562"/>
        <v>140.45118455267078</v>
      </c>
      <c r="AO131" s="26">
        <f t="shared" si="562"/>
        <v>136.65716686326323</v>
      </c>
      <c r="AP131" s="27">
        <f t="shared" si="562"/>
        <v>277.10835141593407</v>
      </c>
      <c r="AQ131" s="26">
        <f t="shared" si="562"/>
        <v>158.71687280159489</v>
      </c>
      <c r="AR131" s="26">
        <f t="shared" si="562"/>
        <v>154.15380916618517</v>
      </c>
      <c r="AS131" s="27">
        <f t="shared" si="562"/>
        <v>312.87068196778011</v>
      </c>
      <c r="AT131" s="26">
        <f t="shared" si="562"/>
        <v>178.32925784701064</v>
      </c>
      <c r="AU131" s="26">
        <f t="shared" si="562"/>
        <v>172.93733321480372</v>
      </c>
      <c r="AV131" s="27">
        <f t="shared" si="562"/>
        <v>351.26659106181432</v>
      </c>
      <c r="AW131" s="26">
        <f t="shared" si="562"/>
        <v>199.36486416651655</v>
      </c>
      <c r="AX131" s="26">
        <f t="shared" si="562"/>
        <v>193.08033110747752</v>
      </c>
      <c r="AY131" s="27">
        <f t="shared" si="562"/>
        <v>392.44519527399422</v>
      </c>
      <c r="BB131" s="15"/>
    </row>
    <row r="132" spans="1:54" s="24" customFormat="1" ht="12" customHeight="1" x14ac:dyDescent="0.2">
      <c r="A132" s="15"/>
      <c r="B132" s="23" t="s">
        <v>67</v>
      </c>
      <c r="C132" s="23"/>
      <c r="D132" s="26"/>
      <c r="E132" s="26"/>
      <c r="F132" s="27"/>
      <c r="G132" s="26"/>
      <c r="H132" s="26"/>
      <c r="I132" s="205"/>
      <c r="J132" s="26"/>
      <c r="K132" s="26"/>
      <c r="L132" s="27">
        <f t="shared" ref="L132" si="563">+L98</f>
        <v>19.643999999999981</v>
      </c>
      <c r="M132" s="26">
        <f t="shared" ref="M132:O132" si="564">+M98</f>
        <v>13.674000000000014</v>
      </c>
      <c r="N132" s="26">
        <f t="shared" si="564"/>
        <v>21.272999999999989</v>
      </c>
      <c r="O132" s="27">
        <f t="shared" si="564"/>
        <v>34.947000000000003</v>
      </c>
      <c r="P132" s="26">
        <f t="shared" ref="P132:R132" si="565">+P98</f>
        <v>14.115999999999994</v>
      </c>
      <c r="Q132" s="26">
        <f t="shared" si="565"/>
        <v>22.648999999999969</v>
      </c>
      <c r="R132" s="27">
        <f t="shared" si="565"/>
        <v>36.764999999999965</v>
      </c>
      <c r="S132" s="26">
        <f t="shared" ref="S132:U132" si="566">+S98</f>
        <v>19.194000000000003</v>
      </c>
      <c r="T132" s="26">
        <f t="shared" si="566"/>
        <v>38.132999999999953</v>
      </c>
      <c r="U132" s="27">
        <f t="shared" si="566"/>
        <v>57.326999999999956</v>
      </c>
      <c r="V132" s="26">
        <f t="shared" ref="V132:AY132" si="567">+V98</f>
        <v>47.243771210826814</v>
      </c>
      <c r="W132" s="26">
        <f t="shared" si="567"/>
        <v>44.419906576767772</v>
      </c>
      <c r="X132" s="27">
        <f t="shared" si="567"/>
        <v>91.663677787594594</v>
      </c>
      <c r="Y132" s="26">
        <f t="shared" si="567"/>
        <v>56.762388163373473</v>
      </c>
      <c r="Z132" s="26">
        <f t="shared" si="567"/>
        <v>53.48094481085937</v>
      </c>
      <c r="AA132" s="27">
        <f t="shared" si="567"/>
        <v>110.24333297423284</v>
      </c>
      <c r="AB132" s="26">
        <f t="shared" si="567"/>
        <v>68.199578922574815</v>
      </c>
      <c r="AC132" s="26">
        <f t="shared" si="567"/>
        <v>66.944170995743946</v>
      </c>
      <c r="AD132" s="27">
        <f t="shared" si="567"/>
        <v>135.14374991831878</v>
      </c>
      <c r="AE132" s="26">
        <f t="shared" si="567"/>
        <v>82.302133904633877</v>
      </c>
      <c r="AF132" s="26">
        <f t="shared" si="567"/>
        <v>80.961567695708837</v>
      </c>
      <c r="AG132" s="27">
        <f t="shared" si="567"/>
        <v>163.2637016003427</v>
      </c>
      <c r="AH132" s="26">
        <f t="shared" si="567"/>
        <v>98.338537769080531</v>
      </c>
      <c r="AI132" s="26">
        <f t="shared" si="567"/>
        <v>95.76646622186945</v>
      </c>
      <c r="AJ132" s="27">
        <f t="shared" si="567"/>
        <v>194.10500399095</v>
      </c>
      <c r="AK132" s="26">
        <f t="shared" si="567"/>
        <v>110.77272580924581</v>
      </c>
      <c r="AL132" s="26">
        <f t="shared" si="567"/>
        <v>107.00194435712179</v>
      </c>
      <c r="AM132" s="27">
        <f t="shared" si="567"/>
        <v>217.77467016636766</v>
      </c>
      <c r="AN132" s="26">
        <f t="shared" si="567"/>
        <v>124.50089347449689</v>
      </c>
      <c r="AO132" s="26">
        <f t="shared" si="567"/>
        <v>120.87974737203594</v>
      </c>
      <c r="AP132" s="27">
        <f t="shared" si="567"/>
        <v>245.3806408465328</v>
      </c>
      <c r="AQ132" s="26">
        <f t="shared" si="567"/>
        <v>140.04123127444049</v>
      </c>
      <c r="AR132" s="26">
        <f t="shared" si="567"/>
        <v>135.9043647600372</v>
      </c>
      <c r="AS132" s="27">
        <f t="shared" si="567"/>
        <v>275.94559603447777</v>
      </c>
      <c r="AT132" s="26">
        <f t="shared" si="567"/>
        <v>156.8414050066736</v>
      </c>
      <c r="AU132" s="26">
        <f t="shared" si="567"/>
        <v>152.15602132284263</v>
      </c>
      <c r="AV132" s="27">
        <f t="shared" si="567"/>
        <v>308.9974263295162</v>
      </c>
      <c r="AW132" s="26">
        <f t="shared" si="567"/>
        <v>174.98715999487607</v>
      </c>
      <c r="AX132" s="26">
        <f t="shared" si="567"/>
        <v>169.71748773868984</v>
      </c>
      <c r="AY132" s="27">
        <f t="shared" si="567"/>
        <v>344.70464773356582</v>
      </c>
      <c r="BB132" s="15"/>
    </row>
    <row r="133" spans="1:54" s="24" customFormat="1" ht="12" customHeight="1" x14ac:dyDescent="0.2">
      <c r="A133" s="15"/>
      <c r="B133" s="23" t="s">
        <v>132</v>
      </c>
      <c r="C133" s="23"/>
      <c r="D133" s="26"/>
      <c r="E133" s="26"/>
      <c r="F133" s="27"/>
      <c r="G133" s="26"/>
      <c r="H133" s="26"/>
      <c r="I133" s="205"/>
      <c r="J133" s="26"/>
      <c r="K133" s="26"/>
      <c r="L133" s="27">
        <f t="shared" ref="L133" si="568">+L102+L101+L103</f>
        <v>-32.228000000000002</v>
      </c>
      <c r="M133" s="26">
        <f t="shared" ref="M133:O133" si="569">+M102+M101+M103</f>
        <v>-21.543000000000003</v>
      </c>
      <c r="N133" s="26">
        <f t="shared" si="569"/>
        <v>-27.554000000000002</v>
      </c>
      <c r="O133" s="27">
        <f t="shared" si="569"/>
        <v>-49.097000000000001</v>
      </c>
      <c r="P133" s="26">
        <f t="shared" ref="P133:R133" si="570">+P102+P101+P103</f>
        <v>-14.876000000000001</v>
      </c>
      <c r="Q133" s="26">
        <f t="shared" si="570"/>
        <v>-21.811</v>
      </c>
      <c r="R133" s="27">
        <f t="shared" si="570"/>
        <v>-36.687000000000005</v>
      </c>
      <c r="S133" s="26">
        <f t="shared" ref="S133:U133" si="571">+S102+S101+S103</f>
        <v>-33.953000000000003</v>
      </c>
      <c r="T133" s="26">
        <f t="shared" si="571"/>
        <v>-42.88300000000001</v>
      </c>
      <c r="U133" s="27">
        <f t="shared" si="571"/>
        <v>-76.836000000000013</v>
      </c>
      <c r="V133" s="26">
        <f t="shared" ref="V133:AY133" si="572">+V102+V101+V103</f>
        <v>-30</v>
      </c>
      <c r="W133" s="26">
        <f t="shared" si="572"/>
        <v>-30</v>
      </c>
      <c r="X133" s="27">
        <f t="shared" si="572"/>
        <v>-60</v>
      </c>
      <c r="Y133" s="26">
        <f t="shared" si="572"/>
        <v>-31.95</v>
      </c>
      <c r="Z133" s="26">
        <f t="shared" si="572"/>
        <v>-31.95</v>
      </c>
      <c r="AA133" s="27">
        <f t="shared" si="572"/>
        <v>-63.9</v>
      </c>
      <c r="AB133" s="26">
        <f t="shared" si="572"/>
        <v>-34.186500000000002</v>
      </c>
      <c r="AC133" s="26">
        <f t="shared" si="572"/>
        <v>-34.186500000000002</v>
      </c>
      <c r="AD133" s="27">
        <f t="shared" si="572"/>
        <v>-68.373000000000005</v>
      </c>
      <c r="AE133" s="26">
        <f t="shared" si="572"/>
        <v>-36.579555000000006</v>
      </c>
      <c r="AF133" s="26">
        <f t="shared" si="572"/>
        <v>-36.579555000000006</v>
      </c>
      <c r="AG133" s="27">
        <f t="shared" si="572"/>
        <v>-73.159110000000013</v>
      </c>
      <c r="AH133" s="26">
        <f t="shared" si="572"/>
        <v>-39.140123850000009</v>
      </c>
      <c r="AI133" s="26">
        <f t="shared" si="572"/>
        <v>-39.140123850000009</v>
      </c>
      <c r="AJ133" s="27">
        <f t="shared" si="572"/>
        <v>-78.280247700000018</v>
      </c>
      <c r="AK133" s="26">
        <f t="shared" si="572"/>
        <v>-41.879932519500009</v>
      </c>
      <c r="AL133" s="26">
        <f t="shared" si="572"/>
        <v>-41.879932519500009</v>
      </c>
      <c r="AM133" s="27">
        <f t="shared" si="572"/>
        <v>-83.759865039000019</v>
      </c>
      <c r="AN133" s="26">
        <f t="shared" si="572"/>
        <v>-44.811527795865011</v>
      </c>
      <c r="AO133" s="26">
        <f t="shared" si="572"/>
        <v>-44.811527795865011</v>
      </c>
      <c r="AP133" s="27">
        <f t="shared" si="572"/>
        <v>-89.623055591730022</v>
      </c>
      <c r="AQ133" s="26">
        <f t="shared" si="572"/>
        <v>-47.948334741575565</v>
      </c>
      <c r="AR133" s="26">
        <f t="shared" si="572"/>
        <v>-47.948334741575565</v>
      </c>
      <c r="AS133" s="27">
        <f t="shared" si="572"/>
        <v>-95.896669483151129</v>
      </c>
      <c r="AT133" s="26">
        <f t="shared" si="572"/>
        <v>-51.30471817348586</v>
      </c>
      <c r="AU133" s="26">
        <f t="shared" si="572"/>
        <v>-51.30471817348586</v>
      </c>
      <c r="AV133" s="27">
        <f t="shared" si="572"/>
        <v>-102.60943634697172</v>
      </c>
      <c r="AW133" s="26">
        <f t="shared" si="572"/>
        <v>-54.896048445629873</v>
      </c>
      <c r="AX133" s="26">
        <f t="shared" si="572"/>
        <v>-54.896048445629873</v>
      </c>
      <c r="AY133" s="27">
        <f t="shared" si="572"/>
        <v>-109.79209689125975</v>
      </c>
      <c r="BB133" s="15"/>
    </row>
    <row r="134" spans="1:54" s="24" customFormat="1" ht="12" customHeight="1" x14ac:dyDescent="0.2">
      <c r="A134" s="15"/>
      <c r="B134" s="29" t="s">
        <v>133</v>
      </c>
      <c r="C134" s="29"/>
      <c r="D134" s="39"/>
      <c r="E134" s="39"/>
      <c r="F134" s="30"/>
      <c r="G134" s="39"/>
      <c r="H134" s="39"/>
      <c r="I134" s="208"/>
      <c r="J134" s="39"/>
      <c r="K134" s="39"/>
      <c r="L134" s="30">
        <f t="shared" ref="L134" si="573">+L133+L98</f>
        <v>-12.584000000000021</v>
      </c>
      <c r="M134" s="39">
        <f t="shared" ref="M134:O134" si="574">+M133+M98</f>
        <v>-7.8689999999999891</v>
      </c>
      <c r="N134" s="39">
        <f t="shared" si="574"/>
        <v>-6.281000000000013</v>
      </c>
      <c r="O134" s="30">
        <f t="shared" si="574"/>
        <v>-14.149999999999999</v>
      </c>
      <c r="P134" s="39">
        <f t="shared" ref="P134:R134" si="575">+P133+P98</f>
        <v>-0.76000000000000689</v>
      </c>
      <c r="Q134" s="39">
        <f t="shared" si="575"/>
        <v>0.83799999999996899</v>
      </c>
      <c r="R134" s="30">
        <f t="shared" si="575"/>
        <v>7.7999999999960323E-2</v>
      </c>
      <c r="S134" s="39">
        <f t="shared" ref="S134:U134" si="576">+S133+S98</f>
        <v>-14.759</v>
      </c>
      <c r="T134" s="39">
        <f t="shared" si="576"/>
        <v>-4.7500000000000568</v>
      </c>
      <c r="U134" s="30">
        <f t="shared" si="576"/>
        <v>-19.509000000000057</v>
      </c>
      <c r="V134" s="39">
        <f t="shared" ref="V134:AY134" si="577">+V133+V98</f>
        <v>17.243771210826814</v>
      </c>
      <c r="W134" s="39">
        <f t="shared" si="577"/>
        <v>14.419906576767772</v>
      </c>
      <c r="X134" s="30">
        <f t="shared" si="577"/>
        <v>31.663677787594594</v>
      </c>
      <c r="Y134" s="39">
        <f t="shared" si="577"/>
        <v>24.812388163373473</v>
      </c>
      <c r="Z134" s="39">
        <f t="shared" si="577"/>
        <v>21.530944810859371</v>
      </c>
      <c r="AA134" s="30">
        <f t="shared" si="577"/>
        <v>46.343332974232844</v>
      </c>
      <c r="AB134" s="39">
        <f t="shared" si="577"/>
        <v>34.013078922574813</v>
      </c>
      <c r="AC134" s="39">
        <f t="shared" si="577"/>
        <v>32.757670995743943</v>
      </c>
      <c r="AD134" s="30">
        <f t="shared" si="577"/>
        <v>66.770749918318771</v>
      </c>
      <c r="AE134" s="39">
        <f t="shared" si="577"/>
        <v>45.72257890463387</v>
      </c>
      <c r="AF134" s="39">
        <f t="shared" si="577"/>
        <v>44.382012695708831</v>
      </c>
      <c r="AG134" s="30">
        <f t="shared" si="577"/>
        <v>90.104591600342687</v>
      </c>
      <c r="AH134" s="39">
        <f t="shared" si="577"/>
        <v>59.198413919080522</v>
      </c>
      <c r="AI134" s="39">
        <f t="shared" si="577"/>
        <v>56.626342371869441</v>
      </c>
      <c r="AJ134" s="30">
        <f t="shared" si="577"/>
        <v>115.82475629094998</v>
      </c>
      <c r="AK134" s="39">
        <f t="shared" si="577"/>
        <v>68.892793289745811</v>
      </c>
      <c r="AL134" s="39">
        <f t="shared" si="577"/>
        <v>65.122011837621784</v>
      </c>
      <c r="AM134" s="30">
        <f t="shared" si="577"/>
        <v>134.01480512736765</v>
      </c>
      <c r="AN134" s="39">
        <f t="shared" si="577"/>
        <v>79.689365678631873</v>
      </c>
      <c r="AO134" s="39">
        <f t="shared" si="577"/>
        <v>76.068219576170918</v>
      </c>
      <c r="AP134" s="30">
        <f t="shared" si="577"/>
        <v>155.75758525480279</v>
      </c>
      <c r="AQ134" s="39">
        <f t="shared" si="577"/>
        <v>92.092896532864927</v>
      </c>
      <c r="AR134" s="39">
        <f t="shared" si="577"/>
        <v>87.956030018461632</v>
      </c>
      <c r="AS134" s="30">
        <f t="shared" si="577"/>
        <v>180.04892655132664</v>
      </c>
      <c r="AT134" s="39">
        <f t="shared" si="577"/>
        <v>105.53668683318773</v>
      </c>
      <c r="AU134" s="39">
        <f t="shared" si="577"/>
        <v>100.85130314935677</v>
      </c>
      <c r="AV134" s="30">
        <f t="shared" si="577"/>
        <v>206.38798998254447</v>
      </c>
      <c r="AW134" s="39">
        <f t="shared" si="577"/>
        <v>120.09111154924619</v>
      </c>
      <c r="AX134" s="39">
        <f t="shared" si="577"/>
        <v>114.82143929305997</v>
      </c>
      <c r="AY134" s="30">
        <f t="shared" si="577"/>
        <v>234.91255084230608</v>
      </c>
      <c r="BB134" s="15"/>
    </row>
    <row r="135" spans="1:54" s="24" customFormat="1" ht="12" customHeight="1" x14ac:dyDescent="0.2">
      <c r="A135" s="15"/>
      <c r="B135" s="23" t="s">
        <v>134</v>
      </c>
      <c r="C135" s="23"/>
      <c r="D135" s="26"/>
      <c r="E135" s="26"/>
      <c r="F135" s="27"/>
      <c r="G135" s="26"/>
      <c r="H135" s="26"/>
      <c r="I135" s="205"/>
      <c r="J135" s="26"/>
      <c r="K135" s="26"/>
      <c r="L135" s="27"/>
      <c r="M135" s="26"/>
      <c r="N135" s="26"/>
      <c r="O135" s="27"/>
      <c r="P135" s="26"/>
      <c r="Q135" s="26"/>
      <c r="R135" s="27"/>
      <c r="S135" s="26"/>
      <c r="T135" s="26"/>
      <c r="U135" s="27"/>
      <c r="V135" s="26"/>
      <c r="W135" s="26"/>
      <c r="X135" s="27"/>
      <c r="Y135" s="26"/>
      <c r="Z135" s="26"/>
      <c r="AA135" s="27"/>
      <c r="AB135" s="26"/>
      <c r="AC135" s="26"/>
      <c r="AD135" s="27"/>
      <c r="AE135" s="26"/>
      <c r="AF135" s="26"/>
      <c r="AG135" s="27"/>
      <c r="AH135" s="26"/>
      <c r="AI135" s="26"/>
      <c r="AJ135" s="27"/>
      <c r="AK135" s="26"/>
      <c r="AL135" s="26"/>
      <c r="AM135" s="27"/>
      <c r="AN135" s="26"/>
      <c r="AO135" s="26"/>
      <c r="AP135" s="27"/>
      <c r="AQ135" s="26"/>
      <c r="AR135" s="26"/>
      <c r="AS135" s="27"/>
      <c r="AT135" s="26"/>
      <c r="AU135" s="26"/>
      <c r="AV135" s="27"/>
      <c r="AW135" s="26"/>
      <c r="AX135" s="26"/>
      <c r="AY135" s="27"/>
      <c r="BB135" s="15"/>
    </row>
    <row r="136" spans="1:54" ht="12" customHeight="1" x14ac:dyDescent="0.2">
      <c r="B136" s="6" t="s">
        <v>293</v>
      </c>
      <c r="D136" s="53"/>
      <c r="E136" s="53"/>
      <c r="F136" s="56"/>
      <c r="G136" s="53"/>
      <c r="H136" s="53"/>
      <c r="I136" s="209"/>
      <c r="J136" s="53"/>
      <c r="K136" s="53"/>
      <c r="L136" s="56">
        <f t="shared" ref="L136" si="578">+L98/L20</f>
        <v>0.90525345622119724</v>
      </c>
      <c r="M136" s="53">
        <f t="shared" ref="M136:O136" si="579">+M98/M20</f>
        <v>0.96295774647887422</v>
      </c>
      <c r="N136" s="53">
        <f t="shared" si="579"/>
        <v>1.4088079470198667</v>
      </c>
      <c r="O136" s="56">
        <f t="shared" si="579"/>
        <v>1.1927303754266212</v>
      </c>
      <c r="P136" s="53">
        <f t="shared" ref="P136:R136" si="580">+P98/P20</f>
        <v>0.5714979757085018</v>
      </c>
      <c r="Q136" s="53">
        <f t="shared" si="580"/>
        <v>1.1268159203980086</v>
      </c>
      <c r="R136" s="56">
        <f t="shared" si="580"/>
        <v>0.82064732142857066</v>
      </c>
      <c r="S136" s="53">
        <f t="shared" ref="S136:U136" si="581">+S98/S20</f>
        <v>0.60782823484704551</v>
      </c>
      <c r="T136" s="53">
        <f t="shared" si="581"/>
        <v>1.1369070689603755</v>
      </c>
      <c r="U136" s="56">
        <f t="shared" si="581"/>
        <v>0.88034214284617329</v>
      </c>
      <c r="V136" s="53">
        <f t="shared" ref="V136:AY136" si="582">+V98/V20</f>
        <v>1.1132776530686297</v>
      </c>
      <c r="W136" s="53">
        <f t="shared" si="582"/>
        <v>1.0944096201097142</v>
      </c>
      <c r="X136" s="56">
        <f t="shared" si="582"/>
        <v>1.1040536957935969</v>
      </c>
      <c r="Y136" s="53">
        <f t="shared" si="582"/>
        <v>1.023674440560149</v>
      </c>
      <c r="Z136" s="53">
        <f t="shared" si="582"/>
        <v>0.9847649427168097</v>
      </c>
      <c r="AA136" s="56">
        <f t="shared" si="582"/>
        <v>1.0044219909482217</v>
      </c>
      <c r="AB136" s="53">
        <f t="shared" si="582"/>
        <v>0.93442376496292967</v>
      </c>
      <c r="AC136" s="53">
        <f t="shared" si="582"/>
        <v>0.93617910500290724</v>
      </c>
      <c r="AD136" s="56">
        <f t="shared" si="582"/>
        <v>0.93529245842031983</v>
      </c>
      <c r="AE136" s="53">
        <f t="shared" si="582"/>
        <v>0.90359956855089552</v>
      </c>
      <c r="AF136" s="53">
        <f t="shared" si="582"/>
        <v>0.90868062170162267</v>
      </c>
      <c r="AG136" s="56">
        <f t="shared" si="582"/>
        <v>0.90611211256020607</v>
      </c>
      <c r="AH136" s="53">
        <f t="shared" si="582"/>
        <v>0.88131159610483345</v>
      </c>
      <c r="AI136" s="53">
        <f t="shared" si="582"/>
        <v>0.89305075108423992</v>
      </c>
      <c r="AJ136" s="56">
        <f t="shared" si="582"/>
        <v>0.88706457342681344</v>
      </c>
      <c r="AK136" s="53">
        <f t="shared" si="582"/>
        <v>0.89724429152623131</v>
      </c>
      <c r="AL136" s="53">
        <f t="shared" si="582"/>
        <v>0.88888481607092096</v>
      </c>
      <c r="AM136" s="56">
        <f t="shared" si="582"/>
        <v>0.89311736839948552</v>
      </c>
      <c r="AN136" s="53">
        <f t="shared" si="582"/>
        <v>0.88643533958809473</v>
      </c>
      <c r="AO136" s="53">
        <f t="shared" si="582"/>
        <v>0.88454744194269808</v>
      </c>
      <c r="AP136" s="56">
        <f t="shared" si="582"/>
        <v>0.88550431480219582</v>
      </c>
      <c r="AQ136" s="53">
        <f t="shared" si="582"/>
        <v>0.88233360954320206</v>
      </c>
      <c r="AR136" s="53">
        <f t="shared" si="582"/>
        <v>0.88161535219363796</v>
      </c>
      <c r="AS136" s="56">
        <f t="shared" si="582"/>
        <v>0.88197971858192536</v>
      </c>
      <c r="AT136" s="53">
        <f t="shared" si="582"/>
        <v>0.87950461354596365</v>
      </c>
      <c r="AU136" s="53">
        <f t="shared" si="582"/>
        <v>0.87983328119123461</v>
      </c>
      <c r="AV136" s="56">
        <f t="shared" si="582"/>
        <v>0.87966642485262769</v>
      </c>
      <c r="AW136" s="53">
        <f t="shared" si="582"/>
        <v>0.87772316715106147</v>
      </c>
      <c r="AX136" s="53">
        <f t="shared" si="582"/>
        <v>0.87899936138092272</v>
      </c>
      <c r="AY136" s="56">
        <f t="shared" si="582"/>
        <v>0.87835104591585766</v>
      </c>
    </row>
    <row r="137" spans="1:54" ht="12" customHeight="1" x14ac:dyDescent="0.2">
      <c r="B137" s="6" t="s">
        <v>294</v>
      </c>
      <c r="D137" s="53"/>
      <c r="E137" s="53"/>
      <c r="F137" s="56"/>
      <c r="G137" s="53"/>
      <c r="H137" s="53"/>
      <c r="I137" s="209"/>
      <c r="J137" s="53"/>
      <c r="K137" s="53"/>
      <c r="L137" s="56">
        <f t="shared" ref="L137" si="583">+L134/L20</f>
        <v>-0.57990783410138347</v>
      </c>
      <c r="M137" s="53">
        <f t="shared" ref="M137:O137" si="584">+M134/M20</f>
        <v>-0.55415492957746404</v>
      </c>
      <c r="N137" s="53">
        <f t="shared" si="584"/>
        <v>-0.41596026490066307</v>
      </c>
      <c r="O137" s="56">
        <f t="shared" si="584"/>
        <v>-0.48293515358361766</v>
      </c>
      <c r="P137" s="53">
        <f t="shared" ref="P137:R137" si="585">+P134/P20</f>
        <v>-3.0769230769231048E-2</v>
      </c>
      <c r="Q137" s="53">
        <f t="shared" si="585"/>
        <v>4.1691542288555677E-2</v>
      </c>
      <c r="R137" s="56">
        <f t="shared" si="585"/>
        <v>1.7410714285705431E-3</v>
      </c>
      <c r="S137" s="53">
        <f t="shared" ref="S137:U137" si="586">+S134/S20</f>
        <v>-0.4673823548039775</v>
      </c>
      <c r="T137" s="53">
        <f t="shared" si="586"/>
        <v>-0.14161772159446817</v>
      </c>
      <c r="U137" s="56">
        <f t="shared" si="586"/>
        <v>-0.29958998141863447</v>
      </c>
      <c r="V137" s="53">
        <f t="shared" ref="V137:AY137" si="587">+V134/V20</f>
        <v>0.40634150601513147</v>
      </c>
      <c r="W137" s="53">
        <f t="shared" si="587"/>
        <v>0.35527504884379513</v>
      </c>
      <c r="X137" s="56">
        <f t="shared" si="587"/>
        <v>0.38137680406865115</v>
      </c>
      <c r="Y137" s="53">
        <f t="shared" si="587"/>
        <v>0.4474760205472133</v>
      </c>
      <c r="Z137" s="53">
        <f t="shared" si="587"/>
        <v>0.39645746177990931</v>
      </c>
      <c r="AA137" s="56">
        <f t="shared" si="587"/>
        <v>0.42223199822918128</v>
      </c>
      <c r="AB137" s="53">
        <f t="shared" si="587"/>
        <v>0.46602383426583333</v>
      </c>
      <c r="AC137" s="53">
        <f t="shared" si="587"/>
        <v>0.45809884055065753</v>
      </c>
      <c r="AD137" s="56">
        <f t="shared" si="587"/>
        <v>0.46210186471381609</v>
      </c>
      <c r="AE137" s="53">
        <f t="shared" si="587"/>
        <v>0.50199066064476949</v>
      </c>
      <c r="AF137" s="53">
        <f t="shared" si="587"/>
        <v>0.49812616080115196</v>
      </c>
      <c r="AG137" s="56">
        <f t="shared" si="587"/>
        <v>0.50007969344111536</v>
      </c>
      <c r="AH137" s="53">
        <f t="shared" si="587"/>
        <v>0.53053716113219829</v>
      </c>
      <c r="AI137" s="53">
        <f t="shared" si="587"/>
        <v>0.5280574671011824</v>
      </c>
      <c r="AJ137" s="56">
        <f t="shared" si="587"/>
        <v>0.52932194389118659</v>
      </c>
      <c r="AK137" s="53">
        <f t="shared" si="587"/>
        <v>0.55802242885099895</v>
      </c>
      <c r="AL137" s="53">
        <f t="shared" si="587"/>
        <v>0.54098052014136166</v>
      </c>
      <c r="AM137" s="56">
        <f t="shared" si="587"/>
        <v>0.54960914412354434</v>
      </c>
      <c r="AN137" s="53">
        <f t="shared" si="587"/>
        <v>0.56738122880514019</v>
      </c>
      <c r="AO137" s="53">
        <f t="shared" si="587"/>
        <v>0.55663542075538164</v>
      </c>
      <c r="AP137" s="56">
        <f t="shared" si="587"/>
        <v>0.56208188767654199</v>
      </c>
      <c r="AQ137" s="53">
        <f t="shared" si="587"/>
        <v>0.58023381451061151</v>
      </c>
      <c r="AR137" s="53">
        <f t="shared" si="587"/>
        <v>0.57057318592523931</v>
      </c>
      <c r="AS137" s="56">
        <f t="shared" si="587"/>
        <v>0.57547394795485618</v>
      </c>
      <c r="AT137" s="53">
        <f t="shared" si="587"/>
        <v>0.5918080303105846</v>
      </c>
      <c r="AU137" s="53">
        <f t="shared" si="587"/>
        <v>0.58316675338164481</v>
      </c>
      <c r="AV137" s="56">
        <f t="shared" si="587"/>
        <v>0.58755371343079199</v>
      </c>
      <c r="AW137" s="53">
        <f t="shared" si="587"/>
        <v>0.60236848680087318</v>
      </c>
      <c r="AX137" s="53">
        <f t="shared" si="587"/>
        <v>0.59468221664248644</v>
      </c>
      <c r="AY137" s="56">
        <f t="shared" si="587"/>
        <v>0.59858689486132388</v>
      </c>
    </row>
    <row r="138" spans="1:54" ht="12" customHeight="1" x14ac:dyDescent="0.2">
      <c r="B138" s="6" t="s">
        <v>511</v>
      </c>
      <c r="D138" s="53"/>
      <c r="E138" s="53"/>
      <c r="F138" s="56"/>
      <c r="G138" s="53"/>
      <c r="H138" s="53"/>
      <c r="I138" s="209"/>
      <c r="J138" s="53"/>
      <c r="K138" s="53"/>
      <c r="L138" s="56">
        <f t="shared" ref="L138" si="588">+L98/L8</f>
        <v>0.11434758312377748</v>
      </c>
      <c r="M138" s="53">
        <f t="shared" ref="M138:O138" si="589">+M98/M8</f>
        <v>0.112835746998391</v>
      </c>
      <c r="N138" s="53">
        <f t="shared" si="589"/>
        <v>0.15430983831305894</v>
      </c>
      <c r="O138" s="56">
        <f t="shared" si="589"/>
        <v>0.13490758326770744</v>
      </c>
      <c r="P138" s="53">
        <f t="shared" ref="P138:R138" si="590">+P98/P8</f>
        <v>8.4266074487962389E-2</v>
      </c>
      <c r="Q138" s="53">
        <f t="shared" si="590"/>
        <v>0.12964733223810351</v>
      </c>
      <c r="R138" s="56">
        <f t="shared" si="590"/>
        <v>0.10743277598227999</v>
      </c>
      <c r="S138" s="53">
        <f t="shared" ref="S138:U138" si="591">+S98/S8</f>
        <v>9.0359148663725949E-2</v>
      </c>
      <c r="T138" s="53">
        <f t="shared" si="591"/>
        <v>0.17056936970786735</v>
      </c>
      <c r="U138" s="56">
        <f t="shared" si="591"/>
        <v>0.13148937341449865</v>
      </c>
      <c r="V138" s="53">
        <f t="shared" ref="V138:AY138" si="592">+V98/V8</f>
        <v>0.17811923075045841</v>
      </c>
      <c r="W138" s="53">
        <f t="shared" si="592"/>
        <v>0.16235460812384031</v>
      </c>
      <c r="X138" s="56">
        <f t="shared" si="592"/>
        <v>0.17011460691410066</v>
      </c>
      <c r="Y138" s="53">
        <f t="shared" si="592"/>
        <v>0.17927152679964478</v>
      </c>
      <c r="Z138" s="53">
        <f t="shared" si="592"/>
        <v>0.16445179545214086</v>
      </c>
      <c r="AA138" s="56">
        <f t="shared" si="592"/>
        <v>0.17176261354178837</v>
      </c>
      <c r="AB138" s="53">
        <f t="shared" si="592"/>
        <v>0.18274525187753682</v>
      </c>
      <c r="AC138" s="53">
        <f t="shared" si="592"/>
        <v>0.17598303945808097</v>
      </c>
      <c r="AD138" s="56">
        <f t="shared" si="592"/>
        <v>0.17933181295600764</v>
      </c>
      <c r="AE138" s="53">
        <f t="shared" si="592"/>
        <v>0.19196392198881229</v>
      </c>
      <c r="AF138" s="53">
        <f t="shared" si="592"/>
        <v>0.18611014523319291</v>
      </c>
      <c r="AG138" s="56">
        <f t="shared" si="592"/>
        <v>0.18901574628169557</v>
      </c>
      <c r="AH138" s="53">
        <f t="shared" si="592"/>
        <v>0.20143177553496</v>
      </c>
      <c r="AI138" s="53">
        <f t="shared" si="592"/>
        <v>0.19477026113061485</v>
      </c>
      <c r="AJ138" s="56">
        <f t="shared" si="592"/>
        <v>0.19808914986811474</v>
      </c>
      <c r="AK138" s="53">
        <f t="shared" si="592"/>
        <v>0.20146582004554084</v>
      </c>
      <c r="AL138" s="53">
        <f t="shared" si="592"/>
        <v>0.19383512471381784</v>
      </c>
      <c r="AM138" s="56">
        <f t="shared" si="592"/>
        <v>0.19764288321844789</v>
      </c>
      <c r="AN138" s="53">
        <f t="shared" si="592"/>
        <v>0.2022949070135909</v>
      </c>
      <c r="AO138" s="53">
        <f t="shared" si="592"/>
        <v>0.19615752104902043</v>
      </c>
      <c r="AP138" s="56">
        <f t="shared" si="592"/>
        <v>0.199224231826471</v>
      </c>
      <c r="AQ138" s="53">
        <f t="shared" si="592"/>
        <v>0.20436505915855238</v>
      </c>
      <c r="AR138" s="53">
        <f t="shared" si="592"/>
        <v>0.19853159611834628</v>
      </c>
      <c r="AS138" s="56">
        <f t="shared" si="592"/>
        <v>0.20144982364722067</v>
      </c>
      <c r="AT138" s="53">
        <f t="shared" si="592"/>
        <v>0.20650735694013622</v>
      </c>
      <c r="AU138" s="53">
        <f t="shared" si="592"/>
        <v>0.20094913809423132</v>
      </c>
      <c r="AV138" s="56">
        <f t="shared" si="592"/>
        <v>0.20373247798303204</v>
      </c>
      <c r="AW138" s="53">
        <f t="shared" si="592"/>
        <v>0.20870846673079305</v>
      </c>
      <c r="AX138" s="53">
        <f t="shared" si="592"/>
        <v>0.20340072081906158</v>
      </c>
      <c r="AY138" s="56">
        <f t="shared" si="592"/>
        <v>0.20606098565171246</v>
      </c>
    </row>
    <row r="139" spans="1:54" ht="12" customHeight="1" x14ac:dyDescent="0.2">
      <c r="B139" s="6"/>
      <c r="D139" s="6"/>
      <c r="E139" s="6"/>
      <c r="F139" s="13"/>
      <c r="G139" s="6"/>
      <c r="H139" s="6"/>
      <c r="I139" s="210"/>
      <c r="J139" s="6"/>
      <c r="K139" s="6"/>
      <c r="L139" s="13"/>
      <c r="M139" s="6"/>
      <c r="N139" s="6"/>
      <c r="O139" s="13"/>
      <c r="P139" s="6"/>
      <c r="Q139" s="6"/>
      <c r="R139" s="13"/>
      <c r="S139" s="6"/>
      <c r="T139" s="6"/>
      <c r="U139" s="13"/>
      <c r="V139" s="6"/>
      <c r="W139" s="6"/>
      <c r="X139" s="13"/>
      <c r="Y139" s="6"/>
      <c r="Z139" s="6"/>
      <c r="AA139" s="13"/>
      <c r="AB139" s="6"/>
      <c r="AC139" s="6"/>
      <c r="AD139" s="13"/>
      <c r="AE139" s="6"/>
      <c r="AF139" s="6"/>
      <c r="AG139" s="13"/>
      <c r="AH139" s="6"/>
      <c r="AI139" s="6"/>
      <c r="AJ139" s="13"/>
      <c r="AK139" s="6"/>
      <c r="AL139" s="6"/>
      <c r="AM139" s="13"/>
      <c r="AN139" s="6"/>
      <c r="AO139" s="6"/>
      <c r="AP139" s="13"/>
      <c r="AQ139" s="6"/>
      <c r="AR139" s="6"/>
      <c r="AS139" s="13"/>
      <c r="AT139" s="6"/>
      <c r="AU139" s="6"/>
      <c r="AV139" s="13"/>
      <c r="AW139" s="6"/>
      <c r="AX139" s="6"/>
      <c r="AY139" s="13"/>
    </row>
    <row r="140" spans="1:54" s="24" customFormat="1" ht="12" customHeight="1" x14ac:dyDescent="0.2">
      <c r="A140" s="15"/>
      <c r="B140" s="23" t="s">
        <v>135</v>
      </c>
      <c r="C140" s="23"/>
      <c r="D140" s="26"/>
      <c r="E140" s="26"/>
      <c r="F140" s="27"/>
      <c r="G140" s="26"/>
      <c r="H140" s="26"/>
      <c r="I140" s="205"/>
      <c r="J140" s="26"/>
      <c r="K140" s="26"/>
      <c r="L140" s="27">
        <f>+O140</f>
        <v>2003.2162357500001</v>
      </c>
      <c r="M140" s="26"/>
      <c r="N140" s="26"/>
      <c r="O140" s="27">
        <f t="shared" ref="O140" si="593">+O130*O49</f>
        <v>2003.2162357500001</v>
      </c>
      <c r="P140" s="26">
        <f t="shared" ref="P140:R140" si="594">+P130*P49</f>
        <v>0</v>
      </c>
      <c r="Q140" s="26">
        <f t="shared" si="594"/>
        <v>2040.8065308000002</v>
      </c>
      <c r="R140" s="27">
        <f t="shared" si="594"/>
        <v>2040.8065308000002</v>
      </c>
      <c r="S140" s="26">
        <f t="shared" ref="S140:U140" si="595">+S130*S49</f>
        <v>2531.3109493500001</v>
      </c>
      <c r="T140" s="26">
        <f t="shared" si="595"/>
        <v>2525.8339160999999</v>
      </c>
      <c r="U140" s="27">
        <f t="shared" si="595"/>
        <v>2525.8339160999999</v>
      </c>
      <c r="V140" s="26">
        <f t="shared" ref="V140:AY140" si="596">+V130*V49</f>
        <v>2453.2240698000001</v>
      </c>
      <c r="W140" s="26">
        <f t="shared" si="596"/>
        <v>2453.2240698000001</v>
      </c>
      <c r="X140" s="27">
        <f t="shared" si="596"/>
        <v>2453.2240698000001</v>
      </c>
      <c r="Y140" s="26">
        <f t="shared" si="596"/>
        <v>2453.2240698000001</v>
      </c>
      <c r="Z140" s="26">
        <f t="shared" si="596"/>
        <v>2453.2240698000001</v>
      </c>
      <c r="AA140" s="27">
        <f t="shared" si="596"/>
        <v>2453.2240698000001</v>
      </c>
      <c r="AB140" s="26">
        <f t="shared" si="596"/>
        <v>2453.2240698000001</v>
      </c>
      <c r="AC140" s="26">
        <f t="shared" si="596"/>
        <v>2453.2240698000001</v>
      </c>
      <c r="AD140" s="27">
        <f t="shared" si="596"/>
        <v>2453.2240698000001</v>
      </c>
      <c r="AE140" s="26">
        <f t="shared" si="596"/>
        <v>2453.2240698000001</v>
      </c>
      <c r="AF140" s="26">
        <f t="shared" si="596"/>
        <v>2453.2240698000001</v>
      </c>
      <c r="AG140" s="27">
        <f t="shared" si="596"/>
        <v>2453.2240698000001</v>
      </c>
      <c r="AH140" s="26">
        <f t="shared" si="596"/>
        <v>2453.2240698000001</v>
      </c>
      <c r="AI140" s="26">
        <f t="shared" si="596"/>
        <v>2453.2240698000001</v>
      </c>
      <c r="AJ140" s="27">
        <f t="shared" si="596"/>
        <v>2453.2240698000001</v>
      </c>
      <c r="AK140" s="26">
        <f t="shared" si="596"/>
        <v>2453.2240698000001</v>
      </c>
      <c r="AL140" s="26">
        <f t="shared" si="596"/>
        <v>2453.2240698000001</v>
      </c>
      <c r="AM140" s="27">
        <f t="shared" si="596"/>
        <v>2453.2240698000001</v>
      </c>
      <c r="AN140" s="26">
        <f t="shared" si="596"/>
        <v>2453.2240698000001</v>
      </c>
      <c r="AO140" s="26">
        <f t="shared" si="596"/>
        <v>2453.2240698000001</v>
      </c>
      <c r="AP140" s="27">
        <f t="shared" si="596"/>
        <v>2453.2240698000001</v>
      </c>
      <c r="AQ140" s="26">
        <f t="shared" si="596"/>
        <v>2453.2240698000001</v>
      </c>
      <c r="AR140" s="26">
        <f t="shared" si="596"/>
        <v>2453.2240698000001</v>
      </c>
      <c r="AS140" s="27">
        <f t="shared" si="596"/>
        <v>2453.2240698000001</v>
      </c>
      <c r="AT140" s="26">
        <f t="shared" si="596"/>
        <v>2453.2240698000001</v>
      </c>
      <c r="AU140" s="26">
        <f t="shared" si="596"/>
        <v>2453.2240698000001</v>
      </c>
      <c r="AV140" s="27">
        <f t="shared" si="596"/>
        <v>2453.2240698000001</v>
      </c>
      <c r="AW140" s="26">
        <f t="shared" si="596"/>
        <v>2453.2240698000001</v>
      </c>
      <c r="AX140" s="26">
        <f t="shared" si="596"/>
        <v>2453.2240698000001</v>
      </c>
      <c r="AY140" s="27">
        <f t="shared" si="596"/>
        <v>2453.2240698000001</v>
      </c>
      <c r="BB140" s="15"/>
    </row>
    <row r="141" spans="1:54" s="24" customFormat="1" ht="12" customHeight="1" x14ac:dyDescent="0.2">
      <c r="A141" s="15"/>
      <c r="B141" s="23" t="s">
        <v>136</v>
      </c>
      <c r="C141" s="23"/>
      <c r="D141" s="26"/>
      <c r="E141" s="26"/>
      <c r="F141" s="27"/>
      <c r="G141" s="26"/>
      <c r="H141" s="26"/>
      <c r="I141" s="205"/>
      <c r="J141" s="26"/>
      <c r="K141" s="26"/>
      <c r="L141" s="27">
        <f>+L140+'Balance Sheet'!L59</f>
        <v>2078.7212357500002</v>
      </c>
      <c r="M141" s="26"/>
      <c r="N141" s="26"/>
      <c r="O141" s="27">
        <f>+O140+'Balance Sheet'!O59</f>
        <v>2151.4292357500003</v>
      </c>
      <c r="P141" s="26">
        <f>+P140+'Balance Sheet'!P59</f>
        <v>197.44800000000001</v>
      </c>
      <c r="Q141" s="26">
        <f>+Q140+'Balance Sheet'!Q59</f>
        <v>1985.8245308000003</v>
      </c>
      <c r="R141" s="27">
        <f>+R140+'Balance Sheet'!R59</f>
        <v>1985.8245308000003</v>
      </c>
      <c r="S141" s="26">
        <f>+S140+'Balance Sheet'!S59</f>
        <v>2530.9529493499999</v>
      </c>
      <c r="T141" s="26">
        <f>+T140+'Balance Sheet'!T59</f>
        <v>2575.4019160999997</v>
      </c>
      <c r="U141" s="27">
        <f>+U140+'Balance Sheet'!U59</f>
        <v>2575.4019160999997</v>
      </c>
      <c r="V141" s="26">
        <f>+V140+'Balance Sheet'!V59</f>
        <v>2505.5596956891732</v>
      </c>
      <c r="W141" s="26">
        <f>+W140+'Balance Sheet'!W59</f>
        <v>2511.5175294911555</v>
      </c>
      <c r="X141" s="27">
        <f>+X140+'Balance Sheet'!X59</f>
        <v>2511.5175294911555</v>
      </c>
      <c r="Y141" s="26">
        <f>+Y140+'Balance Sheet'!Y59</f>
        <v>2507.5677270382257</v>
      </c>
      <c r="Z141" s="26">
        <f>+Z140+'Balance Sheet'!Z59</f>
        <v>2507.2652102135917</v>
      </c>
      <c r="AA141" s="27">
        <f>+AA140+'Balance Sheet'!AA59</f>
        <v>2507.2652102135917</v>
      </c>
      <c r="AB141" s="26">
        <f>+AB140+'Balance Sheet'!AB59</f>
        <v>2494.9714132362838</v>
      </c>
      <c r="AC141" s="26">
        <f>+AC140+'Balance Sheet'!AC59</f>
        <v>2484.2933697040776</v>
      </c>
      <c r="AD141" s="27">
        <f>+AD140+'Balance Sheet'!AD59</f>
        <v>2484.2933697040776</v>
      </c>
      <c r="AE141" s="26">
        <f>+AE140+'Balance Sheet'!AE59</f>
        <v>2461.1423518718607</v>
      </c>
      <c r="AF141" s="26">
        <f>+AF140+'Balance Sheet'!AF59</f>
        <v>2439.6804998598668</v>
      </c>
      <c r="AG141" s="27">
        <f>+AG140+'Balance Sheet'!AG59</f>
        <v>2439.6804998598668</v>
      </c>
      <c r="AH141" s="26">
        <f>+AH140+'Balance Sheet'!AH59</f>
        <v>2403.8890078284312</v>
      </c>
      <c r="AI141" s="26">
        <f>+AI140+'Balance Sheet'!AI59</f>
        <v>2370.99868876956</v>
      </c>
      <c r="AJ141" s="27">
        <f>+AJ140+'Balance Sheet'!AJ59</f>
        <v>2370.99868876956</v>
      </c>
      <c r="AK141" s="26">
        <f>+AK140+'Balance Sheet'!AK59</f>
        <v>2326.3156642619174</v>
      </c>
      <c r="AL141" s="26">
        <f>+AL140+'Balance Sheet'!AL59</f>
        <v>2285.7034729733987</v>
      </c>
      <c r="AM141" s="27">
        <f>+AM140+'Balance Sheet'!AM59</f>
        <v>2285.7034729733987</v>
      </c>
      <c r="AN141" s="26">
        <f>+AN140+'Balance Sheet'!AN59</f>
        <v>2230.9749047153568</v>
      </c>
      <c r="AO141" s="26">
        <f>+AO140+'Balance Sheet'!AO59</f>
        <v>2180.1267832433359</v>
      </c>
      <c r="AP141" s="27">
        <f>+AP140+'Balance Sheet'!AP59</f>
        <v>2180.1267832433359</v>
      </c>
      <c r="AQ141" s="26">
        <f>+AQ140+'Balance Sheet'!AQ59</f>
        <v>2113.6701533133973</v>
      </c>
      <c r="AR141" s="26">
        <f>+AR140+'Balance Sheet'!AR59</f>
        <v>2051.5546728053819</v>
      </c>
      <c r="AS141" s="27">
        <f>+AS140+'Balance Sheet'!AS59</f>
        <v>2051.5546728053819</v>
      </c>
      <c r="AT141" s="26">
        <f>+AT140+'Balance Sheet'!AT59</f>
        <v>1972.2251217386963</v>
      </c>
      <c r="AU141" s="26">
        <f>+AU140+'Balance Sheet'!AU59</f>
        <v>1897.7128960364855</v>
      </c>
      <c r="AV141" s="27">
        <f>+AV140+'Balance Sheet'!AV59</f>
        <v>1897.7128960364855</v>
      </c>
      <c r="AW141" s="26">
        <f>+AW140+'Balance Sheet'!AW59</f>
        <v>1804.2598284068858</v>
      </c>
      <c r="AX141" s="26">
        <f>+AX140+'Balance Sheet'!AX59</f>
        <v>1716.1150719184207</v>
      </c>
      <c r="AY141" s="27">
        <f>+AY140+'Balance Sheet'!AY59</f>
        <v>1716.1150719184207</v>
      </c>
      <c r="BB141" s="15"/>
    </row>
    <row r="142" spans="1:54" s="24" customFormat="1" ht="12" customHeight="1" x14ac:dyDescent="0.2">
      <c r="A142" s="15"/>
      <c r="B142" s="23" t="s">
        <v>512</v>
      </c>
      <c r="C142" s="23"/>
      <c r="D142" s="26"/>
      <c r="E142" s="26"/>
      <c r="F142" s="27"/>
      <c r="G142" s="26"/>
      <c r="H142" s="26"/>
      <c r="I142" s="205"/>
      <c r="J142" s="26"/>
      <c r="K142" s="26"/>
      <c r="L142" s="27">
        <f t="shared" ref="L142" si="597">+L141/L8</f>
        <v>12.100221405827979</v>
      </c>
      <c r="M142" s="26"/>
      <c r="N142" s="26"/>
      <c r="O142" s="27">
        <f t="shared" ref="O142" si="598">+O141/O8</f>
        <v>8.3052656527462538</v>
      </c>
      <c r="P142" s="26">
        <f t="shared" ref="P142:R142" si="599">+P141/P8</f>
        <v>1.1786744031948997</v>
      </c>
      <c r="Q142" s="26">
        <f t="shared" si="599"/>
        <v>11.367250329427524</v>
      </c>
      <c r="R142" s="27">
        <f t="shared" si="599"/>
        <v>5.802873438257933</v>
      </c>
      <c r="S142" s="26">
        <f t="shared" ref="S142:U142" si="600">+S141/S8</f>
        <v>11.914908503241234</v>
      </c>
      <c r="T142" s="26">
        <f t="shared" si="600"/>
        <v>11.519803885705592</v>
      </c>
      <c r="U142" s="27">
        <f t="shared" si="600"/>
        <v>5.9071290009679283</v>
      </c>
      <c r="V142" s="26">
        <f t="shared" ref="V142:AY142" si="601">+V141/V8</f>
        <v>9.446501711388203</v>
      </c>
      <c r="W142" s="26">
        <f t="shared" si="601"/>
        <v>9.1795880658144924</v>
      </c>
      <c r="X142" s="27">
        <f t="shared" si="601"/>
        <v>4.6610154381682785</v>
      </c>
      <c r="Y142" s="26">
        <f t="shared" si="601"/>
        <v>7.9196015094679391</v>
      </c>
      <c r="Z142" s="26">
        <f t="shared" si="601"/>
        <v>7.7097416089513739</v>
      </c>
      <c r="AA142" s="27">
        <f t="shared" si="601"/>
        <v>3.9063988155124512</v>
      </c>
      <c r="AB142" s="26">
        <f t="shared" si="601"/>
        <v>6.685439800980884</v>
      </c>
      <c r="AC142" s="26">
        <f t="shared" si="601"/>
        <v>6.5307179341107489</v>
      </c>
      <c r="AD142" s="27">
        <f t="shared" si="601"/>
        <v>3.2965848155973969</v>
      </c>
      <c r="AE142" s="26">
        <f t="shared" si="601"/>
        <v>5.740440934199051</v>
      </c>
      <c r="AF142" s="26">
        <f t="shared" si="601"/>
        <v>5.6082077592424655</v>
      </c>
      <c r="AG142" s="27">
        <f t="shared" si="601"/>
        <v>2.8244981943306913</v>
      </c>
      <c r="AH142" s="26">
        <f t="shared" si="601"/>
        <v>4.9240068239869839</v>
      </c>
      <c r="AI142" s="26">
        <f t="shared" si="601"/>
        <v>4.8221475843340125</v>
      </c>
      <c r="AJ142" s="27">
        <f t="shared" si="601"/>
        <v>2.4196651551480604</v>
      </c>
      <c r="AK142" s="26">
        <f t="shared" si="601"/>
        <v>4.2309430372994914</v>
      </c>
      <c r="AL142" s="26">
        <f t="shared" si="601"/>
        <v>4.1405753923864745</v>
      </c>
      <c r="AM142" s="27">
        <f t="shared" si="601"/>
        <v>2.0744057343113789</v>
      </c>
      <c r="AN142" s="26">
        <f t="shared" si="601"/>
        <v>3.6249929482754797</v>
      </c>
      <c r="AO142" s="26">
        <f t="shared" si="601"/>
        <v>3.5377991323674718</v>
      </c>
      <c r="AP142" s="27">
        <f t="shared" si="601"/>
        <v>1.7700421768301284</v>
      </c>
      <c r="AQ142" s="26">
        <f t="shared" si="601"/>
        <v>3.0845224795049186</v>
      </c>
      <c r="AR142" s="26">
        <f t="shared" si="601"/>
        <v>2.9969488061348168</v>
      </c>
      <c r="AS142" s="27">
        <f t="shared" si="601"/>
        <v>1.4977058267225909</v>
      </c>
      <c r="AT142" s="26">
        <f t="shared" si="601"/>
        <v>2.5967568778401779</v>
      </c>
      <c r="AU142" s="26">
        <f t="shared" si="601"/>
        <v>2.5062680233975705</v>
      </c>
      <c r="AV142" s="27">
        <f t="shared" si="601"/>
        <v>1.2512264435418627</v>
      </c>
      <c r="AW142" s="26">
        <f t="shared" si="601"/>
        <v>2.1519539055425061</v>
      </c>
      <c r="AX142" s="26">
        <f t="shared" si="601"/>
        <v>2.0567063965388219</v>
      </c>
      <c r="AY142" s="27">
        <f t="shared" si="601"/>
        <v>1.025876400380298</v>
      </c>
      <c r="BB142" s="15"/>
    </row>
    <row r="143" spans="1:54" s="24" customFormat="1" ht="12" customHeight="1" x14ac:dyDescent="0.2">
      <c r="A143" s="15"/>
      <c r="B143" s="23" t="s">
        <v>56</v>
      </c>
      <c r="C143" s="23"/>
      <c r="D143" s="26"/>
      <c r="E143" s="26"/>
      <c r="F143" s="27"/>
      <c r="G143" s="26"/>
      <c r="H143" s="26"/>
      <c r="I143" s="205"/>
      <c r="J143" s="26"/>
      <c r="K143" s="26"/>
      <c r="L143" s="27">
        <f t="shared" ref="L143" si="602">+L141/L20</f>
        <v>95.7936053341014</v>
      </c>
      <c r="M143" s="26"/>
      <c r="N143" s="26"/>
      <c r="O143" s="27">
        <f t="shared" ref="O143" si="603">+O141/O20</f>
        <v>73.427618967576805</v>
      </c>
      <c r="P143" s="26">
        <f t="shared" ref="P143:R143" si="604">+P141/P20</f>
        <v>7.993846153846154</v>
      </c>
      <c r="Q143" s="26">
        <f t="shared" si="604"/>
        <v>98.797240338308484</v>
      </c>
      <c r="R143" s="27">
        <f t="shared" si="604"/>
        <v>44.326440419642864</v>
      </c>
      <c r="S143" s="26">
        <f t="shared" ref="S143:U143" si="605">+S141/S20</f>
        <v>80.149247873519542</v>
      </c>
      <c r="T143" s="26">
        <f t="shared" si="605"/>
        <v>76.783695062759008</v>
      </c>
      <c r="U143" s="27">
        <f t="shared" si="605"/>
        <v>39.549162550100583</v>
      </c>
      <c r="V143" s="26">
        <f t="shared" ref="V143:AY143" si="606">+V141/V20</f>
        <v>59.042357249434659</v>
      </c>
      <c r="W143" s="26">
        <f t="shared" si="606"/>
        <v>61.878314412909511</v>
      </c>
      <c r="X143" s="27">
        <f t="shared" si="606"/>
        <v>30.25026136208972</v>
      </c>
      <c r="Y143" s="26">
        <f t="shared" si="606"/>
        <v>45.222427617992309</v>
      </c>
      <c r="Z143" s="26">
        <f t="shared" si="606"/>
        <v>46.16722628674448</v>
      </c>
      <c r="AA143" s="27">
        <f t="shared" si="606"/>
        <v>22.843579256321664</v>
      </c>
      <c r="AB143" s="26">
        <f t="shared" si="606"/>
        <v>34.184383807968402</v>
      </c>
      <c r="AC143" s="26">
        <f t="shared" si="606"/>
        <v>34.74153923815237</v>
      </c>
      <c r="AD143" s="27">
        <f t="shared" si="606"/>
        <v>17.193106263457846</v>
      </c>
      <c r="AE143" s="26">
        <f t="shared" si="606"/>
        <v>27.02101466616454</v>
      </c>
      <c r="AF143" s="26">
        <f t="shared" si="606"/>
        <v>27.382009223167376</v>
      </c>
      <c r="AG143" s="27">
        <f t="shared" si="606"/>
        <v>13.540205385710324</v>
      </c>
      <c r="AH143" s="26">
        <f t="shared" si="606"/>
        <v>21.543692904230458</v>
      </c>
      <c r="AI143" s="26">
        <f t="shared" si="606"/>
        <v>22.110267229865311</v>
      </c>
      <c r="AJ143" s="27">
        <f t="shared" si="606"/>
        <v>10.835521481697429</v>
      </c>
      <c r="AK143" s="26">
        <f t="shared" si="606"/>
        <v>18.842846330615806</v>
      </c>
      <c r="AL143" s="26">
        <f t="shared" si="606"/>
        <v>18.987758805444528</v>
      </c>
      <c r="AM143" s="27">
        <f t="shared" si="606"/>
        <v>9.3739160259733154</v>
      </c>
      <c r="AN143" s="26">
        <f t="shared" si="606"/>
        <v>15.884343815403822</v>
      </c>
      <c r="AO143" s="26">
        <f t="shared" si="606"/>
        <v>15.953256117366553</v>
      </c>
      <c r="AP143" s="27">
        <f t="shared" si="606"/>
        <v>7.8674163810061772</v>
      </c>
      <c r="AQ143" s="26">
        <f t="shared" si="606"/>
        <v>13.317236636558516</v>
      </c>
      <c r="AR143" s="26">
        <f t="shared" si="606"/>
        <v>13.308491589680459</v>
      </c>
      <c r="AS143" s="27">
        <f t="shared" si="606"/>
        <v>6.5571969220709976</v>
      </c>
      <c r="AT143" s="26">
        <f t="shared" si="606"/>
        <v>11.059459034090054</v>
      </c>
      <c r="AU143" s="26">
        <f t="shared" si="606"/>
        <v>10.97341366817167</v>
      </c>
      <c r="AV143" s="27">
        <f t="shared" si="606"/>
        <v>5.4024861581628025</v>
      </c>
      <c r="AW143" s="26">
        <f t="shared" si="606"/>
        <v>9.0500391628682593</v>
      </c>
      <c r="AX143" s="26">
        <f t="shared" si="606"/>
        <v>8.8880885073847882</v>
      </c>
      <c r="AY143" s="27">
        <f t="shared" si="606"/>
        <v>4.3728782836041029</v>
      </c>
      <c r="BB143" s="15"/>
    </row>
    <row r="144" spans="1:54" s="24" customFormat="1" ht="12" customHeight="1" x14ac:dyDescent="0.2">
      <c r="A144" s="15"/>
      <c r="B144" s="23" t="s">
        <v>57</v>
      </c>
      <c r="C144" s="23"/>
      <c r="D144" s="26"/>
      <c r="E144" s="26"/>
      <c r="F144" s="27"/>
      <c r="G144" s="26"/>
      <c r="H144" s="26"/>
      <c r="I144" s="205"/>
      <c r="J144" s="26"/>
      <c r="K144" s="26"/>
      <c r="L144" s="27">
        <f t="shared" ref="L144" si="607">+L141/L27</f>
        <v>288.71128274305556</v>
      </c>
      <c r="M144" s="26"/>
      <c r="N144" s="26"/>
      <c r="O144" s="27">
        <f t="shared" ref="O144" si="608">+O141/O27</f>
        <v>581.4673610135136</v>
      </c>
      <c r="P144" s="26">
        <f t="shared" ref="P144:R144" si="609">+P141/P27</f>
        <v>22.437272727272727</v>
      </c>
      <c r="Q144" s="26">
        <f t="shared" si="609"/>
        <v>413.71344391666679</v>
      </c>
      <c r="R144" s="27">
        <f t="shared" si="609"/>
        <v>146.01650961764707</v>
      </c>
      <c r="S144" s="26">
        <f t="shared" ref="S144:U144" si="610">+S141/S27</f>
        <v>202.5086373299728</v>
      </c>
      <c r="T144" s="26">
        <f t="shared" si="610"/>
        <v>199.61261169586109</v>
      </c>
      <c r="U144" s="27">
        <f t="shared" si="610"/>
        <v>101.39377622440944</v>
      </c>
      <c r="V144" s="26">
        <f t="shared" ref="V144:AY144" si="611">+V141/V27</f>
        <v>143.77398794056671</v>
      </c>
      <c r="W144" s="26">
        <f t="shared" si="611"/>
        <v>155.64836040284999</v>
      </c>
      <c r="X144" s="27">
        <f t="shared" si="611"/>
        <v>74.830135860033849</v>
      </c>
      <c r="Y144" s="26">
        <f t="shared" si="611"/>
        <v>94.973388054968325</v>
      </c>
      <c r="Z144" s="26">
        <f t="shared" si="611"/>
        <v>96.052756427213907</v>
      </c>
      <c r="AA144" s="27">
        <f t="shared" si="611"/>
        <v>47.752114343595636</v>
      </c>
      <c r="AB144" s="26">
        <f t="shared" si="611"/>
        <v>62.236350445413471</v>
      </c>
      <c r="AC144" s="26">
        <f t="shared" si="611"/>
        <v>62.58541257311667</v>
      </c>
      <c r="AD144" s="27">
        <f t="shared" si="611"/>
        <v>31.138090372398469</v>
      </c>
      <c r="AE144" s="26">
        <f t="shared" si="611"/>
        <v>45.226936013368785</v>
      </c>
      <c r="AF144" s="26">
        <f t="shared" si="611"/>
        <v>45.397183361426407</v>
      </c>
      <c r="AG144" s="27">
        <f t="shared" si="611"/>
        <v>22.55654860171013</v>
      </c>
      <c r="AH144" s="26">
        <f t="shared" si="611"/>
        <v>33.776425824984976</v>
      </c>
      <c r="AI144" s="26">
        <f t="shared" si="611"/>
        <v>34.692605016071319</v>
      </c>
      <c r="AJ144" s="27">
        <f t="shared" si="611"/>
        <v>16.994740707474609</v>
      </c>
      <c r="AK144" s="26">
        <f t="shared" si="611"/>
        <v>29.346888052530179</v>
      </c>
      <c r="AL144" s="26">
        <f t="shared" si="611"/>
        <v>29.337267989903317</v>
      </c>
      <c r="AM144" s="27">
        <f t="shared" si="611"/>
        <v>14.541870415627988</v>
      </c>
      <c r="AN144" s="26">
        <f t="shared" si="611"/>
        <v>24.142990869529442</v>
      </c>
      <c r="AO144" s="26">
        <f t="shared" si="611"/>
        <v>24.080553021296453</v>
      </c>
      <c r="AP144" s="27">
        <f t="shared" si="611"/>
        <v>11.917071964848294</v>
      </c>
      <c r="AQ144" s="26">
        <f t="shared" si="611"/>
        <v>19.809684627065895</v>
      </c>
      <c r="AR144" s="26">
        <f t="shared" si="611"/>
        <v>19.678019177510937</v>
      </c>
      <c r="AS144" s="27">
        <f t="shared" si="611"/>
        <v>9.7250826038249016</v>
      </c>
      <c r="AT144" s="26">
        <f t="shared" si="611"/>
        <v>16.141684379517045</v>
      </c>
      <c r="AU144" s="26">
        <f t="shared" si="611"/>
        <v>15.932322681241953</v>
      </c>
      <c r="AV144" s="27">
        <f t="shared" si="611"/>
        <v>7.8647659975740893</v>
      </c>
      <c r="AW144" s="26">
        <f t="shared" si="611"/>
        <v>12.98974086929416</v>
      </c>
      <c r="AX144" s="26">
        <f t="shared" si="611"/>
        <v>12.698821262931606</v>
      </c>
      <c r="AY144" s="27">
        <f t="shared" si="611"/>
        <v>6.2623127324564987</v>
      </c>
      <c r="BB144" s="15"/>
    </row>
    <row r="145" spans="1:54" s="24" customFormat="1" ht="12" customHeight="1" x14ac:dyDescent="0.2">
      <c r="A145" s="15"/>
      <c r="B145" s="23" t="s">
        <v>137</v>
      </c>
      <c r="C145" s="23"/>
      <c r="D145" s="26"/>
      <c r="E145" s="26"/>
      <c r="F145" s="27"/>
      <c r="G145" s="26"/>
      <c r="H145" s="26"/>
      <c r="I145" s="205"/>
      <c r="J145" s="26"/>
      <c r="K145" s="26"/>
      <c r="L145" s="27">
        <f t="shared" ref="L145" si="612">+L141/L134</f>
        <v>-165.18763793308938</v>
      </c>
      <c r="M145" s="26"/>
      <c r="N145" s="26"/>
      <c r="O145" s="27">
        <f t="shared" ref="O145" si="613">+O141/O134</f>
        <v>-152.04446895759722</v>
      </c>
      <c r="P145" s="26">
        <f t="shared" ref="P145:R145" si="614">+P141/P134</f>
        <v>-259.79999999999768</v>
      </c>
      <c r="Q145" s="26">
        <f t="shared" si="614"/>
        <v>2369.7190105012814</v>
      </c>
      <c r="R145" s="27">
        <f t="shared" si="614"/>
        <v>25459.288856423209</v>
      </c>
      <c r="S145" s="26">
        <f t="shared" ref="S145:U145" si="615">+S141/S134</f>
        <v>-171.4853953079477</v>
      </c>
      <c r="T145" s="26">
        <f t="shared" si="615"/>
        <v>-542.18987707367762</v>
      </c>
      <c r="U145" s="27">
        <f t="shared" si="615"/>
        <v>-132.01096499564264</v>
      </c>
      <c r="V145" s="26">
        <f t="shared" ref="V145:AY145" si="616">+V141/V134</f>
        <v>145.30230452814243</v>
      </c>
      <c r="W145" s="26">
        <f t="shared" si="616"/>
        <v>174.1701665070089</v>
      </c>
      <c r="X145" s="27">
        <f t="shared" si="616"/>
        <v>79.318566413505337</v>
      </c>
      <c r="Y145" s="26">
        <f t="shared" si="616"/>
        <v>101.06111957170425</v>
      </c>
      <c r="Z145" s="26">
        <f t="shared" si="616"/>
        <v>116.44938168013067</v>
      </c>
      <c r="AA145" s="27">
        <f t="shared" si="616"/>
        <v>54.101961367509873</v>
      </c>
      <c r="AB145" s="26">
        <f t="shared" si="616"/>
        <v>73.353295034409456</v>
      </c>
      <c r="AC145" s="26">
        <f t="shared" si="616"/>
        <v>75.838522525818476</v>
      </c>
      <c r="AD145" s="27">
        <f t="shared" si="616"/>
        <v>37.206312236168309</v>
      </c>
      <c r="AE145" s="26">
        <f t="shared" si="616"/>
        <v>53.827723869320721</v>
      </c>
      <c r="AF145" s="26">
        <f t="shared" si="616"/>
        <v>54.970028434419163</v>
      </c>
      <c r="AG145" s="27">
        <f t="shared" si="616"/>
        <v>27.076095197024213</v>
      </c>
      <c r="AH145" s="26">
        <f t="shared" si="616"/>
        <v>40.607321187935106</v>
      </c>
      <c r="AI145" s="26">
        <f t="shared" si="616"/>
        <v>41.870948916301771</v>
      </c>
      <c r="AJ145" s="27">
        <f t="shared" si="616"/>
        <v>20.470569200367219</v>
      </c>
      <c r="AK145" s="26">
        <f t="shared" si="616"/>
        <v>33.767184536675948</v>
      </c>
      <c r="AL145" s="26">
        <f t="shared" si="616"/>
        <v>35.098784703898225</v>
      </c>
      <c r="AM145" s="27">
        <f t="shared" si="616"/>
        <v>17.055604198364996</v>
      </c>
      <c r="AN145" s="26">
        <f t="shared" si="616"/>
        <v>27.995892371792046</v>
      </c>
      <c r="AO145" s="26">
        <f t="shared" si="616"/>
        <v>28.660152628658093</v>
      </c>
      <c r="AP145" s="27">
        <f t="shared" si="616"/>
        <v>13.996922073983628</v>
      </c>
      <c r="AQ145" s="26">
        <f t="shared" si="616"/>
        <v>22.951500418483395</v>
      </c>
      <c r="AR145" s="26">
        <f t="shared" si="616"/>
        <v>23.324775713214528</v>
      </c>
      <c r="AS145" s="27">
        <f t="shared" si="616"/>
        <v>11.394428792778967</v>
      </c>
      <c r="AT145" s="26">
        <f t="shared" si="616"/>
        <v>18.687578518131932</v>
      </c>
      <c r="AU145" s="26">
        <f t="shared" si="616"/>
        <v>18.816939759578993</v>
      </c>
      <c r="AV145" s="27">
        <f t="shared" si="616"/>
        <v>9.1948804588725679</v>
      </c>
      <c r="AW145" s="26">
        <f t="shared" si="616"/>
        <v>15.024091334744675</v>
      </c>
      <c r="AX145" s="26">
        <f t="shared" si="616"/>
        <v>14.945946353610514</v>
      </c>
      <c r="AY145" s="27">
        <f t="shared" si="616"/>
        <v>7.3053358186486497</v>
      </c>
      <c r="BB145" s="15"/>
    </row>
    <row r="146" spans="1:54" s="24" customFormat="1" ht="12" customHeight="1" x14ac:dyDescent="0.2">
      <c r="A146" s="15"/>
      <c r="B146" s="23"/>
      <c r="C146" s="23"/>
      <c r="D146" s="26"/>
      <c r="E146" s="26"/>
      <c r="F146" s="27"/>
      <c r="G146" s="26"/>
      <c r="H146" s="26"/>
      <c r="I146" s="205"/>
      <c r="J146" s="26"/>
      <c r="K146" s="26"/>
      <c r="L146" s="27"/>
      <c r="M146" s="26"/>
      <c r="N146" s="26"/>
      <c r="O146" s="27"/>
      <c r="P146" s="26"/>
      <c r="Q146" s="26"/>
      <c r="R146" s="27"/>
      <c r="S146" s="26"/>
      <c r="T146" s="26"/>
      <c r="U146" s="27"/>
      <c r="V146" s="26"/>
      <c r="W146" s="26"/>
      <c r="X146" s="27"/>
      <c r="Y146" s="26"/>
      <c r="Z146" s="26"/>
      <c r="AA146" s="27"/>
      <c r="AB146" s="26"/>
      <c r="AC146" s="26"/>
      <c r="AD146" s="27"/>
      <c r="AE146" s="26"/>
      <c r="AF146" s="26"/>
      <c r="AG146" s="27"/>
      <c r="AH146" s="26"/>
      <c r="AI146" s="26"/>
      <c r="AJ146" s="27"/>
      <c r="AK146" s="26"/>
      <c r="AL146" s="26"/>
      <c r="AM146" s="27"/>
      <c r="AN146" s="26"/>
      <c r="AO146" s="26"/>
      <c r="AP146" s="27"/>
      <c r="AQ146" s="26"/>
      <c r="AR146" s="26"/>
      <c r="AS146" s="27"/>
      <c r="AT146" s="26"/>
      <c r="AU146" s="26"/>
      <c r="AV146" s="27"/>
      <c r="AW146" s="26"/>
      <c r="AX146" s="26"/>
      <c r="AY146" s="27"/>
      <c r="BB146" s="15"/>
    </row>
    <row r="147" spans="1:54" s="24" customFormat="1" ht="12" customHeight="1" x14ac:dyDescent="0.2">
      <c r="A147" s="15"/>
      <c r="B147" s="23" t="s">
        <v>138</v>
      </c>
      <c r="C147" s="23"/>
      <c r="D147" s="26"/>
      <c r="E147" s="26"/>
      <c r="F147" s="27"/>
      <c r="G147" s="26"/>
      <c r="H147" s="26"/>
      <c r="I147" s="205"/>
      <c r="J147" s="26"/>
      <c r="K147" s="26"/>
      <c r="L147" s="27"/>
      <c r="M147" s="26"/>
      <c r="N147" s="26"/>
      <c r="O147" s="27"/>
      <c r="P147" s="26"/>
      <c r="Q147" s="26"/>
      <c r="R147" s="27">
        <f t="shared" ref="R147" si="617">+R130/R50*100</f>
        <v>-148.44388498690719</v>
      </c>
      <c r="S147" s="26"/>
      <c r="T147" s="26"/>
      <c r="U147" s="27">
        <f t="shared" ref="U147" si="618">+U130/U50*100</f>
        <v>174.48424399695952</v>
      </c>
      <c r="V147" s="26">
        <f t="shared" ref="V147:AY147" si="619">+V130/V50*100</f>
        <v>224.98267494222443</v>
      </c>
      <c r="W147" s="26">
        <f t="shared" si="619"/>
        <v>248.23023741762609</v>
      </c>
      <c r="X147" s="27">
        <f t="shared" si="619"/>
        <v>118.01770694983109</v>
      </c>
      <c r="Y147" s="26">
        <f t="shared" si="619"/>
        <v>144.43984820740724</v>
      </c>
      <c r="Z147" s="26">
        <f t="shared" si="619"/>
        <v>163.94267759750315</v>
      </c>
      <c r="AA147" s="27">
        <f t="shared" si="619"/>
        <v>76.787280359327653</v>
      </c>
      <c r="AB147" s="26">
        <f t="shared" si="619"/>
        <v>99.151750977789916</v>
      </c>
      <c r="AC147" s="26">
        <f t="shared" si="619"/>
        <v>99.954208972043531</v>
      </c>
      <c r="AD147" s="27">
        <f t="shared" si="619"/>
        <v>49.775681449591517</v>
      </c>
      <c r="AE147" s="26">
        <f t="shared" si="619"/>
        <v>70.158081797777712</v>
      </c>
      <c r="AF147" s="26">
        <f t="shared" si="619"/>
        <v>70.694850992968057</v>
      </c>
      <c r="AG147" s="27">
        <f t="shared" si="619"/>
        <v>35.212721811158673</v>
      </c>
      <c r="AH147" s="26">
        <f t="shared" si="619"/>
        <v>52.024986977261875</v>
      </c>
      <c r="AI147" s="26">
        <f t="shared" si="619"/>
        <v>53.873190910892646</v>
      </c>
      <c r="AJ147" s="27">
        <f t="shared" si="619"/>
        <v>26.466480457509739</v>
      </c>
      <c r="AK147" s="26">
        <f t="shared" si="619"/>
        <v>45.784930899253482</v>
      </c>
      <c r="AL147" s="26">
        <f t="shared" si="619"/>
        <v>46.199911229350135</v>
      </c>
      <c r="AM147" s="27">
        <f t="shared" si="619"/>
        <v>22.995742496683366</v>
      </c>
      <c r="AN147" s="26">
        <f t="shared" si="619"/>
        <v>38.486651101010814</v>
      </c>
      <c r="AO147" s="26">
        <f t="shared" si="619"/>
        <v>38.925079808928537</v>
      </c>
      <c r="AP147" s="27">
        <f t="shared" si="619"/>
        <v>19.352311956802971</v>
      </c>
      <c r="AQ147" s="26">
        <f t="shared" si="619"/>
        <v>32.72463687247788</v>
      </c>
      <c r="AR147" s="26">
        <f t="shared" si="619"/>
        <v>33.154937733719841</v>
      </c>
      <c r="AS147" s="27">
        <f t="shared" si="619"/>
        <v>16.469191010282039</v>
      </c>
      <c r="AT147" s="26">
        <f t="shared" si="619"/>
        <v>28.096898854755764</v>
      </c>
      <c r="AU147" s="26">
        <f t="shared" si="619"/>
        <v>28.506037037103205</v>
      </c>
      <c r="AV147" s="27">
        <f t="shared" si="619"/>
        <v>14.149994638292359</v>
      </c>
      <c r="AW147" s="26">
        <f t="shared" si="619"/>
        <v>24.326754307263222</v>
      </c>
      <c r="AX147" s="26">
        <f t="shared" si="619"/>
        <v>24.708503286316351</v>
      </c>
      <c r="AY147" s="27">
        <f t="shared" si="619"/>
        <v>12.258071400957132</v>
      </c>
      <c r="BB147" s="15"/>
    </row>
    <row r="148" spans="1:54" s="24" customFormat="1" ht="12" customHeight="1" x14ac:dyDescent="0.2">
      <c r="A148" s="15"/>
      <c r="B148" s="23" t="s">
        <v>139</v>
      </c>
      <c r="C148" s="23"/>
      <c r="D148" s="26"/>
      <c r="E148" s="26"/>
      <c r="F148" s="27"/>
      <c r="G148" s="26"/>
      <c r="H148" s="26"/>
      <c r="I148" s="205"/>
      <c r="J148" s="26"/>
      <c r="K148" s="26"/>
      <c r="L148" s="27"/>
      <c r="M148" s="26"/>
      <c r="N148" s="26"/>
      <c r="O148" s="27"/>
      <c r="P148" s="26"/>
      <c r="Q148" s="26"/>
      <c r="R148" s="27">
        <f t="shared" ref="R148" si="620">+R130/R51*100</f>
        <v>358.03623347368421</v>
      </c>
      <c r="S148" s="26"/>
      <c r="T148" s="26"/>
      <c r="U148" s="27">
        <f t="shared" ref="U148" si="621">+U130/U51*100</f>
        <v>174.48424399696049</v>
      </c>
      <c r="V148" s="26">
        <f t="shared" ref="V148:AY148" si="622">+V130/V51*100</f>
        <v>224.98267494222443</v>
      </c>
      <c r="W148" s="26">
        <f t="shared" si="622"/>
        <v>248.23023741762609</v>
      </c>
      <c r="X148" s="27">
        <f t="shared" si="622"/>
        <v>118.01770694983109</v>
      </c>
      <c r="Y148" s="26">
        <f t="shared" si="622"/>
        <v>144.43984820740724</v>
      </c>
      <c r="Z148" s="26">
        <f t="shared" si="622"/>
        <v>163.94267759750315</v>
      </c>
      <c r="AA148" s="27">
        <f t="shared" si="622"/>
        <v>76.787280359327653</v>
      </c>
      <c r="AB148" s="26">
        <f t="shared" si="622"/>
        <v>99.151750977789916</v>
      </c>
      <c r="AC148" s="26">
        <f t="shared" si="622"/>
        <v>99.954208972043531</v>
      </c>
      <c r="AD148" s="27">
        <f t="shared" si="622"/>
        <v>49.775681449591517</v>
      </c>
      <c r="AE148" s="26">
        <f t="shared" si="622"/>
        <v>70.158081797777712</v>
      </c>
      <c r="AF148" s="26">
        <f t="shared" si="622"/>
        <v>70.694850992968057</v>
      </c>
      <c r="AG148" s="27">
        <f t="shared" si="622"/>
        <v>35.212721811158673</v>
      </c>
      <c r="AH148" s="26">
        <f t="shared" si="622"/>
        <v>52.024986977261875</v>
      </c>
      <c r="AI148" s="26">
        <f t="shared" si="622"/>
        <v>53.873190910892646</v>
      </c>
      <c r="AJ148" s="27">
        <f t="shared" si="622"/>
        <v>26.466480457509739</v>
      </c>
      <c r="AK148" s="26">
        <f t="shared" si="622"/>
        <v>45.784930899253482</v>
      </c>
      <c r="AL148" s="26">
        <f t="shared" si="622"/>
        <v>46.199911229350135</v>
      </c>
      <c r="AM148" s="27">
        <f t="shared" si="622"/>
        <v>22.995742496683366</v>
      </c>
      <c r="AN148" s="26">
        <f t="shared" si="622"/>
        <v>38.486651101010814</v>
      </c>
      <c r="AO148" s="26">
        <f t="shared" si="622"/>
        <v>38.925079808928537</v>
      </c>
      <c r="AP148" s="27">
        <f t="shared" si="622"/>
        <v>19.352311956802971</v>
      </c>
      <c r="AQ148" s="26">
        <f t="shared" si="622"/>
        <v>32.72463687247788</v>
      </c>
      <c r="AR148" s="26">
        <f t="shared" si="622"/>
        <v>33.154937733719841</v>
      </c>
      <c r="AS148" s="27">
        <f t="shared" si="622"/>
        <v>16.469191010282039</v>
      </c>
      <c r="AT148" s="26">
        <f t="shared" si="622"/>
        <v>28.096898854755764</v>
      </c>
      <c r="AU148" s="26">
        <f t="shared" si="622"/>
        <v>28.506037037103205</v>
      </c>
      <c r="AV148" s="27">
        <f t="shared" si="622"/>
        <v>14.149994638292359</v>
      </c>
      <c r="AW148" s="26">
        <f t="shared" si="622"/>
        <v>24.326754307263222</v>
      </c>
      <c r="AX148" s="26">
        <f t="shared" si="622"/>
        <v>24.708503286316351</v>
      </c>
      <c r="AY148" s="27">
        <f t="shared" si="622"/>
        <v>12.258071400957132</v>
      </c>
      <c r="BB148" s="15"/>
    </row>
    <row r="149" spans="1:54" s="24" customFormat="1" ht="12" customHeight="1" x14ac:dyDescent="0.2">
      <c r="A149" s="15"/>
      <c r="B149" s="23" t="s">
        <v>140</v>
      </c>
      <c r="C149" s="23"/>
      <c r="D149" s="26"/>
      <c r="E149" s="26"/>
      <c r="F149" s="27"/>
      <c r="G149" s="26"/>
      <c r="H149" s="26"/>
      <c r="I149" s="205"/>
      <c r="J149" s="26"/>
      <c r="K149" s="26"/>
      <c r="L149" s="27"/>
      <c r="M149" s="26"/>
      <c r="N149" s="26"/>
      <c r="O149" s="27">
        <f>O148/AVERAGE(R66,U66,X66)/100</f>
        <v>0</v>
      </c>
      <c r="P149" s="26"/>
      <c r="Q149" s="26"/>
      <c r="R149" s="27">
        <f>R148/AVERAGE(U66,X66,AA66)/100</f>
        <v>7.0521107416653912</v>
      </c>
      <c r="S149" s="26"/>
      <c r="T149" s="26"/>
      <c r="U149" s="27">
        <f>U148/AVERAGE(X66,AA66,AD66)/100</f>
        <v>3.3596265649868542</v>
      </c>
      <c r="V149" s="26"/>
      <c r="W149" s="26"/>
      <c r="X149" s="27">
        <f>X148/AVERAGE(AA66,AD66,AG66)/100</f>
        <v>2.37113331588756</v>
      </c>
      <c r="Y149" s="26"/>
      <c r="Z149" s="26"/>
      <c r="AA149" s="27">
        <f>AA148/AVERAGE(AD66,AG66,AJ66)/100</f>
        <v>1.7903272822198095</v>
      </c>
      <c r="AB149" s="26"/>
      <c r="AC149" s="26"/>
      <c r="AD149" s="27">
        <f>AD148/AVERAGE(AG66,AJ66,AM66)/100</f>
        <v>1.6685230867558991</v>
      </c>
      <c r="AE149" s="26"/>
      <c r="AF149" s="26"/>
      <c r="AG149" s="27">
        <f>AG148/AVERAGE(AJ66,AM66,AP66)/100</f>
        <v>1.5774826677939979</v>
      </c>
      <c r="AH149" s="26"/>
      <c r="AI149" s="26"/>
      <c r="AJ149" s="27">
        <f>AJ148/AVERAGE(AM66,AP66,AS66)/100</f>
        <v>1.543956551550699</v>
      </c>
      <c r="AK149" s="26"/>
      <c r="AL149" s="26"/>
      <c r="AM149" s="27">
        <f>AM148/AVERAGE(AP66,AS66,AV66)/100</f>
        <v>1.3084824127571091</v>
      </c>
      <c r="AN149" s="26"/>
      <c r="AO149" s="26"/>
      <c r="AP149" s="27">
        <f>AP148/AVERAGE(AS66,AV66,AY66)/100</f>
        <v>1.1769012741160594</v>
      </c>
      <c r="AQ149" s="26"/>
      <c r="AR149" s="26"/>
      <c r="AS149" s="27">
        <f>AS148/AVERAGE(AV66,AY66,BB66)/100</f>
        <v>1.0350109002746239</v>
      </c>
      <c r="AT149" s="26"/>
      <c r="AU149" s="26"/>
      <c r="AV149" s="27" t="e">
        <f>AV148/AVERAGE(AY66,BB66,#REF!)/100</f>
        <v>#REF!</v>
      </c>
      <c r="AW149" s="26"/>
      <c r="AX149" s="26"/>
      <c r="AY149" s="27" t="e">
        <f>AY148/AVERAGE(BB66,#REF!,#REF!)/100</f>
        <v>#REF!</v>
      </c>
      <c r="BB149" s="15"/>
    </row>
    <row r="150" spans="1:54" s="24" customFormat="1" ht="12" customHeight="1" x14ac:dyDescent="0.2">
      <c r="A150" s="15"/>
      <c r="B150" s="23" t="s">
        <v>141</v>
      </c>
      <c r="C150" s="23"/>
      <c r="D150" s="26"/>
      <c r="E150" s="26"/>
      <c r="F150" s="27"/>
      <c r="G150" s="26"/>
      <c r="H150" s="26"/>
      <c r="I150" s="205"/>
      <c r="J150" s="26"/>
      <c r="K150" s="26"/>
      <c r="L150" s="27">
        <f>(L130*L49)/'Balance Sheet'!L71</f>
        <v>0</v>
      </c>
      <c r="M150" s="26"/>
      <c r="N150" s="26"/>
      <c r="O150" s="27">
        <f>(O130*O49)/'Balance Sheet'!O71</f>
        <v>22.772878255556179</v>
      </c>
      <c r="P150" s="26">
        <f>(P130*P49)/'Balance Sheet'!P71</f>
        <v>0</v>
      </c>
      <c r="Q150" s="26">
        <f>(Q130*Q49)/'Balance Sheet'!Q71</f>
        <v>5.7653322112328693</v>
      </c>
      <c r="R150" s="27">
        <f>(R130*R49)/'Balance Sheet'!R71</f>
        <v>5.7653322112328693</v>
      </c>
      <c r="S150" s="26">
        <f>(S130*S49)/'Balance Sheet'!S71</f>
        <v>6.8854290810400585</v>
      </c>
      <c r="T150" s="26">
        <f>(T130*T49)/'Balance Sheet'!T71</f>
        <v>6.6447630670518043</v>
      </c>
      <c r="U150" s="27">
        <f>(U130*U49)/'Balance Sheet'!U71</f>
        <v>6.6447630670518043</v>
      </c>
      <c r="V150" s="26">
        <f>(V130*V49)/'Balance Sheet'!V71</f>
        <v>6.2737801584094699</v>
      </c>
      <c r="W150" s="26">
        <f>(W130*W49)/'Balance Sheet'!W71</f>
        <v>6.1191251637617201</v>
      </c>
      <c r="X150" s="27">
        <f>(X130*X49)/'Balance Sheet'!X71</f>
        <v>6.1191251637617201</v>
      </c>
      <c r="Y150" s="26">
        <f>(Y130*Y49)/'Balance Sheet'!Y71</f>
        <v>5.8704273151288611</v>
      </c>
      <c r="Z150" s="26">
        <f>(Z130*Z49)/'Balance Sheet'!Z71</f>
        <v>5.6674870480632444</v>
      </c>
      <c r="AA150" s="27">
        <f>(AA130*AA49)/'Balance Sheet'!AA71</f>
        <v>5.6674870480632444</v>
      </c>
      <c r="AB150" s="26">
        <f>(AB130*AB49)/'Balance Sheet'!AB71</f>
        <v>5.3610508437469893</v>
      </c>
      <c r="AC150" s="26">
        <f>(AC130*AC49)/'Balance Sheet'!AC71</f>
        <v>5.0881476937237959</v>
      </c>
      <c r="AD150" s="27">
        <f>(AD130*AD49)/'Balance Sheet'!AD71</f>
        <v>5.0881476937237959</v>
      </c>
      <c r="AE150" s="26">
        <f>(AE130*AE49)/'Balance Sheet'!AE71</f>
        <v>4.7440873052086383</v>
      </c>
      <c r="AF150" s="26">
        <f>(AF130*AF49)/'Balance Sheet'!AF71</f>
        <v>4.445748478242594</v>
      </c>
      <c r="AG150" s="27">
        <f>(AG130*AG49)/'Balance Sheet'!AG71</f>
        <v>4.445748478242594</v>
      </c>
      <c r="AH150" s="26">
        <f>(AH130*AH49)/'Balance Sheet'!AH71</f>
        <v>4.0957498573220326</v>
      </c>
      <c r="AI150" s="26">
        <f>(AI130*AI49)/'Balance Sheet'!AI71</f>
        <v>3.8063678767054152</v>
      </c>
      <c r="AJ150" s="27">
        <f>(AJ130*AJ49)/'Balance Sheet'!AJ71</f>
        <v>3.8063678767054152</v>
      </c>
      <c r="AK150" s="26">
        <f>(AK130*AK49)/'Balance Sheet'!AK71</f>
        <v>3.5142110514068876</v>
      </c>
      <c r="AL150" s="26">
        <f>(AL130*AL49)/'Balance Sheet'!AL71</f>
        <v>3.2657971451110805</v>
      </c>
      <c r="AM150" s="27">
        <f>(AM130*AM49)/'Balance Sheet'!AM71</f>
        <v>3.2657971451110805</v>
      </c>
      <c r="AN150" s="26">
        <f>(AN130*AN49)/'Balance Sheet'!AN71</f>
        <v>3.010352699550781</v>
      </c>
      <c r="AO150" s="26">
        <f>(AO130*AO49)/'Balance Sheet'!AO71</f>
        <v>2.7942532620676865</v>
      </c>
      <c r="AP150" s="27">
        <f>(AP130*AP49)/'Balance Sheet'!AP71</f>
        <v>2.7942532620676865</v>
      </c>
      <c r="AQ150" s="26">
        <f>(AQ130*AQ49)/'Balance Sheet'!AQ71</f>
        <v>2.5744307602102303</v>
      </c>
      <c r="AR150" s="26">
        <f>(AR130*AR49)/'Balance Sheet'!AR71</f>
        <v>2.3889336742417906</v>
      </c>
      <c r="AS150" s="27">
        <f>(AS130*AS49)/'Balance Sheet'!AS71</f>
        <v>2.3889336742417906</v>
      </c>
      <c r="AT150" s="26">
        <f>(AT130*AT49)/'Balance Sheet'!AT71</f>
        <v>2.201731829106087</v>
      </c>
      <c r="AU150" s="26">
        <f>(AU130*AU49)/'Balance Sheet'!AU71</f>
        <v>2.0438687466913588</v>
      </c>
      <c r="AV150" s="27">
        <f>(AV130*AV49)/'Balance Sheet'!AV71</f>
        <v>2.0438687466913588</v>
      </c>
      <c r="AW150" s="26">
        <f>(AW130*AW49)/'Balance Sheet'!AW71</f>
        <v>1.8854576448696572</v>
      </c>
      <c r="AX150" s="26">
        <f>(AX130*AX49)/'Balance Sheet'!AX71</f>
        <v>1.7517825394652324</v>
      </c>
      <c r="AY150" s="27">
        <f>(AY130*AY49)/'Balance Sheet'!AY71</f>
        <v>1.7517825394652324</v>
      </c>
      <c r="BB150" s="15"/>
    </row>
    <row r="151" spans="1:54" s="24" customFormat="1" ht="12" customHeight="1" x14ac:dyDescent="0.2">
      <c r="A151" s="15"/>
      <c r="B151" s="23" t="s">
        <v>142</v>
      </c>
      <c r="C151" s="23"/>
      <c r="D151" s="26"/>
      <c r="E151" s="26"/>
      <c r="F151" s="27"/>
      <c r="G151" s="26"/>
      <c r="H151" s="26"/>
      <c r="I151" s="205"/>
      <c r="J151" s="26"/>
      <c r="K151" s="26"/>
      <c r="L151" s="27">
        <f>(L130*L49)/('Balance Sheet'!L23-'Balance Sheet'!L17)</f>
        <v>0</v>
      </c>
      <c r="M151" s="26"/>
      <c r="N151" s="26"/>
      <c r="O151" s="27">
        <f>(O130*O49)/('Balance Sheet'!O23-'Balance Sheet'!O17)</f>
        <v>6.4765077698388325</v>
      </c>
      <c r="P151" s="26">
        <f>(P130*P49)/('Balance Sheet'!P23-'Balance Sheet'!P17)</f>
        <v>0</v>
      </c>
      <c r="Q151" s="26">
        <f>(Q130*Q49)/('Balance Sheet'!Q23-'Balance Sheet'!Q17)</f>
        <v>3.1338637258891513</v>
      </c>
      <c r="R151" s="27">
        <f>(R130*R49)/('Balance Sheet'!R23-'Balance Sheet'!R17)</f>
        <v>3.1338637258891513</v>
      </c>
      <c r="S151" s="26">
        <f>(S130*S49)/('Balance Sheet'!S23-'Balance Sheet'!S17)</f>
        <v>3.7455623266540004</v>
      </c>
      <c r="T151" s="26">
        <f>(T130*T49)/('Balance Sheet'!T23-'Balance Sheet'!T17)</f>
        <v>3.3022055582937742</v>
      </c>
      <c r="U151" s="27">
        <f>(U130*U49)/('Balance Sheet'!U23-'Balance Sheet'!U17)</f>
        <v>3.3022055582937742</v>
      </c>
      <c r="V151" s="26">
        <f>(V130*V49)/('Balance Sheet'!V23-'Balance Sheet'!V17)</f>
        <v>3.098955821925462</v>
      </c>
      <c r="W151" s="26">
        <f>(W130*W49)/('Balance Sheet'!W23-'Balance Sheet'!W17)</f>
        <v>3.0235603645165119</v>
      </c>
      <c r="X151" s="27">
        <f>(X130*X49)/('Balance Sheet'!X23-'Balance Sheet'!X17)</f>
        <v>3.0235603645165119</v>
      </c>
      <c r="Y151" s="26">
        <f>(Y130*Y49)/('Balance Sheet'!Y23-'Balance Sheet'!Y17)</f>
        <v>2.9082521581463388</v>
      </c>
      <c r="Z151" s="26">
        <f>(Z130*Z49)/('Balance Sheet'!Z23-'Balance Sheet'!Z17)</f>
        <v>2.8242600827282702</v>
      </c>
      <c r="AA151" s="27">
        <f>(AA130*AA49)/('Balance Sheet'!AA23-'Balance Sheet'!AA17)</f>
        <v>2.8242600827282702</v>
      </c>
      <c r="AB151" s="26">
        <f>(AB130*AB49)/('Balance Sheet'!AB23-'Balance Sheet'!AB17)</f>
        <v>2.6989163100168949</v>
      </c>
      <c r="AC151" s="26">
        <f>(AC130*AC49)/('Balance Sheet'!AC23-'Balance Sheet'!AC17)</f>
        <v>2.59927151722309</v>
      </c>
      <c r="AD151" s="27">
        <f>(AD130*AD49)/('Balance Sheet'!AD23-'Balance Sheet'!AD17)</f>
        <v>2.59927151722309</v>
      </c>
      <c r="AE151" s="26">
        <f>(AE130*AE49)/('Balance Sheet'!AE23-'Balance Sheet'!AE17)</f>
        <v>2.4672250759493406</v>
      </c>
      <c r="AF151" s="26">
        <f>(AF130*AF49)/('Balance Sheet'!AF23-'Balance Sheet'!AF17)</f>
        <v>2.3599121955636284</v>
      </c>
      <c r="AG151" s="27">
        <f>(AG130*AG49)/('Balance Sheet'!AG23-'Balance Sheet'!AG17)</f>
        <v>2.3599121955636284</v>
      </c>
      <c r="AH151" s="26">
        <f>(AH130*AH49)/('Balance Sheet'!AH23-'Balance Sheet'!AH17)</f>
        <v>2.224648808613273</v>
      </c>
      <c r="AI151" s="26">
        <f>(AI130*AI49)/('Balance Sheet'!AI23-'Balance Sheet'!AI17)</f>
        <v>2.1167481742731202</v>
      </c>
      <c r="AJ151" s="27">
        <f>(AJ130*AJ49)/('Balance Sheet'!AJ23-'Balance Sheet'!AJ17)</f>
        <v>2.1167481742731202</v>
      </c>
      <c r="AK151" s="26">
        <f>(AK130*AK49)/('Balance Sheet'!AK23-'Balance Sheet'!AK17)</f>
        <v>1.9927756495339339</v>
      </c>
      <c r="AL151" s="26">
        <f>(AL130*AL49)/('Balance Sheet'!AL23-'Balance Sheet'!AL17)</f>
        <v>1.8948217635882156</v>
      </c>
      <c r="AM151" s="27">
        <f>(AM130*AM49)/('Balance Sheet'!AM23-'Balance Sheet'!AM17)</f>
        <v>1.8948217635882156</v>
      </c>
      <c r="AN151" s="26">
        <f>(AN130*AN49)/('Balance Sheet'!AN23-'Balance Sheet'!AN17)</f>
        <v>1.7816053389369184</v>
      </c>
      <c r="AO151" s="26">
        <f>(AO130*AO49)/('Balance Sheet'!AO23-'Balance Sheet'!AO17)</f>
        <v>1.6912644610512966</v>
      </c>
      <c r="AP151" s="27">
        <f>(AP130*AP49)/('Balance Sheet'!AP23-'Balance Sheet'!AP17)</f>
        <v>1.6912644610512966</v>
      </c>
      <c r="AQ151" s="26">
        <f>(AQ130*AQ49)/('Balance Sheet'!AQ23-'Balance Sheet'!AQ17)</f>
        <v>1.5882394669706912</v>
      </c>
      <c r="AR151" s="26">
        <f>(AR130*AR49)/('Balance Sheet'!AR23-'Balance Sheet'!AR17)</f>
        <v>1.5059516196285641</v>
      </c>
      <c r="AS151" s="27">
        <f>(AS130*AS49)/('Balance Sheet'!AS23-'Balance Sheet'!AS17)</f>
        <v>1.5059516196285641</v>
      </c>
      <c r="AT151" s="26">
        <f>(AT130*AT49)/('Balance Sheet'!AT23-'Balance Sheet'!AT17)</f>
        <v>1.4131754348351291</v>
      </c>
      <c r="AU151" s="26">
        <f>(AU130*AU49)/('Balance Sheet'!AU23-'Balance Sheet'!AU17)</f>
        <v>1.3389663386986903</v>
      </c>
      <c r="AV151" s="27">
        <f>(AV130*AV49)/('Balance Sheet'!AV23-'Balance Sheet'!AV17)</f>
        <v>1.3389663386986903</v>
      </c>
      <c r="AW151" s="26">
        <f>(AW130*AW49)/('Balance Sheet'!AW23-'Balance Sheet'!AW17)</f>
        <v>1.2560994759081523</v>
      </c>
      <c r="AX151" s="26">
        <f>(AX130*AX49)/('Balance Sheet'!AX23-'Balance Sheet'!AX17)</f>
        <v>1.189693059595295</v>
      </c>
      <c r="AY151" s="27">
        <f>(AY130*AY49)/('Balance Sheet'!AY23-'Balance Sheet'!AY17)</f>
        <v>1.189693059595295</v>
      </c>
      <c r="BB151" s="15"/>
    </row>
    <row r="152" spans="1:54" ht="12" customHeight="1" x14ac:dyDescent="0.2">
      <c r="B152" s="6"/>
      <c r="D152" s="6"/>
      <c r="E152" s="6"/>
      <c r="F152" s="13"/>
      <c r="G152" s="6"/>
      <c r="H152" s="6"/>
      <c r="I152" s="210"/>
      <c r="J152" s="6"/>
      <c r="K152" s="6"/>
      <c r="L152" s="13"/>
      <c r="M152" s="6"/>
      <c r="N152" s="6"/>
      <c r="O152" s="13"/>
      <c r="P152" s="6"/>
      <c r="Q152" s="6"/>
      <c r="R152" s="13"/>
      <c r="S152" s="6"/>
      <c r="T152" s="6"/>
      <c r="U152" s="13"/>
      <c r="V152" s="6"/>
      <c r="W152" s="6"/>
      <c r="X152" s="13"/>
      <c r="Y152" s="6"/>
      <c r="Z152" s="6"/>
      <c r="AA152" s="13"/>
      <c r="AB152" s="6"/>
      <c r="AC152" s="6"/>
      <c r="AD152" s="13"/>
      <c r="AE152" s="6"/>
      <c r="AF152" s="6"/>
      <c r="AG152" s="13"/>
      <c r="AH152" s="6"/>
      <c r="AI152" s="6"/>
      <c r="AJ152" s="13"/>
      <c r="AK152" s="6"/>
      <c r="AL152" s="6"/>
      <c r="AM152" s="13"/>
      <c r="AN152" s="6"/>
      <c r="AO152" s="6"/>
      <c r="AP152" s="13"/>
      <c r="AQ152" s="6"/>
      <c r="AR152" s="6"/>
      <c r="AS152" s="13"/>
      <c r="AT152" s="6"/>
      <c r="AU152" s="6"/>
      <c r="AV152" s="13"/>
      <c r="AW152" s="6"/>
      <c r="AX152" s="6"/>
      <c r="AY152" s="13"/>
    </row>
    <row r="153" spans="1:54" ht="12" customHeight="1" x14ac:dyDescent="0.2">
      <c r="B153" s="6" t="s">
        <v>143</v>
      </c>
      <c r="D153" s="63"/>
      <c r="E153" s="63"/>
      <c r="F153" s="71"/>
      <c r="G153" s="63"/>
      <c r="H153" s="63"/>
      <c r="I153" s="206"/>
      <c r="J153" s="63"/>
      <c r="K153" s="63"/>
      <c r="L153" s="71"/>
      <c r="M153" s="63"/>
      <c r="N153" s="63"/>
      <c r="O153" s="71">
        <f t="shared" ref="O153" si="623">(O134/O49)/O130</f>
        <v>-7.0636408329140098E-3</v>
      </c>
      <c r="P153" s="63" t="e">
        <f t="shared" ref="P153:R153" si="624">(P134/P49)/P130</f>
        <v>#DIV/0!</v>
      </c>
      <c r="Q153" s="63">
        <f t="shared" si="624"/>
        <v>4.1062197094766809E-4</v>
      </c>
      <c r="R153" s="71">
        <f t="shared" si="624"/>
        <v>3.8220183453344872E-5</v>
      </c>
      <c r="S153" s="63">
        <f t="shared" ref="S153:U153" si="625">(S134/S49)/S130</f>
        <v>-5.8305756563767379E-3</v>
      </c>
      <c r="T153" s="63">
        <f t="shared" si="625"/>
        <v>-1.8805670355928502E-3</v>
      </c>
      <c r="U153" s="71">
        <f t="shared" si="625"/>
        <v>-7.7237857468169654E-3</v>
      </c>
      <c r="V153" s="63">
        <f t="shared" ref="V153:AY153" si="626">(V134/V49)/V130</f>
        <v>7.0290241413751573E-3</v>
      </c>
      <c r="W153" s="63">
        <f t="shared" si="626"/>
        <v>5.877941095671445E-3</v>
      </c>
      <c r="X153" s="71">
        <f t="shared" si="626"/>
        <v>1.2906965237046604E-2</v>
      </c>
      <c r="Y153" s="63">
        <f t="shared" si="626"/>
        <v>1.0114195628855179E-2</v>
      </c>
      <c r="Z153" s="63">
        <f t="shared" si="626"/>
        <v>8.7765912115050672E-3</v>
      </c>
      <c r="AA153" s="71">
        <f t="shared" si="626"/>
        <v>1.8890786840360246E-2</v>
      </c>
      <c r="AB153" s="63">
        <f t="shared" si="626"/>
        <v>1.3864644221164738E-2</v>
      </c>
      <c r="AC153" s="63">
        <f t="shared" si="626"/>
        <v>1.3352906242443041E-2</v>
      </c>
      <c r="AD153" s="71">
        <f t="shared" si="626"/>
        <v>2.7217550463607784E-2</v>
      </c>
      <c r="AE153" s="63">
        <f t="shared" si="626"/>
        <v>1.863775081432387E-2</v>
      </c>
      <c r="AF153" s="63">
        <f t="shared" si="626"/>
        <v>1.8091300033317825E-2</v>
      </c>
      <c r="AG153" s="71">
        <f t="shared" si="626"/>
        <v>3.6729050847641692E-2</v>
      </c>
      <c r="AH153" s="63">
        <f t="shared" si="626"/>
        <v>2.4130862992839744E-2</v>
      </c>
      <c r="AI153" s="63">
        <f t="shared" si="626"/>
        <v>2.3082417569988186E-2</v>
      </c>
      <c r="AJ153" s="71">
        <f t="shared" si="626"/>
        <v>4.7213280562827933E-2</v>
      </c>
      <c r="AK153" s="63">
        <f t="shared" si="626"/>
        <v>2.8082552318737977E-2</v>
      </c>
      <c r="AL153" s="63">
        <f t="shared" si="626"/>
        <v>2.6545480553242278E-2</v>
      </c>
      <c r="AM153" s="71">
        <f t="shared" si="626"/>
        <v>5.4628032871980287E-2</v>
      </c>
      <c r="AN153" s="63">
        <f t="shared" si="626"/>
        <v>3.2483525112782942E-2</v>
      </c>
      <c r="AO153" s="63">
        <f t="shared" si="626"/>
        <v>3.100744873352413E-2</v>
      </c>
      <c r="AP153" s="71">
        <f t="shared" si="626"/>
        <v>6.3490973846307072E-2</v>
      </c>
      <c r="AQ153" s="63">
        <f t="shared" si="626"/>
        <v>3.7539537324192664E-2</v>
      </c>
      <c r="AR153" s="63">
        <f t="shared" si="626"/>
        <v>3.5853239457915589E-2</v>
      </c>
      <c r="AS153" s="71">
        <f t="shared" si="626"/>
        <v>7.3392776782108288E-2</v>
      </c>
      <c r="AT153" s="63">
        <f t="shared" si="626"/>
        <v>4.3019587216829996E-2</v>
      </c>
      <c r="AU153" s="63">
        <f t="shared" si="626"/>
        <v>4.1109699024589587E-2</v>
      </c>
      <c r="AV153" s="71">
        <f t="shared" si="626"/>
        <v>8.4129286241419576E-2</v>
      </c>
      <c r="AW153" s="63">
        <f t="shared" si="626"/>
        <v>4.895236151789293E-2</v>
      </c>
      <c r="AX153" s="63">
        <f t="shared" si="626"/>
        <v>4.6804301615392528E-2</v>
      </c>
      <c r="AY153" s="71">
        <f t="shared" si="626"/>
        <v>9.5756663133285416E-2</v>
      </c>
    </row>
    <row r="154" spans="1:54" ht="12" customHeight="1" x14ac:dyDescent="0.2">
      <c r="B154" s="6" t="s">
        <v>144</v>
      </c>
      <c r="D154" s="63"/>
      <c r="E154" s="63"/>
      <c r="F154" s="71"/>
      <c r="G154" s="63"/>
      <c r="H154" s="63"/>
      <c r="I154" s="206"/>
      <c r="J154" s="63"/>
      <c r="K154" s="63"/>
      <c r="L154" s="71"/>
      <c r="M154" s="63"/>
      <c r="N154" s="63"/>
      <c r="O154" s="71">
        <f>'Balance Sheet'!O179/'Income &amp; Cash Flow'!O130/100</f>
        <v>0</v>
      </c>
      <c r="P154" s="63">
        <f>'Balance Sheet'!P179/'Income &amp; Cash Flow'!P130/100</f>
        <v>0</v>
      </c>
      <c r="Q154" s="63">
        <f>'Balance Sheet'!Q179/'Income &amp; Cash Flow'!Q130/100</f>
        <v>0</v>
      </c>
      <c r="R154" s="71">
        <f>'Balance Sheet'!R179/'Income &amp; Cash Flow'!R130/100</f>
        <v>0</v>
      </c>
      <c r="S154" s="63">
        <f>'Balance Sheet'!S179/'Income &amp; Cash Flow'!S130/100</f>
        <v>0</v>
      </c>
      <c r="T154" s="63">
        <f>'Balance Sheet'!T179/'Income &amp; Cash Flow'!T130/100</f>
        <v>0</v>
      </c>
      <c r="U154" s="71">
        <f>'Balance Sheet'!U179/'Income &amp; Cash Flow'!U130/100</f>
        <v>0</v>
      </c>
      <c r="V154" s="63">
        <f>'Balance Sheet'!V179/'Income &amp; Cash Flow'!V130/100</f>
        <v>0</v>
      </c>
      <c r="W154" s="63">
        <f>'Balance Sheet'!W179/'Income &amp; Cash Flow'!W130/100</f>
        <v>0</v>
      </c>
      <c r="X154" s="71">
        <f>'Balance Sheet'!X179/'Income &amp; Cash Flow'!X130/100</f>
        <v>0</v>
      </c>
      <c r="Y154" s="63">
        <f>'Balance Sheet'!Y179/'Income &amp; Cash Flow'!Y130/100</f>
        <v>0</v>
      </c>
      <c r="Z154" s="63">
        <f>'Balance Sheet'!Z179/'Income &amp; Cash Flow'!Z130/100</f>
        <v>0</v>
      </c>
      <c r="AA154" s="71">
        <f>'Balance Sheet'!AA179/'Income &amp; Cash Flow'!AA130/100</f>
        <v>0</v>
      </c>
      <c r="AB154" s="63">
        <f>'Balance Sheet'!AB179/'Income &amp; Cash Flow'!AB130/100</f>
        <v>0</v>
      </c>
      <c r="AC154" s="63">
        <f>'Balance Sheet'!AC179/'Income &amp; Cash Flow'!AC130/100</f>
        <v>0</v>
      </c>
      <c r="AD154" s="71">
        <f>'Balance Sheet'!AD179/'Income &amp; Cash Flow'!AD130/100</f>
        <v>0</v>
      </c>
      <c r="AE154" s="63">
        <f>'Balance Sheet'!AE179/'Income &amp; Cash Flow'!AE130/100</f>
        <v>0</v>
      </c>
      <c r="AF154" s="63">
        <f>'Balance Sheet'!AF179/'Income &amp; Cash Flow'!AF130/100</f>
        <v>0</v>
      </c>
      <c r="AG154" s="71">
        <f>'Balance Sheet'!AG179/'Income &amp; Cash Flow'!AG130/100</f>
        <v>0</v>
      </c>
      <c r="AH154" s="63">
        <f>'Balance Sheet'!AH179/'Income &amp; Cash Flow'!AH130/100</f>
        <v>0</v>
      </c>
      <c r="AI154" s="63">
        <f>'Balance Sheet'!AI179/'Income &amp; Cash Flow'!AI130/100</f>
        <v>0</v>
      </c>
      <c r="AJ154" s="71">
        <f>'Balance Sheet'!AJ179/'Income &amp; Cash Flow'!AJ130/100</f>
        <v>0</v>
      </c>
      <c r="AK154" s="63">
        <f>'Balance Sheet'!AK179/'Income &amp; Cash Flow'!AK130/100</f>
        <v>0</v>
      </c>
      <c r="AL154" s="63">
        <f>'Balance Sheet'!AL179/'Income &amp; Cash Flow'!AL130/100</f>
        <v>0</v>
      </c>
      <c r="AM154" s="71">
        <f>'Balance Sheet'!AM179/'Income &amp; Cash Flow'!AM130/100</f>
        <v>0</v>
      </c>
      <c r="AN154" s="63">
        <f>'Balance Sheet'!AN179/'Income &amp; Cash Flow'!AN130/100</f>
        <v>0</v>
      </c>
      <c r="AO154" s="63">
        <f>'Balance Sheet'!AO179/'Income &amp; Cash Flow'!AO130/100</f>
        <v>0</v>
      </c>
      <c r="AP154" s="71">
        <f>'Balance Sheet'!AP179/'Income &amp; Cash Flow'!AP130/100</f>
        <v>0</v>
      </c>
      <c r="AQ154" s="63">
        <f>'Balance Sheet'!AQ179/'Income &amp; Cash Flow'!AQ130/100</f>
        <v>0</v>
      </c>
      <c r="AR154" s="63">
        <f>'Balance Sheet'!AR179/'Income &amp; Cash Flow'!AR130/100</f>
        <v>0</v>
      </c>
      <c r="AS154" s="71">
        <f>'Balance Sheet'!AS179/'Income &amp; Cash Flow'!AS130/100</f>
        <v>0</v>
      </c>
      <c r="AT154" s="63">
        <f>'Balance Sheet'!AT179/'Income &amp; Cash Flow'!AT130/100</f>
        <v>0</v>
      </c>
      <c r="AU154" s="63">
        <f>'Balance Sheet'!AU179/'Income &amp; Cash Flow'!AU130/100</f>
        <v>0</v>
      </c>
      <c r="AV154" s="71">
        <f>'Balance Sheet'!AV179/'Income &amp; Cash Flow'!AV130/100</f>
        <v>0</v>
      </c>
      <c r="AW154" s="63">
        <f>'Balance Sheet'!AW179/'Income &amp; Cash Flow'!AW130/100</f>
        <v>0</v>
      </c>
      <c r="AX154" s="63">
        <f>'Balance Sheet'!AX179/'Income &amp; Cash Flow'!AX130/100</f>
        <v>0</v>
      </c>
      <c r="AY154" s="71">
        <f>'Balance Sheet'!AY179/'Income &amp; Cash Flow'!AY130/100</f>
        <v>0</v>
      </c>
    </row>
    <row r="155" spans="1:54" ht="12" customHeight="1" x14ac:dyDescent="0.2">
      <c r="B155" s="6"/>
      <c r="D155" s="6"/>
      <c r="E155" s="6"/>
      <c r="F155" s="13"/>
      <c r="G155" s="6"/>
      <c r="H155" s="6"/>
      <c r="I155" s="13"/>
      <c r="J155" s="6"/>
      <c r="K155" s="6"/>
      <c r="L155" s="210"/>
      <c r="M155" s="6"/>
      <c r="N155" s="6"/>
      <c r="O155" s="13"/>
      <c r="P155" s="6"/>
      <c r="Q155" s="6"/>
      <c r="R155" s="13"/>
      <c r="S155" s="6"/>
      <c r="T155" s="6"/>
      <c r="U155" s="13"/>
    </row>
    <row r="156" spans="1:54" s="14" customFormat="1" ht="12" customHeight="1" x14ac:dyDescent="0.2">
      <c r="B156" s="16"/>
    </row>
    <row r="157" spans="1:54" ht="12" customHeight="1" x14ac:dyDescent="0.2"/>
    <row r="158" spans="1:54" ht="12" customHeight="1" x14ac:dyDescent="0.2"/>
    <row r="159" spans="1:54" ht="12" customHeight="1" x14ac:dyDescent="0.2"/>
    <row r="160" spans="1:54" ht="12" customHeight="1" x14ac:dyDescent="0.2"/>
  </sheetData>
  <pageMargins left="0.7" right="0.7" top="0.75" bottom="0.75" header="0.3" footer="0.3"/>
  <pageSetup paperSize="9" orientation="portrait" r:id="rId1"/>
  <customProperties>
    <customPr name="Qube.Worksheet.Visibility" r:id="rId2"/>
    <customPr name="QXL_SHEET_ID" r:id="rId3"/>
  </customProperties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E05E2-F359-4257-A10B-4AF6D4C0956C}">
  <sheetPr>
    <tabColor theme="7" tint="0.79998168889431442"/>
    <pageSetUpPr autoPageBreaks="0"/>
  </sheetPr>
  <dimension ref="A1:AZ200"/>
  <sheetViews>
    <sheetView zoomScale="85" zoomScaleNormal="85" workbookViewId="0">
      <pane xSplit="3" ySplit="4" topLeftCell="F5" activePane="bottomRight" state="frozen"/>
      <selection activeCell="AI94" sqref="AI94"/>
      <selection pane="topRight" activeCell="AI94" sqref="AI94"/>
      <selection pane="bottomLeft" activeCell="AI94" sqref="AI94"/>
      <selection pane="bottomRight"/>
    </sheetView>
  </sheetViews>
  <sheetFormatPr defaultRowHeight="12.75" outlineLevelCol="1" x14ac:dyDescent="0.2"/>
  <cols>
    <col min="1" max="1" width="3.140625" style="15" customWidth="1"/>
    <col min="2" max="2" width="45.140625" style="15" customWidth="1"/>
    <col min="3" max="3" width="2.7109375" style="15" customWidth="1"/>
    <col min="4" max="4" width="9.28515625" style="15" hidden="1" customWidth="1" outlineLevel="1"/>
    <col min="5" max="5" width="10.7109375" style="15" hidden="1" customWidth="1" outlineLevel="1"/>
    <col min="6" max="6" width="10.85546875" style="15" bestFit="1" customWidth="1" collapsed="1"/>
    <col min="7" max="8" width="10.7109375" style="15" hidden="1" customWidth="1" outlineLevel="1"/>
    <col min="9" max="9" width="10.85546875" style="15" bestFit="1" customWidth="1" collapsed="1"/>
    <col min="10" max="11" width="10.7109375" style="15" hidden="1" customWidth="1" outlineLevel="1"/>
    <col min="12" max="12" width="10.85546875" style="15" bestFit="1" customWidth="1" collapsed="1"/>
    <col min="13" max="14" width="10.7109375" style="15" hidden="1" customWidth="1" outlineLevel="1"/>
    <col min="15" max="15" width="10.85546875" style="15" bestFit="1" customWidth="1" collapsed="1"/>
    <col min="16" max="16" width="10" style="15" hidden="1" customWidth="1" outlineLevel="1"/>
    <col min="17" max="17" width="10.7109375" style="15" hidden="1" customWidth="1" outlineLevel="1"/>
    <col min="18" max="18" width="11.7109375" style="15" bestFit="1" customWidth="1" collapsed="1"/>
    <col min="19" max="20" width="9.28515625" style="15" hidden="1" customWidth="1" outlineLevel="1"/>
    <col min="21" max="21" width="10.7109375" style="15" bestFit="1" customWidth="1" collapsed="1"/>
    <col min="22" max="23" width="9.28515625" style="15" hidden="1" customWidth="1" outlineLevel="1"/>
    <col min="24" max="24" width="10.7109375" style="15" bestFit="1" customWidth="1" collapsed="1"/>
    <col min="25" max="26" width="9.28515625" style="15" hidden="1" customWidth="1" outlineLevel="1"/>
    <col min="27" max="27" width="9.28515625" style="15" customWidth="1" collapsed="1"/>
    <col min="28" max="29" width="9.28515625" style="15" hidden="1" customWidth="1" outlineLevel="1"/>
    <col min="30" max="30" width="10.7109375" style="15" bestFit="1" customWidth="1" collapsed="1"/>
    <col min="31" max="32" width="9.28515625" style="15" hidden="1" customWidth="1" outlineLevel="1"/>
    <col min="33" max="33" width="10.7109375" style="15" bestFit="1" customWidth="1" collapsed="1"/>
    <col min="34" max="35" width="9.28515625" style="15" hidden="1" customWidth="1" outlineLevel="1"/>
    <col min="36" max="36" width="10.7109375" style="15" bestFit="1" customWidth="1" collapsed="1"/>
    <col min="37" max="38" width="9.28515625" style="15" hidden="1" customWidth="1" outlineLevel="1"/>
    <col min="39" max="39" width="10.7109375" style="15" bestFit="1" customWidth="1" collapsed="1"/>
    <col min="40" max="41" width="9.28515625" style="15" hidden="1" customWidth="1" outlineLevel="1"/>
    <col min="42" max="42" width="10.7109375" style="15" bestFit="1" customWidth="1" collapsed="1"/>
    <col min="43" max="44" width="9.28515625" style="15" hidden="1" customWidth="1" outlineLevel="1"/>
    <col min="45" max="45" width="10.7109375" style="15" bestFit="1" customWidth="1" collapsed="1"/>
    <col min="46" max="47" width="9.28515625" style="15" hidden="1" customWidth="1" outlineLevel="1"/>
    <col min="48" max="48" width="10.7109375" style="15" bestFit="1" customWidth="1" collapsed="1"/>
    <col min="49" max="50" width="9.28515625" style="15" hidden="1" customWidth="1" outlineLevel="1"/>
    <col min="51" max="51" width="10.7109375" style="15" bestFit="1" customWidth="1" collapsed="1"/>
    <col min="52" max="16384" width="9.140625" style="15"/>
  </cols>
  <sheetData>
    <row r="1" spans="1:51" s="11" customFormat="1" x14ac:dyDescent="0.2">
      <c r="B1" s="11" t="str">
        <f>+'GYG model -&gt;'!D2</f>
        <v>Guzman y Gomez (GYG.ASX)</v>
      </c>
    </row>
    <row r="2" spans="1:51" s="11" customFormat="1" x14ac:dyDescent="0.2">
      <c r="B2" s="11" t="s">
        <v>72</v>
      </c>
      <c r="S2" s="365"/>
      <c r="V2" s="365"/>
    </row>
    <row r="3" spans="1:51" s="11" customFormat="1" x14ac:dyDescent="0.2"/>
    <row r="4" spans="1:51" s="14" customFormat="1" ht="12" customHeight="1" x14ac:dyDescent="0.2">
      <c r="B4" s="16" t="s">
        <v>8</v>
      </c>
      <c r="D4" s="14" t="str">
        <f>+'Income &amp; Cash Flow'!D4</f>
        <v>1H20A</v>
      </c>
      <c r="E4" s="14" t="str">
        <f>+'Income &amp; Cash Flow'!E4</f>
        <v>2H20A</v>
      </c>
      <c r="F4" s="14" t="str">
        <f>+'Income &amp; Cash Flow'!F4</f>
        <v>FY20A</v>
      </c>
      <c r="G4" s="14" t="str">
        <f>+'Income &amp; Cash Flow'!G4</f>
        <v>1H21A</v>
      </c>
      <c r="H4" s="14" t="str">
        <f>+'Income &amp; Cash Flow'!H4</f>
        <v>2H21A</v>
      </c>
      <c r="I4" s="14" t="str">
        <f>+'Income &amp; Cash Flow'!I4</f>
        <v>FY21A</v>
      </c>
      <c r="J4" s="14" t="str">
        <f>+'Income &amp; Cash Flow'!J4</f>
        <v>1H22A</v>
      </c>
      <c r="K4" s="14" t="str">
        <f>+'Income &amp; Cash Flow'!K4</f>
        <v>2H22A</v>
      </c>
      <c r="L4" s="14" t="str">
        <f>+'Income &amp; Cash Flow'!L4</f>
        <v>FY22A</v>
      </c>
      <c r="M4" s="14" t="str">
        <f>+'Income &amp; Cash Flow'!M4</f>
        <v>1H23A</v>
      </c>
      <c r="N4" s="14" t="str">
        <f>+'Income &amp; Cash Flow'!N4</f>
        <v>2H23A</v>
      </c>
      <c r="O4" s="14" t="str">
        <f>+'Income &amp; Cash Flow'!O4</f>
        <v>FY23A</v>
      </c>
      <c r="P4" s="14" t="str">
        <f>+'Income &amp; Cash Flow'!P4</f>
        <v>1H24A</v>
      </c>
      <c r="Q4" s="14" t="str">
        <f>+'Income &amp; Cash Flow'!Q4</f>
        <v>2H24A</v>
      </c>
      <c r="R4" s="14" t="str">
        <f>+'Income &amp; Cash Flow'!R4</f>
        <v>FY24A</v>
      </c>
      <c r="S4" s="14" t="str">
        <f>+'Income &amp; Cash Flow'!S4</f>
        <v>1H25A</v>
      </c>
      <c r="T4" s="14" t="str">
        <f>+'Income &amp; Cash Flow'!T4</f>
        <v>2H25A</v>
      </c>
      <c r="U4" s="14" t="str">
        <f>+'Income &amp; Cash Flow'!U4</f>
        <v>FY25A</v>
      </c>
      <c r="V4" s="14" t="str">
        <f>+'Income &amp; Cash Flow'!V4</f>
        <v>1H26E</v>
      </c>
      <c r="W4" s="14" t="str">
        <f>+'Income &amp; Cash Flow'!W4</f>
        <v>2H26E</v>
      </c>
      <c r="X4" s="14" t="str">
        <f>+'Income &amp; Cash Flow'!X4</f>
        <v>FY26E</v>
      </c>
      <c r="Y4" s="14" t="str">
        <f>+'Income &amp; Cash Flow'!Y4</f>
        <v>1H27E</v>
      </c>
      <c r="Z4" s="14" t="str">
        <f>+'Income &amp; Cash Flow'!Z4</f>
        <v>2H27E</v>
      </c>
      <c r="AA4" s="14" t="str">
        <f>+'Income &amp; Cash Flow'!AA4</f>
        <v>FY27E</v>
      </c>
      <c r="AB4" s="14" t="str">
        <f>+'Income &amp; Cash Flow'!AB4</f>
        <v>1H28E</v>
      </c>
      <c r="AC4" s="14" t="str">
        <f>+'Income &amp; Cash Flow'!AC4</f>
        <v>2H28E</v>
      </c>
      <c r="AD4" s="14" t="str">
        <f>+'Income &amp; Cash Flow'!AD4</f>
        <v>FY28E</v>
      </c>
      <c r="AE4" s="14" t="str">
        <f>+'Income &amp; Cash Flow'!AE4</f>
        <v>1H29E</v>
      </c>
      <c r="AF4" s="14" t="str">
        <f>+'Income &amp; Cash Flow'!AF4</f>
        <v>2H29E</v>
      </c>
      <c r="AG4" s="14" t="str">
        <f>+'Income &amp; Cash Flow'!AG4</f>
        <v>FY29E</v>
      </c>
      <c r="AH4" s="14" t="str">
        <f>+'Income &amp; Cash Flow'!AH4</f>
        <v>1H30E</v>
      </c>
      <c r="AI4" s="14" t="str">
        <f>+'Income &amp; Cash Flow'!AI4</f>
        <v>2H30E</v>
      </c>
      <c r="AJ4" s="14" t="str">
        <f>+'Income &amp; Cash Flow'!AJ4</f>
        <v>FY30E</v>
      </c>
      <c r="AK4" s="14" t="str">
        <f>+'Income &amp; Cash Flow'!AK4</f>
        <v>1H31E</v>
      </c>
      <c r="AL4" s="14" t="str">
        <f>+'Income &amp; Cash Flow'!AL4</f>
        <v>2H31E</v>
      </c>
      <c r="AM4" s="14" t="str">
        <f>+'Income &amp; Cash Flow'!AM4</f>
        <v>FY31E</v>
      </c>
      <c r="AN4" s="14" t="str">
        <f>+'Income &amp; Cash Flow'!AN4</f>
        <v>1H32E</v>
      </c>
      <c r="AO4" s="14" t="str">
        <f>+'Income &amp; Cash Flow'!AO4</f>
        <v>2H32E</v>
      </c>
      <c r="AP4" s="14" t="str">
        <f>+'Income &amp; Cash Flow'!AP4</f>
        <v>FY32E</v>
      </c>
      <c r="AQ4" s="14" t="str">
        <f>+'Income &amp; Cash Flow'!AQ4</f>
        <v>1H33E</v>
      </c>
      <c r="AR4" s="14" t="str">
        <f>+'Income &amp; Cash Flow'!AR4</f>
        <v>2H33E</v>
      </c>
      <c r="AS4" s="14" t="str">
        <f>+'Income &amp; Cash Flow'!AS4</f>
        <v>FY33E</v>
      </c>
      <c r="AT4" s="14" t="str">
        <f>+'Income &amp; Cash Flow'!AT4</f>
        <v>1H34E</v>
      </c>
      <c r="AU4" s="14" t="str">
        <f>+'Income &amp; Cash Flow'!AU4</f>
        <v>2H34E</v>
      </c>
      <c r="AV4" s="14" t="str">
        <f>+'Income &amp; Cash Flow'!AV4</f>
        <v>FY34E</v>
      </c>
      <c r="AW4" s="14" t="str">
        <f>+'Income &amp; Cash Flow'!AW4</f>
        <v>1H35E</v>
      </c>
      <c r="AX4" s="14" t="str">
        <f>+'Income &amp; Cash Flow'!AX4</f>
        <v>2H35E</v>
      </c>
      <c r="AY4" s="14" t="str">
        <f>+'Income &amp; Cash Flow'!AY4</f>
        <v>FY35E</v>
      </c>
    </row>
    <row r="5" spans="1:51" s="14" customFormat="1" x14ac:dyDescent="0.2">
      <c r="B5" s="16" t="s">
        <v>72</v>
      </c>
    </row>
    <row r="6" spans="1:51" s="24" customFormat="1" ht="12" customHeight="1" x14ac:dyDescent="0.2">
      <c r="A6" s="6"/>
      <c r="B6" s="23" t="s">
        <v>145</v>
      </c>
      <c r="C6" s="23"/>
      <c r="D6" s="25"/>
      <c r="E6" s="26"/>
      <c r="F6" s="132"/>
      <c r="G6" s="25"/>
      <c r="H6" s="26"/>
      <c r="I6" s="132">
        <v>62.091000000000001</v>
      </c>
      <c r="J6" s="25"/>
      <c r="K6" s="26"/>
      <c r="L6" s="132">
        <v>54.427</v>
      </c>
      <c r="M6" s="25"/>
      <c r="N6" s="26"/>
      <c r="O6" s="132">
        <v>36.503999999999998</v>
      </c>
      <c r="P6" s="25">
        <v>13.619</v>
      </c>
      <c r="Q6" s="26">
        <f>+R6</f>
        <v>16.385000000000002</v>
      </c>
      <c r="R6" s="132">
        <f>16.385</f>
        <v>16.385000000000002</v>
      </c>
      <c r="S6" s="25">
        <v>16.882000000000001</v>
      </c>
      <c r="T6" s="26">
        <f>+U6</f>
        <v>39.674999999999997</v>
      </c>
      <c r="U6" s="132">
        <v>39.674999999999997</v>
      </c>
      <c r="V6" s="26">
        <f>+'Income &amp; Cash Flow'!V124</f>
        <v>40.909944110826714</v>
      </c>
      <c r="W6" s="26">
        <f t="shared" ref="W6:W11" si="0">+X6</f>
        <v>40.539715433844492</v>
      </c>
      <c r="X6" s="27">
        <f>+'Income &amp; Cash Flow'!X124</f>
        <v>40.539715433844492</v>
      </c>
      <c r="Y6" s="26">
        <f>+'Income &amp; Cash Flow'!Y124</f>
        <v>48.554281922399213</v>
      </c>
      <c r="Z6" s="26">
        <f t="shared" ref="Z6:Z11" si="1">+AA6</f>
        <v>54.605245651311506</v>
      </c>
      <c r="AA6" s="27">
        <f>+'Income &amp; Cash Flow'!AA124</f>
        <v>54.605245651311506</v>
      </c>
      <c r="AB6" s="26">
        <f>+'Income &amp; Cash Flow'!AB124</f>
        <v>70.988485930386219</v>
      </c>
      <c r="AC6" s="26">
        <f t="shared" ref="AC6:AC11" si="2">+AD6</f>
        <v>87.542116715056167</v>
      </c>
      <c r="AD6" s="27">
        <f>+'Income &amp; Cash Flow'!AD124</f>
        <v>87.542116715056167</v>
      </c>
      <c r="AE6" s="26">
        <f>+'Income &amp; Cash Flow'!AE124</f>
        <v>114.75945350761816</v>
      </c>
      <c r="AF6" s="26">
        <f t="shared" ref="AF6:AF11" si="3">+AG6</f>
        <v>142.17969345688687</v>
      </c>
      <c r="AG6" s="27">
        <f>+'Income &amp; Cash Flow'!AG124</f>
        <v>142.17969345688687</v>
      </c>
      <c r="AH6" s="26">
        <f>+'Income &amp; Cash Flow'!AH124</f>
        <v>181.95419120104407</v>
      </c>
      <c r="AI6" s="26">
        <f t="shared" ref="AI6:AI11" si="4">+AJ6</f>
        <v>220.8284857134164</v>
      </c>
      <c r="AJ6" s="27">
        <f>+'Income &amp; Cash Flow'!AJ124</f>
        <v>220.8284857134164</v>
      </c>
      <c r="AK6" s="26">
        <f>+'Income &amp; Cash Flow'!AK124</f>
        <v>269.33613999894436</v>
      </c>
      <c r="AL6" s="26">
        <f t="shared" ref="AL6:AL11" si="5">+AM6</f>
        <v>315.88514992080661</v>
      </c>
      <c r="AM6" s="27">
        <f>+'Income &amp; Cash Flow'!AM124</f>
        <v>315.88514992080661</v>
      </c>
      <c r="AN6" s="26">
        <f>+'Income &amp; Cash Flow'!AN124</f>
        <v>374.18708403767613</v>
      </c>
      <c r="AO6" s="26">
        <f t="shared" ref="AO6:AO11" si="6">+AP6</f>
        <v>430.83343494018789</v>
      </c>
      <c r="AP6" s="27">
        <f>+'Income &amp; Cash Flow'!AP124</f>
        <v>430.83343494018789</v>
      </c>
      <c r="AQ6" s="26">
        <f>+'Income &amp; Cash Flow'!AQ124</f>
        <v>500.49795526698222</v>
      </c>
      <c r="AR6" s="26">
        <f t="shared" ref="AR6:AR11" si="7">+AS6</f>
        <v>568.15920888977428</v>
      </c>
      <c r="AS6" s="27">
        <f>+'Income &amp; Cash Flow'!AS124</f>
        <v>568.15920888977428</v>
      </c>
      <c r="AT6" s="26">
        <f>+'Income &amp; Cash Flow'!AT124</f>
        <v>650.19149611062369</v>
      </c>
      <c r="AU6" s="26">
        <f t="shared" ref="AU6:AU11" si="8">+AV6</f>
        <v>729.85629347685426</v>
      </c>
      <c r="AV6" s="27">
        <f>+'Income &amp; Cash Flow'!AV124</f>
        <v>729.85629347685426</v>
      </c>
      <c r="AW6" s="26">
        <f>+'Income &amp; Cash Flow'!AW124</f>
        <v>825.33689161089399</v>
      </c>
      <c r="AX6" s="26">
        <f t="shared" ref="AX6:AX11" si="9">+AY6</f>
        <v>918.06812935368521</v>
      </c>
      <c r="AY6" s="27">
        <f>+'Income &amp; Cash Flow'!AY124</f>
        <v>918.06812935368521</v>
      </c>
    </row>
    <row r="7" spans="1:51" s="24" customFormat="1" ht="12" customHeight="1" x14ac:dyDescent="0.2">
      <c r="A7" s="6"/>
      <c r="B7" s="23" t="s">
        <v>74</v>
      </c>
      <c r="C7" s="23"/>
      <c r="D7" s="25"/>
      <c r="E7" s="26"/>
      <c r="F7" s="132"/>
      <c r="G7" s="25"/>
      <c r="H7" s="26"/>
      <c r="I7" s="132">
        <v>4.9930000000000003</v>
      </c>
      <c r="J7" s="25"/>
      <c r="K7" s="26"/>
      <c r="L7" s="132">
        <v>16.352</v>
      </c>
      <c r="M7" s="25"/>
      <c r="N7" s="26"/>
      <c r="O7" s="132">
        <v>23.946999999999999</v>
      </c>
      <c r="P7" s="25">
        <v>21.198</v>
      </c>
      <c r="Q7" s="26">
        <f t="shared" ref="Q7:Q11" si="10">+R7</f>
        <v>26.02</v>
      </c>
      <c r="R7" s="132">
        <v>26.02</v>
      </c>
      <c r="S7" s="25">
        <v>18.852</v>
      </c>
      <c r="T7" s="26">
        <f t="shared" ref="T7:T8" si="11">+U7</f>
        <v>24.702999999999999</v>
      </c>
      <c r="U7" s="132">
        <v>24.702999999999999</v>
      </c>
      <c r="V7" s="26">
        <f t="shared" ref="V7:AW7" si="12">+V79</f>
        <v>30.056948108051341</v>
      </c>
      <c r="W7" s="26">
        <f t="shared" si="0"/>
        <v>30.530703485804001</v>
      </c>
      <c r="X7" s="27">
        <f t="shared" ref="X7" si="13">+X79</f>
        <v>30.530703485804001</v>
      </c>
      <c r="Y7" s="26">
        <f t="shared" si="12"/>
        <v>35.880664438540919</v>
      </c>
      <c r="Z7" s="26">
        <f t="shared" si="1"/>
        <v>36.366778726315616</v>
      </c>
      <c r="AA7" s="27">
        <f t="shared" ref="AA7" si="14">+AA79</f>
        <v>36.366778726315616</v>
      </c>
      <c r="AB7" s="26">
        <f t="shared" si="12"/>
        <v>42.290880386036832</v>
      </c>
      <c r="AC7" s="26">
        <f t="shared" si="2"/>
        <v>42.699202671252536</v>
      </c>
      <c r="AD7" s="27">
        <f t="shared" ref="AD7" si="15">+AD79</f>
        <v>42.699202671252536</v>
      </c>
      <c r="AE7" s="26">
        <f t="shared" si="12"/>
        <v>48.585045745584303</v>
      </c>
      <c r="AF7" s="26">
        <f t="shared" si="3"/>
        <v>48.940994773312823</v>
      </c>
      <c r="AG7" s="27">
        <f t="shared" ref="AG7" si="16">+AG79</f>
        <v>48.940994773312823</v>
      </c>
      <c r="AH7" s="26">
        <f t="shared" si="12"/>
        <v>55.323150012453596</v>
      </c>
      <c r="AI7" s="26">
        <f t="shared" si="4"/>
        <v>55.520987572986073</v>
      </c>
      <c r="AJ7" s="27">
        <f t="shared" ref="AJ7" si="17">+AJ79</f>
        <v>55.520987572986073</v>
      </c>
      <c r="AK7" s="26">
        <f t="shared" si="12"/>
        <v>62.307826432307358</v>
      </c>
      <c r="AL7" s="26">
        <f t="shared" si="5"/>
        <v>62.43201081537773</v>
      </c>
      <c r="AM7" s="27">
        <f t="shared" ref="AM7" si="18">+AM79</f>
        <v>62.43201081537773</v>
      </c>
      <c r="AN7" s="26">
        <f t="shared" si="12"/>
        <v>69.742683499596438</v>
      </c>
      <c r="AO7" s="26">
        <f t="shared" si="6"/>
        <v>69.787762509142979</v>
      </c>
      <c r="AP7" s="27">
        <f t="shared" ref="AP7" si="19">+AP79</f>
        <v>69.787762509142979</v>
      </c>
      <c r="AQ7" s="26">
        <f t="shared" si="12"/>
        <v>77.653388229956761</v>
      </c>
      <c r="AR7" s="26">
        <f t="shared" si="7"/>
        <v>77.613579767880893</v>
      </c>
      <c r="AS7" s="27">
        <f t="shared" ref="AS7" si="20">+AS79</f>
        <v>77.613579767880893</v>
      </c>
      <c r="AT7" s="26">
        <f t="shared" si="12"/>
        <v>86.06693368531954</v>
      </c>
      <c r="AU7" s="26">
        <f t="shared" si="8"/>
        <v>85.936118463977664</v>
      </c>
      <c r="AV7" s="27">
        <f t="shared" ref="AV7" si="21">+AV79</f>
        <v>85.936118463977664</v>
      </c>
      <c r="AW7" s="26">
        <f t="shared" si="12"/>
        <v>95.011735239131312</v>
      </c>
      <c r="AX7" s="26">
        <f t="shared" si="9"/>
        <v>94.783448454542054</v>
      </c>
      <c r="AY7" s="27">
        <f t="shared" ref="AY7" si="22">+AY79</f>
        <v>94.783448454542054</v>
      </c>
    </row>
    <row r="8" spans="1:51" s="24" customFormat="1" ht="12" customHeight="1" x14ac:dyDescent="0.2">
      <c r="A8" s="6"/>
      <c r="B8" s="23" t="s">
        <v>146</v>
      </c>
      <c r="C8" s="23"/>
      <c r="D8" s="25"/>
      <c r="E8" s="26"/>
      <c r="F8" s="132"/>
      <c r="G8" s="25"/>
      <c r="H8" s="26"/>
      <c r="I8" s="132">
        <v>1.6519999999999999</v>
      </c>
      <c r="J8" s="25"/>
      <c r="K8" s="26"/>
      <c r="L8" s="132">
        <v>1.9870000000000001</v>
      </c>
      <c r="M8" s="25"/>
      <c r="N8" s="26"/>
      <c r="O8" s="132">
        <v>2.153</v>
      </c>
      <c r="P8" s="25">
        <v>3.1709999999999998</v>
      </c>
      <c r="Q8" s="26">
        <f t="shared" si="10"/>
        <v>2.8250000000000002</v>
      </c>
      <c r="R8" s="132">
        <v>2.8250000000000002</v>
      </c>
      <c r="S8" s="25">
        <v>4.2489999999999997</v>
      </c>
      <c r="T8" s="26">
        <f t="shared" si="11"/>
        <v>3.7610000000000001</v>
      </c>
      <c r="U8" s="132">
        <v>3.7610000000000001</v>
      </c>
      <c r="V8" s="26">
        <f t="shared" ref="V8" si="23">+V83</f>
        <v>4.5761317181873089</v>
      </c>
      <c r="W8" s="26">
        <f t="shared" si="0"/>
        <v>4.6482603655470527</v>
      </c>
      <c r="X8" s="27">
        <f t="shared" ref="X8:Y8" si="24">+X83</f>
        <v>4.6482603655470527</v>
      </c>
      <c r="Y8" s="26">
        <f t="shared" si="24"/>
        <v>5.4627850444623087</v>
      </c>
      <c r="Z8" s="26">
        <f t="shared" si="1"/>
        <v>5.5367953199883839</v>
      </c>
      <c r="AA8" s="27">
        <f t="shared" ref="AA8:AB8" si="25">+AA83</f>
        <v>5.5367953199883839</v>
      </c>
      <c r="AB8" s="26">
        <f t="shared" si="25"/>
        <v>6.4387321836167475</v>
      </c>
      <c r="AC8" s="26">
        <f t="shared" si="2"/>
        <v>6.5008987267368656</v>
      </c>
      <c r="AD8" s="27">
        <f t="shared" ref="AD8:AE8" si="26">+AD83</f>
        <v>6.5008987267368656</v>
      </c>
      <c r="AE8" s="26">
        <f t="shared" si="26"/>
        <v>7.39701076991226</v>
      </c>
      <c r="AF8" s="26">
        <f t="shared" si="3"/>
        <v>7.4512035518936788</v>
      </c>
      <c r="AG8" s="27">
        <f t="shared" ref="AG8:AH8" si="27">+AG83</f>
        <v>7.4512035518936788</v>
      </c>
      <c r="AH8" s="26">
        <f t="shared" si="27"/>
        <v>8.4228784842666062</v>
      </c>
      <c r="AI8" s="26">
        <f t="shared" si="4"/>
        <v>8.4529989985831921</v>
      </c>
      <c r="AJ8" s="27">
        <f t="shared" ref="AJ8:AK8" si="28">+AJ83</f>
        <v>8.4529989985831921</v>
      </c>
      <c r="AK8" s="26">
        <f t="shared" si="28"/>
        <v>9.4862864920012946</v>
      </c>
      <c r="AL8" s="26">
        <f t="shared" si="5"/>
        <v>9.5051934047134221</v>
      </c>
      <c r="AM8" s="27">
        <f t="shared" ref="AM8:AN8" si="29">+AM83</f>
        <v>9.5051934047134221</v>
      </c>
      <c r="AN8" s="26">
        <f t="shared" si="29"/>
        <v>10.618233924704782</v>
      </c>
      <c r="AO8" s="26">
        <f t="shared" si="6"/>
        <v>10.625097145969589</v>
      </c>
      <c r="AP8" s="27">
        <f t="shared" ref="AP8:AQ8" si="30">+AP83</f>
        <v>10.625097145969589</v>
      </c>
      <c r="AQ8" s="26">
        <f t="shared" si="30"/>
        <v>11.822628552518616</v>
      </c>
      <c r="AR8" s="26">
        <f t="shared" si="7"/>
        <v>11.816567765332147</v>
      </c>
      <c r="AS8" s="27">
        <f t="shared" ref="AS8:AT8" si="31">+AS83</f>
        <v>11.816567765332147</v>
      </c>
      <c r="AT8" s="26">
        <f t="shared" si="31"/>
        <v>13.103580034428482</v>
      </c>
      <c r="AU8" s="26">
        <f t="shared" si="8"/>
        <v>13.08366358511193</v>
      </c>
      <c r="AV8" s="27">
        <f t="shared" ref="AV8:AW8" si="32">+AV83</f>
        <v>13.08366358511193</v>
      </c>
      <c r="AW8" s="26">
        <f t="shared" si="32"/>
        <v>14.465414574520215</v>
      </c>
      <c r="AX8" s="26">
        <f t="shared" si="9"/>
        <v>14.430658204976428</v>
      </c>
      <c r="AY8" s="27">
        <f t="shared" ref="AY8" si="33">+AY83</f>
        <v>14.430658204976428</v>
      </c>
    </row>
    <row r="9" spans="1:51" s="24" customFormat="1" ht="12" customHeight="1" x14ac:dyDescent="0.2">
      <c r="A9" s="6"/>
      <c r="B9" s="23" t="s">
        <v>350</v>
      </c>
      <c r="C9" s="23"/>
      <c r="D9" s="25"/>
      <c r="E9" s="26"/>
      <c r="F9" s="132"/>
      <c r="G9" s="25"/>
      <c r="H9" s="26"/>
      <c r="I9" s="132">
        <v>10.731</v>
      </c>
      <c r="J9" s="25"/>
      <c r="K9" s="26"/>
      <c r="L9" s="132">
        <v>10.898</v>
      </c>
      <c r="M9" s="25"/>
      <c r="N9" s="26"/>
      <c r="O9" s="132">
        <v>10.772</v>
      </c>
      <c r="P9" s="25">
        <v>10.513999999999999</v>
      </c>
      <c r="Q9" s="26">
        <f>R9</f>
        <v>11.999000000000001</v>
      </c>
      <c r="R9" s="132">
        <v>11.999000000000001</v>
      </c>
      <c r="S9" s="25">
        <v>12.25</v>
      </c>
      <c r="T9" s="26">
        <f>U9</f>
        <v>12.497</v>
      </c>
      <c r="U9" s="132">
        <v>12.497</v>
      </c>
      <c r="V9" s="140">
        <f t="shared" ref="V9" si="34">+U9</f>
        <v>12.497</v>
      </c>
      <c r="W9" s="142">
        <f t="shared" si="0"/>
        <v>12.497</v>
      </c>
      <c r="X9" s="146">
        <f t="shared" ref="X9:X11" si="35">+V9</f>
        <v>12.497</v>
      </c>
      <c r="Y9" s="140">
        <f t="shared" ref="Y9" si="36">+X9</f>
        <v>12.497</v>
      </c>
      <c r="Z9" s="142">
        <f t="shared" si="1"/>
        <v>12.497</v>
      </c>
      <c r="AA9" s="146">
        <f t="shared" ref="AA9:AA11" si="37">+Y9</f>
        <v>12.497</v>
      </c>
      <c r="AB9" s="140">
        <f t="shared" ref="AB9" si="38">+AA9</f>
        <v>12.497</v>
      </c>
      <c r="AC9" s="142">
        <f t="shared" si="2"/>
        <v>12.497</v>
      </c>
      <c r="AD9" s="146">
        <f t="shared" ref="AD9:AD11" si="39">+AB9</f>
        <v>12.497</v>
      </c>
      <c r="AE9" s="140">
        <f t="shared" ref="AE9" si="40">+AD9</f>
        <v>12.497</v>
      </c>
      <c r="AF9" s="142">
        <f t="shared" si="3"/>
        <v>12.497</v>
      </c>
      <c r="AG9" s="146">
        <f t="shared" ref="AG9:AG11" si="41">+AE9</f>
        <v>12.497</v>
      </c>
      <c r="AH9" s="140">
        <f t="shared" ref="AH9" si="42">+AG9</f>
        <v>12.497</v>
      </c>
      <c r="AI9" s="142">
        <f t="shared" si="4"/>
        <v>12.497</v>
      </c>
      <c r="AJ9" s="146">
        <f t="shared" ref="AJ9:AJ11" si="43">+AH9</f>
        <v>12.497</v>
      </c>
      <c r="AK9" s="140">
        <f t="shared" ref="AK9" si="44">+AJ9</f>
        <v>12.497</v>
      </c>
      <c r="AL9" s="142">
        <f t="shared" si="5"/>
        <v>12.497</v>
      </c>
      <c r="AM9" s="146">
        <f t="shared" ref="AM9:AM11" si="45">+AK9</f>
        <v>12.497</v>
      </c>
      <c r="AN9" s="140">
        <f t="shared" ref="AN9" si="46">+AM9</f>
        <v>12.497</v>
      </c>
      <c r="AO9" s="142">
        <f t="shared" si="6"/>
        <v>12.497</v>
      </c>
      <c r="AP9" s="146">
        <f t="shared" ref="AP9:AP11" si="47">+AN9</f>
        <v>12.497</v>
      </c>
      <c r="AQ9" s="140">
        <f t="shared" ref="AQ9" si="48">+AP9</f>
        <v>12.497</v>
      </c>
      <c r="AR9" s="142">
        <f t="shared" si="7"/>
        <v>12.497</v>
      </c>
      <c r="AS9" s="146">
        <f t="shared" ref="AS9:AS11" si="49">+AQ9</f>
        <v>12.497</v>
      </c>
      <c r="AT9" s="140">
        <f t="shared" ref="AT9" si="50">+AS9</f>
        <v>12.497</v>
      </c>
      <c r="AU9" s="142">
        <f t="shared" si="8"/>
        <v>12.497</v>
      </c>
      <c r="AV9" s="146">
        <f t="shared" ref="AV9:AV11" si="51">+AT9</f>
        <v>12.497</v>
      </c>
      <c r="AW9" s="140">
        <f t="shared" ref="AW9" si="52">+AV9</f>
        <v>12.497</v>
      </c>
      <c r="AX9" s="142">
        <f t="shared" si="9"/>
        <v>12.497</v>
      </c>
      <c r="AY9" s="146">
        <f t="shared" ref="AY9:AY11" si="53">+AW9</f>
        <v>12.497</v>
      </c>
    </row>
    <row r="10" spans="1:51" s="24" customFormat="1" ht="12" customHeight="1" x14ac:dyDescent="0.2">
      <c r="A10" s="6"/>
      <c r="B10" s="23" t="s">
        <v>505</v>
      </c>
      <c r="C10" s="23"/>
      <c r="D10" s="25"/>
      <c r="E10" s="26"/>
      <c r="F10" s="132"/>
      <c r="G10" s="25"/>
      <c r="H10" s="26"/>
      <c r="I10" s="132">
        <v>0</v>
      </c>
      <c r="J10" s="25"/>
      <c r="K10" s="26"/>
      <c r="L10" s="132">
        <v>0</v>
      </c>
      <c r="M10" s="25"/>
      <c r="N10" s="26"/>
      <c r="O10" s="132">
        <v>0</v>
      </c>
      <c r="P10" s="25">
        <v>0</v>
      </c>
      <c r="Q10" s="26">
        <f>R10</f>
        <v>278.09500000000003</v>
      </c>
      <c r="R10" s="132">
        <v>278.09500000000003</v>
      </c>
      <c r="S10" s="25">
        <v>257.61099999999999</v>
      </c>
      <c r="T10" s="26">
        <f>U10</f>
        <v>242.06800000000001</v>
      </c>
      <c r="U10" s="132">
        <v>242.06800000000001</v>
      </c>
      <c r="V10" s="140">
        <f t="shared" ref="V10" si="54">+U10</f>
        <v>242.06800000000001</v>
      </c>
      <c r="W10" s="142">
        <f t="shared" si="0"/>
        <v>242.06800000000001</v>
      </c>
      <c r="X10" s="146">
        <f t="shared" si="35"/>
        <v>242.06800000000001</v>
      </c>
      <c r="Y10" s="140">
        <f t="shared" ref="Y10" si="55">+X10</f>
        <v>242.06800000000001</v>
      </c>
      <c r="Z10" s="142">
        <f t="shared" si="1"/>
        <v>242.06800000000001</v>
      </c>
      <c r="AA10" s="146">
        <f t="shared" si="37"/>
        <v>242.06800000000001</v>
      </c>
      <c r="AB10" s="140">
        <f t="shared" ref="AB10" si="56">+AA10</f>
        <v>242.06800000000001</v>
      </c>
      <c r="AC10" s="142">
        <f t="shared" si="2"/>
        <v>242.06800000000001</v>
      </c>
      <c r="AD10" s="146">
        <f t="shared" si="39"/>
        <v>242.06800000000001</v>
      </c>
      <c r="AE10" s="140">
        <f t="shared" ref="AE10" si="57">+AD10</f>
        <v>242.06800000000001</v>
      </c>
      <c r="AF10" s="142">
        <f t="shared" si="3"/>
        <v>242.06800000000001</v>
      </c>
      <c r="AG10" s="146">
        <f t="shared" si="41"/>
        <v>242.06800000000001</v>
      </c>
      <c r="AH10" s="140">
        <f t="shared" ref="AH10" si="58">+AG10</f>
        <v>242.06800000000001</v>
      </c>
      <c r="AI10" s="142">
        <f t="shared" si="4"/>
        <v>242.06800000000001</v>
      </c>
      <c r="AJ10" s="146">
        <f t="shared" si="43"/>
        <v>242.06800000000001</v>
      </c>
      <c r="AK10" s="140">
        <f t="shared" ref="AK10" si="59">+AJ10</f>
        <v>242.06800000000001</v>
      </c>
      <c r="AL10" s="142">
        <f t="shared" si="5"/>
        <v>242.06800000000001</v>
      </c>
      <c r="AM10" s="146">
        <f t="shared" si="45"/>
        <v>242.06800000000001</v>
      </c>
      <c r="AN10" s="140">
        <f t="shared" ref="AN10" si="60">+AM10</f>
        <v>242.06800000000001</v>
      </c>
      <c r="AO10" s="142">
        <f t="shared" si="6"/>
        <v>242.06800000000001</v>
      </c>
      <c r="AP10" s="146">
        <f t="shared" si="47"/>
        <v>242.06800000000001</v>
      </c>
      <c r="AQ10" s="140">
        <f t="shared" ref="AQ10" si="61">+AP10</f>
        <v>242.06800000000001</v>
      </c>
      <c r="AR10" s="142">
        <f t="shared" si="7"/>
        <v>242.06800000000001</v>
      </c>
      <c r="AS10" s="146">
        <f t="shared" si="49"/>
        <v>242.06800000000001</v>
      </c>
      <c r="AT10" s="140">
        <f t="shared" ref="AT10" si="62">+AS10</f>
        <v>242.06800000000001</v>
      </c>
      <c r="AU10" s="142">
        <f t="shared" si="8"/>
        <v>242.06800000000001</v>
      </c>
      <c r="AV10" s="146">
        <f t="shared" si="51"/>
        <v>242.06800000000001</v>
      </c>
      <c r="AW10" s="140">
        <f t="shared" ref="AW10" si="63">+AV10</f>
        <v>242.06800000000001</v>
      </c>
      <c r="AX10" s="142">
        <f t="shared" si="9"/>
        <v>242.06800000000001</v>
      </c>
      <c r="AY10" s="146">
        <f t="shared" si="53"/>
        <v>242.06800000000001</v>
      </c>
    </row>
    <row r="11" spans="1:51" s="24" customFormat="1" ht="12" customHeight="1" x14ac:dyDescent="0.2">
      <c r="A11" s="6"/>
      <c r="B11" s="23" t="s">
        <v>147</v>
      </c>
      <c r="C11" s="23"/>
      <c r="D11" s="25"/>
      <c r="E11" s="26"/>
      <c r="F11" s="132"/>
      <c r="G11" s="25"/>
      <c r="H11" s="26"/>
      <c r="I11" s="132">
        <v>2.056</v>
      </c>
      <c r="J11" s="25"/>
      <c r="K11" s="26"/>
      <c r="L11" s="132">
        <v>2.7989999999999999</v>
      </c>
      <c r="M11" s="25"/>
      <c r="N11" s="26"/>
      <c r="O11" s="132">
        <v>3.56</v>
      </c>
      <c r="P11" s="25">
        <v>4.43</v>
      </c>
      <c r="Q11" s="26">
        <f t="shared" si="10"/>
        <v>3.302</v>
      </c>
      <c r="R11" s="132">
        <f>3.302</f>
        <v>3.302</v>
      </c>
      <c r="S11" s="25">
        <v>4.6040000000000001</v>
      </c>
      <c r="T11" s="26">
        <f t="shared" ref="T11" si="64">+U11</f>
        <v>4.51</v>
      </c>
      <c r="U11" s="132">
        <v>4.51</v>
      </c>
      <c r="V11" s="140">
        <f t="shared" ref="V11" si="65">+U11</f>
        <v>4.51</v>
      </c>
      <c r="W11" s="142">
        <f t="shared" si="0"/>
        <v>4.51</v>
      </c>
      <c r="X11" s="146">
        <f t="shared" si="35"/>
        <v>4.51</v>
      </c>
      <c r="Y11" s="140">
        <f t="shared" ref="Y11" si="66">+X11</f>
        <v>4.51</v>
      </c>
      <c r="Z11" s="142">
        <f t="shared" si="1"/>
        <v>4.51</v>
      </c>
      <c r="AA11" s="146">
        <f t="shared" si="37"/>
        <v>4.51</v>
      </c>
      <c r="AB11" s="140">
        <f t="shared" ref="AB11" si="67">+AA11</f>
        <v>4.51</v>
      </c>
      <c r="AC11" s="142">
        <f t="shared" si="2"/>
        <v>4.51</v>
      </c>
      <c r="AD11" s="146">
        <f t="shared" si="39"/>
        <v>4.51</v>
      </c>
      <c r="AE11" s="140">
        <f t="shared" ref="AE11" si="68">+AD11</f>
        <v>4.51</v>
      </c>
      <c r="AF11" s="142">
        <f t="shared" si="3"/>
        <v>4.51</v>
      </c>
      <c r="AG11" s="146">
        <f t="shared" si="41"/>
        <v>4.51</v>
      </c>
      <c r="AH11" s="140">
        <f t="shared" ref="AH11" si="69">+AG11</f>
        <v>4.51</v>
      </c>
      <c r="AI11" s="142">
        <f t="shared" si="4"/>
        <v>4.51</v>
      </c>
      <c r="AJ11" s="146">
        <f t="shared" si="43"/>
        <v>4.51</v>
      </c>
      <c r="AK11" s="140">
        <f t="shared" ref="AK11" si="70">+AJ11</f>
        <v>4.51</v>
      </c>
      <c r="AL11" s="142">
        <f t="shared" si="5"/>
        <v>4.51</v>
      </c>
      <c r="AM11" s="146">
        <f t="shared" si="45"/>
        <v>4.51</v>
      </c>
      <c r="AN11" s="140">
        <f t="shared" ref="AN11" si="71">+AM11</f>
        <v>4.51</v>
      </c>
      <c r="AO11" s="142">
        <f t="shared" si="6"/>
        <v>4.51</v>
      </c>
      <c r="AP11" s="146">
        <f t="shared" si="47"/>
        <v>4.51</v>
      </c>
      <c r="AQ11" s="140">
        <f t="shared" ref="AQ11" si="72">+AP11</f>
        <v>4.51</v>
      </c>
      <c r="AR11" s="142">
        <f t="shared" si="7"/>
        <v>4.51</v>
      </c>
      <c r="AS11" s="146">
        <f t="shared" si="49"/>
        <v>4.51</v>
      </c>
      <c r="AT11" s="140">
        <f t="shared" ref="AT11" si="73">+AS11</f>
        <v>4.51</v>
      </c>
      <c r="AU11" s="142">
        <f t="shared" si="8"/>
        <v>4.51</v>
      </c>
      <c r="AV11" s="146">
        <f t="shared" si="51"/>
        <v>4.51</v>
      </c>
      <c r="AW11" s="140">
        <f t="shared" ref="AW11" si="74">+AV11</f>
        <v>4.51</v>
      </c>
      <c r="AX11" s="142">
        <f t="shared" si="9"/>
        <v>4.51</v>
      </c>
      <c r="AY11" s="146">
        <f t="shared" si="53"/>
        <v>4.51</v>
      </c>
    </row>
    <row r="12" spans="1:51" s="24" customFormat="1" ht="12" customHeight="1" x14ac:dyDescent="0.2">
      <c r="A12" s="6"/>
      <c r="B12" s="49" t="s">
        <v>148</v>
      </c>
      <c r="C12" s="46"/>
      <c r="D12" s="47"/>
      <c r="E12" s="47"/>
      <c r="F12" s="48"/>
      <c r="G12" s="47"/>
      <c r="H12" s="47"/>
      <c r="I12" s="48">
        <f>SUM(I6:I11)</f>
        <v>81.522999999999996</v>
      </c>
      <c r="J12" s="47"/>
      <c r="K12" s="47"/>
      <c r="L12" s="48">
        <f>SUM(L6:L11)</f>
        <v>86.462999999999994</v>
      </c>
      <c r="M12" s="47"/>
      <c r="N12" s="47"/>
      <c r="O12" s="48">
        <f t="shared" ref="O12:R12" si="75">SUM(O6:O11)</f>
        <v>76.935999999999993</v>
      </c>
      <c r="P12" s="47">
        <f t="shared" si="75"/>
        <v>52.931999999999995</v>
      </c>
      <c r="Q12" s="47">
        <f t="shared" si="75"/>
        <v>338.62600000000003</v>
      </c>
      <c r="R12" s="48">
        <f t="shared" si="75"/>
        <v>338.62600000000003</v>
      </c>
      <c r="S12" s="47">
        <f t="shared" ref="S12:U12" si="76">SUM(S6:S11)</f>
        <v>314.44799999999998</v>
      </c>
      <c r="T12" s="47">
        <f t="shared" si="76"/>
        <v>327.214</v>
      </c>
      <c r="U12" s="48">
        <f t="shared" si="76"/>
        <v>327.214</v>
      </c>
      <c r="V12" s="47">
        <f t="shared" ref="V12:AY12" si="77">SUM(V6:V11)</f>
        <v>334.61802393706535</v>
      </c>
      <c r="W12" s="47">
        <f t="shared" si="77"/>
        <v>334.79367928519554</v>
      </c>
      <c r="X12" s="48">
        <f t="shared" si="77"/>
        <v>334.79367928519554</v>
      </c>
      <c r="Y12" s="47">
        <f t="shared" si="77"/>
        <v>348.97273140540244</v>
      </c>
      <c r="Z12" s="47">
        <f t="shared" si="77"/>
        <v>355.58381969761552</v>
      </c>
      <c r="AA12" s="48">
        <f t="shared" si="77"/>
        <v>355.58381969761552</v>
      </c>
      <c r="AB12" s="47">
        <f t="shared" si="77"/>
        <v>378.79309850003983</v>
      </c>
      <c r="AC12" s="47">
        <f t="shared" si="77"/>
        <v>395.81721811304556</v>
      </c>
      <c r="AD12" s="48">
        <f t="shared" si="77"/>
        <v>395.81721811304556</v>
      </c>
      <c r="AE12" s="47">
        <f t="shared" si="77"/>
        <v>429.81651002311469</v>
      </c>
      <c r="AF12" s="47">
        <f t="shared" si="77"/>
        <v>457.64689178209335</v>
      </c>
      <c r="AG12" s="48">
        <f t="shared" si="77"/>
        <v>457.64689178209335</v>
      </c>
      <c r="AH12" s="47">
        <f t="shared" si="77"/>
        <v>504.77521969776433</v>
      </c>
      <c r="AI12" s="47">
        <f t="shared" si="77"/>
        <v>543.87747228498574</v>
      </c>
      <c r="AJ12" s="48">
        <f t="shared" si="77"/>
        <v>543.87747228498574</v>
      </c>
      <c r="AK12" s="47">
        <f t="shared" si="77"/>
        <v>600.20525292325306</v>
      </c>
      <c r="AL12" s="47">
        <f t="shared" si="77"/>
        <v>646.89735414089773</v>
      </c>
      <c r="AM12" s="48">
        <f t="shared" si="77"/>
        <v>646.89735414089773</v>
      </c>
      <c r="AN12" s="47">
        <f t="shared" si="77"/>
        <v>713.62300146197742</v>
      </c>
      <c r="AO12" s="47">
        <f t="shared" si="77"/>
        <v>770.3212945953004</v>
      </c>
      <c r="AP12" s="48">
        <f t="shared" si="77"/>
        <v>770.3212945953004</v>
      </c>
      <c r="AQ12" s="47">
        <f t="shared" si="77"/>
        <v>849.04897204945757</v>
      </c>
      <c r="AR12" s="47">
        <f t="shared" si="77"/>
        <v>916.66435642298723</v>
      </c>
      <c r="AS12" s="48">
        <f t="shared" si="77"/>
        <v>916.66435642298723</v>
      </c>
      <c r="AT12" s="47">
        <f t="shared" si="77"/>
        <v>1008.4370098303716</v>
      </c>
      <c r="AU12" s="47">
        <f t="shared" si="77"/>
        <v>1087.9510755259439</v>
      </c>
      <c r="AV12" s="48">
        <f t="shared" si="77"/>
        <v>1087.9510755259439</v>
      </c>
      <c r="AW12" s="47">
        <f t="shared" si="77"/>
        <v>1193.8890414245454</v>
      </c>
      <c r="AX12" s="47">
        <f t="shared" si="77"/>
        <v>1286.3572360132036</v>
      </c>
      <c r="AY12" s="48">
        <f t="shared" si="77"/>
        <v>1286.3572360132036</v>
      </c>
    </row>
    <row r="13" spans="1:51" x14ac:dyDescent="0.2">
      <c r="A13" s="6"/>
      <c r="B13" s="6"/>
      <c r="D13" s="6"/>
      <c r="E13" s="6"/>
      <c r="F13" s="13"/>
      <c r="G13" s="6"/>
      <c r="H13" s="6"/>
      <c r="I13" s="13"/>
      <c r="J13" s="6"/>
      <c r="K13" s="6"/>
      <c r="L13" s="13"/>
      <c r="M13" s="6"/>
      <c r="N13" s="6"/>
      <c r="O13" s="13"/>
      <c r="P13" s="6"/>
      <c r="Q13" s="6"/>
      <c r="R13" s="13"/>
      <c r="S13" s="6"/>
      <c r="T13" s="6"/>
      <c r="U13" s="13"/>
      <c r="V13" s="6"/>
      <c r="W13" s="6"/>
      <c r="X13" s="13"/>
      <c r="Y13" s="6"/>
      <c r="Z13" s="6"/>
      <c r="AA13" s="13"/>
      <c r="AB13" s="6"/>
      <c r="AC13" s="6"/>
      <c r="AD13" s="13"/>
      <c r="AE13" s="6"/>
      <c r="AF13" s="6"/>
      <c r="AG13" s="13"/>
      <c r="AH13" s="6"/>
      <c r="AI13" s="6"/>
      <c r="AJ13" s="13"/>
      <c r="AK13" s="6"/>
      <c r="AL13" s="6"/>
      <c r="AM13" s="13"/>
      <c r="AN13" s="6"/>
      <c r="AO13" s="6"/>
      <c r="AP13" s="13"/>
      <c r="AQ13" s="6"/>
      <c r="AR13" s="6"/>
      <c r="AS13" s="13"/>
      <c r="AT13" s="6"/>
      <c r="AU13" s="6"/>
      <c r="AV13" s="13"/>
      <c r="AW13" s="6"/>
      <c r="AX13" s="6"/>
      <c r="AY13" s="13"/>
    </row>
    <row r="14" spans="1:51" s="24" customFormat="1" ht="12" customHeight="1" x14ac:dyDescent="0.2">
      <c r="A14" s="6"/>
      <c r="B14" s="23" t="s">
        <v>74</v>
      </c>
      <c r="C14" s="23"/>
      <c r="D14" s="25"/>
      <c r="E14" s="26"/>
      <c r="F14" s="132"/>
      <c r="G14" s="25"/>
      <c r="H14" s="26"/>
      <c r="I14" s="132">
        <v>0.38900000000000001</v>
      </c>
      <c r="J14" s="25"/>
      <c r="K14" s="26"/>
      <c r="L14" s="132">
        <v>0.59399999999999997</v>
      </c>
      <c r="M14" s="25"/>
      <c r="N14" s="26"/>
      <c r="O14" s="132">
        <v>1.1399999999999999</v>
      </c>
      <c r="P14" s="25">
        <v>1.0009999999999999</v>
      </c>
      <c r="Q14" s="26">
        <f t="shared" ref="Q14:Q20" si="78">+R14</f>
        <v>0.47899999999999998</v>
      </c>
      <c r="R14" s="132">
        <v>0.47899999999999998</v>
      </c>
      <c r="S14" s="25">
        <v>0.23799999999999999</v>
      </c>
      <c r="T14" s="26">
        <f t="shared" ref="T14:T17" si="79">+U14</f>
        <v>0.13700000000000001</v>
      </c>
      <c r="U14" s="132">
        <v>0.13700000000000001</v>
      </c>
      <c r="V14" s="140">
        <f t="shared" ref="V14" si="80">+U14</f>
        <v>0.13700000000000001</v>
      </c>
      <c r="W14" s="142">
        <f t="shared" ref="W14:W20" si="81">+X14</f>
        <v>0.13700000000000001</v>
      </c>
      <c r="X14" s="146">
        <f t="shared" ref="X14" si="82">+V14</f>
        <v>0.13700000000000001</v>
      </c>
      <c r="Y14" s="140">
        <f t="shared" ref="Y14" si="83">+X14</f>
        <v>0.13700000000000001</v>
      </c>
      <c r="Z14" s="142">
        <f t="shared" ref="Z14:Z20" si="84">+AA14</f>
        <v>0.13700000000000001</v>
      </c>
      <c r="AA14" s="146">
        <f t="shared" ref="AA14" si="85">+Y14</f>
        <v>0.13700000000000001</v>
      </c>
      <c r="AB14" s="140">
        <f t="shared" ref="AB14" si="86">+AA14</f>
        <v>0.13700000000000001</v>
      </c>
      <c r="AC14" s="142">
        <f t="shared" ref="AC14:AC20" si="87">+AD14</f>
        <v>0.13700000000000001</v>
      </c>
      <c r="AD14" s="146">
        <f t="shared" ref="AD14" si="88">+AB14</f>
        <v>0.13700000000000001</v>
      </c>
      <c r="AE14" s="140">
        <f t="shared" ref="AE14" si="89">+AD14</f>
        <v>0.13700000000000001</v>
      </c>
      <c r="AF14" s="142">
        <f t="shared" ref="AF14:AF20" si="90">+AG14</f>
        <v>0.13700000000000001</v>
      </c>
      <c r="AG14" s="146">
        <f t="shared" ref="AG14" si="91">+AE14</f>
        <v>0.13700000000000001</v>
      </c>
      <c r="AH14" s="140">
        <f t="shared" ref="AH14" si="92">+AG14</f>
        <v>0.13700000000000001</v>
      </c>
      <c r="AI14" s="142">
        <f t="shared" ref="AI14:AI20" si="93">+AJ14</f>
        <v>0.13700000000000001</v>
      </c>
      <c r="AJ14" s="146">
        <f t="shared" ref="AJ14" si="94">+AH14</f>
        <v>0.13700000000000001</v>
      </c>
      <c r="AK14" s="140">
        <f t="shared" ref="AK14" si="95">+AJ14</f>
        <v>0.13700000000000001</v>
      </c>
      <c r="AL14" s="142">
        <f t="shared" ref="AL14:AL20" si="96">+AM14</f>
        <v>0.13700000000000001</v>
      </c>
      <c r="AM14" s="146">
        <f t="shared" ref="AM14" si="97">+AK14</f>
        <v>0.13700000000000001</v>
      </c>
      <c r="AN14" s="140">
        <f t="shared" ref="AN14" si="98">+AM14</f>
        <v>0.13700000000000001</v>
      </c>
      <c r="AO14" s="142">
        <f t="shared" ref="AO14:AO20" si="99">+AP14</f>
        <v>0.13700000000000001</v>
      </c>
      <c r="AP14" s="146">
        <f t="shared" ref="AP14" si="100">+AN14</f>
        <v>0.13700000000000001</v>
      </c>
      <c r="AQ14" s="140">
        <f t="shared" ref="AQ14" si="101">+AP14</f>
        <v>0.13700000000000001</v>
      </c>
      <c r="AR14" s="142">
        <f t="shared" ref="AR14:AR20" si="102">+AS14</f>
        <v>0.13700000000000001</v>
      </c>
      <c r="AS14" s="146">
        <f t="shared" ref="AS14" si="103">+AQ14</f>
        <v>0.13700000000000001</v>
      </c>
      <c r="AT14" s="140">
        <f t="shared" ref="AT14" si="104">+AS14</f>
        <v>0.13700000000000001</v>
      </c>
      <c r="AU14" s="142">
        <f t="shared" ref="AU14:AU20" si="105">+AV14</f>
        <v>0.13700000000000001</v>
      </c>
      <c r="AV14" s="146">
        <f t="shared" ref="AV14" si="106">+AT14</f>
        <v>0.13700000000000001</v>
      </c>
      <c r="AW14" s="140">
        <f t="shared" ref="AW14" si="107">+AV14</f>
        <v>0.13700000000000001</v>
      </c>
      <c r="AX14" s="142">
        <f t="shared" ref="AX14:AX20" si="108">+AY14</f>
        <v>0.13700000000000001</v>
      </c>
      <c r="AY14" s="146">
        <f t="shared" ref="AY14" si="109">+AW14</f>
        <v>0.13700000000000001</v>
      </c>
    </row>
    <row r="15" spans="1:51" s="24" customFormat="1" ht="12" customHeight="1" x14ac:dyDescent="0.2">
      <c r="A15" s="6"/>
      <c r="B15" s="23" t="s">
        <v>76</v>
      </c>
      <c r="C15" s="23"/>
      <c r="D15" s="25"/>
      <c r="E15" s="26"/>
      <c r="F15" s="132"/>
      <c r="G15" s="25"/>
      <c r="H15" s="26"/>
      <c r="I15" s="132">
        <v>21.515999999999998</v>
      </c>
      <c r="J15" s="25"/>
      <c r="K15" s="26"/>
      <c r="L15" s="132">
        <v>36.563000000000002</v>
      </c>
      <c r="M15" s="25"/>
      <c r="N15" s="26"/>
      <c r="O15" s="132">
        <v>69.486000000000004</v>
      </c>
      <c r="P15" s="25">
        <v>77.953000000000003</v>
      </c>
      <c r="Q15" s="26">
        <f t="shared" si="78"/>
        <v>87.63</v>
      </c>
      <c r="R15" s="132">
        <v>87.63</v>
      </c>
      <c r="S15" s="25">
        <v>103.02800000000001</v>
      </c>
      <c r="T15" s="26">
        <f t="shared" si="79"/>
        <v>130.05600000000001</v>
      </c>
      <c r="U15" s="132">
        <v>130.05600000000001</v>
      </c>
      <c r="V15" s="26">
        <f t="shared" ref="V15" si="110">+V107</f>
        <v>147.05040000000002</v>
      </c>
      <c r="W15" s="26">
        <f t="shared" si="81"/>
        <v>162.34536</v>
      </c>
      <c r="X15" s="27">
        <f t="shared" ref="X15:Y15" si="111">+X107</f>
        <v>162.34536</v>
      </c>
      <c r="Y15" s="26">
        <f t="shared" si="111"/>
        <v>178.060824</v>
      </c>
      <c r="Z15" s="26">
        <f t="shared" si="84"/>
        <v>192.20474160000001</v>
      </c>
      <c r="AA15" s="27">
        <f t="shared" ref="AA15:AB15" si="112">+AA107</f>
        <v>192.20474160000001</v>
      </c>
      <c r="AB15" s="26">
        <f t="shared" si="112"/>
        <v>207.17076743999999</v>
      </c>
      <c r="AC15" s="26">
        <f t="shared" si="87"/>
        <v>220.64019069600002</v>
      </c>
      <c r="AD15" s="27">
        <f t="shared" ref="AD15:AE15" si="113">+AD107</f>
        <v>220.64019069600002</v>
      </c>
      <c r="AE15" s="26">
        <f t="shared" si="113"/>
        <v>235.15572662640002</v>
      </c>
      <c r="AF15" s="26">
        <f t="shared" si="90"/>
        <v>248.21970896376004</v>
      </c>
      <c r="AG15" s="27">
        <f t="shared" ref="AG15:AH15" si="114">+AG107</f>
        <v>248.21970896376004</v>
      </c>
      <c r="AH15" s="26">
        <f t="shared" si="114"/>
        <v>262.53786191738402</v>
      </c>
      <c r="AI15" s="26">
        <f t="shared" si="93"/>
        <v>275.42419957564562</v>
      </c>
      <c r="AJ15" s="27">
        <f t="shared" ref="AJ15:AK15" si="115">+AJ107</f>
        <v>275.42419957564562</v>
      </c>
      <c r="AK15" s="26">
        <f t="shared" si="115"/>
        <v>289.76171213758107</v>
      </c>
      <c r="AL15" s="26">
        <f t="shared" si="96"/>
        <v>302.66547344332298</v>
      </c>
      <c r="AM15" s="27">
        <f t="shared" ref="AM15:AN15" si="116">+AM107</f>
        <v>302.66547344332298</v>
      </c>
      <c r="AN15" s="26">
        <f t="shared" si="116"/>
        <v>317.21045389485568</v>
      </c>
      <c r="AO15" s="26">
        <f t="shared" si="99"/>
        <v>330.30093630123514</v>
      </c>
      <c r="AP15" s="27">
        <f t="shared" ref="AP15:AQ15" si="117">+AP107</f>
        <v>330.30093630123514</v>
      </c>
      <c r="AQ15" s="26">
        <f t="shared" si="117"/>
        <v>345.2191774126872</v>
      </c>
      <c r="AR15" s="26">
        <f t="shared" si="102"/>
        <v>358.645594412994</v>
      </c>
      <c r="AS15" s="27">
        <f t="shared" ref="AS15:AT15" si="118">+AS107</f>
        <v>358.645594412994</v>
      </c>
      <c r="AT15" s="26">
        <f t="shared" si="118"/>
        <v>374.08575314518049</v>
      </c>
      <c r="AU15" s="26">
        <f t="shared" si="105"/>
        <v>387.98189600414827</v>
      </c>
      <c r="AV15" s="27">
        <f t="shared" ref="AV15:AW15" si="119">+AV107</f>
        <v>387.98189600414827</v>
      </c>
      <c r="AW15" s="26">
        <f t="shared" si="119"/>
        <v>404.07975484936333</v>
      </c>
      <c r="AX15" s="26">
        <f t="shared" si="108"/>
        <v>418.56782781005688</v>
      </c>
      <c r="AY15" s="27">
        <f t="shared" ref="AY15" si="120">+AY107</f>
        <v>418.56782781005688</v>
      </c>
    </row>
    <row r="16" spans="1:51" s="24" customFormat="1" ht="12" customHeight="1" x14ac:dyDescent="0.2">
      <c r="A16" s="6"/>
      <c r="B16" s="23" t="s">
        <v>311</v>
      </c>
      <c r="C16" s="23"/>
      <c r="D16" s="25"/>
      <c r="E16" s="26"/>
      <c r="F16" s="132"/>
      <c r="G16" s="25"/>
      <c r="H16" s="26"/>
      <c r="I16" s="132">
        <v>46.031999999999996</v>
      </c>
      <c r="J16" s="25"/>
      <c r="K16" s="26"/>
      <c r="L16" s="132">
        <v>49.127000000000002</v>
      </c>
      <c r="M16" s="25"/>
      <c r="N16" s="26"/>
      <c r="O16" s="132">
        <v>98.938999999999993</v>
      </c>
      <c r="P16" s="25">
        <v>122.29</v>
      </c>
      <c r="Q16" s="26">
        <f t="shared" si="78"/>
        <v>93.796000000000006</v>
      </c>
      <c r="R16" s="132">
        <v>93.796000000000006</v>
      </c>
      <c r="S16" s="25">
        <v>104.149</v>
      </c>
      <c r="T16" s="26">
        <f t="shared" si="79"/>
        <v>125.43</v>
      </c>
      <c r="U16" s="132">
        <v>125.43</v>
      </c>
      <c r="V16" s="26">
        <f t="shared" ref="V16" si="121">+V129</f>
        <v>127.76782500000002</v>
      </c>
      <c r="W16" s="26">
        <f t="shared" si="81"/>
        <v>132.03726512500003</v>
      </c>
      <c r="X16" s="27">
        <f t="shared" ref="X16:Y16" si="122">+X129</f>
        <v>132.03726512500003</v>
      </c>
      <c r="Y16" s="26">
        <f t="shared" si="122"/>
        <v>134.31242828562503</v>
      </c>
      <c r="Z16" s="26">
        <f t="shared" si="84"/>
        <v>138.64384781490315</v>
      </c>
      <c r="AA16" s="27">
        <f t="shared" ref="AA16:AB16" si="123">+AA129</f>
        <v>138.64384781490315</v>
      </c>
      <c r="AB16" s="26">
        <f t="shared" si="123"/>
        <v>140.80947017604493</v>
      </c>
      <c r="AC16" s="26">
        <f t="shared" si="87"/>
        <v>145.16175300038375</v>
      </c>
      <c r="AD16" s="27">
        <f t="shared" ref="AD16:AE16" si="124">+AD129</f>
        <v>145.16175300038375</v>
      </c>
      <c r="AE16" s="26">
        <f t="shared" si="124"/>
        <v>147.15996444955698</v>
      </c>
      <c r="AF16" s="26">
        <f t="shared" si="90"/>
        <v>151.48080012659747</v>
      </c>
      <c r="AG16" s="27">
        <f t="shared" ref="AG16:AH16" si="125">+AG129</f>
        <v>151.48080012659747</v>
      </c>
      <c r="AH16" s="26">
        <f t="shared" si="125"/>
        <v>153.24059026480944</v>
      </c>
      <c r="AI16" s="26">
        <f t="shared" si="93"/>
        <v>157.46419703855847</v>
      </c>
      <c r="AJ16" s="27">
        <f t="shared" ref="AJ16:AK16" si="126">+AJ129</f>
        <v>157.46419703855847</v>
      </c>
      <c r="AK16" s="26">
        <f t="shared" si="126"/>
        <v>158.89887007384596</v>
      </c>
      <c r="AL16" s="26">
        <f t="shared" si="96"/>
        <v>162.9432923764561</v>
      </c>
      <c r="AM16" s="27">
        <f t="shared" ref="AM16:AN16" si="127">+AM129</f>
        <v>162.9432923764561</v>
      </c>
      <c r="AN16" s="26">
        <f t="shared" si="127"/>
        <v>163.94745473699064</v>
      </c>
      <c r="AO16" s="26">
        <f t="shared" si="99"/>
        <v>167.7113581119431</v>
      </c>
      <c r="AP16" s="27">
        <f t="shared" ref="AP16:AQ16" si="128">+AP129</f>
        <v>167.7113581119431</v>
      </c>
      <c r="AQ16" s="26">
        <f t="shared" si="128"/>
        <v>168.15735474813422</v>
      </c>
      <c r="AR16" s="26">
        <f t="shared" si="102"/>
        <v>171.51622735320697</v>
      </c>
      <c r="AS16" s="27">
        <f t="shared" ref="AS16:AT16" si="129">+AS129</f>
        <v>171.51622735320697</v>
      </c>
      <c r="AT16" s="26">
        <f t="shared" si="129"/>
        <v>171.24992771465622</v>
      </c>
      <c r="AU16" s="26">
        <f t="shared" si="105"/>
        <v>174.05158133074445</v>
      </c>
      <c r="AV16" s="27">
        <f t="shared" ref="AV16:AW16" si="130">+AV129</f>
        <v>174.05158133074445</v>
      </c>
      <c r="AW16" s="26">
        <f t="shared" si="130"/>
        <v>172.88739835801638</v>
      </c>
      <c r="AX16" s="26">
        <f t="shared" si="108"/>
        <v>174.94664271081595</v>
      </c>
      <c r="AY16" s="27">
        <f t="shared" ref="AY16" si="131">+AY129</f>
        <v>174.94664271081595</v>
      </c>
    </row>
    <row r="17" spans="1:51" s="24" customFormat="1" ht="12" customHeight="1" x14ac:dyDescent="0.2">
      <c r="A17" s="6"/>
      <c r="B17" s="23" t="s">
        <v>149</v>
      </c>
      <c r="C17" s="23"/>
      <c r="D17" s="25"/>
      <c r="E17" s="26"/>
      <c r="F17" s="132"/>
      <c r="G17" s="25"/>
      <c r="H17" s="26"/>
      <c r="I17" s="132">
        <v>6.4939999999999998</v>
      </c>
      <c r="J17" s="25"/>
      <c r="K17" s="26"/>
      <c r="L17" s="132">
        <v>15.41</v>
      </c>
      <c r="M17" s="25"/>
      <c r="N17" s="26"/>
      <c r="O17" s="132">
        <v>15.202</v>
      </c>
      <c r="P17" s="25">
        <v>11.696999999999999</v>
      </c>
      <c r="Q17" s="26">
        <f t="shared" si="78"/>
        <v>10.586</v>
      </c>
      <c r="R17" s="132">
        <v>10.586</v>
      </c>
      <c r="S17" s="25">
        <v>19.152999999999999</v>
      </c>
      <c r="T17" s="26">
        <f t="shared" si="79"/>
        <v>18.305</v>
      </c>
      <c r="U17" s="132">
        <v>18.305</v>
      </c>
      <c r="V17" s="142">
        <f t="shared" ref="V17" si="132">+V119</f>
        <v>14.624749999999999</v>
      </c>
      <c r="W17" s="142">
        <f t="shared" si="81"/>
        <v>11.468449999999999</v>
      </c>
      <c r="X17" s="143">
        <f t="shared" ref="X17:Y17" si="133">+X119</f>
        <v>11.468449999999999</v>
      </c>
      <c r="Y17" s="142">
        <f t="shared" si="133"/>
        <v>7.6041874999999983</v>
      </c>
      <c r="Z17" s="142">
        <f t="shared" si="84"/>
        <v>4.2900724999999982</v>
      </c>
      <c r="AA17" s="143">
        <f t="shared" ref="AA17:AB17" si="134">+AA119</f>
        <v>4.2900724999999982</v>
      </c>
      <c r="AB17" s="142">
        <f t="shared" si="134"/>
        <v>0.23259687499999782</v>
      </c>
      <c r="AC17" s="142">
        <f t="shared" si="87"/>
        <v>-3.2472238750000031</v>
      </c>
      <c r="AD17" s="143">
        <f t="shared" ref="AD17:AE17" si="135">+AD119</f>
        <v>-3.2472238750000031</v>
      </c>
      <c r="AE17" s="142">
        <f t="shared" si="135"/>
        <v>-7.5075732812500036</v>
      </c>
      <c r="AF17" s="142">
        <f t="shared" si="90"/>
        <v>-11.161385068750004</v>
      </c>
      <c r="AG17" s="143">
        <f t="shared" ref="AG17:AH17" si="136">+AG119</f>
        <v>-11.161385068750004</v>
      </c>
      <c r="AH17" s="142">
        <f t="shared" si="136"/>
        <v>-15.634751945312505</v>
      </c>
      <c r="AI17" s="142">
        <f t="shared" si="93"/>
        <v>-19.471254322187505</v>
      </c>
      <c r="AJ17" s="143">
        <f t="shared" ref="AJ17:AK17" si="137">+AJ119</f>
        <v>-19.471254322187505</v>
      </c>
      <c r="AK17" s="142">
        <f t="shared" si="137"/>
        <v>-24.16828954257813</v>
      </c>
      <c r="AL17" s="142">
        <f t="shared" si="96"/>
        <v>-28.196617038296882</v>
      </c>
      <c r="AM17" s="143">
        <f t="shared" ref="AM17:AN17" si="138">+AM119</f>
        <v>-28.196617038296882</v>
      </c>
      <c r="AN17" s="142">
        <f t="shared" si="138"/>
        <v>-33.128504019707037</v>
      </c>
      <c r="AO17" s="142">
        <f t="shared" si="99"/>
        <v>-37.358247890211729</v>
      </c>
      <c r="AP17" s="143">
        <f t="shared" ref="AP17:AQ17" si="139">+AP119</f>
        <v>-37.358247890211729</v>
      </c>
      <c r="AQ17" s="142">
        <f t="shared" si="139"/>
        <v>-42.536729220692393</v>
      </c>
      <c r="AR17" s="142">
        <f t="shared" si="102"/>
        <v>-46.977960284722315</v>
      </c>
      <c r="AS17" s="143">
        <f t="shared" ref="AS17:AT17" si="140">+AS119</f>
        <v>-46.977960284722315</v>
      </c>
      <c r="AT17" s="142">
        <f t="shared" si="140"/>
        <v>-52.41536568172701</v>
      </c>
      <c r="AU17" s="142">
        <f t="shared" si="105"/>
        <v>-57.07865829895843</v>
      </c>
      <c r="AV17" s="143">
        <f t="shared" ref="AV17:AW17" si="141">+AV119</f>
        <v>-57.07865829895843</v>
      </c>
      <c r="AW17" s="142">
        <f t="shared" si="141"/>
        <v>-62.787933965813366</v>
      </c>
      <c r="AX17" s="142">
        <f t="shared" si="108"/>
        <v>-67.684391213906352</v>
      </c>
      <c r="AY17" s="143">
        <f t="shared" ref="AY17" si="142">+AY119</f>
        <v>-67.684391213906352</v>
      </c>
    </row>
    <row r="18" spans="1:51" s="24" customFormat="1" ht="12" customHeight="1" x14ac:dyDescent="0.2">
      <c r="A18" s="6"/>
      <c r="B18" s="23" t="s">
        <v>350</v>
      </c>
      <c r="C18" s="23"/>
      <c r="D18" s="25"/>
      <c r="E18" s="26"/>
      <c r="F18" s="132"/>
      <c r="G18" s="25"/>
      <c r="H18" s="26"/>
      <c r="I18" s="132">
        <v>48.872999999999998</v>
      </c>
      <c r="J18" s="25"/>
      <c r="K18" s="26"/>
      <c r="L18" s="132">
        <v>57.54</v>
      </c>
      <c r="M18" s="25"/>
      <c r="N18" s="26"/>
      <c r="O18" s="132">
        <v>58.561</v>
      </c>
      <c r="P18" s="25">
        <v>57.603000000000002</v>
      </c>
      <c r="Q18" s="26">
        <f>+R18</f>
        <v>114.404</v>
      </c>
      <c r="R18" s="132">
        <v>114.404</v>
      </c>
      <c r="S18" s="25">
        <v>137.32</v>
      </c>
      <c r="T18" s="26">
        <f>+U18</f>
        <v>162.34700000000001</v>
      </c>
      <c r="U18" s="132">
        <v>162.34700000000001</v>
      </c>
      <c r="V18" s="140">
        <f t="shared" ref="V18" si="143">+U18</f>
        <v>162.34700000000001</v>
      </c>
      <c r="W18" s="142">
        <f>+X18</f>
        <v>162.34700000000001</v>
      </c>
      <c r="X18" s="146">
        <f t="shared" ref="X18" si="144">+V18</f>
        <v>162.34700000000001</v>
      </c>
      <c r="Y18" s="140">
        <f t="shared" ref="Y18" si="145">+X18</f>
        <v>162.34700000000001</v>
      </c>
      <c r="Z18" s="142">
        <f>+AA18</f>
        <v>162.34700000000001</v>
      </c>
      <c r="AA18" s="146">
        <f t="shared" ref="AA18" si="146">+Y18</f>
        <v>162.34700000000001</v>
      </c>
      <c r="AB18" s="140">
        <f t="shared" ref="AB18" si="147">+AA18</f>
        <v>162.34700000000001</v>
      </c>
      <c r="AC18" s="142">
        <f>+AD18</f>
        <v>162.34700000000001</v>
      </c>
      <c r="AD18" s="146">
        <f t="shared" ref="AD18" si="148">+AB18</f>
        <v>162.34700000000001</v>
      </c>
      <c r="AE18" s="140">
        <f t="shared" ref="AE18" si="149">+AD18</f>
        <v>162.34700000000001</v>
      </c>
      <c r="AF18" s="142">
        <f>+AG18</f>
        <v>162.34700000000001</v>
      </c>
      <c r="AG18" s="146">
        <f t="shared" ref="AG18" si="150">+AE18</f>
        <v>162.34700000000001</v>
      </c>
      <c r="AH18" s="140">
        <f t="shared" ref="AH18" si="151">+AG18</f>
        <v>162.34700000000001</v>
      </c>
      <c r="AI18" s="142">
        <f>+AJ18</f>
        <v>162.34700000000001</v>
      </c>
      <c r="AJ18" s="146">
        <f t="shared" ref="AJ18" si="152">+AH18</f>
        <v>162.34700000000001</v>
      </c>
      <c r="AK18" s="140">
        <f t="shared" ref="AK18" si="153">+AJ18</f>
        <v>162.34700000000001</v>
      </c>
      <c r="AL18" s="142">
        <f>+AM18</f>
        <v>162.34700000000001</v>
      </c>
      <c r="AM18" s="146">
        <f t="shared" ref="AM18" si="154">+AK18</f>
        <v>162.34700000000001</v>
      </c>
      <c r="AN18" s="140">
        <f t="shared" ref="AN18" si="155">+AM18</f>
        <v>162.34700000000001</v>
      </c>
      <c r="AO18" s="142">
        <f>+AP18</f>
        <v>162.34700000000001</v>
      </c>
      <c r="AP18" s="146">
        <f t="shared" ref="AP18" si="156">+AN18</f>
        <v>162.34700000000001</v>
      </c>
      <c r="AQ18" s="140">
        <f t="shared" ref="AQ18" si="157">+AP18</f>
        <v>162.34700000000001</v>
      </c>
      <c r="AR18" s="142">
        <f>+AS18</f>
        <v>162.34700000000001</v>
      </c>
      <c r="AS18" s="146">
        <f t="shared" ref="AS18" si="158">+AQ18</f>
        <v>162.34700000000001</v>
      </c>
      <c r="AT18" s="140">
        <f t="shared" ref="AT18" si="159">+AS18</f>
        <v>162.34700000000001</v>
      </c>
      <c r="AU18" s="142">
        <f>+AV18</f>
        <v>162.34700000000001</v>
      </c>
      <c r="AV18" s="146">
        <f t="shared" ref="AV18" si="160">+AT18</f>
        <v>162.34700000000001</v>
      </c>
      <c r="AW18" s="140">
        <f t="shared" ref="AW18" si="161">+AV18</f>
        <v>162.34700000000001</v>
      </c>
      <c r="AX18" s="142">
        <f>+AY18</f>
        <v>162.34700000000001</v>
      </c>
      <c r="AY18" s="146">
        <f t="shared" ref="AY18" si="162">+AW18</f>
        <v>162.34700000000001</v>
      </c>
    </row>
    <row r="19" spans="1:51" s="24" customFormat="1" ht="12" customHeight="1" x14ac:dyDescent="0.2">
      <c r="A19" s="6"/>
      <c r="B19" s="23" t="s">
        <v>351</v>
      </c>
      <c r="C19" s="23"/>
      <c r="D19" s="25"/>
      <c r="E19" s="26"/>
      <c r="F19" s="132"/>
      <c r="G19" s="25"/>
      <c r="H19" s="26"/>
      <c r="I19" s="132">
        <v>5.5540000000000003</v>
      </c>
      <c r="J19" s="25"/>
      <c r="K19" s="26"/>
      <c r="L19" s="132">
        <v>2.7320000000000002</v>
      </c>
      <c r="M19" s="25"/>
      <c r="N19" s="26"/>
      <c r="O19" s="132">
        <v>4.2430000000000003</v>
      </c>
      <c r="P19" s="25">
        <v>7.0380000000000003</v>
      </c>
      <c r="Q19" s="26">
        <f t="shared" si="78"/>
        <v>16.276</v>
      </c>
      <c r="R19" s="132">
        <v>16.276</v>
      </c>
      <c r="S19" s="25">
        <v>16.632999999999999</v>
      </c>
      <c r="T19" s="26">
        <f t="shared" ref="T19:T20" si="163">+U19</f>
        <v>19.709</v>
      </c>
      <c r="U19" s="132">
        <v>19.709</v>
      </c>
      <c r="V19" s="140">
        <f t="shared" ref="V19" si="164">+U19</f>
        <v>19.709</v>
      </c>
      <c r="W19" s="142">
        <f t="shared" si="81"/>
        <v>19.709</v>
      </c>
      <c r="X19" s="146">
        <f t="shared" ref="X19:X20" si="165">+V19</f>
        <v>19.709</v>
      </c>
      <c r="Y19" s="140">
        <f t="shared" ref="Y19" si="166">+X19</f>
        <v>19.709</v>
      </c>
      <c r="Z19" s="142">
        <f t="shared" si="84"/>
        <v>19.709</v>
      </c>
      <c r="AA19" s="146">
        <f t="shared" ref="AA19:AA20" si="167">+Y19</f>
        <v>19.709</v>
      </c>
      <c r="AB19" s="140">
        <f t="shared" ref="AB19" si="168">+AA19</f>
        <v>19.709</v>
      </c>
      <c r="AC19" s="142">
        <f t="shared" si="87"/>
        <v>19.709</v>
      </c>
      <c r="AD19" s="146">
        <f t="shared" ref="AD19:AD20" si="169">+AB19</f>
        <v>19.709</v>
      </c>
      <c r="AE19" s="140">
        <f t="shared" ref="AE19" si="170">+AD19</f>
        <v>19.709</v>
      </c>
      <c r="AF19" s="142">
        <f t="shared" si="90"/>
        <v>19.709</v>
      </c>
      <c r="AG19" s="146">
        <f t="shared" ref="AG19:AG20" si="171">+AE19</f>
        <v>19.709</v>
      </c>
      <c r="AH19" s="140">
        <f t="shared" ref="AH19" si="172">+AG19</f>
        <v>19.709</v>
      </c>
      <c r="AI19" s="142">
        <f t="shared" si="93"/>
        <v>19.709</v>
      </c>
      <c r="AJ19" s="146">
        <f t="shared" ref="AJ19:AJ20" si="173">+AH19</f>
        <v>19.709</v>
      </c>
      <c r="AK19" s="140">
        <f t="shared" ref="AK19" si="174">+AJ19</f>
        <v>19.709</v>
      </c>
      <c r="AL19" s="142">
        <f t="shared" si="96"/>
        <v>19.709</v>
      </c>
      <c r="AM19" s="146">
        <f t="shared" ref="AM19:AM20" si="175">+AK19</f>
        <v>19.709</v>
      </c>
      <c r="AN19" s="140">
        <f t="shared" ref="AN19" si="176">+AM19</f>
        <v>19.709</v>
      </c>
      <c r="AO19" s="142">
        <f t="shared" si="99"/>
        <v>19.709</v>
      </c>
      <c r="AP19" s="146">
        <f t="shared" ref="AP19:AP20" si="177">+AN19</f>
        <v>19.709</v>
      </c>
      <c r="AQ19" s="140">
        <f t="shared" ref="AQ19" si="178">+AP19</f>
        <v>19.709</v>
      </c>
      <c r="AR19" s="142">
        <f t="shared" si="102"/>
        <v>19.709</v>
      </c>
      <c r="AS19" s="146">
        <f t="shared" ref="AS19:AS20" si="179">+AQ19</f>
        <v>19.709</v>
      </c>
      <c r="AT19" s="140">
        <f t="shared" ref="AT19" si="180">+AS19</f>
        <v>19.709</v>
      </c>
      <c r="AU19" s="142">
        <f t="shared" si="105"/>
        <v>19.709</v>
      </c>
      <c r="AV19" s="146">
        <f t="shared" ref="AV19:AV20" si="181">+AT19</f>
        <v>19.709</v>
      </c>
      <c r="AW19" s="140">
        <f t="shared" ref="AW19" si="182">+AV19</f>
        <v>19.709</v>
      </c>
      <c r="AX19" s="142">
        <f t="shared" si="108"/>
        <v>19.709</v>
      </c>
      <c r="AY19" s="146">
        <f t="shared" ref="AY19:AY20" si="183">+AW19</f>
        <v>19.709</v>
      </c>
    </row>
    <row r="20" spans="1:51" s="24" customFormat="1" ht="12" customHeight="1" x14ac:dyDescent="0.2">
      <c r="A20" s="6"/>
      <c r="B20" s="23" t="s">
        <v>150</v>
      </c>
      <c r="C20" s="23"/>
      <c r="D20" s="25"/>
      <c r="E20" s="26"/>
      <c r="F20" s="132"/>
      <c r="G20" s="25"/>
      <c r="H20" s="26"/>
      <c r="I20" s="132">
        <v>0</v>
      </c>
      <c r="J20" s="25"/>
      <c r="K20" s="26"/>
      <c r="L20" s="132">
        <v>0</v>
      </c>
      <c r="M20" s="25"/>
      <c r="N20" s="26"/>
      <c r="O20" s="132">
        <v>0</v>
      </c>
      <c r="P20" s="25">
        <v>0</v>
      </c>
      <c r="Q20" s="26">
        <f t="shared" si="78"/>
        <v>0</v>
      </c>
      <c r="R20" s="132">
        <v>0</v>
      </c>
      <c r="S20" s="25">
        <v>0</v>
      </c>
      <c r="T20" s="26">
        <f t="shared" si="163"/>
        <v>0</v>
      </c>
      <c r="U20" s="132">
        <v>0</v>
      </c>
      <c r="V20" s="140">
        <f t="shared" ref="V20" si="184">+U20</f>
        <v>0</v>
      </c>
      <c r="W20" s="142">
        <f t="shared" si="81"/>
        <v>0</v>
      </c>
      <c r="X20" s="146">
        <f t="shared" si="165"/>
        <v>0</v>
      </c>
      <c r="Y20" s="140">
        <f t="shared" ref="Y20" si="185">+X20</f>
        <v>0</v>
      </c>
      <c r="Z20" s="142">
        <f t="shared" si="84"/>
        <v>0</v>
      </c>
      <c r="AA20" s="146">
        <f t="shared" si="167"/>
        <v>0</v>
      </c>
      <c r="AB20" s="140">
        <f t="shared" ref="AB20" si="186">+AA20</f>
        <v>0</v>
      </c>
      <c r="AC20" s="142">
        <f t="shared" si="87"/>
        <v>0</v>
      </c>
      <c r="AD20" s="146">
        <f t="shared" si="169"/>
        <v>0</v>
      </c>
      <c r="AE20" s="140">
        <f t="shared" ref="AE20" si="187">+AD20</f>
        <v>0</v>
      </c>
      <c r="AF20" s="142">
        <f t="shared" si="90"/>
        <v>0</v>
      </c>
      <c r="AG20" s="146">
        <f t="shared" si="171"/>
        <v>0</v>
      </c>
      <c r="AH20" s="140">
        <f t="shared" ref="AH20" si="188">+AG20</f>
        <v>0</v>
      </c>
      <c r="AI20" s="142">
        <f t="shared" si="93"/>
        <v>0</v>
      </c>
      <c r="AJ20" s="146">
        <f t="shared" si="173"/>
        <v>0</v>
      </c>
      <c r="AK20" s="140">
        <f t="shared" ref="AK20" si="189">+AJ20</f>
        <v>0</v>
      </c>
      <c r="AL20" s="142">
        <f t="shared" si="96"/>
        <v>0</v>
      </c>
      <c r="AM20" s="146">
        <f t="shared" si="175"/>
        <v>0</v>
      </c>
      <c r="AN20" s="140">
        <f t="shared" ref="AN20" si="190">+AM20</f>
        <v>0</v>
      </c>
      <c r="AO20" s="142">
        <f t="shared" si="99"/>
        <v>0</v>
      </c>
      <c r="AP20" s="146">
        <f t="shared" si="177"/>
        <v>0</v>
      </c>
      <c r="AQ20" s="140">
        <f t="shared" ref="AQ20" si="191">+AP20</f>
        <v>0</v>
      </c>
      <c r="AR20" s="142">
        <f t="shared" si="102"/>
        <v>0</v>
      </c>
      <c r="AS20" s="146">
        <f t="shared" si="179"/>
        <v>0</v>
      </c>
      <c r="AT20" s="140">
        <f t="shared" ref="AT20" si="192">+AS20</f>
        <v>0</v>
      </c>
      <c r="AU20" s="142">
        <f t="shared" si="105"/>
        <v>0</v>
      </c>
      <c r="AV20" s="146">
        <f t="shared" si="181"/>
        <v>0</v>
      </c>
      <c r="AW20" s="140">
        <f t="shared" ref="AW20" si="193">+AV20</f>
        <v>0</v>
      </c>
      <c r="AX20" s="142">
        <f t="shared" si="108"/>
        <v>0</v>
      </c>
      <c r="AY20" s="146">
        <f t="shared" si="183"/>
        <v>0</v>
      </c>
    </row>
    <row r="21" spans="1:51" s="24" customFormat="1" ht="12" customHeight="1" x14ac:dyDescent="0.2">
      <c r="A21" s="6"/>
      <c r="B21" s="49" t="s">
        <v>151</v>
      </c>
      <c r="C21" s="46"/>
      <c r="D21" s="47"/>
      <c r="E21" s="47"/>
      <c r="F21" s="48"/>
      <c r="G21" s="47"/>
      <c r="H21" s="47"/>
      <c r="I21" s="48">
        <f>SUM(I14:I20)</f>
        <v>128.858</v>
      </c>
      <c r="J21" s="47"/>
      <c r="K21" s="47"/>
      <c r="L21" s="48">
        <f>SUM(L14:L20)</f>
        <v>161.96600000000001</v>
      </c>
      <c r="M21" s="47"/>
      <c r="N21" s="47"/>
      <c r="O21" s="48">
        <f t="shared" ref="O21:AY21" si="194">SUM(O14:O20)</f>
        <v>247.571</v>
      </c>
      <c r="P21" s="47">
        <f t="shared" si="194"/>
        <v>277.58200000000005</v>
      </c>
      <c r="Q21" s="47">
        <f t="shared" si="194"/>
        <v>323.17099999999999</v>
      </c>
      <c r="R21" s="48">
        <f t="shared" si="194"/>
        <v>323.17099999999999</v>
      </c>
      <c r="S21" s="47">
        <f t="shared" ref="S21:U21" si="195">SUM(S14:S20)</f>
        <v>380.52100000000002</v>
      </c>
      <c r="T21" s="47">
        <f t="shared" si="195"/>
        <v>455.98399999999998</v>
      </c>
      <c r="U21" s="48">
        <f t="shared" si="195"/>
        <v>455.98399999999998</v>
      </c>
      <c r="V21" s="47">
        <f t="shared" si="194"/>
        <v>471.63597500000009</v>
      </c>
      <c r="W21" s="47">
        <f t="shared" si="194"/>
        <v>488.04407512500012</v>
      </c>
      <c r="X21" s="48">
        <f t="shared" si="194"/>
        <v>488.04407512500012</v>
      </c>
      <c r="Y21" s="47">
        <f t="shared" si="194"/>
        <v>502.17043978562509</v>
      </c>
      <c r="Z21" s="47">
        <f t="shared" si="194"/>
        <v>517.33166191490318</v>
      </c>
      <c r="AA21" s="48">
        <f t="shared" si="194"/>
        <v>517.33166191490318</v>
      </c>
      <c r="AB21" s="47">
        <f t="shared" si="194"/>
        <v>530.40583449104486</v>
      </c>
      <c r="AC21" s="47">
        <f t="shared" si="194"/>
        <v>544.74771982138373</v>
      </c>
      <c r="AD21" s="48">
        <f t="shared" si="194"/>
        <v>544.74771982138373</v>
      </c>
      <c r="AE21" s="47">
        <f t="shared" si="194"/>
        <v>557.00111779470694</v>
      </c>
      <c r="AF21" s="47">
        <f t="shared" si="194"/>
        <v>570.73212402160743</v>
      </c>
      <c r="AG21" s="48">
        <f t="shared" si="194"/>
        <v>570.73212402160743</v>
      </c>
      <c r="AH21" s="47">
        <f t="shared" si="194"/>
        <v>582.33670023688092</v>
      </c>
      <c r="AI21" s="47">
        <f t="shared" si="194"/>
        <v>595.61014229201646</v>
      </c>
      <c r="AJ21" s="48">
        <f t="shared" si="194"/>
        <v>595.61014229201646</v>
      </c>
      <c r="AK21" s="47">
        <f t="shared" si="194"/>
        <v>606.68529266884889</v>
      </c>
      <c r="AL21" s="47">
        <f t="shared" si="194"/>
        <v>619.60514878148217</v>
      </c>
      <c r="AM21" s="48">
        <f t="shared" si="194"/>
        <v>619.60514878148217</v>
      </c>
      <c r="AN21" s="47">
        <f t="shared" si="194"/>
        <v>630.22240461213914</v>
      </c>
      <c r="AO21" s="47">
        <f t="shared" si="194"/>
        <v>642.84704652296648</v>
      </c>
      <c r="AP21" s="48">
        <f t="shared" si="194"/>
        <v>642.84704652296648</v>
      </c>
      <c r="AQ21" s="47">
        <f t="shared" si="194"/>
        <v>653.03280294012905</v>
      </c>
      <c r="AR21" s="47">
        <f t="shared" si="194"/>
        <v>665.37686148147861</v>
      </c>
      <c r="AS21" s="48">
        <f t="shared" si="194"/>
        <v>665.37686148147861</v>
      </c>
      <c r="AT21" s="47">
        <f t="shared" si="194"/>
        <v>675.1133151781097</v>
      </c>
      <c r="AU21" s="47">
        <f t="shared" si="194"/>
        <v>687.14781903593416</v>
      </c>
      <c r="AV21" s="48">
        <f t="shared" si="194"/>
        <v>687.14781903593416</v>
      </c>
      <c r="AW21" s="47">
        <f t="shared" si="194"/>
        <v>696.3722192415662</v>
      </c>
      <c r="AX21" s="47">
        <f t="shared" si="194"/>
        <v>708.02307930696645</v>
      </c>
      <c r="AY21" s="48">
        <f t="shared" si="194"/>
        <v>708.02307930696645</v>
      </c>
    </row>
    <row r="22" spans="1:51" x14ac:dyDescent="0.2">
      <c r="A22" s="6"/>
      <c r="B22" s="6"/>
      <c r="D22" s="6"/>
      <c r="E22" s="6"/>
      <c r="F22" s="13"/>
      <c r="G22" s="6"/>
      <c r="H22" s="6"/>
      <c r="I22" s="13"/>
      <c r="J22" s="6"/>
      <c r="K22" s="6"/>
      <c r="L22" s="13"/>
      <c r="M22" s="6"/>
      <c r="N22" s="6"/>
      <c r="O22" s="13"/>
      <c r="P22" s="6"/>
      <c r="Q22" s="6"/>
      <c r="R22" s="13"/>
      <c r="S22" s="6"/>
      <c r="T22" s="6"/>
      <c r="U22" s="13"/>
      <c r="V22" s="6"/>
      <c r="W22" s="6"/>
      <c r="X22" s="13"/>
      <c r="Y22" s="6"/>
      <c r="Z22" s="6"/>
      <c r="AA22" s="13"/>
      <c r="AB22" s="6"/>
      <c r="AC22" s="6"/>
      <c r="AD22" s="13"/>
      <c r="AE22" s="6"/>
      <c r="AF22" s="6"/>
      <c r="AG22" s="13"/>
      <c r="AH22" s="6"/>
      <c r="AI22" s="6"/>
      <c r="AJ22" s="13"/>
      <c r="AK22" s="6"/>
      <c r="AL22" s="6"/>
      <c r="AM22" s="13"/>
      <c r="AN22" s="6"/>
      <c r="AO22" s="6"/>
      <c r="AP22" s="13"/>
      <c r="AQ22" s="6"/>
      <c r="AR22" s="6"/>
      <c r="AS22" s="13"/>
      <c r="AT22" s="6"/>
      <c r="AU22" s="6"/>
      <c r="AV22" s="13"/>
      <c r="AW22" s="6"/>
      <c r="AX22" s="6"/>
      <c r="AY22" s="13"/>
    </row>
    <row r="23" spans="1:51" s="24" customFormat="1" ht="12" customHeight="1" x14ac:dyDescent="0.2">
      <c r="A23" s="6"/>
      <c r="B23" s="28" t="s">
        <v>83</v>
      </c>
      <c r="C23" s="29"/>
      <c r="D23" s="31"/>
      <c r="E23" s="39"/>
      <c r="F23" s="30"/>
      <c r="G23" s="31"/>
      <c r="H23" s="39"/>
      <c r="I23" s="30">
        <f>+I21+I12</f>
        <v>210.381</v>
      </c>
      <c r="J23" s="31"/>
      <c r="K23" s="39"/>
      <c r="L23" s="30">
        <f>+L21+L12</f>
        <v>248.429</v>
      </c>
      <c r="M23" s="31"/>
      <c r="N23" s="39"/>
      <c r="O23" s="30">
        <f t="shared" ref="O23:AY23" si="196">+O21+O12</f>
        <v>324.50700000000001</v>
      </c>
      <c r="P23" s="31">
        <f t="shared" si="196"/>
        <v>330.51400000000007</v>
      </c>
      <c r="Q23" s="39">
        <f t="shared" si="196"/>
        <v>661.79700000000003</v>
      </c>
      <c r="R23" s="30">
        <f t="shared" si="196"/>
        <v>661.79700000000003</v>
      </c>
      <c r="S23" s="31">
        <f t="shared" ref="S23:U23" si="197">+S21+S12</f>
        <v>694.96900000000005</v>
      </c>
      <c r="T23" s="39">
        <f t="shared" si="197"/>
        <v>783.19799999999998</v>
      </c>
      <c r="U23" s="30">
        <f t="shared" si="197"/>
        <v>783.19799999999998</v>
      </c>
      <c r="V23" s="31">
        <f t="shared" si="196"/>
        <v>806.25399893706549</v>
      </c>
      <c r="W23" s="39">
        <f t="shared" si="196"/>
        <v>822.83775441019566</v>
      </c>
      <c r="X23" s="30">
        <f t="shared" si="196"/>
        <v>822.83775441019566</v>
      </c>
      <c r="Y23" s="31">
        <f t="shared" si="196"/>
        <v>851.14317119102748</v>
      </c>
      <c r="Z23" s="39">
        <f t="shared" si="196"/>
        <v>872.91548161251876</v>
      </c>
      <c r="AA23" s="30">
        <f t="shared" si="196"/>
        <v>872.91548161251876</v>
      </c>
      <c r="AB23" s="31">
        <f t="shared" si="196"/>
        <v>909.19893299108469</v>
      </c>
      <c r="AC23" s="39">
        <f t="shared" si="196"/>
        <v>940.56493793442928</v>
      </c>
      <c r="AD23" s="30">
        <f t="shared" si="196"/>
        <v>940.56493793442928</v>
      </c>
      <c r="AE23" s="31">
        <f t="shared" si="196"/>
        <v>986.81762781782163</v>
      </c>
      <c r="AF23" s="39">
        <f t="shared" si="196"/>
        <v>1028.3790158037009</v>
      </c>
      <c r="AG23" s="30">
        <f t="shared" si="196"/>
        <v>1028.3790158037009</v>
      </c>
      <c r="AH23" s="31">
        <f t="shared" si="196"/>
        <v>1087.1119199346454</v>
      </c>
      <c r="AI23" s="39">
        <f t="shared" si="196"/>
        <v>1139.4876145770022</v>
      </c>
      <c r="AJ23" s="30">
        <f t="shared" si="196"/>
        <v>1139.4876145770022</v>
      </c>
      <c r="AK23" s="31">
        <f t="shared" si="196"/>
        <v>1206.8905455921019</v>
      </c>
      <c r="AL23" s="39">
        <f t="shared" si="196"/>
        <v>1266.5025029223798</v>
      </c>
      <c r="AM23" s="30">
        <f t="shared" si="196"/>
        <v>1266.5025029223798</v>
      </c>
      <c r="AN23" s="31">
        <f t="shared" si="196"/>
        <v>1343.8454060741165</v>
      </c>
      <c r="AO23" s="39">
        <f t="shared" si="196"/>
        <v>1413.1683411182669</v>
      </c>
      <c r="AP23" s="30">
        <f t="shared" si="196"/>
        <v>1413.1683411182669</v>
      </c>
      <c r="AQ23" s="31">
        <f t="shared" si="196"/>
        <v>1502.0817749895866</v>
      </c>
      <c r="AR23" s="39">
        <f t="shared" si="196"/>
        <v>1582.0412179044658</v>
      </c>
      <c r="AS23" s="30">
        <f t="shared" si="196"/>
        <v>1582.0412179044658</v>
      </c>
      <c r="AT23" s="31">
        <f t="shared" si="196"/>
        <v>1683.5503250084812</v>
      </c>
      <c r="AU23" s="39">
        <f t="shared" si="196"/>
        <v>1775.0988945618781</v>
      </c>
      <c r="AV23" s="30">
        <f t="shared" si="196"/>
        <v>1775.0988945618781</v>
      </c>
      <c r="AW23" s="31">
        <f t="shared" si="196"/>
        <v>1890.2612606661116</v>
      </c>
      <c r="AX23" s="39">
        <f t="shared" si="196"/>
        <v>1994.3803153201702</v>
      </c>
      <c r="AY23" s="30">
        <f t="shared" si="196"/>
        <v>1994.3803153201702</v>
      </c>
    </row>
    <row r="24" spans="1:51" x14ac:dyDescent="0.2">
      <c r="A24" s="6"/>
      <c r="B24" s="6"/>
      <c r="D24" s="6"/>
      <c r="E24" s="6"/>
      <c r="F24" s="13"/>
      <c r="G24" s="6"/>
      <c r="H24" s="6"/>
      <c r="I24" s="13"/>
      <c r="J24" s="6"/>
      <c r="K24" s="6"/>
      <c r="L24" s="13"/>
      <c r="M24" s="6"/>
      <c r="N24" s="6"/>
      <c r="O24" s="13"/>
      <c r="P24" s="6"/>
      <c r="Q24" s="6"/>
      <c r="R24" s="13"/>
      <c r="S24" s="6"/>
      <c r="T24" s="6"/>
      <c r="U24" s="13"/>
      <c r="V24" s="6"/>
      <c r="W24" s="6"/>
      <c r="X24" s="13"/>
      <c r="Y24" s="6"/>
      <c r="Z24" s="6"/>
      <c r="AA24" s="13"/>
      <c r="AB24" s="6"/>
      <c r="AC24" s="6"/>
      <c r="AD24" s="13"/>
      <c r="AE24" s="6"/>
      <c r="AF24" s="6"/>
      <c r="AG24" s="13"/>
      <c r="AH24" s="6"/>
      <c r="AI24" s="6"/>
      <c r="AJ24" s="13"/>
      <c r="AK24" s="6"/>
      <c r="AL24" s="6"/>
      <c r="AM24" s="13"/>
      <c r="AN24" s="6"/>
      <c r="AO24" s="6"/>
      <c r="AP24" s="13"/>
      <c r="AQ24" s="6"/>
      <c r="AR24" s="6"/>
      <c r="AS24" s="13"/>
      <c r="AT24" s="6"/>
      <c r="AU24" s="6"/>
      <c r="AV24" s="13"/>
      <c r="AW24" s="6"/>
      <c r="AX24" s="6"/>
      <c r="AY24" s="13"/>
    </row>
    <row r="25" spans="1:51" s="24" customFormat="1" ht="12" customHeight="1" x14ac:dyDescent="0.2">
      <c r="A25" s="6"/>
      <c r="B25" s="23" t="s">
        <v>152</v>
      </c>
      <c r="C25" s="23"/>
      <c r="D25" s="25"/>
      <c r="E25" s="26"/>
      <c r="F25" s="132"/>
      <c r="G25" s="25"/>
      <c r="H25" s="26"/>
      <c r="I25" s="132">
        <v>17.097000000000001</v>
      </c>
      <c r="J25" s="25"/>
      <c r="K25" s="26"/>
      <c r="L25" s="132">
        <v>28.007999999999999</v>
      </c>
      <c r="M25" s="25"/>
      <c r="N25" s="26"/>
      <c r="O25" s="132">
        <v>32.634999999999998</v>
      </c>
      <c r="P25" s="25">
        <v>22.035</v>
      </c>
      <c r="Q25" s="26">
        <f t="shared" ref="Q25:Q30" si="198">+R25</f>
        <v>39.387</v>
      </c>
      <c r="R25" s="132">
        <v>39.387</v>
      </c>
      <c r="S25" s="25">
        <v>30.198</v>
      </c>
      <c r="T25" s="26">
        <f t="shared" ref="T25:T30" si="199">+U25</f>
        <v>40.439</v>
      </c>
      <c r="U25" s="132">
        <v>40.439</v>
      </c>
      <c r="V25" s="26">
        <f>+V87</f>
        <v>48.588371233822365</v>
      </c>
      <c r="W25" s="26">
        <f t="shared" ref="W25:W30" si="200">+X25</f>
        <v>49.701664056933694</v>
      </c>
      <c r="X25" s="27">
        <f>+X87</f>
        <v>49.701664056933694</v>
      </c>
      <c r="Y25" s="26">
        <f>+Y87</f>
        <v>56.957917412040757</v>
      </c>
      <c r="Z25" s="26">
        <f t="shared" ref="Z25:Z30" si="201">+AA25</f>
        <v>58.017867287298252</v>
      </c>
      <c r="AA25" s="27">
        <f>+AA87</f>
        <v>58.017867287298252</v>
      </c>
      <c r="AB25" s="26">
        <f>+AB87</f>
        <v>65.469759913715606</v>
      </c>
      <c r="AC25" s="26">
        <f t="shared" ref="AC25:AC30" si="202">+AD25</f>
        <v>66.416698195078453</v>
      </c>
      <c r="AD25" s="27">
        <f>+AD87</f>
        <v>66.416698195078453</v>
      </c>
      <c r="AE25" s="26">
        <f>+AE87</f>
        <v>73.635977559506372</v>
      </c>
      <c r="AF25" s="26">
        <f t="shared" ref="AF25:AF30" si="203">+AG25</f>
        <v>74.537382861924399</v>
      </c>
      <c r="AG25" s="27">
        <f>+AG87</f>
        <v>74.537382861924399</v>
      </c>
      <c r="AH25" s="26">
        <f>+AH87</f>
        <v>82.132554055088619</v>
      </c>
      <c r="AI25" s="26">
        <f t="shared" ref="AI25:AI30" si="204">+AJ25</f>
        <v>82.987262565336778</v>
      </c>
      <c r="AJ25" s="27">
        <f>+AJ87</f>
        <v>82.987262565336778</v>
      </c>
      <c r="AK25" s="26">
        <f>+AK87</f>
        <v>92.984090125149407</v>
      </c>
      <c r="AL25" s="26">
        <f t="shared" ref="AL25:AL30" si="205">+AM25</f>
        <v>93.55903870220547</v>
      </c>
      <c r="AM25" s="27">
        <f>+AM87</f>
        <v>93.55903870220547</v>
      </c>
      <c r="AN25" s="26">
        <f>+AN87</f>
        <v>103.58636929177368</v>
      </c>
      <c r="AO25" s="26">
        <f t="shared" ref="AO25:AO30" si="206">+AP25</f>
        <v>104.08682211411886</v>
      </c>
      <c r="AP25" s="27">
        <f>+AP87</f>
        <v>104.08682211411886</v>
      </c>
      <c r="AQ25" s="26">
        <f>+AQ87</f>
        <v>114.82670349858655</v>
      </c>
      <c r="AR25" s="26">
        <f t="shared" ref="AR25:AR30" si="207">+AS25</f>
        <v>115.24765192780971</v>
      </c>
      <c r="AS25" s="27">
        <f>+AS87</f>
        <v>115.24765192780971</v>
      </c>
      <c r="AT25" s="26">
        <f>+AT87</f>
        <v>126.74103924620398</v>
      </c>
      <c r="AU25" s="26">
        <f t="shared" ref="AU25:AU30" si="208">+AV25</f>
        <v>127.0772292918283</v>
      </c>
      <c r="AV25" s="27">
        <f>+AV87</f>
        <v>127.0772292918283</v>
      </c>
      <c r="AW25" s="26">
        <f>+AW87</f>
        <v>139.36737189171987</v>
      </c>
      <c r="AX25" s="26">
        <f t="shared" ref="AX25:AX30" si="209">+AY25</f>
        <v>139.61331342336163</v>
      </c>
      <c r="AY25" s="27">
        <f>+AY87</f>
        <v>139.61331342336163</v>
      </c>
    </row>
    <row r="26" spans="1:51" s="24" customFormat="1" ht="12" customHeight="1" x14ac:dyDescent="0.2">
      <c r="A26" s="6"/>
      <c r="B26" s="23" t="s">
        <v>352</v>
      </c>
      <c r="C26" s="23"/>
      <c r="D26" s="25"/>
      <c r="E26" s="26"/>
      <c r="F26" s="132"/>
      <c r="G26" s="25"/>
      <c r="H26" s="26"/>
      <c r="I26" s="132">
        <v>1.2929999999999999</v>
      </c>
      <c r="J26" s="25"/>
      <c r="K26" s="26"/>
      <c r="L26" s="132">
        <v>1.3520000000000001</v>
      </c>
      <c r="M26" s="25"/>
      <c r="N26" s="26"/>
      <c r="O26" s="132">
        <v>1.681</v>
      </c>
      <c r="P26" s="25">
        <v>2.351</v>
      </c>
      <c r="Q26" s="26">
        <f t="shared" si="198"/>
        <v>2.0539999999999998</v>
      </c>
      <c r="R26" s="132">
        <v>2.0539999999999998</v>
      </c>
      <c r="S26" s="25">
        <v>1.397</v>
      </c>
      <c r="T26" s="26">
        <f t="shared" si="199"/>
        <v>2.2669999999999999</v>
      </c>
      <c r="U26" s="132">
        <v>2.2669999999999999</v>
      </c>
      <c r="V26" s="140">
        <f t="shared" ref="V26:V30" si="210">+U26</f>
        <v>2.2669999999999999</v>
      </c>
      <c r="W26" s="142">
        <f t="shared" si="200"/>
        <v>2.2669999999999999</v>
      </c>
      <c r="X26" s="146">
        <f t="shared" ref="X26:X30" si="211">+V26</f>
        <v>2.2669999999999999</v>
      </c>
      <c r="Y26" s="140">
        <f t="shared" ref="Y26:Y30" si="212">+X26</f>
        <v>2.2669999999999999</v>
      </c>
      <c r="Z26" s="142">
        <f t="shared" si="201"/>
        <v>2.2669999999999999</v>
      </c>
      <c r="AA26" s="146">
        <f t="shared" ref="AA26:AA30" si="213">+Y26</f>
        <v>2.2669999999999999</v>
      </c>
      <c r="AB26" s="140">
        <f t="shared" ref="AB26:AB30" si="214">+AA26</f>
        <v>2.2669999999999999</v>
      </c>
      <c r="AC26" s="142">
        <f t="shared" si="202"/>
        <v>2.2669999999999999</v>
      </c>
      <c r="AD26" s="146">
        <f t="shared" ref="AD26:AD30" si="215">+AB26</f>
        <v>2.2669999999999999</v>
      </c>
      <c r="AE26" s="140">
        <f t="shared" ref="AE26:AE30" si="216">+AD26</f>
        <v>2.2669999999999999</v>
      </c>
      <c r="AF26" s="142">
        <f t="shared" si="203"/>
        <v>2.2669999999999999</v>
      </c>
      <c r="AG26" s="146">
        <f t="shared" ref="AG26:AG30" si="217">+AE26</f>
        <v>2.2669999999999999</v>
      </c>
      <c r="AH26" s="140">
        <f t="shared" ref="AH26:AH30" si="218">+AG26</f>
        <v>2.2669999999999999</v>
      </c>
      <c r="AI26" s="142">
        <f t="shared" si="204"/>
        <v>2.2669999999999999</v>
      </c>
      <c r="AJ26" s="146">
        <f t="shared" ref="AJ26:AJ30" si="219">+AH26</f>
        <v>2.2669999999999999</v>
      </c>
      <c r="AK26" s="140">
        <f t="shared" ref="AK26:AK30" si="220">+AJ26</f>
        <v>2.2669999999999999</v>
      </c>
      <c r="AL26" s="142">
        <f t="shared" si="205"/>
        <v>2.2669999999999999</v>
      </c>
      <c r="AM26" s="146">
        <f t="shared" ref="AM26:AM30" si="221">+AK26</f>
        <v>2.2669999999999999</v>
      </c>
      <c r="AN26" s="140">
        <f t="shared" ref="AN26:AN30" si="222">+AM26</f>
        <v>2.2669999999999999</v>
      </c>
      <c r="AO26" s="142">
        <f t="shared" si="206"/>
        <v>2.2669999999999999</v>
      </c>
      <c r="AP26" s="146">
        <f t="shared" ref="AP26:AP30" si="223">+AN26</f>
        <v>2.2669999999999999</v>
      </c>
      <c r="AQ26" s="140">
        <f t="shared" ref="AQ26:AQ30" si="224">+AP26</f>
        <v>2.2669999999999999</v>
      </c>
      <c r="AR26" s="142">
        <f t="shared" si="207"/>
        <v>2.2669999999999999</v>
      </c>
      <c r="AS26" s="146">
        <f t="shared" ref="AS26:AS30" si="225">+AQ26</f>
        <v>2.2669999999999999</v>
      </c>
      <c r="AT26" s="140">
        <f t="shared" ref="AT26:AT30" si="226">+AS26</f>
        <v>2.2669999999999999</v>
      </c>
      <c r="AU26" s="142">
        <f t="shared" si="208"/>
        <v>2.2669999999999999</v>
      </c>
      <c r="AV26" s="146">
        <f t="shared" ref="AV26:AV30" si="227">+AT26</f>
        <v>2.2669999999999999</v>
      </c>
      <c r="AW26" s="140">
        <f t="shared" ref="AW26:AW30" si="228">+AV26</f>
        <v>2.2669999999999999</v>
      </c>
      <c r="AX26" s="142">
        <f t="shared" si="209"/>
        <v>2.2669999999999999</v>
      </c>
      <c r="AY26" s="146">
        <f t="shared" ref="AY26:AY30" si="229">+AW26</f>
        <v>2.2669999999999999</v>
      </c>
    </row>
    <row r="27" spans="1:51" s="24" customFormat="1" ht="12" customHeight="1" x14ac:dyDescent="0.2">
      <c r="A27" s="6"/>
      <c r="B27" s="23" t="s">
        <v>272</v>
      </c>
      <c r="C27" s="23"/>
      <c r="D27" s="25"/>
      <c r="E27" s="26"/>
      <c r="F27" s="132"/>
      <c r="G27" s="25"/>
      <c r="H27" s="26"/>
      <c r="I27" s="132">
        <v>0.49099999999999999</v>
      </c>
      <c r="J27" s="25"/>
      <c r="K27" s="26"/>
      <c r="L27" s="132">
        <v>3.3580000000000001</v>
      </c>
      <c r="M27" s="25"/>
      <c r="N27" s="26"/>
      <c r="O27" s="132">
        <v>0</v>
      </c>
      <c r="P27" s="25">
        <v>0</v>
      </c>
      <c r="Q27" s="26">
        <f t="shared" si="198"/>
        <v>0</v>
      </c>
      <c r="R27" s="132">
        <v>0</v>
      </c>
      <c r="S27" s="25">
        <v>0</v>
      </c>
      <c r="T27" s="26">
        <f t="shared" si="199"/>
        <v>0</v>
      </c>
      <c r="U27" s="132">
        <v>0</v>
      </c>
      <c r="V27" s="140">
        <f t="shared" si="210"/>
        <v>0</v>
      </c>
      <c r="W27" s="142">
        <f t="shared" si="200"/>
        <v>0</v>
      </c>
      <c r="X27" s="146">
        <f t="shared" si="211"/>
        <v>0</v>
      </c>
      <c r="Y27" s="140">
        <f t="shared" si="212"/>
        <v>0</v>
      </c>
      <c r="Z27" s="142">
        <f t="shared" si="201"/>
        <v>0</v>
      </c>
      <c r="AA27" s="146">
        <f t="shared" si="213"/>
        <v>0</v>
      </c>
      <c r="AB27" s="140">
        <f t="shared" si="214"/>
        <v>0</v>
      </c>
      <c r="AC27" s="142">
        <f t="shared" si="202"/>
        <v>0</v>
      </c>
      <c r="AD27" s="146">
        <f t="shared" si="215"/>
        <v>0</v>
      </c>
      <c r="AE27" s="140">
        <f t="shared" si="216"/>
        <v>0</v>
      </c>
      <c r="AF27" s="142">
        <f t="shared" si="203"/>
        <v>0</v>
      </c>
      <c r="AG27" s="146">
        <f t="shared" si="217"/>
        <v>0</v>
      </c>
      <c r="AH27" s="140">
        <f t="shared" si="218"/>
        <v>0</v>
      </c>
      <c r="AI27" s="142">
        <f t="shared" si="204"/>
        <v>0</v>
      </c>
      <c r="AJ27" s="146">
        <f t="shared" si="219"/>
        <v>0</v>
      </c>
      <c r="AK27" s="140">
        <f t="shared" si="220"/>
        <v>0</v>
      </c>
      <c r="AL27" s="142">
        <f t="shared" si="205"/>
        <v>0</v>
      </c>
      <c r="AM27" s="146">
        <f t="shared" si="221"/>
        <v>0</v>
      </c>
      <c r="AN27" s="140">
        <f t="shared" si="222"/>
        <v>0</v>
      </c>
      <c r="AO27" s="142">
        <f t="shared" si="206"/>
        <v>0</v>
      </c>
      <c r="AP27" s="146">
        <f t="shared" si="223"/>
        <v>0</v>
      </c>
      <c r="AQ27" s="140">
        <f t="shared" si="224"/>
        <v>0</v>
      </c>
      <c r="AR27" s="142">
        <f t="shared" si="207"/>
        <v>0</v>
      </c>
      <c r="AS27" s="146">
        <f t="shared" si="225"/>
        <v>0</v>
      </c>
      <c r="AT27" s="140">
        <f t="shared" si="226"/>
        <v>0</v>
      </c>
      <c r="AU27" s="142">
        <f t="shared" si="208"/>
        <v>0</v>
      </c>
      <c r="AV27" s="146">
        <f t="shared" si="227"/>
        <v>0</v>
      </c>
      <c r="AW27" s="140">
        <f t="shared" si="228"/>
        <v>0</v>
      </c>
      <c r="AX27" s="142">
        <f t="shared" si="209"/>
        <v>0</v>
      </c>
      <c r="AY27" s="146">
        <f t="shared" si="229"/>
        <v>0</v>
      </c>
    </row>
    <row r="28" spans="1:51" s="24" customFormat="1" ht="12" customHeight="1" x14ac:dyDescent="0.2">
      <c r="A28" s="6"/>
      <c r="B28" s="23" t="s">
        <v>153</v>
      </c>
      <c r="C28" s="23"/>
      <c r="D28" s="25"/>
      <c r="E28" s="26"/>
      <c r="F28" s="132"/>
      <c r="G28" s="25"/>
      <c r="H28" s="26"/>
      <c r="I28" s="132">
        <v>15.388</v>
      </c>
      <c r="J28" s="25"/>
      <c r="K28" s="26"/>
      <c r="L28" s="132">
        <v>16.811</v>
      </c>
      <c r="M28" s="25"/>
      <c r="N28" s="26"/>
      <c r="O28" s="132">
        <v>20.164999999999999</v>
      </c>
      <c r="P28" s="25">
        <v>20.012</v>
      </c>
      <c r="Q28" s="26">
        <f t="shared" si="198"/>
        <v>22.201000000000001</v>
      </c>
      <c r="R28" s="132">
        <v>22.201000000000001</v>
      </c>
      <c r="S28" s="25">
        <v>19.687000000000001</v>
      </c>
      <c r="T28" s="26">
        <f t="shared" si="199"/>
        <v>23.652000000000001</v>
      </c>
      <c r="U28" s="132">
        <v>23.652000000000001</v>
      </c>
      <c r="V28" s="140">
        <f t="shared" si="210"/>
        <v>23.652000000000001</v>
      </c>
      <c r="W28" s="142">
        <f t="shared" si="200"/>
        <v>23.652000000000001</v>
      </c>
      <c r="X28" s="146">
        <f t="shared" si="211"/>
        <v>23.652000000000001</v>
      </c>
      <c r="Y28" s="140">
        <f t="shared" si="212"/>
        <v>23.652000000000001</v>
      </c>
      <c r="Z28" s="142">
        <f t="shared" si="201"/>
        <v>23.652000000000001</v>
      </c>
      <c r="AA28" s="146">
        <f t="shared" si="213"/>
        <v>23.652000000000001</v>
      </c>
      <c r="AB28" s="140">
        <f t="shared" si="214"/>
        <v>23.652000000000001</v>
      </c>
      <c r="AC28" s="142">
        <f t="shared" si="202"/>
        <v>23.652000000000001</v>
      </c>
      <c r="AD28" s="146">
        <f t="shared" si="215"/>
        <v>23.652000000000001</v>
      </c>
      <c r="AE28" s="140">
        <f t="shared" si="216"/>
        <v>23.652000000000001</v>
      </c>
      <c r="AF28" s="142">
        <f t="shared" si="203"/>
        <v>23.652000000000001</v>
      </c>
      <c r="AG28" s="146">
        <f t="shared" si="217"/>
        <v>23.652000000000001</v>
      </c>
      <c r="AH28" s="140">
        <f t="shared" si="218"/>
        <v>23.652000000000001</v>
      </c>
      <c r="AI28" s="142">
        <f t="shared" si="204"/>
        <v>23.652000000000001</v>
      </c>
      <c r="AJ28" s="146">
        <f t="shared" si="219"/>
        <v>23.652000000000001</v>
      </c>
      <c r="AK28" s="140">
        <f t="shared" si="220"/>
        <v>23.652000000000001</v>
      </c>
      <c r="AL28" s="142">
        <f t="shared" si="205"/>
        <v>23.652000000000001</v>
      </c>
      <c r="AM28" s="146">
        <f t="shared" si="221"/>
        <v>23.652000000000001</v>
      </c>
      <c r="AN28" s="140">
        <f t="shared" si="222"/>
        <v>23.652000000000001</v>
      </c>
      <c r="AO28" s="142">
        <f t="shared" si="206"/>
        <v>23.652000000000001</v>
      </c>
      <c r="AP28" s="146">
        <f t="shared" si="223"/>
        <v>23.652000000000001</v>
      </c>
      <c r="AQ28" s="140">
        <f t="shared" si="224"/>
        <v>23.652000000000001</v>
      </c>
      <c r="AR28" s="142">
        <f t="shared" si="207"/>
        <v>23.652000000000001</v>
      </c>
      <c r="AS28" s="146">
        <f t="shared" si="225"/>
        <v>23.652000000000001</v>
      </c>
      <c r="AT28" s="140">
        <f t="shared" si="226"/>
        <v>23.652000000000001</v>
      </c>
      <c r="AU28" s="142">
        <f t="shared" si="208"/>
        <v>23.652000000000001</v>
      </c>
      <c r="AV28" s="146">
        <f t="shared" si="227"/>
        <v>23.652000000000001</v>
      </c>
      <c r="AW28" s="140">
        <f t="shared" si="228"/>
        <v>23.652000000000001</v>
      </c>
      <c r="AX28" s="142">
        <f t="shared" si="209"/>
        <v>23.652000000000001</v>
      </c>
      <c r="AY28" s="146">
        <f t="shared" si="229"/>
        <v>23.652000000000001</v>
      </c>
    </row>
    <row r="29" spans="1:51" s="24" customFormat="1" ht="12" customHeight="1" x14ac:dyDescent="0.2">
      <c r="A29" s="6"/>
      <c r="B29" s="23" t="s">
        <v>353</v>
      </c>
      <c r="C29" s="23"/>
      <c r="D29" s="25"/>
      <c r="E29" s="26"/>
      <c r="F29" s="132"/>
      <c r="G29" s="25"/>
      <c r="H29" s="26"/>
      <c r="I29" s="132">
        <v>0</v>
      </c>
      <c r="J29" s="25"/>
      <c r="K29" s="26"/>
      <c r="L29" s="132">
        <v>0</v>
      </c>
      <c r="M29" s="25"/>
      <c r="N29" s="26"/>
      <c r="O29" s="132">
        <v>3.6360000000000001</v>
      </c>
      <c r="P29" s="25">
        <v>9.7330000000000005</v>
      </c>
      <c r="Q29" s="26">
        <f t="shared" si="198"/>
        <v>10.138</v>
      </c>
      <c r="R29" s="132">
        <v>10.138</v>
      </c>
      <c r="S29" s="25">
        <v>4.7039999999999997</v>
      </c>
      <c r="T29" s="26">
        <f t="shared" si="199"/>
        <v>8.9160000000000004</v>
      </c>
      <c r="U29" s="132">
        <v>8.9160000000000004</v>
      </c>
      <c r="V29" s="140">
        <f t="shared" si="210"/>
        <v>8.9160000000000004</v>
      </c>
      <c r="W29" s="142">
        <f t="shared" si="200"/>
        <v>8.9160000000000004</v>
      </c>
      <c r="X29" s="146">
        <f t="shared" si="211"/>
        <v>8.9160000000000004</v>
      </c>
      <c r="Y29" s="140">
        <f t="shared" si="212"/>
        <v>8.9160000000000004</v>
      </c>
      <c r="Z29" s="142">
        <f t="shared" si="201"/>
        <v>8.9160000000000004</v>
      </c>
      <c r="AA29" s="146">
        <f t="shared" si="213"/>
        <v>8.9160000000000004</v>
      </c>
      <c r="AB29" s="140">
        <f t="shared" si="214"/>
        <v>8.9160000000000004</v>
      </c>
      <c r="AC29" s="142">
        <f t="shared" si="202"/>
        <v>8.9160000000000004</v>
      </c>
      <c r="AD29" s="146">
        <f t="shared" si="215"/>
        <v>8.9160000000000004</v>
      </c>
      <c r="AE29" s="140">
        <f t="shared" si="216"/>
        <v>8.9160000000000004</v>
      </c>
      <c r="AF29" s="142">
        <f t="shared" si="203"/>
        <v>8.9160000000000004</v>
      </c>
      <c r="AG29" s="146">
        <f t="shared" si="217"/>
        <v>8.9160000000000004</v>
      </c>
      <c r="AH29" s="140">
        <f t="shared" si="218"/>
        <v>8.9160000000000004</v>
      </c>
      <c r="AI29" s="142">
        <f t="shared" si="204"/>
        <v>8.9160000000000004</v>
      </c>
      <c r="AJ29" s="146">
        <f t="shared" si="219"/>
        <v>8.9160000000000004</v>
      </c>
      <c r="AK29" s="140">
        <f t="shared" si="220"/>
        <v>8.9160000000000004</v>
      </c>
      <c r="AL29" s="142">
        <f t="shared" si="205"/>
        <v>8.9160000000000004</v>
      </c>
      <c r="AM29" s="146">
        <f t="shared" si="221"/>
        <v>8.9160000000000004</v>
      </c>
      <c r="AN29" s="140">
        <f t="shared" si="222"/>
        <v>8.9160000000000004</v>
      </c>
      <c r="AO29" s="142">
        <f t="shared" si="206"/>
        <v>8.9160000000000004</v>
      </c>
      <c r="AP29" s="146">
        <f t="shared" si="223"/>
        <v>8.9160000000000004</v>
      </c>
      <c r="AQ29" s="140">
        <f t="shared" si="224"/>
        <v>8.9160000000000004</v>
      </c>
      <c r="AR29" s="142">
        <f t="shared" si="207"/>
        <v>8.9160000000000004</v>
      </c>
      <c r="AS29" s="146">
        <f t="shared" si="225"/>
        <v>8.9160000000000004</v>
      </c>
      <c r="AT29" s="140">
        <f t="shared" si="226"/>
        <v>8.9160000000000004</v>
      </c>
      <c r="AU29" s="142">
        <f t="shared" si="208"/>
        <v>8.9160000000000004</v>
      </c>
      <c r="AV29" s="146">
        <f t="shared" si="227"/>
        <v>8.9160000000000004</v>
      </c>
      <c r="AW29" s="140">
        <f t="shared" si="228"/>
        <v>8.9160000000000004</v>
      </c>
      <c r="AX29" s="142">
        <f t="shared" si="209"/>
        <v>8.9160000000000004</v>
      </c>
      <c r="AY29" s="146">
        <f t="shared" si="229"/>
        <v>8.9160000000000004</v>
      </c>
    </row>
    <row r="30" spans="1:51" s="24" customFormat="1" ht="12" customHeight="1" x14ac:dyDescent="0.2">
      <c r="A30" s="6"/>
      <c r="B30" s="23" t="s">
        <v>154</v>
      </c>
      <c r="C30" s="23"/>
      <c r="D30" s="25"/>
      <c r="E30" s="26"/>
      <c r="F30" s="132"/>
      <c r="G30" s="25"/>
      <c r="H30" s="26"/>
      <c r="I30" s="132">
        <v>5.4550000000000001</v>
      </c>
      <c r="J30" s="25"/>
      <c r="K30" s="26"/>
      <c r="L30" s="132">
        <v>3.524</v>
      </c>
      <c r="M30" s="25"/>
      <c r="N30" s="26"/>
      <c r="O30" s="132">
        <v>8.3490000000000002</v>
      </c>
      <c r="P30" s="25">
        <v>5.3559999999999999</v>
      </c>
      <c r="Q30" s="26">
        <f t="shared" si="198"/>
        <v>10.507</v>
      </c>
      <c r="R30" s="132">
        <v>10.507</v>
      </c>
      <c r="S30" s="25">
        <v>9.7249999999999996</v>
      </c>
      <c r="T30" s="26">
        <f t="shared" si="199"/>
        <v>10.766</v>
      </c>
      <c r="U30" s="132">
        <v>10.766</v>
      </c>
      <c r="V30" s="140">
        <f t="shared" si="210"/>
        <v>10.766</v>
      </c>
      <c r="W30" s="142">
        <f t="shared" si="200"/>
        <v>10.766</v>
      </c>
      <c r="X30" s="146">
        <f t="shared" si="211"/>
        <v>10.766</v>
      </c>
      <c r="Y30" s="140">
        <f t="shared" si="212"/>
        <v>10.766</v>
      </c>
      <c r="Z30" s="142">
        <f t="shared" si="201"/>
        <v>10.766</v>
      </c>
      <c r="AA30" s="146">
        <f t="shared" si="213"/>
        <v>10.766</v>
      </c>
      <c r="AB30" s="140">
        <f t="shared" si="214"/>
        <v>10.766</v>
      </c>
      <c r="AC30" s="142">
        <f t="shared" si="202"/>
        <v>10.766</v>
      </c>
      <c r="AD30" s="146">
        <f t="shared" si="215"/>
        <v>10.766</v>
      </c>
      <c r="AE30" s="140">
        <f t="shared" si="216"/>
        <v>10.766</v>
      </c>
      <c r="AF30" s="142">
        <f t="shared" si="203"/>
        <v>10.766</v>
      </c>
      <c r="AG30" s="146">
        <f t="shared" si="217"/>
        <v>10.766</v>
      </c>
      <c r="AH30" s="140">
        <f t="shared" si="218"/>
        <v>10.766</v>
      </c>
      <c r="AI30" s="142">
        <f t="shared" si="204"/>
        <v>10.766</v>
      </c>
      <c r="AJ30" s="146">
        <f t="shared" si="219"/>
        <v>10.766</v>
      </c>
      <c r="AK30" s="140">
        <f t="shared" si="220"/>
        <v>10.766</v>
      </c>
      <c r="AL30" s="142">
        <f t="shared" si="205"/>
        <v>10.766</v>
      </c>
      <c r="AM30" s="146">
        <f t="shared" si="221"/>
        <v>10.766</v>
      </c>
      <c r="AN30" s="140">
        <f t="shared" si="222"/>
        <v>10.766</v>
      </c>
      <c r="AO30" s="142">
        <f t="shared" si="206"/>
        <v>10.766</v>
      </c>
      <c r="AP30" s="146">
        <f t="shared" si="223"/>
        <v>10.766</v>
      </c>
      <c r="AQ30" s="140">
        <f t="shared" si="224"/>
        <v>10.766</v>
      </c>
      <c r="AR30" s="142">
        <f t="shared" si="207"/>
        <v>10.766</v>
      </c>
      <c r="AS30" s="146">
        <f t="shared" si="225"/>
        <v>10.766</v>
      </c>
      <c r="AT30" s="140">
        <f t="shared" si="226"/>
        <v>10.766</v>
      </c>
      <c r="AU30" s="142">
        <f t="shared" si="208"/>
        <v>10.766</v>
      </c>
      <c r="AV30" s="146">
        <f t="shared" si="227"/>
        <v>10.766</v>
      </c>
      <c r="AW30" s="140">
        <f t="shared" si="228"/>
        <v>10.766</v>
      </c>
      <c r="AX30" s="142">
        <f t="shared" si="209"/>
        <v>10.766</v>
      </c>
      <c r="AY30" s="146">
        <f t="shared" si="229"/>
        <v>10.766</v>
      </c>
    </row>
    <row r="31" spans="1:51" s="24" customFormat="1" ht="12" customHeight="1" x14ac:dyDescent="0.2">
      <c r="A31" s="6"/>
      <c r="B31" s="49" t="s">
        <v>155</v>
      </c>
      <c r="C31" s="46"/>
      <c r="D31" s="47"/>
      <c r="E31" s="47"/>
      <c r="F31" s="48"/>
      <c r="G31" s="47"/>
      <c r="H31" s="47"/>
      <c r="I31" s="48">
        <f>SUM(I25:I30)</f>
        <v>39.723999999999997</v>
      </c>
      <c r="J31" s="47"/>
      <c r="K31" s="47"/>
      <c r="L31" s="48">
        <f>SUM(L25:L30)</f>
        <v>53.052999999999997</v>
      </c>
      <c r="M31" s="47"/>
      <c r="N31" s="47"/>
      <c r="O31" s="48">
        <f t="shared" ref="O31:AJ31" si="230">SUM(O25:O30)</f>
        <v>66.465999999999994</v>
      </c>
      <c r="P31" s="47">
        <f t="shared" si="230"/>
        <v>59.487000000000002</v>
      </c>
      <c r="Q31" s="47">
        <f t="shared" si="230"/>
        <v>84.287000000000006</v>
      </c>
      <c r="R31" s="48">
        <f t="shared" si="230"/>
        <v>84.287000000000006</v>
      </c>
      <c r="S31" s="47">
        <f t="shared" ref="S31:U31" si="231">SUM(S25:S30)</f>
        <v>65.710999999999999</v>
      </c>
      <c r="T31" s="47">
        <f t="shared" si="231"/>
        <v>86.04</v>
      </c>
      <c r="U31" s="48">
        <f t="shared" si="231"/>
        <v>86.04</v>
      </c>
      <c r="V31" s="47">
        <f t="shared" si="230"/>
        <v>94.189371233822371</v>
      </c>
      <c r="W31" s="47">
        <f t="shared" si="230"/>
        <v>95.302664056933693</v>
      </c>
      <c r="X31" s="48">
        <f t="shared" si="230"/>
        <v>95.302664056933693</v>
      </c>
      <c r="Y31" s="47">
        <f t="shared" si="230"/>
        <v>102.55891741204077</v>
      </c>
      <c r="Z31" s="47">
        <f t="shared" si="230"/>
        <v>103.61886728729826</v>
      </c>
      <c r="AA31" s="48">
        <f t="shared" si="230"/>
        <v>103.61886728729826</v>
      </c>
      <c r="AB31" s="47">
        <f t="shared" si="230"/>
        <v>111.07075991371561</v>
      </c>
      <c r="AC31" s="47">
        <f t="shared" si="230"/>
        <v>112.01769819507845</v>
      </c>
      <c r="AD31" s="48">
        <f t="shared" si="230"/>
        <v>112.01769819507845</v>
      </c>
      <c r="AE31" s="47">
        <f t="shared" si="230"/>
        <v>119.23697755950637</v>
      </c>
      <c r="AF31" s="47">
        <f t="shared" si="230"/>
        <v>120.1383828619244</v>
      </c>
      <c r="AG31" s="48">
        <f t="shared" si="230"/>
        <v>120.1383828619244</v>
      </c>
      <c r="AH31" s="47">
        <f t="shared" si="230"/>
        <v>127.73355405508862</v>
      </c>
      <c r="AI31" s="47">
        <f t="shared" si="230"/>
        <v>128.58826256533678</v>
      </c>
      <c r="AJ31" s="48">
        <f t="shared" si="230"/>
        <v>128.58826256533678</v>
      </c>
      <c r="AK31" s="47">
        <f t="shared" ref="AK31:AM31" si="232">SUM(AK25:AK30)</f>
        <v>138.58509012514941</v>
      </c>
      <c r="AL31" s="47">
        <f t="shared" si="232"/>
        <v>139.16003870220547</v>
      </c>
      <c r="AM31" s="48">
        <f t="shared" si="232"/>
        <v>139.16003870220547</v>
      </c>
      <c r="AN31" s="47">
        <f t="shared" ref="AN31:AP31" si="233">SUM(AN25:AN30)</f>
        <v>149.18736929177365</v>
      </c>
      <c r="AO31" s="47">
        <f t="shared" si="233"/>
        <v>149.68782211411886</v>
      </c>
      <c r="AP31" s="48">
        <f t="shared" si="233"/>
        <v>149.68782211411886</v>
      </c>
      <c r="AQ31" s="47">
        <f t="shared" ref="AQ31:AS31" si="234">SUM(AQ25:AQ30)</f>
        <v>160.42770349858654</v>
      </c>
      <c r="AR31" s="47">
        <f t="shared" si="234"/>
        <v>160.8486519278097</v>
      </c>
      <c r="AS31" s="48">
        <f t="shared" si="234"/>
        <v>160.8486519278097</v>
      </c>
      <c r="AT31" s="47">
        <f t="shared" ref="AT31:AV31" si="235">SUM(AT25:AT30)</f>
        <v>172.342039246204</v>
      </c>
      <c r="AU31" s="47">
        <f t="shared" si="235"/>
        <v>172.67822929182827</v>
      </c>
      <c r="AV31" s="48">
        <f t="shared" si="235"/>
        <v>172.67822929182827</v>
      </c>
      <c r="AW31" s="47">
        <f t="shared" ref="AW31:AY31" si="236">SUM(AW25:AW30)</f>
        <v>184.96837189171984</v>
      </c>
      <c r="AX31" s="47">
        <f t="shared" si="236"/>
        <v>185.21431342336163</v>
      </c>
      <c r="AY31" s="48">
        <f t="shared" si="236"/>
        <v>185.21431342336163</v>
      </c>
    </row>
    <row r="32" spans="1:51" x14ac:dyDescent="0.2">
      <c r="A32" s="6"/>
      <c r="B32" s="6"/>
      <c r="D32" s="6"/>
      <c r="E32" s="6"/>
      <c r="F32" s="13"/>
      <c r="G32" s="6"/>
      <c r="H32" s="6"/>
      <c r="I32" s="13"/>
      <c r="J32" s="6"/>
      <c r="K32" s="6"/>
      <c r="L32" s="13"/>
      <c r="M32" s="6"/>
      <c r="N32" s="6"/>
      <c r="O32" s="13"/>
      <c r="P32" s="6"/>
      <c r="Q32" s="6"/>
      <c r="R32" s="13"/>
      <c r="S32" s="6"/>
      <c r="T32" s="6"/>
      <c r="U32" s="13"/>
      <c r="V32" s="6"/>
      <c r="W32" s="6"/>
      <c r="X32" s="13"/>
      <c r="Y32" s="6"/>
      <c r="Z32" s="6"/>
      <c r="AA32" s="13"/>
      <c r="AB32" s="6"/>
      <c r="AC32" s="6"/>
      <c r="AD32" s="13"/>
      <c r="AE32" s="6"/>
      <c r="AF32" s="6"/>
      <c r="AG32" s="13"/>
      <c r="AH32" s="6"/>
      <c r="AI32" s="6"/>
      <c r="AJ32" s="13"/>
      <c r="AK32" s="6"/>
      <c r="AL32" s="6"/>
      <c r="AM32" s="13"/>
      <c r="AN32" s="6"/>
      <c r="AO32" s="6"/>
      <c r="AP32" s="13"/>
      <c r="AQ32" s="6"/>
      <c r="AR32" s="6"/>
      <c r="AS32" s="13"/>
      <c r="AT32" s="6"/>
      <c r="AU32" s="6"/>
      <c r="AV32" s="13"/>
      <c r="AW32" s="6"/>
      <c r="AX32" s="6"/>
      <c r="AY32" s="13"/>
    </row>
    <row r="33" spans="1:51" s="24" customFormat="1" ht="12" customHeight="1" x14ac:dyDescent="0.2">
      <c r="A33" s="6"/>
      <c r="B33" s="23" t="s">
        <v>352</v>
      </c>
      <c r="C33" s="23"/>
      <c r="D33" s="25"/>
      <c r="E33" s="26"/>
      <c r="F33" s="132"/>
      <c r="G33" s="25"/>
      <c r="H33" s="26"/>
      <c r="I33" s="132">
        <v>2.08</v>
      </c>
      <c r="J33" s="25"/>
      <c r="K33" s="26"/>
      <c r="L33" s="132">
        <v>1.9</v>
      </c>
      <c r="M33" s="25"/>
      <c r="N33" s="26"/>
      <c r="O33" s="132">
        <v>2.177</v>
      </c>
      <c r="P33" s="25">
        <v>2.2240000000000002</v>
      </c>
      <c r="Q33" s="26">
        <f t="shared" ref="Q33:Q36" si="237">+R33</f>
        <v>2.4289999999999998</v>
      </c>
      <c r="R33" s="132">
        <v>2.4289999999999998</v>
      </c>
      <c r="S33" s="25">
        <v>2.5190000000000001</v>
      </c>
      <c r="T33" s="26">
        <f t="shared" ref="T33:T36" si="238">+U33</f>
        <v>2.9359999999999999</v>
      </c>
      <c r="U33" s="132">
        <v>2.9359999999999999</v>
      </c>
      <c r="V33" s="140">
        <f t="shared" ref="V33" si="239">+U33</f>
        <v>2.9359999999999999</v>
      </c>
      <c r="W33" s="142">
        <f t="shared" ref="W33:W36" si="240">+X33</f>
        <v>2.9359999999999999</v>
      </c>
      <c r="X33" s="146">
        <f t="shared" ref="X33" si="241">+V33</f>
        <v>2.9359999999999999</v>
      </c>
      <c r="Y33" s="140">
        <f t="shared" ref="Y33" si="242">+X33</f>
        <v>2.9359999999999999</v>
      </c>
      <c r="Z33" s="142">
        <f t="shared" ref="Z33:Z36" si="243">+AA33</f>
        <v>2.9359999999999999</v>
      </c>
      <c r="AA33" s="146">
        <f t="shared" ref="AA33" si="244">+Y33</f>
        <v>2.9359999999999999</v>
      </c>
      <c r="AB33" s="140">
        <f t="shared" ref="AB33" si="245">+AA33</f>
        <v>2.9359999999999999</v>
      </c>
      <c r="AC33" s="142">
        <f t="shared" ref="AC33:AC36" si="246">+AD33</f>
        <v>2.9359999999999999</v>
      </c>
      <c r="AD33" s="146">
        <f t="shared" ref="AD33" si="247">+AB33</f>
        <v>2.9359999999999999</v>
      </c>
      <c r="AE33" s="140">
        <f t="shared" ref="AE33" si="248">+AD33</f>
        <v>2.9359999999999999</v>
      </c>
      <c r="AF33" s="142">
        <f t="shared" ref="AF33:AF36" si="249">+AG33</f>
        <v>2.9359999999999999</v>
      </c>
      <c r="AG33" s="146">
        <f t="shared" ref="AG33" si="250">+AE33</f>
        <v>2.9359999999999999</v>
      </c>
      <c r="AH33" s="140">
        <f t="shared" ref="AH33" si="251">+AG33</f>
        <v>2.9359999999999999</v>
      </c>
      <c r="AI33" s="142">
        <f t="shared" ref="AI33:AI36" si="252">+AJ33</f>
        <v>2.9359999999999999</v>
      </c>
      <c r="AJ33" s="146">
        <f t="shared" ref="AJ33" si="253">+AH33</f>
        <v>2.9359999999999999</v>
      </c>
      <c r="AK33" s="140">
        <f t="shared" ref="AK33" si="254">+AJ33</f>
        <v>2.9359999999999999</v>
      </c>
      <c r="AL33" s="142">
        <f t="shared" ref="AL33:AL36" si="255">+AM33</f>
        <v>2.9359999999999999</v>
      </c>
      <c r="AM33" s="146">
        <f t="shared" ref="AM33" si="256">+AK33</f>
        <v>2.9359999999999999</v>
      </c>
      <c r="AN33" s="140">
        <f t="shared" ref="AN33" si="257">+AM33</f>
        <v>2.9359999999999999</v>
      </c>
      <c r="AO33" s="142">
        <f t="shared" ref="AO33:AO36" si="258">+AP33</f>
        <v>2.9359999999999999</v>
      </c>
      <c r="AP33" s="146">
        <f t="shared" ref="AP33" si="259">+AN33</f>
        <v>2.9359999999999999</v>
      </c>
      <c r="AQ33" s="140">
        <f t="shared" ref="AQ33" si="260">+AP33</f>
        <v>2.9359999999999999</v>
      </c>
      <c r="AR33" s="142">
        <f t="shared" ref="AR33:AR36" si="261">+AS33</f>
        <v>2.9359999999999999</v>
      </c>
      <c r="AS33" s="146">
        <f t="shared" ref="AS33" si="262">+AQ33</f>
        <v>2.9359999999999999</v>
      </c>
      <c r="AT33" s="140">
        <f t="shared" ref="AT33" si="263">+AS33</f>
        <v>2.9359999999999999</v>
      </c>
      <c r="AU33" s="142">
        <f t="shared" ref="AU33:AU36" si="264">+AV33</f>
        <v>2.9359999999999999</v>
      </c>
      <c r="AV33" s="146">
        <f t="shared" ref="AV33" si="265">+AT33</f>
        <v>2.9359999999999999</v>
      </c>
      <c r="AW33" s="140">
        <f t="shared" ref="AW33" si="266">+AV33</f>
        <v>2.9359999999999999</v>
      </c>
      <c r="AX33" s="142">
        <f t="shared" ref="AX33:AX36" si="267">+AY33</f>
        <v>2.9359999999999999</v>
      </c>
      <c r="AY33" s="146">
        <f t="shared" ref="AY33" si="268">+AW33</f>
        <v>2.9359999999999999</v>
      </c>
    </row>
    <row r="34" spans="1:51" s="24" customFormat="1" ht="12" customHeight="1" x14ac:dyDescent="0.2">
      <c r="A34" s="6"/>
      <c r="B34" s="23" t="s">
        <v>272</v>
      </c>
      <c r="C34" s="23"/>
      <c r="D34" s="25"/>
      <c r="E34" s="26"/>
      <c r="F34" s="132"/>
      <c r="G34" s="25"/>
      <c r="H34" s="26"/>
      <c r="I34" s="132">
        <v>3.3559999999999999</v>
      </c>
      <c r="J34" s="25"/>
      <c r="K34" s="26"/>
      <c r="L34" s="132">
        <v>0</v>
      </c>
      <c r="M34" s="25"/>
      <c r="N34" s="26"/>
      <c r="O34" s="132">
        <v>3</v>
      </c>
      <c r="P34" s="25">
        <v>3</v>
      </c>
      <c r="Q34" s="26">
        <f t="shared" si="237"/>
        <v>0</v>
      </c>
      <c r="R34" s="132">
        <v>0</v>
      </c>
      <c r="S34" s="25">
        <v>0</v>
      </c>
      <c r="T34" s="26">
        <f t="shared" si="238"/>
        <v>0</v>
      </c>
      <c r="U34" s="132">
        <v>0</v>
      </c>
      <c r="V34" s="26">
        <f t="shared" ref="V34" si="269">+V146</f>
        <v>0</v>
      </c>
      <c r="W34" s="26">
        <f t="shared" si="240"/>
        <v>0</v>
      </c>
      <c r="X34" s="27">
        <f t="shared" ref="X34:Y34" si="270">+X146</f>
        <v>0</v>
      </c>
      <c r="Y34" s="26">
        <f t="shared" si="270"/>
        <v>0</v>
      </c>
      <c r="Z34" s="26">
        <f t="shared" si="243"/>
        <v>0</v>
      </c>
      <c r="AA34" s="27">
        <f t="shared" ref="AA34:AB34" si="271">+AA146</f>
        <v>0</v>
      </c>
      <c r="AB34" s="26">
        <f t="shared" si="271"/>
        <v>0</v>
      </c>
      <c r="AC34" s="26">
        <f t="shared" si="246"/>
        <v>0</v>
      </c>
      <c r="AD34" s="27">
        <f t="shared" ref="AD34:AE34" si="272">+AD146</f>
        <v>0</v>
      </c>
      <c r="AE34" s="26">
        <f t="shared" si="272"/>
        <v>0</v>
      </c>
      <c r="AF34" s="26">
        <f t="shared" si="249"/>
        <v>0</v>
      </c>
      <c r="AG34" s="27">
        <f t="shared" ref="AG34:AH34" si="273">+AG146</f>
        <v>0</v>
      </c>
      <c r="AH34" s="26">
        <f t="shared" si="273"/>
        <v>0</v>
      </c>
      <c r="AI34" s="26">
        <f t="shared" si="252"/>
        <v>0</v>
      </c>
      <c r="AJ34" s="27">
        <f t="shared" ref="AJ34:AK34" si="274">+AJ146</f>
        <v>0</v>
      </c>
      <c r="AK34" s="26">
        <f t="shared" si="274"/>
        <v>0</v>
      </c>
      <c r="AL34" s="26">
        <f t="shared" si="255"/>
        <v>0</v>
      </c>
      <c r="AM34" s="27">
        <f t="shared" ref="AM34:AN34" si="275">+AM146</f>
        <v>0</v>
      </c>
      <c r="AN34" s="26">
        <f t="shared" si="275"/>
        <v>0</v>
      </c>
      <c r="AO34" s="26">
        <f t="shared" si="258"/>
        <v>0</v>
      </c>
      <c r="AP34" s="27">
        <f t="shared" ref="AP34:AQ34" si="276">+AP146</f>
        <v>0</v>
      </c>
      <c r="AQ34" s="26">
        <f t="shared" si="276"/>
        <v>0</v>
      </c>
      <c r="AR34" s="26">
        <f t="shared" si="261"/>
        <v>0</v>
      </c>
      <c r="AS34" s="27">
        <f t="shared" ref="AS34:AT34" si="277">+AS146</f>
        <v>0</v>
      </c>
      <c r="AT34" s="26">
        <f t="shared" si="277"/>
        <v>0</v>
      </c>
      <c r="AU34" s="26">
        <f t="shared" si="264"/>
        <v>0</v>
      </c>
      <c r="AV34" s="27">
        <f t="shared" ref="AV34:AW34" si="278">+AV146</f>
        <v>0</v>
      </c>
      <c r="AW34" s="26">
        <f t="shared" si="278"/>
        <v>0</v>
      </c>
      <c r="AX34" s="26">
        <f t="shared" si="267"/>
        <v>0</v>
      </c>
      <c r="AY34" s="27">
        <f t="shared" ref="AY34" si="279">+AY146</f>
        <v>0</v>
      </c>
    </row>
    <row r="35" spans="1:51" s="24" customFormat="1" ht="12" customHeight="1" x14ac:dyDescent="0.2">
      <c r="A35" s="6"/>
      <c r="B35" s="23" t="s">
        <v>153</v>
      </c>
      <c r="C35" s="23"/>
      <c r="D35" s="25"/>
      <c r="E35" s="26"/>
      <c r="F35" s="132"/>
      <c r="G35" s="25"/>
      <c r="H35" s="26"/>
      <c r="I35" s="132">
        <v>96.709000000000003</v>
      </c>
      <c r="J35" s="25"/>
      <c r="K35" s="26"/>
      <c r="L35" s="132">
        <v>109.76300000000001</v>
      </c>
      <c r="M35" s="25"/>
      <c r="N35" s="26"/>
      <c r="O35" s="132">
        <v>161.55199999999999</v>
      </c>
      <c r="P35" s="25">
        <v>188.05500000000001</v>
      </c>
      <c r="Q35" s="26">
        <f t="shared" si="237"/>
        <v>217.297</v>
      </c>
      <c r="R35" s="132">
        <v>217.297</v>
      </c>
      <c r="S35" s="25">
        <v>254.44800000000001</v>
      </c>
      <c r="T35" s="26">
        <f t="shared" si="238"/>
        <v>307.65899999999999</v>
      </c>
      <c r="U35" s="132">
        <v>307.65899999999999</v>
      </c>
      <c r="V35" s="142">
        <f t="shared" ref="V35" si="280">+V138</f>
        <v>311.66156999999998</v>
      </c>
      <c r="W35" s="142">
        <f t="shared" si="240"/>
        <v>317.24917512499997</v>
      </c>
      <c r="X35" s="143">
        <f t="shared" ref="X35:Y35" si="281">+X138</f>
        <v>317.24917512499997</v>
      </c>
      <c r="Y35" s="142">
        <f t="shared" si="281"/>
        <v>321.31393916062495</v>
      </c>
      <c r="Z35" s="142">
        <f t="shared" si="243"/>
        <v>327.06238606490314</v>
      </c>
      <c r="AA35" s="143">
        <f t="shared" ref="AA35:AB35" si="282">+AA138</f>
        <v>327.06238606490314</v>
      </c>
      <c r="AB35" s="142">
        <f t="shared" si="282"/>
        <v>331.15182936666986</v>
      </c>
      <c r="AC35" s="142">
        <f t="shared" si="246"/>
        <v>337.02741661913376</v>
      </c>
      <c r="AD35" s="143">
        <f t="shared" ref="AD35:AE35" si="283">+AD138</f>
        <v>337.02741661913376</v>
      </c>
      <c r="AE35" s="142">
        <f t="shared" si="283"/>
        <v>341.0937355794789</v>
      </c>
      <c r="AF35" s="142">
        <f t="shared" si="249"/>
        <v>347.05212351675374</v>
      </c>
      <c r="AG35" s="143">
        <f t="shared" ref="AG35:AH35" si="284">+AG138</f>
        <v>347.05212351675374</v>
      </c>
      <c r="AH35" s="142">
        <f t="shared" si="284"/>
        <v>351.03512922947544</v>
      </c>
      <c r="AI35" s="142">
        <f t="shared" si="252"/>
        <v>357.01910468297649</v>
      </c>
      <c r="AJ35" s="143">
        <f t="shared" ref="AJ35:AK35" si="285">+AJ138</f>
        <v>357.01910468297649</v>
      </c>
      <c r="AK35" s="142">
        <f t="shared" si="285"/>
        <v>360.84373446086192</v>
      </c>
      <c r="AL35" s="142">
        <f t="shared" si="255"/>
        <v>366.78055309420546</v>
      </c>
      <c r="AM35" s="143">
        <f t="shared" ref="AM35:AN35" si="286">+AM138</f>
        <v>366.78055309420546</v>
      </c>
      <c r="AN35" s="142">
        <f t="shared" si="286"/>
        <v>370.3539189530328</v>
      </c>
      <c r="AO35" s="142">
        <f t="shared" si="258"/>
        <v>376.15214838352364</v>
      </c>
      <c r="AP35" s="143">
        <f t="shared" ref="AP35:AQ35" si="287">+AP138</f>
        <v>376.15214838352364</v>
      </c>
      <c r="AQ35" s="142">
        <f t="shared" si="287"/>
        <v>379.36003878037957</v>
      </c>
      <c r="AR35" s="142">
        <f t="shared" si="261"/>
        <v>384.90581189515603</v>
      </c>
      <c r="AS35" s="143">
        <f t="shared" ref="AS35:AT35" si="288">+AS138</f>
        <v>384.90581189515603</v>
      </c>
      <c r="AT35" s="142">
        <f t="shared" si="288"/>
        <v>387.60854804931989</v>
      </c>
      <c r="AU35" s="142">
        <f t="shared" si="264"/>
        <v>392.76111971333967</v>
      </c>
      <c r="AV35" s="143">
        <f t="shared" ref="AV35:AW35" si="289">+AV138</f>
        <v>392.76111971333967</v>
      </c>
      <c r="AW35" s="142">
        <f t="shared" si="289"/>
        <v>394.78865021777983</v>
      </c>
      <c r="AX35" s="142">
        <f t="shared" si="267"/>
        <v>399.37513147210575</v>
      </c>
      <c r="AY35" s="143">
        <f t="shared" ref="AY35" si="290">+AY138</f>
        <v>399.37513147210575</v>
      </c>
    </row>
    <row r="36" spans="1:51" s="24" customFormat="1" ht="12" customHeight="1" x14ac:dyDescent="0.2">
      <c r="A36" s="6"/>
      <c r="B36" s="23" t="s">
        <v>154</v>
      </c>
      <c r="C36" s="23"/>
      <c r="D36" s="25"/>
      <c r="E36" s="26"/>
      <c r="F36" s="132"/>
      <c r="G36" s="25"/>
      <c r="H36" s="26"/>
      <c r="I36" s="132">
        <v>2.1890000000000001</v>
      </c>
      <c r="J36" s="25"/>
      <c r="K36" s="26"/>
      <c r="L36" s="132">
        <v>2.6139999999999999</v>
      </c>
      <c r="M36" s="25"/>
      <c r="N36" s="26"/>
      <c r="O36" s="132">
        <v>3.347</v>
      </c>
      <c r="P36" s="25">
        <v>3.7629999999999999</v>
      </c>
      <c r="Q36" s="26">
        <f t="shared" si="237"/>
        <v>3.8050000000000002</v>
      </c>
      <c r="R36" s="132">
        <v>3.8050000000000002</v>
      </c>
      <c r="S36" s="25">
        <v>4.6580000000000004</v>
      </c>
      <c r="T36" s="26">
        <f t="shared" si="238"/>
        <v>6.4390000000000001</v>
      </c>
      <c r="U36" s="132">
        <v>6.4390000000000001</v>
      </c>
      <c r="V36" s="140">
        <f t="shared" ref="V36" si="291">+U36</f>
        <v>6.4390000000000001</v>
      </c>
      <c r="W36" s="142">
        <f t="shared" si="240"/>
        <v>6.4390000000000001</v>
      </c>
      <c r="X36" s="146">
        <f t="shared" ref="X36" si="292">+V36</f>
        <v>6.4390000000000001</v>
      </c>
      <c r="Y36" s="140">
        <f t="shared" ref="Y36" si="293">+X36</f>
        <v>6.4390000000000001</v>
      </c>
      <c r="Z36" s="142">
        <f t="shared" si="243"/>
        <v>6.4390000000000001</v>
      </c>
      <c r="AA36" s="146">
        <f t="shared" ref="AA36" si="294">+Y36</f>
        <v>6.4390000000000001</v>
      </c>
      <c r="AB36" s="140">
        <f t="shared" ref="AB36" si="295">+AA36</f>
        <v>6.4390000000000001</v>
      </c>
      <c r="AC36" s="142">
        <f t="shared" si="246"/>
        <v>6.4390000000000001</v>
      </c>
      <c r="AD36" s="146">
        <f t="shared" ref="AD36" si="296">+AB36</f>
        <v>6.4390000000000001</v>
      </c>
      <c r="AE36" s="140">
        <f t="shared" ref="AE36" si="297">+AD36</f>
        <v>6.4390000000000001</v>
      </c>
      <c r="AF36" s="142">
        <f t="shared" si="249"/>
        <v>6.4390000000000001</v>
      </c>
      <c r="AG36" s="146">
        <f t="shared" ref="AG36" si="298">+AE36</f>
        <v>6.4390000000000001</v>
      </c>
      <c r="AH36" s="140">
        <f t="shared" ref="AH36" si="299">+AG36</f>
        <v>6.4390000000000001</v>
      </c>
      <c r="AI36" s="142">
        <f t="shared" si="252"/>
        <v>6.4390000000000001</v>
      </c>
      <c r="AJ36" s="146">
        <f t="shared" ref="AJ36" si="300">+AH36</f>
        <v>6.4390000000000001</v>
      </c>
      <c r="AK36" s="140">
        <f t="shared" ref="AK36" si="301">+AJ36</f>
        <v>6.4390000000000001</v>
      </c>
      <c r="AL36" s="142">
        <f t="shared" si="255"/>
        <v>6.4390000000000001</v>
      </c>
      <c r="AM36" s="146">
        <f t="shared" ref="AM36" si="302">+AK36</f>
        <v>6.4390000000000001</v>
      </c>
      <c r="AN36" s="140">
        <f t="shared" ref="AN36" si="303">+AM36</f>
        <v>6.4390000000000001</v>
      </c>
      <c r="AO36" s="142">
        <f t="shared" si="258"/>
        <v>6.4390000000000001</v>
      </c>
      <c r="AP36" s="146">
        <f t="shared" ref="AP36" si="304">+AN36</f>
        <v>6.4390000000000001</v>
      </c>
      <c r="AQ36" s="140">
        <f t="shared" ref="AQ36" si="305">+AP36</f>
        <v>6.4390000000000001</v>
      </c>
      <c r="AR36" s="142">
        <f t="shared" si="261"/>
        <v>6.4390000000000001</v>
      </c>
      <c r="AS36" s="146">
        <f t="shared" ref="AS36" si="306">+AQ36</f>
        <v>6.4390000000000001</v>
      </c>
      <c r="AT36" s="140">
        <f t="shared" ref="AT36" si="307">+AS36</f>
        <v>6.4390000000000001</v>
      </c>
      <c r="AU36" s="142">
        <f t="shared" si="264"/>
        <v>6.4390000000000001</v>
      </c>
      <c r="AV36" s="146">
        <f t="shared" ref="AV36" si="308">+AT36</f>
        <v>6.4390000000000001</v>
      </c>
      <c r="AW36" s="140">
        <f t="shared" ref="AW36" si="309">+AV36</f>
        <v>6.4390000000000001</v>
      </c>
      <c r="AX36" s="142">
        <f t="shared" si="267"/>
        <v>6.4390000000000001</v>
      </c>
      <c r="AY36" s="146">
        <f t="shared" ref="AY36" si="310">+AW36</f>
        <v>6.4390000000000001</v>
      </c>
    </row>
    <row r="37" spans="1:51" s="24" customFormat="1" ht="12" customHeight="1" x14ac:dyDescent="0.2">
      <c r="A37" s="6"/>
      <c r="B37" s="49" t="s">
        <v>156</v>
      </c>
      <c r="C37" s="46"/>
      <c r="D37" s="47"/>
      <c r="E37" s="47"/>
      <c r="F37" s="48"/>
      <c r="G37" s="47"/>
      <c r="H37" s="47"/>
      <c r="I37" s="48">
        <f>SUM(I33:I36)</f>
        <v>104.334</v>
      </c>
      <c r="J37" s="47"/>
      <c r="K37" s="47"/>
      <c r="L37" s="48">
        <f>SUM(L33:L36)</f>
        <v>114.27700000000002</v>
      </c>
      <c r="M37" s="47"/>
      <c r="N37" s="47"/>
      <c r="O37" s="48">
        <f t="shared" ref="O37:R37" si="311">SUM(O33:O36)</f>
        <v>170.07599999999999</v>
      </c>
      <c r="P37" s="47">
        <f t="shared" si="311"/>
        <v>197.042</v>
      </c>
      <c r="Q37" s="47">
        <f t="shared" si="311"/>
        <v>223.53100000000001</v>
      </c>
      <c r="R37" s="48">
        <f t="shared" si="311"/>
        <v>223.53100000000001</v>
      </c>
      <c r="S37" s="47">
        <f t="shared" ref="S37:U37" si="312">SUM(S33:S36)</f>
        <v>261.625</v>
      </c>
      <c r="T37" s="47">
        <f t="shared" si="312"/>
        <v>317.03399999999999</v>
      </c>
      <c r="U37" s="48">
        <f t="shared" si="312"/>
        <v>317.03399999999999</v>
      </c>
      <c r="V37" s="47">
        <f t="shared" ref="V37:AY37" si="313">SUM(V33:V36)</f>
        <v>321.03656999999998</v>
      </c>
      <c r="W37" s="47">
        <f t="shared" si="313"/>
        <v>326.62417512499997</v>
      </c>
      <c r="X37" s="48">
        <f t="shared" si="313"/>
        <v>326.62417512499997</v>
      </c>
      <c r="Y37" s="47">
        <f t="shared" si="313"/>
        <v>330.68893916062495</v>
      </c>
      <c r="Z37" s="47">
        <f t="shared" si="313"/>
        <v>336.43738606490314</v>
      </c>
      <c r="AA37" s="48">
        <f t="shared" si="313"/>
        <v>336.43738606490314</v>
      </c>
      <c r="AB37" s="47">
        <f t="shared" si="313"/>
        <v>340.52682936666986</v>
      </c>
      <c r="AC37" s="47">
        <f t="shared" si="313"/>
        <v>346.40241661913376</v>
      </c>
      <c r="AD37" s="48">
        <f t="shared" si="313"/>
        <v>346.40241661913376</v>
      </c>
      <c r="AE37" s="47">
        <f t="shared" si="313"/>
        <v>350.4687355794789</v>
      </c>
      <c r="AF37" s="47">
        <f t="shared" si="313"/>
        <v>356.42712351675374</v>
      </c>
      <c r="AG37" s="48">
        <f t="shared" si="313"/>
        <v>356.42712351675374</v>
      </c>
      <c r="AH37" s="47">
        <f t="shared" si="313"/>
        <v>360.41012922947544</v>
      </c>
      <c r="AI37" s="47">
        <f t="shared" si="313"/>
        <v>366.39410468297649</v>
      </c>
      <c r="AJ37" s="48">
        <f t="shared" si="313"/>
        <v>366.39410468297649</v>
      </c>
      <c r="AK37" s="47">
        <f t="shared" si="313"/>
        <v>370.21873446086192</v>
      </c>
      <c r="AL37" s="47">
        <f t="shared" si="313"/>
        <v>376.15555309420546</v>
      </c>
      <c r="AM37" s="48">
        <f t="shared" si="313"/>
        <v>376.15555309420546</v>
      </c>
      <c r="AN37" s="47">
        <f t="shared" si="313"/>
        <v>379.7289189530328</v>
      </c>
      <c r="AO37" s="47">
        <f t="shared" si="313"/>
        <v>385.52714838352364</v>
      </c>
      <c r="AP37" s="48">
        <f t="shared" si="313"/>
        <v>385.52714838352364</v>
      </c>
      <c r="AQ37" s="47">
        <f t="shared" si="313"/>
        <v>388.73503878037957</v>
      </c>
      <c r="AR37" s="47">
        <f t="shared" si="313"/>
        <v>394.28081189515603</v>
      </c>
      <c r="AS37" s="48">
        <f t="shared" si="313"/>
        <v>394.28081189515603</v>
      </c>
      <c r="AT37" s="47">
        <f t="shared" si="313"/>
        <v>396.98354804931989</v>
      </c>
      <c r="AU37" s="47">
        <f t="shared" si="313"/>
        <v>402.13611971333967</v>
      </c>
      <c r="AV37" s="48">
        <f t="shared" si="313"/>
        <v>402.13611971333967</v>
      </c>
      <c r="AW37" s="47">
        <f t="shared" si="313"/>
        <v>404.16365021777983</v>
      </c>
      <c r="AX37" s="47">
        <f t="shared" si="313"/>
        <v>408.75013147210575</v>
      </c>
      <c r="AY37" s="48">
        <f t="shared" si="313"/>
        <v>408.75013147210575</v>
      </c>
    </row>
    <row r="38" spans="1:51" x14ac:dyDescent="0.2">
      <c r="A38" s="6"/>
      <c r="B38" s="6"/>
      <c r="D38" s="6"/>
      <c r="E38" s="6"/>
      <c r="F38" s="13"/>
      <c r="G38" s="6"/>
      <c r="H38" s="6"/>
      <c r="I38" s="13"/>
      <c r="J38" s="6"/>
      <c r="K38" s="6"/>
      <c r="L38" s="13"/>
      <c r="M38" s="6"/>
      <c r="N38" s="6"/>
      <c r="O38" s="13"/>
      <c r="P38" s="6"/>
      <c r="Q38" s="6"/>
      <c r="R38" s="13"/>
      <c r="S38" s="6"/>
      <c r="T38" s="6"/>
      <c r="U38" s="13"/>
      <c r="V38" s="6"/>
      <c r="W38" s="6"/>
      <c r="X38" s="13"/>
      <c r="Y38" s="6"/>
      <c r="Z38" s="6"/>
      <c r="AA38" s="13"/>
      <c r="AB38" s="6"/>
      <c r="AC38" s="6"/>
      <c r="AD38" s="13"/>
      <c r="AE38" s="6"/>
      <c r="AF38" s="6"/>
      <c r="AG38" s="13"/>
      <c r="AH38" s="6"/>
      <c r="AI38" s="6"/>
      <c r="AJ38" s="13"/>
      <c r="AK38" s="6"/>
      <c r="AL38" s="6"/>
      <c r="AM38" s="13"/>
      <c r="AN38" s="6"/>
      <c r="AO38" s="6"/>
      <c r="AP38" s="13"/>
      <c r="AQ38" s="6"/>
      <c r="AR38" s="6"/>
      <c r="AS38" s="13"/>
      <c r="AT38" s="6"/>
      <c r="AU38" s="6"/>
      <c r="AV38" s="13"/>
      <c r="AW38" s="6"/>
      <c r="AX38" s="6"/>
      <c r="AY38" s="13"/>
    </row>
    <row r="39" spans="1:51" s="24" customFormat="1" ht="12" customHeight="1" x14ac:dyDescent="0.2">
      <c r="A39" s="6"/>
      <c r="B39" s="28" t="s">
        <v>92</v>
      </c>
      <c r="C39" s="29"/>
      <c r="D39" s="31"/>
      <c r="E39" s="39"/>
      <c r="F39" s="30"/>
      <c r="G39" s="31"/>
      <c r="H39" s="39"/>
      <c r="I39" s="30">
        <f>+I37+I31</f>
        <v>144.05799999999999</v>
      </c>
      <c r="J39" s="31"/>
      <c r="K39" s="39"/>
      <c r="L39" s="30">
        <f>+L37+L31</f>
        <v>167.33</v>
      </c>
      <c r="M39" s="31"/>
      <c r="N39" s="39"/>
      <c r="O39" s="30">
        <f t="shared" ref="O39:AJ39" si="314">+O37+O31</f>
        <v>236.54199999999997</v>
      </c>
      <c r="P39" s="31">
        <f t="shared" si="314"/>
        <v>256.529</v>
      </c>
      <c r="Q39" s="39">
        <f t="shared" si="314"/>
        <v>307.81799999999998</v>
      </c>
      <c r="R39" s="30">
        <f t="shared" si="314"/>
        <v>307.81799999999998</v>
      </c>
      <c r="S39" s="31">
        <f t="shared" ref="S39:U39" si="315">+S37+S31</f>
        <v>327.33600000000001</v>
      </c>
      <c r="T39" s="39">
        <f t="shared" si="315"/>
        <v>403.07400000000001</v>
      </c>
      <c r="U39" s="30">
        <f t="shared" si="315"/>
        <v>403.07400000000001</v>
      </c>
      <c r="V39" s="31">
        <f t="shared" si="314"/>
        <v>415.22594123382237</v>
      </c>
      <c r="W39" s="39">
        <f t="shared" si="314"/>
        <v>421.92683918193364</v>
      </c>
      <c r="X39" s="30">
        <f t="shared" si="314"/>
        <v>421.92683918193364</v>
      </c>
      <c r="Y39" s="31">
        <f t="shared" si="314"/>
        <v>433.24785657266574</v>
      </c>
      <c r="Z39" s="39">
        <f t="shared" si="314"/>
        <v>440.0562533522014</v>
      </c>
      <c r="AA39" s="30">
        <f t="shared" si="314"/>
        <v>440.0562533522014</v>
      </c>
      <c r="AB39" s="31">
        <f t="shared" si="314"/>
        <v>451.59758928038548</v>
      </c>
      <c r="AC39" s="39">
        <f t="shared" si="314"/>
        <v>458.42011481421218</v>
      </c>
      <c r="AD39" s="30">
        <f t="shared" si="314"/>
        <v>458.42011481421218</v>
      </c>
      <c r="AE39" s="31">
        <f t="shared" si="314"/>
        <v>469.70571313898529</v>
      </c>
      <c r="AF39" s="39">
        <f t="shared" si="314"/>
        <v>476.56550637867815</v>
      </c>
      <c r="AG39" s="30">
        <f t="shared" si="314"/>
        <v>476.56550637867815</v>
      </c>
      <c r="AH39" s="31">
        <f t="shared" si="314"/>
        <v>488.14368328456408</v>
      </c>
      <c r="AI39" s="39">
        <f t="shared" si="314"/>
        <v>494.98236724831327</v>
      </c>
      <c r="AJ39" s="30">
        <f t="shared" si="314"/>
        <v>494.98236724831327</v>
      </c>
      <c r="AK39" s="31">
        <f t="shared" ref="AK39:AM39" si="316">+AK37+AK31</f>
        <v>508.80382458601133</v>
      </c>
      <c r="AL39" s="39">
        <f t="shared" si="316"/>
        <v>515.3155917964109</v>
      </c>
      <c r="AM39" s="30">
        <f t="shared" si="316"/>
        <v>515.3155917964109</v>
      </c>
      <c r="AN39" s="31">
        <f t="shared" ref="AN39:AP39" si="317">+AN37+AN31</f>
        <v>528.91628824480642</v>
      </c>
      <c r="AO39" s="39">
        <f t="shared" si="317"/>
        <v>535.21497049764253</v>
      </c>
      <c r="AP39" s="30">
        <f t="shared" si="317"/>
        <v>535.21497049764253</v>
      </c>
      <c r="AQ39" s="31">
        <f t="shared" ref="AQ39:AS39" si="318">+AQ37+AQ31</f>
        <v>549.16274227896611</v>
      </c>
      <c r="AR39" s="39">
        <f t="shared" si="318"/>
        <v>555.1294638229657</v>
      </c>
      <c r="AS39" s="30">
        <f t="shared" si="318"/>
        <v>555.1294638229657</v>
      </c>
      <c r="AT39" s="31">
        <f t="shared" ref="AT39:AV39" si="319">+AT37+AT31</f>
        <v>569.32558729552386</v>
      </c>
      <c r="AU39" s="39">
        <f t="shared" si="319"/>
        <v>574.81434900516797</v>
      </c>
      <c r="AV39" s="30">
        <f t="shared" si="319"/>
        <v>574.81434900516797</v>
      </c>
      <c r="AW39" s="31">
        <f t="shared" ref="AW39:AY39" si="320">+AW37+AW31</f>
        <v>589.13202210949964</v>
      </c>
      <c r="AX39" s="39">
        <f t="shared" si="320"/>
        <v>593.96444489546741</v>
      </c>
      <c r="AY39" s="30">
        <f t="shared" si="320"/>
        <v>593.96444489546741</v>
      </c>
    </row>
    <row r="40" spans="1:51" x14ac:dyDescent="0.2">
      <c r="A40" s="6"/>
      <c r="B40" s="6"/>
      <c r="D40" s="6"/>
      <c r="E40" s="6"/>
      <c r="F40" s="13"/>
      <c r="G40" s="6"/>
      <c r="H40" s="6"/>
      <c r="I40" s="13"/>
      <c r="J40" s="6"/>
      <c r="K40" s="6"/>
      <c r="L40" s="13"/>
      <c r="M40" s="6"/>
      <c r="N40" s="6"/>
      <c r="O40" s="13"/>
      <c r="P40" s="6"/>
      <c r="Q40" s="6"/>
      <c r="R40" s="13"/>
      <c r="S40" s="6"/>
      <c r="T40" s="6"/>
      <c r="U40" s="13"/>
      <c r="V40" s="6"/>
      <c r="W40" s="6"/>
      <c r="X40" s="13"/>
      <c r="Y40" s="6"/>
      <c r="Z40" s="6"/>
      <c r="AA40" s="13"/>
      <c r="AB40" s="6"/>
      <c r="AC40" s="6"/>
      <c r="AD40" s="13"/>
      <c r="AE40" s="6"/>
      <c r="AF40" s="6"/>
      <c r="AG40" s="13"/>
      <c r="AH40" s="6"/>
      <c r="AI40" s="6"/>
      <c r="AJ40" s="13"/>
      <c r="AK40" s="6"/>
      <c r="AL40" s="6"/>
      <c r="AM40" s="13"/>
      <c r="AN40" s="6"/>
      <c r="AO40" s="6"/>
      <c r="AP40" s="13"/>
      <c r="AQ40" s="6"/>
      <c r="AR40" s="6"/>
      <c r="AS40" s="13"/>
      <c r="AT40" s="6"/>
      <c r="AU40" s="6"/>
      <c r="AV40" s="13"/>
      <c r="AW40" s="6"/>
      <c r="AX40" s="6"/>
      <c r="AY40" s="13"/>
    </row>
    <row r="41" spans="1:51" s="24" customFormat="1" ht="12" customHeight="1" x14ac:dyDescent="0.2">
      <c r="A41" s="6"/>
      <c r="B41" s="34" t="s">
        <v>93</v>
      </c>
      <c r="C41" s="35"/>
      <c r="D41" s="147"/>
      <c r="E41" s="147"/>
      <c r="F41" s="148"/>
      <c r="G41" s="147"/>
      <c r="H41" s="147"/>
      <c r="I41" s="148">
        <f>+I23-I39</f>
        <v>66.323000000000008</v>
      </c>
      <c r="J41" s="147"/>
      <c r="K41" s="147"/>
      <c r="L41" s="148">
        <f>+L23-L39</f>
        <v>81.09899999999999</v>
      </c>
      <c r="M41" s="147"/>
      <c r="N41" s="147"/>
      <c r="O41" s="148">
        <f t="shared" ref="O41:AJ41" si="321">+O23-O39</f>
        <v>87.965000000000032</v>
      </c>
      <c r="P41" s="147">
        <f t="shared" si="321"/>
        <v>73.98500000000007</v>
      </c>
      <c r="Q41" s="147">
        <f t="shared" si="321"/>
        <v>353.97900000000004</v>
      </c>
      <c r="R41" s="148">
        <f t="shared" si="321"/>
        <v>353.97900000000004</v>
      </c>
      <c r="S41" s="147">
        <f t="shared" ref="S41:U41" si="322">+S23-S39</f>
        <v>367.63300000000004</v>
      </c>
      <c r="T41" s="147">
        <f t="shared" si="322"/>
        <v>380.12399999999997</v>
      </c>
      <c r="U41" s="148">
        <f t="shared" si="322"/>
        <v>380.12399999999997</v>
      </c>
      <c r="V41" s="147">
        <f t="shared" si="321"/>
        <v>391.02805770324312</v>
      </c>
      <c r="W41" s="147">
        <f t="shared" si="321"/>
        <v>400.91091522826201</v>
      </c>
      <c r="X41" s="148">
        <f t="shared" si="321"/>
        <v>400.91091522826201</v>
      </c>
      <c r="Y41" s="147">
        <f t="shared" si="321"/>
        <v>417.89531461836174</v>
      </c>
      <c r="Z41" s="147">
        <f t="shared" si="321"/>
        <v>432.85922826031737</v>
      </c>
      <c r="AA41" s="148">
        <f t="shared" si="321"/>
        <v>432.85922826031737</v>
      </c>
      <c r="AB41" s="147">
        <f t="shared" si="321"/>
        <v>457.60134371069921</v>
      </c>
      <c r="AC41" s="147">
        <f t="shared" si="321"/>
        <v>482.1448231202171</v>
      </c>
      <c r="AD41" s="148">
        <f t="shared" si="321"/>
        <v>482.1448231202171</v>
      </c>
      <c r="AE41" s="147">
        <f t="shared" si="321"/>
        <v>517.11191467883634</v>
      </c>
      <c r="AF41" s="147">
        <f t="shared" si="321"/>
        <v>551.81350942502274</v>
      </c>
      <c r="AG41" s="148">
        <f t="shared" si="321"/>
        <v>551.81350942502274</v>
      </c>
      <c r="AH41" s="147">
        <f t="shared" si="321"/>
        <v>598.96823665008128</v>
      </c>
      <c r="AI41" s="147">
        <f t="shared" si="321"/>
        <v>644.50524732868894</v>
      </c>
      <c r="AJ41" s="148">
        <f t="shared" si="321"/>
        <v>644.50524732868894</v>
      </c>
      <c r="AK41" s="147">
        <f t="shared" ref="AK41:AM41" si="323">+AK23-AK39</f>
        <v>698.08672100609056</v>
      </c>
      <c r="AL41" s="147">
        <f t="shared" si="323"/>
        <v>751.18691112596889</v>
      </c>
      <c r="AM41" s="148">
        <f t="shared" si="323"/>
        <v>751.18691112596889</v>
      </c>
      <c r="AN41" s="147">
        <f t="shared" ref="AN41:AP41" si="324">+AN23-AN39</f>
        <v>814.92911782931003</v>
      </c>
      <c r="AO41" s="147">
        <f t="shared" si="324"/>
        <v>877.95337062062436</v>
      </c>
      <c r="AP41" s="148">
        <f t="shared" si="324"/>
        <v>877.95337062062436</v>
      </c>
      <c r="AQ41" s="147">
        <f t="shared" ref="AQ41:AS41" si="325">+AQ23-AQ39</f>
        <v>952.91903271062051</v>
      </c>
      <c r="AR41" s="147">
        <f t="shared" si="325"/>
        <v>1026.9117540815</v>
      </c>
      <c r="AS41" s="148">
        <f t="shared" si="325"/>
        <v>1026.9117540815</v>
      </c>
      <c r="AT41" s="147">
        <f t="shared" ref="AT41:AV41" si="326">+AT23-AT39</f>
        <v>1114.2247377129574</v>
      </c>
      <c r="AU41" s="147">
        <f t="shared" si="326"/>
        <v>1200.2845455567101</v>
      </c>
      <c r="AV41" s="148">
        <f t="shared" si="326"/>
        <v>1200.2845455567101</v>
      </c>
      <c r="AW41" s="147">
        <f t="shared" ref="AW41:AY41" si="327">+AW23-AW39</f>
        <v>1301.1292385566121</v>
      </c>
      <c r="AX41" s="147">
        <f t="shared" si="327"/>
        <v>1400.4158704247029</v>
      </c>
      <c r="AY41" s="148">
        <f t="shared" si="327"/>
        <v>1400.4158704247029</v>
      </c>
    </row>
    <row r="42" spans="1:51" x14ac:dyDescent="0.2">
      <c r="A42" s="6"/>
      <c r="B42" s="6"/>
      <c r="D42" s="6"/>
      <c r="E42" s="6"/>
      <c r="F42" s="13"/>
      <c r="G42" s="6"/>
      <c r="H42" s="6"/>
      <c r="I42" s="13"/>
      <c r="J42" s="6"/>
      <c r="K42" s="6"/>
      <c r="L42" s="13"/>
      <c r="M42" s="6"/>
      <c r="N42" s="6"/>
      <c r="O42" s="13"/>
      <c r="P42" s="6"/>
      <c r="Q42" s="6"/>
      <c r="R42" s="13"/>
      <c r="S42" s="6"/>
      <c r="T42" s="6"/>
      <c r="U42" s="13"/>
      <c r="V42" s="6"/>
      <c r="W42" s="6"/>
      <c r="X42" s="13"/>
      <c r="Y42" s="6"/>
      <c r="Z42" s="6"/>
      <c r="AA42" s="13"/>
      <c r="AB42" s="6"/>
      <c r="AC42" s="6"/>
      <c r="AD42" s="13"/>
      <c r="AE42" s="6"/>
      <c r="AF42" s="6"/>
      <c r="AG42" s="13"/>
      <c r="AH42" s="6"/>
      <c r="AI42" s="6"/>
      <c r="AJ42" s="13"/>
      <c r="AK42" s="6"/>
      <c r="AL42" s="6"/>
      <c r="AM42" s="13"/>
      <c r="AN42" s="6"/>
      <c r="AO42" s="6"/>
      <c r="AP42" s="13"/>
      <c r="AQ42" s="6"/>
      <c r="AR42" s="6"/>
      <c r="AS42" s="13"/>
      <c r="AT42" s="6"/>
      <c r="AU42" s="6"/>
      <c r="AV42" s="13"/>
      <c r="AW42" s="6"/>
      <c r="AX42" s="6"/>
      <c r="AY42" s="13"/>
    </row>
    <row r="43" spans="1:51" s="24" customFormat="1" ht="12" customHeight="1" x14ac:dyDescent="0.2">
      <c r="A43" s="6"/>
      <c r="B43" s="23" t="s">
        <v>354</v>
      </c>
      <c r="C43" s="23"/>
      <c r="D43" s="25"/>
      <c r="E43" s="26"/>
      <c r="F43" s="132"/>
      <c r="G43" s="25"/>
      <c r="H43" s="26"/>
      <c r="I43" s="132">
        <v>90.254999999999995</v>
      </c>
      <c r="J43" s="25"/>
      <c r="K43" s="26"/>
      <c r="L43" s="132">
        <v>99.162999999999997</v>
      </c>
      <c r="M43" s="25"/>
      <c r="N43" s="26"/>
      <c r="O43" s="132">
        <v>104.04600000000001</v>
      </c>
      <c r="P43" s="25">
        <v>88.295000000000002</v>
      </c>
      <c r="Q43" s="26">
        <f t="shared" ref="Q43:Q45" si="328">+R43</f>
        <v>372.70800000000003</v>
      </c>
      <c r="R43" s="132">
        <v>372.70800000000003</v>
      </c>
      <c r="S43" s="25">
        <v>373.59300000000002</v>
      </c>
      <c r="T43" s="26">
        <f t="shared" ref="T43:T45" si="329">+U43</f>
        <v>374.988</v>
      </c>
      <c r="U43" s="132">
        <v>374.988</v>
      </c>
      <c r="V43" s="140">
        <f t="shared" ref="V43:V44" si="330">+U43</f>
        <v>374.988</v>
      </c>
      <c r="W43" s="142">
        <f t="shared" ref="W43:W44" si="331">+X43</f>
        <v>374.988</v>
      </c>
      <c r="X43" s="146">
        <f t="shared" ref="X43:X44" si="332">+V43</f>
        <v>374.988</v>
      </c>
      <c r="Y43" s="140">
        <f t="shared" ref="Y43:Y44" si="333">+X43</f>
        <v>374.988</v>
      </c>
      <c r="Z43" s="142">
        <f t="shared" ref="Z43:Z44" si="334">+AA43</f>
        <v>374.988</v>
      </c>
      <c r="AA43" s="146">
        <f t="shared" ref="AA43:AA44" si="335">+Y43</f>
        <v>374.988</v>
      </c>
      <c r="AB43" s="140">
        <f t="shared" ref="AB43:AB44" si="336">+AA43</f>
        <v>374.988</v>
      </c>
      <c r="AC43" s="142">
        <f t="shared" ref="AC43:AC44" si="337">+AD43</f>
        <v>374.988</v>
      </c>
      <c r="AD43" s="146">
        <f t="shared" ref="AD43:AD44" si="338">+AB43</f>
        <v>374.988</v>
      </c>
      <c r="AE43" s="140">
        <f t="shared" ref="AE43:AE44" si="339">+AD43</f>
        <v>374.988</v>
      </c>
      <c r="AF43" s="142">
        <f t="shared" ref="AF43:AF44" si="340">+AG43</f>
        <v>374.988</v>
      </c>
      <c r="AG43" s="146">
        <f t="shared" ref="AG43:AG44" si="341">+AE43</f>
        <v>374.988</v>
      </c>
      <c r="AH43" s="140">
        <f t="shared" ref="AH43:AH44" si="342">+AG43</f>
        <v>374.988</v>
      </c>
      <c r="AI43" s="142">
        <f t="shared" ref="AI43:AI44" si="343">+AJ43</f>
        <v>374.988</v>
      </c>
      <c r="AJ43" s="146">
        <f t="shared" ref="AJ43:AJ44" si="344">+AH43</f>
        <v>374.988</v>
      </c>
      <c r="AK43" s="140">
        <f t="shared" ref="AK43:AK44" si="345">+AJ43</f>
        <v>374.988</v>
      </c>
      <c r="AL43" s="142">
        <f t="shared" ref="AL43:AL44" si="346">+AM43</f>
        <v>374.988</v>
      </c>
      <c r="AM43" s="146">
        <f t="shared" ref="AM43:AM44" si="347">+AK43</f>
        <v>374.988</v>
      </c>
      <c r="AN43" s="140">
        <f t="shared" ref="AN43:AN44" si="348">+AM43</f>
        <v>374.988</v>
      </c>
      <c r="AO43" s="142">
        <f t="shared" ref="AO43:AO44" si="349">+AP43</f>
        <v>374.988</v>
      </c>
      <c r="AP43" s="146">
        <f t="shared" ref="AP43:AP44" si="350">+AN43</f>
        <v>374.988</v>
      </c>
      <c r="AQ43" s="140">
        <f t="shared" ref="AQ43:AQ44" si="351">+AP43</f>
        <v>374.988</v>
      </c>
      <c r="AR43" s="142">
        <f t="shared" ref="AR43:AR44" si="352">+AS43</f>
        <v>374.988</v>
      </c>
      <c r="AS43" s="146">
        <f t="shared" ref="AS43:AS44" si="353">+AQ43</f>
        <v>374.988</v>
      </c>
      <c r="AT43" s="140">
        <f t="shared" ref="AT43:AT44" si="354">+AS43</f>
        <v>374.988</v>
      </c>
      <c r="AU43" s="142">
        <f t="shared" ref="AU43:AU44" si="355">+AV43</f>
        <v>374.988</v>
      </c>
      <c r="AV43" s="146">
        <f t="shared" ref="AV43:AV44" si="356">+AT43</f>
        <v>374.988</v>
      </c>
      <c r="AW43" s="140">
        <f t="shared" ref="AW43:AW44" si="357">+AV43</f>
        <v>374.988</v>
      </c>
      <c r="AX43" s="142">
        <f t="shared" ref="AX43:AX44" si="358">+AY43</f>
        <v>374.988</v>
      </c>
      <c r="AY43" s="146">
        <f t="shared" ref="AY43:AY44" si="359">+AW43</f>
        <v>374.988</v>
      </c>
    </row>
    <row r="44" spans="1:51" s="24" customFormat="1" ht="12" customHeight="1" x14ac:dyDescent="0.2">
      <c r="A44" s="6"/>
      <c r="B44" s="23" t="s">
        <v>157</v>
      </c>
      <c r="C44" s="23"/>
      <c r="D44" s="25"/>
      <c r="E44" s="26"/>
      <c r="F44" s="132"/>
      <c r="G44" s="25"/>
      <c r="H44" s="26"/>
      <c r="I44" s="132">
        <v>4.569</v>
      </c>
      <c r="J44" s="25"/>
      <c r="K44" s="26"/>
      <c r="L44" s="132">
        <v>6.5259999999999998</v>
      </c>
      <c r="M44" s="25"/>
      <c r="N44" s="26"/>
      <c r="O44" s="132">
        <v>10.776</v>
      </c>
      <c r="P44" s="25">
        <v>16.507000000000001</v>
      </c>
      <c r="Q44" s="26">
        <f t="shared" si="328"/>
        <v>17.417999999999999</v>
      </c>
      <c r="R44" s="132">
        <v>17.417999999999999</v>
      </c>
      <c r="S44" s="25">
        <f>1.293+21.593</f>
        <v>22.885999999999999</v>
      </c>
      <c r="T44" s="26">
        <f t="shared" si="329"/>
        <v>26.806999999999999</v>
      </c>
      <c r="U44" s="132">
        <f>26.737+0.07</f>
        <v>26.806999999999999</v>
      </c>
      <c r="V44" s="140">
        <f t="shared" si="330"/>
        <v>26.806999999999999</v>
      </c>
      <c r="W44" s="142">
        <f t="shared" si="331"/>
        <v>26.806999999999999</v>
      </c>
      <c r="X44" s="146">
        <f t="shared" si="332"/>
        <v>26.806999999999999</v>
      </c>
      <c r="Y44" s="140">
        <f t="shared" si="333"/>
        <v>26.806999999999999</v>
      </c>
      <c r="Z44" s="142">
        <f t="shared" si="334"/>
        <v>26.806999999999999</v>
      </c>
      <c r="AA44" s="146">
        <f t="shared" si="335"/>
        <v>26.806999999999999</v>
      </c>
      <c r="AB44" s="140">
        <f t="shared" si="336"/>
        <v>26.806999999999999</v>
      </c>
      <c r="AC44" s="142">
        <f t="shared" si="337"/>
        <v>26.806999999999999</v>
      </c>
      <c r="AD44" s="146">
        <f t="shared" si="338"/>
        <v>26.806999999999999</v>
      </c>
      <c r="AE44" s="140">
        <f t="shared" si="339"/>
        <v>26.806999999999999</v>
      </c>
      <c r="AF44" s="142">
        <f t="shared" si="340"/>
        <v>26.806999999999999</v>
      </c>
      <c r="AG44" s="146">
        <f t="shared" si="341"/>
        <v>26.806999999999999</v>
      </c>
      <c r="AH44" s="140">
        <f t="shared" si="342"/>
        <v>26.806999999999999</v>
      </c>
      <c r="AI44" s="142">
        <f t="shared" si="343"/>
        <v>26.806999999999999</v>
      </c>
      <c r="AJ44" s="146">
        <f t="shared" si="344"/>
        <v>26.806999999999999</v>
      </c>
      <c r="AK44" s="140">
        <f t="shared" si="345"/>
        <v>26.806999999999999</v>
      </c>
      <c r="AL44" s="142">
        <f t="shared" si="346"/>
        <v>26.806999999999999</v>
      </c>
      <c r="AM44" s="146">
        <f t="shared" si="347"/>
        <v>26.806999999999999</v>
      </c>
      <c r="AN44" s="140">
        <f t="shared" si="348"/>
        <v>26.806999999999999</v>
      </c>
      <c r="AO44" s="142">
        <f t="shared" si="349"/>
        <v>26.806999999999999</v>
      </c>
      <c r="AP44" s="146">
        <f t="shared" si="350"/>
        <v>26.806999999999999</v>
      </c>
      <c r="AQ44" s="140">
        <f t="shared" si="351"/>
        <v>26.806999999999999</v>
      </c>
      <c r="AR44" s="142">
        <f t="shared" si="352"/>
        <v>26.806999999999999</v>
      </c>
      <c r="AS44" s="146">
        <f t="shared" si="353"/>
        <v>26.806999999999999</v>
      </c>
      <c r="AT44" s="140">
        <f t="shared" si="354"/>
        <v>26.806999999999999</v>
      </c>
      <c r="AU44" s="142">
        <f t="shared" si="355"/>
        <v>26.806999999999999</v>
      </c>
      <c r="AV44" s="146">
        <f t="shared" si="356"/>
        <v>26.806999999999999</v>
      </c>
      <c r="AW44" s="140">
        <f t="shared" si="357"/>
        <v>26.806999999999999</v>
      </c>
      <c r="AX44" s="142">
        <f t="shared" si="358"/>
        <v>26.806999999999999</v>
      </c>
      <c r="AY44" s="146">
        <f t="shared" si="359"/>
        <v>26.806999999999999</v>
      </c>
    </row>
    <row r="45" spans="1:51" s="24" customFormat="1" ht="12" customHeight="1" x14ac:dyDescent="0.2">
      <c r="A45" s="6"/>
      <c r="B45" s="23" t="s">
        <v>355</v>
      </c>
      <c r="C45" s="23"/>
      <c r="D45" s="25"/>
      <c r="E45" s="26"/>
      <c r="F45" s="132"/>
      <c r="G45" s="25"/>
      <c r="H45" s="26"/>
      <c r="I45" s="132">
        <v>-28.501000000000001</v>
      </c>
      <c r="J45" s="25"/>
      <c r="K45" s="26"/>
      <c r="L45" s="132">
        <v>-24.59</v>
      </c>
      <c r="M45" s="25"/>
      <c r="N45" s="26"/>
      <c r="O45" s="132">
        <v>-26.856999999999999</v>
      </c>
      <c r="P45" s="25">
        <v>-30.817</v>
      </c>
      <c r="Q45" s="26">
        <f t="shared" si="328"/>
        <v>-36.146999999999998</v>
      </c>
      <c r="R45" s="132">
        <v>-36.146999999999998</v>
      </c>
      <c r="S45" s="25">
        <v>-28.846</v>
      </c>
      <c r="T45" s="26">
        <f t="shared" si="329"/>
        <v>-21.670999999999999</v>
      </c>
      <c r="U45" s="132">
        <v>-21.670999999999999</v>
      </c>
      <c r="V45" s="142">
        <f>+V164</f>
        <v>-10.766942296756902</v>
      </c>
      <c r="W45" s="142">
        <f t="shared" ref="W45" si="360">+X45</f>
        <v>-0.88408477173805977</v>
      </c>
      <c r="X45" s="143">
        <f>+X164</f>
        <v>-0.88408477173805977</v>
      </c>
      <c r="Y45" s="142">
        <f>+Y164</f>
        <v>16.100314618361775</v>
      </c>
      <c r="Z45" s="142">
        <f t="shared" ref="Z45" si="361">+AA45</f>
        <v>31.064228260317339</v>
      </c>
      <c r="AA45" s="143">
        <f>+AA164</f>
        <v>31.064228260317339</v>
      </c>
      <c r="AB45" s="142">
        <f>+AB164</f>
        <v>55.806343710699295</v>
      </c>
      <c r="AC45" s="142">
        <f t="shared" ref="AC45" si="362">+AD45</f>
        <v>80.349823120217195</v>
      </c>
      <c r="AD45" s="143">
        <f>+AD164</f>
        <v>80.349823120217195</v>
      </c>
      <c r="AE45" s="142">
        <f>+AE164</f>
        <v>115.31691467883655</v>
      </c>
      <c r="AF45" s="142">
        <f t="shared" ref="AF45" si="363">+AG45</f>
        <v>150.01850942502281</v>
      </c>
      <c r="AG45" s="143">
        <f>+AG164</f>
        <v>150.01850942502281</v>
      </c>
      <c r="AH45" s="142">
        <f>+AH164</f>
        <v>197.17323665008121</v>
      </c>
      <c r="AI45" s="142">
        <f t="shared" ref="AI45" si="364">+AJ45</f>
        <v>242.71024732868912</v>
      </c>
      <c r="AJ45" s="143">
        <f>+AJ164</f>
        <v>242.71024732868912</v>
      </c>
      <c r="AK45" s="142">
        <f>+AK164</f>
        <v>296.29172100609071</v>
      </c>
      <c r="AL45" s="142">
        <f t="shared" ref="AL45" si="365">+AM45</f>
        <v>349.39191112596916</v>
      </c>
      <c r="AM45" s="143">
        <f>+AM164</f>
        <v>349.39191112596916</v>
      </c>
      <c r="AN45" s="142">
        <f>+AN164</f>
        <v>413.13411782931018</v>
      </c>
      <c r="AO45" s="142">
        <f t="shared" ref="AO45" si="366">+AP45</f>
        <v>476.15837062062462</v>
      </c>
      <c r="AP45" s="143">
        <f>+AP164</f>
        <v>476.15837062062462</v>
      </c>
      <c r="AQ45" s="142">
        <f>+AQ164</f>
        <v>551.12403271062067</v>
      </c>
      <c r="AR45" s="142">
        <f t="shared" ref="AR45" si="367">+AS45</f>
        <v>625.1167540815004</v>
      </c>
      <c r="AS45" s="143">
        <f>+AS164</f>
        <v>625.1167540815004</v>
      </c>
      <c r="AT45" s="142">
        <f>+AT164</f>
        <v>712.4297377129576</v>
      </c>
      <c r="AU45" s="142">
        <f t="shared" ref="AU45" si="368">+AV45</f>
        <v>798.48954555671037</v>
      </c>
      <c r="AV45" s="143">
        <f>+AV164</f>
        <v>798.48954555671037</v>
      </c>
      <c r="AW45" s="142">
        <f>+AW164</f>
        <v>899.33423855661226</v>
      </c>
      <c r="AX45" s="142">
        <f t="shared" ref="AX45" si="369">+AY45</f>
        <v>998.62087042470284</v>
      </c>
      <c r="AY45" s="143">
        <f>+AY164</f>
        <v>998.62087042470284</v>
      </c>
    </row>
    <row r="46" spans="1:51" s="24" customFormat="1" ht="12" customHeight="1" x14ac:dyDescent="0.2">
      <c r="A46" s="6"/>
      <c r="B46" s="34" t="s">
        <v>159</v>
      </c>
      <c r="C46" s="35"/>
      <c r="D46" s="147"/>
      <c r="E46" s="147"/>
      <c r="F46" s="148"/>
      <c r="G46" s="147"/>
      <c r="H46" s="147"/>
      <c r="I46" s="148">
        <f t="shared" ref="I46:AJ46" si="370">SUM(I43:I45)</f>
        <v>66.322999999999993</v>
      </c>
      <c r="J46" s="147"/>
      <c r="K46" s="147"/>
      <c r="L46" s="148">
        <f t="shared" si="370"/>
        <v>81.09899999999999</v>
      </c>
      <c r="M46" s="147"/>
      <c r="N46" s="147"/>
      <c r="O46" s="148">
        <f t="shared" si="370"/>
        <v>87.965000000000003</v>
      </c>
      <c r="P46" s="147">
        <f t="shared" si="370"/>
        <v>73.985000000000014</v>
      </c>
      <c r="Q46" s="147">
        <f t="shared" ref="Q46" si="371">SUM(Q43:Q45)</f>
        <v>353.97900000000004</v>
      </c>
      <c r="R46" s="148">
        <f t="shared" si="370"/>
        <v>353.97900000000004</v>
      </c>
      <c r="S46" s="147">
        <f t="shared" ref="S46:T46" si="372">SUM(S43:S45)</f>
        <v>367.63300000000004</v>
      </c>
      <c r="T46" s="147">
        <f t="shared" si="372"/>
        <v>380.12400000000002</v>
      </c>
      <c r="U46" s="148">
        <f t="shared" ref="U46" si="373">SUM(U43:U45)</f>
        <v>380.12400000000002</v>
      </c>
      <c r="V46" s="198">
        <f t="shared" si="370"/>
        <v>391.02805770324312</v>
      </c>
      <c r="W46" s="198">
        <f t="shared" si="370"/>
        <v>400.91091522826196</v>
      </c>
      <c r="X46" s="199">
        <f t="shared" si="370"/>
        <v>400.91091522826196</v>
      </c>
      <c r="Y46" s="198">
        <f t="shared" si="370"/>
        <v>417.89531461836179</v>
      </c>
      <c r="Z46" s="198">
        <f t="shared" si="370"/>
        <v>432.85922826031737</v>
      </c>
      <c r="AA46" s="199">
        <f t="shared" si="370"/>
        <v>432.85922826031737</v>
      </c>
      <c r="AB46" s="198">
        <f t="shared" si="370"/>
        <v>457.60134371069933</v>
      </c>
      <c r="AC46" s="198">
        <f t="shared" si="370"/>
        <v>482.14482312021721</v>
      </c>
      <c r="AD46" s="199">
        <f t="shared" si="370"/>
        <v>482.14482312021721</v>
      </c>
      <c r="AE46" s="198">
        <f t="shared" si="370"/>
        <v>517.11191467883657</v>
      </c>
      <c r="AF46" s="198">
        <f t="shared" si="370"/>
        <v>551.81350942502286</v>
      </c>
      <c r="AG46" s="199">
        <f t="shared" si="370"/>
        <v>551.81350942502286</v>
      </c>
      <c r="AH46" s="198">
        <f t="shared" si="370"/>
        <v>598.96823665008128</v>
      </c>
      <c r="AI46" s="198">
        <f t="shared" si="370"/>
        <v>644.50524732868917</v>
      </c>
      <c r="AJ46" s="199">
        <f t="shared" si="370"/>
        <v>644.50524732868917</v>
      </c>
      <c r="AK46" s="198">
        <f t="shared" ref="AK46:AM46" si="374">SUM(AK43:AK45)</f>
        <v>698.08672100609078</v>
      </c>
      <c r="AL46" s="198">
        <f t="shared" si="374"/>
        <v>751.18691112596912</v>
      </c>
      <c r="AM46" s="199">
        <f t="shared" si="374"/>
        <v>751.18691112596912</v>
      </c>
      <c r="AN46" s="198">
        <f t="shared" ref="AN46:AP46" si="375">SUM(AN43:AN45)</f>
        <v>814.92911782931014</v>
      </c>
      <c r="AO46" s="198">
        <f t="shared" si="375"/>
        <v>877.95337062062458</v>
      </c>
      <c r="AP46" s="199">
        <f t="shared" si="375"/>
        <v>877.95337062062458</v>
      </c>
      <c r="AQ46" s="198">
        <f t="shared" ref="AQ46:AS46" si="376">SUM(AQ43:AQ45)</f>
        <v>952.91903271062074</v>
      </c>
      <c r="AR46" s="198">
        <f t="shared" si="376"/>
        <v>1026.9117540815005</v>
      </c>
      <c r="AS46" s="199">
        <f t="shared" si="376"/>
        <v>1026.9117540815005</v>
      </c>
      <c r="AT46" s="198">
        <f t="shared" ref="AT46:AV46" si="377">SUM(AT43:AT45)</f>
        <v>1114.2247377129577</v>
      </c>
      <c r="AU46" s="198">
        <f t="shared" si="377"/>
        <v>1200.2845455567103</v>
      </c>
      <c r="AV46" s="199">
        <f t="shared" si="377"/>
        <v>1200.2845455567103</v>
      </c>
      <c r="AW46" s="198">
        <f t="shared" ref="AW46:AY46" si="378">SUM(AW43:AW45)</f>
        <v>1301.1292385566123</v>
      </c>
      <c r="AX46" s="198">
        <f t="shared" si="378"/>
        <v>1400.4158704247029</v>
      </c>
      <c r="AY46" s="199">
        <f t="shared" si="378"/>
        <v>1400.4158704247029</v>
      </c>
    </row>
    <row r="47" spans="1:51" s="363" customFormat="1" ht="12" customHeight="1" x14ac:dyDescent="0.2">
      <c r="A47" s="8"/>
      <c r="B47" s="32" t="s">
        <v>11</v>
      </c>
      <c r="C47" s="32"/>
      <c r="D47" s="33"/>
      <c r="E47" s="33"/>
      <c r="F47" s="36"/>
      <c r="G47" s="33"/>
      <c r="H47" s="33"/>
      <c r="I47" s="36">
        <f t="shared" ref="I47:AJ47" si="379">ROUND(I41-I46,3)</f>
        <v>0</v>
      </c>
      <c r="J47" s="33"/>
      <c r="K47" s="33"/>
      <c r="L47" s="36">
        <f t="shared" si="379"/>
        <v>0</v>
      </c>
      <c r="M47" s="33"/>
      <c r="N47" s="33"/>
      <c r="O47" s="36">
        <f t="shared" si="379"/>
        <v>0</v>
      </c>
      <c r="P47" s="33">
        <f t="shared" si="379"/>
        <v>0</v>
      </c>
      <c r="Q47" s="33">
        <f>ROUND(Q41-Q46,5)</f>
        <v>0</v>
      </c>
      <c r="R47" s="36">
        <f>ROUND(R41-R46,3)</f>
        <v>0</v>
      </c>
      <c r="S47" s="33">
        <f t="shared" ref="S47" si="380">ROUND(S41-S46,3)</f>
        <v>0</v>
      </c>
      <c r="T47" s="33">
        <f>ROUND(T41-T46,5)</f>
        <v>0</v>
      </c>
      <c r="U47" s="36">
        <f>ROUND(U41-U46,3)</f>
        <v>0</v>
      </c>
      <c r="V47" s="361">
        <f t="shared" si="379"/>
        <v>0</v>
      </c>
      <c r="W47" s="361">
        <f t="shared" si="379"/>
        <v>0</v>
      </c>
      <c r="X47" s="362">
        <f t="shared" si="379"/>
        <v>0</v>
      </c>
      <c r="Y47" s="361">
        <f t="shared" si="379"/>
        <v>0</v>
      </c>
      <c r="Z47" s="361">
        <f t="shared" si="379"/>
        <v>0</v>
      </c>
      <c r="AA47" s="362">
        <f t="shared" si="379"/>
        <v>0</v>
      </c>
      <c r="AB47" s="361">
        <f t="shared" si="379"/>
        <v>0</v>
      </c>
      <c r="AC47" s="361">
        <f t="shared" si="379"/>
        <v>0</v>
      </c>
      <c r="AD47" s="362">
        <f t="shared" si="379"/>
        <v>0</v>
      </c>
      <c r="AE47" s="361">
        <f t="shared" si="379"/>
        <v>0</v>
      </c>
      <c r="AF47" s="361">
        <f t="shared" si="379"/>
        <v>0</v>
      </c>
      <c r="AG47" s="362">
        <f t="shared" si="379"/>
        <v>0</v>
      </c>
      <c r="AH47" s="361">
        <f t="shared" si="379"/>
        <v>0</v>
      </c>
      <c r="AI47" s="361">
        <f t="shared" si="379"/>
        <v>0</v>
      </c>
      <c r="AJ47" s="362">
        <f t="shared" si="379"/>
        <v>0</v>
      </c>
      <c r="AK47" s="361">
        <f t="shared" ref="AK47:AM47" si="381">ROUND(AK41-AK46,3)</f>
        <v>0</v>
      </c>
      <c r="AL47" s="361">
        <f t="shared" si="381"/>
        <v>0</v>
      </c>
      <c r="AM47" s="362">
        <f t="shared" si="381"/>
        <v>0</v>
      </c>
      <c r="AN47" s="361">
        <f t="shared" ref="AN47:AP47" si="382">ROUND(AN41-AN46,3)</f>
        <v>0</v>
      </c>
      <c r="AO47" s="361">
        <f t="shared" si="382"/>
        <v>0</v>
      </c>
      <c r="AP47" s="362">
        <f t="shared" si="382"/>
        <v>0</v>
      </c>
      <c r="AQ47" s="361">
        <f t="shared" ref="AQ47:AS47" si="383">ROUND(AQ41-AQ46,3)</f>
        <v>0</v>
      </c>
      <c r="AR47" s="361">
        <f t="shared" si="383"/>
        <v>0</v>
      </c>
      <c r="AS47" s="362">
        <f t="shared" si="383"/>
        <v>0</v>
      </c>
      <c r="AT47" s="361">
        <f t="shared" ref="AT47:AV47" si="384">ROUND(AT41-AT46,3)</f>
        <v>0</v>
      </c>
      <c r="AU47" s="361">
        <f t="shared" si="384"/>
        <v>0</v>
      </c>
      <c r="AV47" s="362">
        <f t="shared" si="384"/>
        <v>0</v>
      </c>
      <c r="AW47" s="361">
        <f t="shared" ref="AW47:AY47" si="385">ROUND(AW41-AW46,3)</f>
        <v>0</v>
      </c>
      <c r="AX47" s="361">
        <f t="shared" si="385"/>
        <v>0</v>
      </c>
      <c r="AY47" s="362">
        <f t="shared" si="385"/>
        <v>0</v>
      </c>
    </row>
    <row r="48" spans="1:51" x14ac:dyDescent="0.2">
      <c r="A48" s="6"/>
      <c r="B48" s="6"/>
      <c r="D48" s="6"/>
      <c r="E48" s="6"/>
      <c r="F48" s="13"/>
      <c r="G48" s="6"/>
      <c r="H48" s="6"/>
      <c r="I48" s="13"/>
      <c r="J48" s="6"/>
      <c r="K48" s="6"/>
      <c r="L48" s="13"/>
      <c r="M48" s="6"/>
      <c r="N48" s="6"/>
      <c r="O48" s="13"/>
      <c r="P48" s="6"/>
      <c r="Q48" s="6"/>
      <c r="R48" s="13"/>
      <c r="S48" s="6"/>
      <c r="T48" s="6"/>
      <c r="U48" s="13"/>
      <c r="V48" s="6"/>
      <c r="W48" s="6"/>
      <c r="X48" s="13"/>
      <c r="Y48" s="6"/>
      <c r="Z48" s="6"/>
      <c r="AA48" s="13"/>
      <c r="AB48" s="6"/>
      <c r="AC48" s="6"/>
      <c r="AD48" s="13"/>
      <c r="AE48" s="6"/>
      <c r="AF48" s="6"/>
      <c r="AG48" s="13"/>
      <c r="AH48" s="6"/>
      <c r="AI48" s="6"/>
      <c r="AJ48" s="13"/>
      <c r="AK48" s="6"/>
      <c r="AL48" s="6"/>
      <c r="AM48" s="13"/>
      <c r="AN48" s="6"/>
      <c r="AO48" s="6"/>
      <c r="AP48" s="13"/>
      <c r="AQ48" s="6"/>
      <c r="AR48" s="6"/>
      <c r="AS48" s="13"/>
      <c r="AT48" s="6"/>
      <c r="AU48" s="6"/>
      <c r="AV48" s="13"/>
      <c r="AW48" s="6"/>
      <c r="AX48" s="6"/>
      <c r="AY48" s="13"/>
    </row>
    <row r="49" spans="1:51" x14ac:dyDescent="0.2">
      <c r="A49" s="6"/>
      <c r="B49" s="6"/>
      <c r="D49" s="6"/>
      <c r="E49" s="6"/>
      <c r="F49" s="13"/>
      <c r="G49" s="6"/>
      <c r="H49" s="6"/>
      <c r="I49" s="13"/>
      <c r="J49" s="6"/>
      <c r="K49" s="6"/>
      <c r="L49" s="13"/>
      <c r="M49" s="6"/>
      <c r="N49" s="6"/>
      <c r="O49" s="13"/>
      <c r="P49" s="6"/>
      <c r="Q49" s="6"/>
      <c r="R49" s="13"/>
      <c r="S49" s="6"/>
      <c r="T49" s="6"/>
      <c r="U49" s="13"/>
      <c r="V49" s="364"/>
      <c r="W49" s="6"/>
      <c r="X49" s="13"/>
      <c r="Y49" s="364"/>
      <c r="Z49" s="6"/>
      <c r="AA49" s="13"/>
      <c r="AB49" s="364"/>
      <c r="AC49" s="6"/>
      <c r="AD49" s="13"/>
      <c r="AE49" s="364"/>
      <c r="AF49" s="6"/>
      <c r="AG49" s="13"/>
      <c r="AH49" s="6"/>
      <c r="AI49" s="6"/>
      <c r="AJ49" s="13"/>
      <c r="AK49" s="6"/>
      <c r="AL49" s="6"/>
      <c r="AM49" s="13"/>
      <c r="AN49" s="6"/>
      <c r="AO49" s="6"/>
      <c r="AP49" s="13"/>
      <c r="AQ49" s="6"/>
      <c r="AR49" s="6"/>
      <c r="AS49" s="13"/>
      <c r="AT49" s="6"/>
      <c r="AU49" s="6"/>
      <c r="AV49" s="13"/>
      <c r="AW49" s="6"/>
      <c r="AX49" s="6"/>
      <c r="AY49" s="13"/>
    </row>
    <row r="50" spans="1:51" ht="12" customHeight="1" x14ac:dyDescent="0.2">
      <c r="A50" s="14"/>
      <c r="B50" s="12" t="s">
        <v>130</v>
      </c>
      <c r="D50" s="6"/>
      <c r="E50" s="6"/>
      <c r="F50" s="13"/>
      <c r="G50" s="6"/>
      <c r="H50" s="6"/>
      <c r="I50" s="13"/>
      <c r="J50" s="6"/>
      <c r="K50" s="6"/>
      <c r="L50" s="13"/>
      <c r="M50" s="6"/>
      <c r="N50" s="6"/>
      <c r="O50" s="13"/>
      <c r="P50" s="6"/>
      <c r="Q50" s="6"/>
      <c r="R50" s="13"/>
      <c r="S50" s="6"/>
      <c r="T50" s="6"/>
      <c r="U50" s="13"/>
      <c r="V50" s="6"/>
      <c r="W50" s="6"/>
      <c r="X50" s="13"/>
      <c r="Y50" s="6"/>
      <c r="Z50" s="6"/>
      <c r="AA50" s="13"/>
      <c r="AB50" s="6"/>
      <c r="AC50" s="6"/>
      <c r="AD50" s="13"/>
      <c r="AE50" s="6"/>
      <c r="AF50" s="6"/>
      <c r="AG50" s="13"/>
      <c r="AH50" s="6"/>
      <c r="AI50" s="6"/>
      <c r="AJ50" s="13"/>
      <c r="AK50" s="6"/>
      <c r="AL50" s="6"/>
      <c r="AM50" s="13"/>
      <c r="AN50" s="6"/>
      <c r="AO50" s="6"/>
      <c r="AP50" s="13"/>
      <c r="AQ50" s="6"/>
      <c r="AR50" s="6"/>
      <c r="AS50" s="13"/>
      <c r="AT50" s="6"/>
      <c r="AU50" s="6"/>
      <c r="AV50" s="13"/>
      <c r="AW50" s="6"/>
      <c r="AX50" s="6"/>
      <c r="AY50" s="13"/>
    </row>
    <row r="51" spans="1:51" x14ac:dyDescent="0.2">
      <c r="A51" s="6"/>
      <c r="B51" s="6"/>
      <c r="D51" s="6"/>
      <c r="E51" s="6"/>
      <c r="F51" s="13"/>
      <c r="G51" s="6"/>
      <c r="H51" s="6"/>
      <c r="I51" s="13"/>
      <c r="J51" s="6"/>
      <c r="K51" s="6"/>
      <c r="L51" s="13"/>
      <c r="M51" s="6"/>
      <c r="N51" s="6"/>
      <c r="O51" s="13"/>
      <c r="P51" s="6"/>
      <c r="Q51" s="6"/>
      <c r="R51" s="13"/>
      <c r="S51" s="6"/>
      <c r="T51" s="6"/>
      <c r="U51" s="13"/>
      <c r="V51" s="6"/>
      <c r="W51" s="6"/>
      <c r="X51" s="13"/>
      <c r="Y51" s="6"/>
      <c r="Z51" s="6"/>
      <c r="AA51" s="13"/>
      <c r="AB51" s="6"/>
      <c r="AC51" s="6"/>
      <c r="AD51" s="13"/>
      <c r="AE51" s="6"/>
      <c r="AF51" s="6"/>
      <c r="AG51" s="13"/>
      <c r="AH51" s="6"/>
      <c r="AI51" s="6"/>
      <c r="AJ51" s="13"/>
      <c r="AK51" s="6"/>
      <c r="AL51" s="6"/>
      <c r="AM51" s="13"/>
      <c r="AN51" s="6"/>
      <c r="AO51" s="6"/>
      <c r="AP51" s="13"/>
      <c r="AQ51" s="6"/>
      <c r="AR51" s="6"/>
      <c r="AS51" s="13"/>
      <c r="AT51" s="6"/>
      <c r="AU51" s="6"/>
      <c r="AV51" s="13"/>
      <c r="AW51" s="6"/>
      <c r="AX51" s="6"/>
      <c r="AY51" s="13"/>
    </row>
    <row r="52" spans="1:51" s="24" customFormat="1" ht="12" customHeight="1" x14ac:dyDescent="0.2">
      <c r="A52" s="6"/>
      <c r="B52" s="23" t="s">
        <v>160</v>
      </c>
      <c r="C52" s="23"/>
      <c r="D52" s="26"/>
      <c r="E52" s="26"/>
      <c r="F52" s="27"/>
      <c r="G52" s="26"/>
      <c r="H52" s="26"/>
      <c r="I52" s="27">
        <f>I12/I31</f>
        <v>2.0522354244285572</v>
      </c>
      <c r="J52" s="26"/>
      <c r="K52" s="26"/>
      <c r="L52" s="27">
        <f>L12/L31</f>
        <v>1.6297476108796862</v>
      </c>
      <c r="M52" s="26"/>
      <c r="N52" s="26"/>
      <c r="O52" s="27">
        <f>O12/O31</f>
        <v>1.1575241476845304</v>
      </c>
      <c r="P52" s="26">
        <f t="shared" ref="P52:Q52" si="386">P12/P31</f>
        <v>0.88980785717887934</v>
      </c>
      <c r="Q52" s="26">
        <f t="shared" si="386"/>
        <v>4.0175353257323199</v>
      </c>
      <c r="R52" s="27">
        <f>R12/R31</f>
        <v>4.0175353257323199</v>
      </c>
      <c r="S52" s="26">
        <f t="shared" ref="S52:T52" si="387">S12/S31</f>
        <v>4.7853175267459021</v>
      </c>
      <c r="T52" s="26">
        <f t="shared" si="387"/>
        <v>3.8030450953045092</v>
      </c>
      <c r="U52" s="27">
        <f>U12/U31</f>
        <v>3.8030450953045092</v>
      </c>
      <c r="V52" s="26">
        <f t="shared" ref="V52:AY52" si="388">V12/V31</f>
        <v>3.5526091697372717</v>
      </c>
      <c r="W52" s="26">
        <f t="shared" si="388"/>
        <v>3.5129519473368571</v>
      </c>
      <c r="X52" s="27">
        <f t="shared" si="388"/>
        <v>3.5129519473368571</v>
      </c>
      <c r="Y52" s="26">
        <f t="shared" si="388"/>
        <v>3.4026561532759692</v>
      </c>
      <c r="Z52" s="26">
        <f t="shared" si="388"/>
        <v>3.4316512909922872</v>
      </c>
      <c r="AA52" s="27">
        <f t="shared" si="388"/>
        <v>3.4316512909922872</v>
      </c>
      <c r="AB52" s="26">
        <f t="shared" si="388"/>
        <v>3.410376401442667</v>
      </c>
      <c r="AC52" s="26">
        <f t="shared" si="388"/>
        <v>3.5335239385452395</v>
      </c>
      <c r="AD52" s="27">
        <f t="shared" si="388"/>
        <v>3.5335239385452395</v>
      </c>
      <c r="AE52" s="26">
        <f t="shared" si="388"/>
        <v>3.6047249672075141</v>
      </c>
      <c r="AF52" s="26">
        <f t="shared" si="388"/>
        <v>3.8093312135561956</v>
      </c>
      <c r="AG52" s="27">
        <f t="shared" si="388"/>
        <v>3.8093312135561956</v>
      </c>
      <c r="AH52" s="26">
        <f t="shared" si="388"/>
        <v>3.9517824696247477</v>
      </c>
      <c r="AI52" s="26">
        <f t="shared" si="388"/>
        <v>4.229604331177871</v>
      </c>
      <c r="AJ52" s="27">
        <f t="shared" si="388"/>
        <v>4.229604331177871</v>
      </c>
      <c r="AK52" s="26">
        <f t="shared" si="388"/>
        <v>4.3309511317648752</v>
      </c>
      <c r="AL52" s="26">
        <f t="shared" si="388"/>
        <v>4.6485856153376117</v>
      </c>
      <c r="AM52" s="27">
        <f t="shared" si="388"/>
        <v>4.6485856153376117</v>
      </c>
      <c r="AN52" s="26">
        <f t="shared" si="388"/>
        <v>4.7834009329992746</v>
      </c>
      <c r="AO52" s="26">
        <f t="shared" si="388"/>
        <v>5.1461854659627795</v>
      </c>
      <c r="AP52" s="27">
        <f t="shared" si="388"/>
        <v>5.1461854659627795</v>
      </c>
      <c r="AQ52" s="26">
        <f t="shared" si="388"/>
        <v>5.2924086896060203</v>
      </c>
      <c r="AR52" s="26">
        <f t="shared" si="388"/>
        <v>5.6989247061541697</v>
      </c>
      <c r="AS52" s="27">
        <f t="shared" si="388"/>
        <v>5.6989247061541697</v>
      </c>
      <c r="AT52" s="26">
        <f t="shared" si="388"/>
        <v>5.8513698354801349</v>
      </c>
      <c r="AU52" s="26">
        <f t="shared" si="388"/>
        <v>6.3004530448785969</v>
      </c>
      <c r="AV52" s="27">
        <f t="shared" si="388"/>
        <v>6.3004530448785969</v>
      </c>
      <c r="AW52" s="26">
        <f t="shared" si="388"/>
        <v>6.4545577668999865</v>
      </c>
      <c r="AX52" s="26">
        <f t="shared" si="388"/>
        <v>6.9452366409331274</v>
      </c>
      <c r="AY52" s="27">
        <f t="shared" si="388"/>
        <v>6.9452366409331274</v>
      </c>
    </row>
    <row r="53" spans="1:51" s="24" customFormat="1" ht="12" customHeight="1" x14ac:dyDescent="0.2">
      <c r="A53" s="6"/>
      <c r="B53" s="23" t="s">
        <v>161</v>
      </c>
      <c r="C53" s="23"/>
      <c r="D53" s="26"/>
      <c r="E53" s="26"/>
      <c r="F53" s="27"/>
      <c r="G53" s="26"/>
      <c r="H53" s="26"/>
      <c r="I53" s="27">
        <f>(I6+I7)/I31</f>
        <v>1.6887523915013596</v>
      </c>
      <c r="J53" s="26"/>
      <c r="K53" s="26"/>
      <c r="L53" s="27">
        <f>(L6+L7)/L31</f>
        <v>1.334118711477202</v>
      </c>
      <c r="M53" s="26"/>
      <c r="N53" s="26"/>
      <c r="O53" s="27">
        <f>(O6+O7)/O31</f>
        <v>0.90950260283453188</v>
      </c>
      <c r="P53" s="26">
        <f t="shared" ref="P53:Q53" si="389">(P6+P7)/P31</f>
        <v>0.58528754181585896</v>
      </c>
      <c r="Q53" s="26">
        <f t="shared" si="389"/>
        <v>0.50310249504668569</v>
      </c>
      <c r="R53" s="27">
        <f>(R6+R7)/R31</f>
        <v>0.50310249504668569</v>
      </c>
      <c r="S53" s="26">
        <f t="shared" ref="S53:T53" si="390">(S6+S7)/S31</f>
        <v>0.54380545114212231</v>
      </c>
      <c r="T53" s="26">
        <f t="shared" si="390"/>
        <v>0.74823337982333793</v>
      </c>
      <c r="U53" s="27">
        <f>(U6+U7)/U31</f>
        <v>0.74823337982333793</v>
      </c>
      <c r="V53" s="26">
        <f t="shared" ref="V53:AY53" si="391">(V6+V7)/V31</f>
        <v>0.75344904939119739</v>
      </c>
      <c r="W53" s="26">
        <f t="shared" si="391"/>
        <v>0.74573381156681107</v>
      </c>
      <c r="X53" s="27">
        <f t="shared" si="391"/>
        <v>0.74573381156681107</v>
      </c>
      <c r="Y53" s="26">
        <f t="shared" si="391"/>
        <v>0.82328234824977953</v>
      </c>
      <c r="Z53" s="26">
        <f t="shared" si="391"/>
        <v>0.87794845436202329</v>
      </c>
      <c r="AA53" s="27">
        <f t="shared" si="391"/>
        <v>0.87794845436202329</v>
      </c>
      <c r="AB53" s="26">
        <f t="shared" si="391"/>
        <v>1.0198846789598197</v>
      </c>
      <c r="AC53" s="26">
        <f t="shared" si="391"/>
        <v>1.162685196043699</v>
      </c>
      <c r="AD53" s="27">
        <f t="shared" si="391"/>
        <v>1.162685196043699</v>
      </c>
      <c r="AE53" s="26">
        <f t="shared" si="391"/>
        <v>1.3699147915057122</v>
      </c>
      <c r="AF53" s="26">
        <f t="shared" si="391"/>
        <v>1.590837862782418</v>
      </c>
      <c r="AG53" s="27">
        <f t="shared" si="391"/>
        <v>1.590837862782418</v>
      </c>
      <c r="AH53" s="26">
        <f t="shared" si="391"/>
        <v>1.8575960167143339</v>
      </c>
      <c r="AI53" s="26">
        <f t="shared" si="391"/>
        <v>2.1491034078323206</v>
      </c>
      <c r="AJ53" s="27">
        <f t="shared" si="391"/>
        <v>2.1491034078323206</v>
      </c>
      <c r="AK53" s="26">
        <f t="shared" si="391"/>
        <v>2.3930710448848451</v>
      </c>
      <c r="AL53" s="26">
        <f t="shared" si="391"/>
        <v>2.7185761391297212</v>
      </c>
      <c r="AM53" s="27">
        <f t="shared" si="391"/>
        <v>2.7185761391297212</v>
      </c>
      <c r="AN53" s="26">
        <f t="shared" si="391"/>
        <v>2.9756524942071714</v>
      </c>
      <c r="AO53" s="26">
        <f t="shared" si="391"/>
        <v>3.3444350407320895</v>
      </c>
      <c r="AP53" s="27">
        <f t="shared" si="391"/>
        <v>3.3444350407320895</v>
      </c>
      <c r="AQ53" s="26">
        <f t="shared" si="391"/>
        <v>3.6038123770937909</v>
      </c>
      <c r="AR53" s="26">
        <f t="shared" si="391"/>
        <v>4.0147852090640068</v>
      </c>
      <c r="AS53" s="27">
        <f t="shared" si="391"/>
        <v>4.0147852090640068</v>
      </c>
      <c r="AT53" s="26">
        <f t="shared" si="391"/>
        <v>4.2720768131572404</v>
      </c>
      <c r="AU53" s="26">
        <f t="shared" si="391"/>
        <v>4.7243501122665146</v>
      </c>
      <c r="AV53" s="27">
        <f t="shared" si="391"/>
        <v>4.7243501122665146</v>
      </c>
      <c r="AW53" s="26">
        <f t="shared" si="391"/>
        <v>4.9757081031604464</v>
      </c>
      <c r="AX53" s="26">
        <f t="shared" si="391"/>
        <v>5.4685383601701343</v>
      </c>
      <c r="AY53" s="27">
        <f t="shared" si="391"/>
        <v>5.4685383601701343</v>
      </c>
    </row>
    <row r="54" spans="1:51" s="24" customFormat="1" ht="12" customHeight="1" x14ac:dyDescent="0.2">
      <c r="A54" s="6"/>
      <c r="B54" s="23" t="s">
        <v>295</v>
      </c>
      <c r="C54" s="23"/>
      <c r="D54" s="26"/>
      <c r="E54" s="26"/>
      <c r="F54" s="27"/>
      <c r="G54" s="26"/>
      <c r="H54" s="26"/>
      <c r="I54" s="27">
        <f>IFERROR(-'Income &amp; Cash Flow'!I20/'Income &amp; Cash Flow'!I32,0)</f>
        <v>7.1683926159387674</v>
      </c>
      <c r="J54" s="26"/>
      <c r="K54" s="26"/>
      <c r="L54" s="27">
        <f>IFERROR(-'Income &amp; Cash Flow'!L20/'Income &amp; Cash Flow'!L32,0)</f>
        <v>7.6543209876543195</v>
      </c>
      <c r="M54" s="26"/>
      <c r="N54" s="26"/>
      <c r="O54" s="27">
        <f>IFERROR(-'Income &amp; Cash Flow'!O20/'Income &amp; Cash Flow'!O32,0)</f>
        <v>7.4936061381074168</v>
      </c>
      <c r="P54" s="26">
        <f>IFERROR(-'Income &amp; Cash Flow'!P20/'Income &amp; Cash Flow'!P32,0)</f>
        <v>6.0494734264021552</v>
      </c>
      <c r="Q54" s="26">
        <f>IFERROR(-'Income &amp; Cash Flow'!Q20/'Income &amp; Cash Flow'!Q32,0)</f>
        <v>5.5387158996968848</v>
      </c>
      <c r="R54" s="27">
        <f>IFERROR(-'Income &amp; Cash Flow'!R20/'Income &amp; Cash Flow'!R32,0)</f>
        <v>5.8091286307053931</v>
      </c>
      <c r="S54" s="26">
        <f>IFERROR(-'Income &amp; Cash Flow'!S20/'Income &amp; Cash Flow'!S32,0)</f>
        <v>-11.72595618269588</v>
      </c>
      <c r="T54" s="26">
        <f>IFERROR(-'Income &amp; Cash Flow'!T20/'Income &amp; Cash Flow'!T32,0)</f>
        <v>-31.085264133456935</v>
      </c>
      <c r="U54" s="27">
        <f>IFERROR(-'Income &amp; Cash Flow'!U20/'Income &amp; Cash Flow'!U32,0)</f>
        <v>-17.263785790031822</v>
      </c>
      <c r="V54" s="26">
        <f>IFERROR(-'Income &amp; Cash Flow'!V20/'Income &amp; Cash Flow'!V32,0)</f>
        <v>22.940624330706729</v>
      </c>
      <c r="W54" s="26">
        <f>IFERROR(-'Income &amp; Cash Flow'!W20/'Income &amp; Cash Flow'!W32,0)</f>
        <v>20.118218585923547</v>
      </c>
      <c r="X54" s="27">
        <f>IFERROR(-'Income &amp; Cash Flow'!X20/'Income &amp; Cash Flow'!X32,0)</f>
        <v>21.468253210512813</v>
      </c>
      <c r="Y54" s="26">
        <f>IFERROR(-'Income &amp; Cash Flow'!Y20/'Income &amp; Cash Flow'!Y32,0)</f>
        <v>25.918097454070217</v>
      </c>
      <c r="Z54" s="26">
        <f>IFERROR(-'Income &amp; Cash Flow'!Z20/'Income &amp; Cash Flow'!Z32,0)</f>
        <v>11.491440181806428</v>
      </c>
      <c r="AA54" s="27">
        <f>IFERROR(-'Income &amp; Cash Flow'!AA20/'Income &amp; Cash Flow'!AA32,0)</f>
        <v>15.987121943297545</v>
      </c>
      <c r="AB54" s="26">
        <f>IFERROR(-'Income &amp; Cash Flow'!AB20/'Income &amp; Cash Flow'!AB32,0)</f>
        <v>15.388825381607548</v>
      </c>
      <c r="AC54" s="26">
        <f>IFERROR(-'Income &amp; Cash Flow'!AC20/'Income &amp; Cash Flow'!AC32,0)</f>
        <v>15.436682059621791</v>
      </c>
      <c r="AD54" s="27">
        <f>IFERROR(-'Income &amp; Cash Flow'!AD20/'Income &amp; Cash Flow'!AD32,0)</f>
        <v>15.412471843949245</v>
      </c>
      <c r="AE54" s="26">
        <f>IFERROR(-'Income &amp; Cash Flow'!AE20/'Income &amp; Cash Flow'!AE32,0)</f>
        <v>20.400890216126715</v>
      </c>
      <c r="AF54" s="26">
        <f>IFERROR(-'Income &amp; Cash Flow'!AF20/'Income &amp; Cash Flow'!AF32,0)</f>
        <v>21.381366785004985</v>
      </c>
      <c r="AG54" s="27">
        <f>IFERROR(-'Income &amp; Cash Flow'!AG20/'Income &amp; Cash Flow'!AG32,0)</f>
        <v>20.874229053977896</v>
      </c>
      <c r="AH54" s="26">
        <f>IFERROR(-'Income &amp; Cash Flow'!AH20/'Income &amp; Cash Flow'!AH32,0)</f>
        <v>29.31186248502193</v>
      </c>
      <c r="AI54" s="26">
        <f>IFERROR(-'Income &amp; Cash Flow'!AI20/'Income &amp; Cash Flow'!AI32,0)</f>
        <v>32.592451749232573</v>
      </c>
      <c r="AJ54" s="27">
        <f>IFERROR(-'Income &amp; Cash Flow'!AJ20/'Income &amp; Cash Flow'!AJ32,0)</f>
        <v>30.832771441867241</v>
      </c>
      <c r="AK54" s="26">
        <f>IFERROR(-'Income &amp; Cash Flow'!AK20/'Income &amp; Cash Flow'!AK32,0)</f>
        <v>45.312250770669465</v>
      </c>
      <c r="AL54" s="26">
        <f>IFERROR(-'Income &amp; Cash Flow'!AL20/'Income &amp; Cash Flow'!AL32,0)</f>
        <v>58.610941527544881</v>
      </c>
      <c r="AM54" s="27">
        <f>IFERROR(-'Income &amp; Cash Flow'!AM20/'Income &amp; Cash Flow'!AM32,0)</f>
        <v>51.028191521252268</v>
      </c>
      <c r="AN54" s="26">
        <f>IFERROR(-'Income &amp; Cash Flow'!AN20/'Income &amp; Cash Flow'!AN32,0)</f>
        <v>104.31318965218156</v>
      </c>
      <c r="AO54" s="26">
        <f>IFERROR(-'Income &amp; Cash Flow'!AO20/'Income &amp; Cash Flow'!AO32,0)</f>
        <v>273.25941905111461</v>
      </c>
      <c r="AP54" s="27">
        <f>IFERROR(-'Income &amp; Cash Flow'!AP20/'Income &amp; Cash Flow'!AP32,0)</f>
        <v>150.069136160521</v>
      </c>
      <c r="AQ54" s="26">
        <f>IFERROR(-'Income &amp; Cash Flow'!AQ20/'Income &amp; Cash Flow'!AQ32,0)</f>
        <v>-401.84137102824121</v>
      </c>
      <c r="AR54" s="26">
        <f>IFERROR(-'Income &amp; Cash Flow'!AR20/'Income &amp; Cash Flow'!AR32,0)</f>
        <v>-106.4796778677874</v>
      </c>
      <c r="AS54" s="27">
        <f>IFERROR(-'Income &amp; Cash Flow'!AS20/'Income &amp; Cash Flow'!AS32,0)</f>
        <v>-169.78891591174067</v>
      </c>
      <c r="AT54" s="26">
        <f>IFERROR(-'Income &amp; Cash Flow'!AT20/'Income &amp; Cash Flow'!AT32,0)</f>
        <v>-69.913309903016923</v>
      </c>
      <c r="AU54" s="26">
        <f>IFERROR(-'Income &amp; Cash Flow'!AU20/'Income &amp; Cash Flow'!AU32,0)</f>
        <v>-45.133228235358281</v>
      </c>
      <c r="AV54" s="27">
        <f>IFERROR(-'Income &amp; Cash Flow'!AV20/'Income &amp; Cash Flow'!AV32,0)</f>
        <v>-55.036520479778929</v>
      </c>
      <c r="AW54" s="26">
        <f>IFERROR(-'Income &amp; Cash Flow'!AW20/'Income &amp; Cash Flow'!AW32,0)</f>
        <v>-38.599082456811445</v>
      </c>
      <c r="AX54" s="26">
        <f>IFERROR(-'Income &amp; Cash Flow'!AX20/'Income &amp; Cash Flow'!AX32,0)</f>
        <v>-28.82513750230018</v>
      </c>
      <c r="AY54" s="27">
        <f>IFERROR(-'Income &amp; Cash Flow'!AY20/'Income &amp; Cash Flow'!AY32,0)</f>
        <v>-33.080477687755511</v>
      </c>
    </row>
    <row r="55" spans="1:51" s="24" customFormat="1" ht="12" customHeight="1" x14ac:dyDescent="0.2">
      <c r="A55" s="6"/>
      <c r="B55" s="23" t="s">
        <v>296</v>
      </c>
      <c r="C55" s="23"/>
      <c r="D55" s="26"/>
      <c r="E55" s="26"/>
      <c r="F55" s="27"/>
      <c r="G55" s="26"/>
      <c r="H55" s="26"/>
      <c r="I55" s="27">
        <f>IFERROR(-'Income &amp; Cash Flow'!I27/'Income &amp; Cash Flow'!I32,0)</f>
        <v>1.6659162539396672</v>
      </c>
      <c r="J55" s="26"/>
      <c r="K55" s="26"/>
      <c r="L55" s="27">
        <f>IFERROR(-'Income &amp; Cash Flow'!L27/'Income &amp; Cash Flow'!L32,0)</f>
        <v>2.5396825396825395</v>
      </c>
      <c r="M55" s="26"/>
      <c r="N55" s="26"/>
      <c r="O55" s="27">
        <f>IFERROR(-'Income &amp; Cash Flow'!O27/'Income &amp; Cash Flow'!O32,0)</f>
        <v>0.94629156010230175</v>
      </c>
      <c r="P55" s="26">
        <f>IFERROR(-'Income &amp; Cash Flow'!P27/'Income &amp; Cash Flow'!P32,0)</f>
        <v>2.1552779818760714</v>
      </c>
      <c r="Q55" s="26">
        <f>IFERROR(-'Income &amp; Cash Flow'!Q27/'Income &amp; Cash Flow'!Q32,0)</f>
        <v>1.3226784238082112</v>
      </c>
      <c r="R55" s="27">
        <f>IFERROR(-'Income &amp; Cash Flow'!R27/'Income &amp; Cash Flow'!R32,0)</f>
        <v>1.763485477178423</v>
      </c>
      <c r="S55" s="26">
        <f>IFERROR(-'Income &amp; Cash Flow'!S27/'Income &amp; Cash Flow'!S32,0)</f>
        <v>-4.6409209060527301</v>
      </c>
      <c r="T55" s="26">
        <f>IFERROR(-'Income &amp; Cash Flow'!T27/'Income &amp; Cash Flow'!T32,0)</f>
        <v>-11.957367933271559</v>
      </c>
      <c r="U55" s="27">
        <f>IFERROR(-'Income &amp; Cash Flow'!U27/'Income &amp; Cash Flow'!U32,0)</f>
        <v>-6.7338282078472984</v>
      </c>
      <c r="V55" s="26">
        <f>IFERROR(-'Income &amp; Cash Flow'!V27/'Income &amp; Cash Flow'!V32,0)</f>
        <v>9.4208177477734676</v>
      </c>
      <c r="W55" s="26">
        <f>IFERROR(-'Income &amp; Cash Flow'!W27/'Income &amp; Cash Flow'!W32,0)</f>
        <v>7.9980377041261956</v>
      </c>
      <c r="X55" s="27">
        <f>IFERROR(-'Income &amp; Cash Flow'!X27/'Income &amp; Cash Flow'!X32,0)</f>
        <v>8.6785926972021468</v>
      </c>
      <c r="Y55" s="26">
        <f>IFERROR(-'Income &amp; Cash Flow'!Y27/'Income &amp; Cash Flow'!Y32,0)</f>
        <v>12.341133765117338</v>
      </c>
      <c r="Z55" s="26">
        <f>IFERROR(-'Income &amp; Cash Flow'!Z27/'Income &amp; Cash Flow'!Z32,0)</f>
        <v>5.5232971855010193</v>
      </c>
      <c r="AA55" s="27">
        <f>IFERROR(-'Income &amp; Cash Flow'!AA27/'Income &amp; Cash Flow'!AA32,0)</f>
        <v>7.6478935480094945</v>
      </c>
      <c r="AB55" s="26">
        <f>IFERROR(-'Income &amp; Cash Flow'!AB27/'Income &amp; Cash Flow'!AB32,0)</f>
        <v>8.4525764996466979</v>
      </c>
      <c r="AC55" s="26">
        <f>IFERROR(-'Income &amp; Cash Flow'!AC27/'Income &amp; Cash Flow'!AC32,0)</f>
        <v>8.5689951289319506</v>
      </c>
      <c r="AD55" s="27">
        <f>IFERROR(-'Income &amp; Cash Flow'!AD27/'Income &amp; Cash Flow'!AD32,0)</f>
        <v>8.5101001065390705</v>
      </c>
      <c r="AE55" s="26">
        <f>IFERROR(-'Income &amp; Cash Flow'!AE27/'Income &amp; Cash Flow'!AE32,0)</f>
        <v>12.188593840843561</v>
      </c>
      <c r="AF55" s="26">
        <f>IFERROR(-'Income &amp; Cash Flow'!AF27/'Income &amp; Cash Flow'!AF32,0)</f>
        <v>12.896500160589159</v>
      </c>
      <c r="AG55" s="27">
        <f>IFERROR(-'Income &amp; Cash Flow'!AG27/'Income &amp; Cash Flow'!AG32,0)</f>
        <v>12.530345561722768</v>
      </c>
      <c r="AH55" s="26">
        <f>IFERROR(-'Income &amp; Cash Flow'!AH27/'Income &amp; Cash Flow'!AH32,0)</f>
        <v>18.69605052649548</v>
      </c>
      <c r="AI55" s="26">
        <f>IFERROR(-'Income &amp; Cash Flow'!AI27/'Income &amp; Cash Flow'!AI32,0)</f>
        <v>20.771798990539718</v>
      </c>
      <c r="AJ55" s="27">
        <f>IFERROR(-'Income &amp; Cash Flow'!AJ27/'Income &amp; Cash Flow'!AJ32,0)</f>
        <v>19.658385088022008</v>
      </c>
      <c r="AK55" s="26">
        <f>IFERROR(-'Income &amp; Cash Flow'!AK27/'Income &amp; Cash Flow'!AK32,0)</f>
        <v>29.093775688848204</v>
      </c>
      <c r="AL55" s="26">
        <f>IFERROR(-'Income &amp; Cash Flow'!AL27/'Income &amp; Cash Flow'!AL32,0)</f>
        <v>37.934357809597202</v>
      </c>
      <c r="AM55" s="27">
        <f>IFERROR(-'Income &amp; Cash Flow'!AM27/'Income &amp; Cash Flow'!AM32,0)</f>
        <v>32.893566549970217</v>
      </c>
      <c r="AN55" s="26">
        <f>IFERROR(-'Income &amp; Cash Flow'!AN27/'Income &amp; Cash Flow'!AN32,0)</f>
        <v>68.630542830047091</v>
      </c>
      <c r="AO55" s="26">
        <f>IFERROR(-'Income &amp; Cash Flow'!AO27/'Income &amp; Cash Flow'!AO32,0)</f>
        <v>181.0331139301436</v>
      </c>
      <c r="AP55" s="27">
        <f>IFERROR(-'Income &amp; Cash Flow'!AP27/'Income &amp; Cash Flow'!AP32,0)</f>
        <v>99.072690304741243</v>
      </c>
      <c r="AQ55" s="26">
        <f>IFERROR(-'Income &amp; Cash Flow'!AQ27/'Income &amp; Cash Flow'!AQ32,0)</f>
        <v>-270.14143481267632</v>
      </c>
      <c r="AR55" s="26">
        <f>IFERROR(-'Income &amp; Cash Flow'!AR27/'Income &amp; Cash Flow'!AR32,0)</f>
        <v>-72.013543873097277</v>
      </c>
      <c r="AS55" s="27">
        <f>IFERROR(-'Income &amp; Cash Flow'!AS27/'Income &amp; Cash Flow'!AS32,0)</f>
        <v>-114.48122367416786</v>
      </c>
      <c r="AT55" s="26">
        <f>IFERROR(-'Income &amp; Cash Flow'!AT27/'Income &amp; Cash Flow'!AT32,0)</f>
        <v>-47.901034900125595</v>
      </c>
      <c r="AU55" s="26">
        <f>IFERROR(-'Income &amp; Cash Flow'!AU27/'Income &amp; Cash Flow'!AU32,0)</f>
        <v>-31.085585794072387</v>
      </c>
      <c r="AV55" s="27">
        <f>IFERROR(-'Income &amp; Cash Flow'!AV27/'Income &amp; Cash Flow'!AV32,0)</f>
        <v>-37.80583429655286</v>
      </c>
      <c r="AW55" s="26">
        <f>IFERROR(-'Income &amp; Cash Flow'!AW27/'Income &amp; Cash Flow'!AW32,0)</f>
        <v>-26.892238374875792</v>
      </c>
      <c r="AX55" s="26">
        <f>IFERROR(-'Income &amp; Cash Flow'!AX27/'Income &amp; Cash Flow'!AX32,0)</f>
        <v>-20.17513027810228</v>
      </c>
      <c r="AY55" s="27">
        <f>IFERROR(-'Income &amp; Cash Flow'!AY27/'Income &amp; Cash Flow'!AY32,0)</f>
        <v>-23.099597332835852</v>
      </c>
    </row>
    <row r="56" spans="1:51" s="24" customFormat="1" ht="12" customHeight="1" x14ac:dyDescent="0.2">
      <c r="A56" s="6"/>
      <c r="B56" s="23" t="s">
        <v>162</v>
      </c>
      <c r="C56" s="23"/>
      <c r="D56" s="26"/>
      <c r="E56" s="26"/>
      <c r="F56" s="27"/>
      <c r="G56" s="26"/>
      <c r="H56" s="26"/>
      <c r="I56" s="27">
        <f>'Income &amp; Cash Flow'!I98/'Balance Sheet'!I31</f>
        <v>0.58065653005739615</v>
      </c>
      <c r="J56" s="26"/>
      <c r="K56" s="26"/>
      <c r="L56" s="27">
        <f>'Income &amp; Cash Flow'!L98/'Balance Sheet'!L31</f>
        <v>0.37027123819576613</v>
      </c>
      <c r="M56" s="26"/>
      <c r="N56" s="26"/>
      <c r="O56" s="27">
        <f>'Income &amp; Cash Flow'!O98/'Balance Sheet'!O31</f>
        <v>0.52578762073842278</v>
      </c>
      <c r="P56" s="26">
        <f>'Income &amp; Cash Flow'!P98/'Balance Sheet'!P31</f>
        <v>0.23729554356413995</v>
      </c>
      <c r="Q56" s="26">
        <f>'Income &amp; Cash Flow'!Q98/'Balance Sheet'!Q31</f>
        <v>0.26871285014296353</v>
      </c>
      <c r="R56" s="27">
        <f>'Income &amp; Cash Flow'!R98/'Balance Sheet'!R31</f>
        <v>0.43618826153499307</v>
      </c>
      <c r="S56" s="26">
        <f>'Income &amp; Cash Flow'!S98/'Balance Sheet'!S31</f>
        <v>0.29209721355633006</v>
      </c>
      <c r="T56" s="26">
        <f>'Income &amp; Cash Flow'!T98/'Balance Sheet'!T31</f>
        <v>0.4432008368200831</v>
      </c>
      <c r="U56" s="27">
        <f>'Income &amp; Cash Flow'!U98/'Balance Sheet'!U31</f>
        <v>0.66628312412831181</v>
      </c>
      <c r="V56" s="26">
        <f>'Income &amp; Cash Flow'!V98/'Balance Sheet'!V31</f>
        <v>0.50158282821047318</v>
      </c>
      <c r="W56" s="26">
        <f>'Income &amp; Cash Flow'!W98/'Balance Sheet'!W31</f>
        <v>0.46609302075995879</v>
      </c>
      <c r="X56" s="27">
        <f>'Income &amp; Cash Flow'!X98/'Balance Sheet'!X31</f>
        <v>0.96181653151725988</v>
      </c>
      <c r="Y56" s="26">
        <f>'Income &amp; Cash Flow'!Y98/'Balance Sheet'!Y31</f>
        <v>0.55346126495587766</v>
      </c>
      <c r="Z56" s="26">
        <f>'Income &amp; Cash Flow'!Z98/'Balance Sheet'!Z31</f>
        <v>0.51613133988982662</v>
      </c>
      <c r="AA56" s="27">
        <f>'Income &amp; Cash Flow'!AA98/'Balance Sheet'!AA31</f>
        <v>1.0639310760709948</v>
      </c>
      <c r="AB56" s="26">
        <f>'Income &amp; Cash Flow'!AB98/'Balance Sheet'!AB31</f>
        <v>0.6140191979919386</v>
      </c>
      <c r="AC56" s="26">
        <f>'Income &amp; Cash Flow'!AC98/'Balance Sheet'!AC31</f>
        <v>0.59762137657177072</v>
      </c>
      <c r="AD56" s="27">
        <f>'Income &amp; Cash Flow'!AD98/'Balance Sheet'!AD31</f>
        <v>1.2064499815285115</v>
      </c>
      <c r="AE56" s="26">
        <f>'Income &amp; Cash Flow'!AE98/'Balance Sheet'!AE31</f>
        <v>0.69024002108372962</v>
      </c>
      <c r="AF56" s="26">
        <f>'Income &amp; Cash Flow'!AF98/'Balance Sheet'!AF31</f>
        <v>0.67390259271891773</v>
      </c>
      <c r="AG56" s="27">
        <f>'Income &amp; Cash Flow'!AG98/'Balance Sheet'!AG31</f>
        <v>1.3589637026160277</v>
      </c>
      <c r="AH56" s="26">
        <f>'Income &amp; Cash Flow'!AH98/'Balance Sheet'!AH31</f>
        <v>0.76987239959415299</v>
      </c>
      <c r="AI56" s="26">
        <f>'Income &amp; Cash Flow'!AI98/'Balance Sheet'!AI31</f>
        <v>0.74475278156285618</v>
      </c>
      <c r="AJ56" s="27">
        <f>'Income &amp; Cash Flow'!AJ98/'Balance Sheet'!AJ31</f>
        <v>1.5095079451153142</v>
      </c>
      <c r="AK56" s="26">
        <f>'Income &amp; Cash Flow'!AK98/'Balance Sheet'!AK31</f>
        <v>0.79931200181211692</v>
      </c>
      <c r="AL56" s="26">
        <f>'Income &amp; Cash Flow'!AL98/'Balance Sheet'!AL31</f>
        <v>0.76891286719242602</v>
      </c>
      <c r="AM56" s="27">
        <f>'Income &amp; Cash Flow'!AM98/'Balance Sheet'!AM31</f>
        <v>1.5649224604801455</v>
      </c>
      <c r="AN56" s="26">
        <f>'Income &amp; Cash Flow'!AN98/'Balance Sheet'!AN31</f>
        <v>0.83452703848543563</v>
      </c>
      <c r="AO56" s="26">
        <f>'Income &amp; Cash Flow'!AO98/'Balance Sheet'!AO31</f>
        <v>0.80754563507430654</v>
      </c>
      <c r="AP56" s="27">
        <f>'Income &amp; Cash Flow'!AP98/'Balance Sheet'!AP31</f>
        <v>1.6392825908006046</v>
      </c>
      <c r="AQ56" s="26">
        <f>'Income &amp; Cash Flow'!AQ98/'Balance Sheet'!AQ31</f>
        <v>0.87292424076664754</v>
      </c>
      <c r="AR56" s="26">
        <f>'Income &amp; Cash Flow'!AR98/'Balance Sheet'!AR31</f>
        <v>0.84492075706691205</v>
      </c>
      <c r="AS56" s="27">
        <f>'Income &amp; Cash Flow'!AS98/'Balance Sheet'!AS31</f>
        <v>1.7155605143543546</v>
      </c>
      <c r="AT56" s="26">
        <f>'Income &amp; Cash Flow'!AT98/'Balance Sheet'!AT31</f>
        <v>0.91005889040580201</v>
      </c>
      <c r="AU56" s="26">
        <f>'Income &amp; Cash Flow'!AU98/'Balance Sheet'!AU31</f>
        <v>0.88115347225212237</v>
      </c>
      <c r="AV56" s="27">
        <f>'Income &amp; Cash Flow'!AV98/'Balance Sheet'!AV31</f>
        <v>1.789440554242115</v>
      </c>
      <c r="AW56" s="26">
        <f>'Income &amp; Cash Flow'!AW98/'Balance Sheet'!AW31</f>
        <v>0.94603827781602168</v>
      </c>
      <c r="AX56" s="26">
        <f>'Income &amp; Cash Flow'!AX98/'Balance Sheet'!AX31</f>
        <v>0.91633030191759934</v>
      </c>
      <c r="AY56" s="27">
        <f>'Income &amp; Cash Flow'!AY98/'Balance Sheet'!AY31</f>
        <v>1.8611123587713345</v>
      </c>
    </row>
    <row r="57" spans="1:51" s="24" customFormat="1" ht="12" customHeight="1" x14ac:dyDescent="0.2">
      <c r="A57" s="6"/>
      <c r="B57" s="23"/>
      <c r="C57" s="23"/>
      <c r="D57" s="26"/>
      <c r="E57" s="26"/>
      <c r="F57" s="27"/>
      <c r="G57" s="26"/>
      <c r="H57" s="26"/>
      <c r="I57" s="27"/>
      <c r="J57" s="26"/>
      <c r="K57" s="26"/>
      <c r="L57" s="27"/>
      <c r="M57" s="26"/>
      <c r="N57" s="26"/>
      <c r="O57" s="27"/>
      <c r="P57" s="26"/>
      <c r="Q57" s="26"/>
      <c r="R57" s="27"/>
      <c r="S57" s="26"/>
      <c r="T57" s="26"/>
      <c r="U57" s="27"/>
      <c r="V57" s="26"/>
      <c r="W57" s="26"/>
      <c r="X57" s="27"/>
      <c r="Y57" s="26"/>
      <c r="Z57" s="26"/>
      <c r="AA57" s="27"/>
      <c r="AB57" s="26"/>
      <c r="AC57" s="26"/>
      <c r="AD57" s="27"/>
      <c r="AE57" s="26"/>
      <c r="AF57" s="26"/>
      <c r="AG57" s="27"/>
      <c r="AH57" s="26"/>
      <c r="AI57" s="26"/>
      <c r="AJ57" s="27"/>
      <c r="AK57" s="26"/>
      <c r="AL57" s="26"/>
      <c r="AM57" s="27"/>
      <c r="AN57" s="26"/>
      <c r="AO57" s="26"/>
      <c r="AP57" s="27"/>
      <c r="AQ57" s="26"/>
      <c r="AR57" s="26"/>
      <c r="AS57" s="27"/>
      <c r="AT57" s="26"/>
      <c r="AU57" s="26"/>
      <c r="AV57" s="27"/>
      <c r="AW57" s="26"/>
      <c r="AX57" s="26"/>
      <c r="AY57" s="27"/>
    </row>
    <row r="58" spans="1:51" s="24" customFormat="1" ht="12" customHeight="1" x14ac:dyDescent="0.2">
      <c r="A58" s="6"/>
      <c r="B58" s="23" t="s">
        <v>547</v>
      </c>
      <c r="C58" s="23"/>
      <c r="D58" s="26"/>
      <c r="E58" s="26"/>
      <c r="F58" s="27"/>
      <c r="G58" s="26"/>
      <c r="H58" s="26"/>
      <c r="I58" s="27">
        <f t="shared" ref="I58:AX58" si="392">-I60</f>
        <v>58.244</v>
      </c>
      <c r="J58" s="26">
        <f t="shared" si="392"/>
        <v>0</v>
      </c>
      <c r="K58" s="26">
        <f t="shared" si="392"/>
        <v>0</v>
      </c>
      <c r="L58" s="27">
        <f t="shared" si="392"/>
        <v>51.069000000000003</v>
      </c>
      <c r="M58" s="26">
        <f t="shared" si="392"/>
        <v>0</v>
      </c>
      <c r="N58" s="26">
        <f t="shared" si="392"/>
        <v>0</v>
      </c>
      <c r="O58" s="27">
        <f t="shared" si="392"/>
        <v>33.503999999999998</v>
      </c>
      <c r="P58" s="26">
        <f t="shared" si="392"/>
        <v>10.619</v>
      </c>
      <c r="Q58" s="26">
        <f t="shared" si="392"/>
        <v>294.48</v>
      </c>
      <c r="R58" s="27">
        <f t="shared" si="392"/>
        <v>294.48</v>
      </c>
      <c r="S58" s="26">
        <f t="shared" ref="S58:U58" si="393">-S60</f>
        <v>274.49299999999999</v>
      </c>
      <c r="T58" s="26">
        <f t="shared" si="393"/>
        <v>281.74299999999999</v>
      </c>
      <c r="U58" s="27">
        <f t="shared" si="393"/>
        <v>281.74299999999999</v>
      </c>
      <c r="V58" s="26">
        <f t="shared" si="392"/>
        <v>282.97794411082674</v>
      </c>
      <c r="W58" s="26">
        <f t="shared" si="392"/>
        <v>282.60771543384453</v>
      </c>
      <c r="X58" s="27">
        <f t="shared" si="392"/>
        <v>282.60771543384453</v>
      </c>
      <c r="Y58" s="26">
        <f t="shared" si="392"/>
        <v>290.62228192239922</v>
      </c>
      <c r="Z58" s="26">
        <f t="shared" si="392"/>
        <v>296.6732456513115</v>
      </c>
      <c r="AA58" s="27">
        <f t="shared" si="392"/>
        <v>296.6732456513115</v>
      </c>
      <c r="AB58" s="26">
        <f t="shared" si="392"/>
        <v>313.0564859303862</v>
      </c>
      <c r="AC58" s="26">
        <f t="shared" si="392"/>
        <v>329.61011671505617</v>
      </c>
      <c r="AD58" s="27">
        <f t="shared" si="392"/>
        <v>329.61011671505617</v>
      </c>
      <c r="AE58" s="26">
        <f t="shared" si="392"/>
        <v>356.8274535076182</v>
      </c>
      <c r="AF58" s="26">
        <f t="shared" si="392"/>
        <v>384.24769345688685</v>
      </c>
      <c r="AG58" s="27">
        <f t="shared" si="392"/>
        <v>384.24769345688685</v>
      </c>
      <c r="AH58" s="26">
        <f t="shared" si="392"/>
        <v>424.02219120104405</v>
      </c>
      <c r="AI58" s="26">
        <f t="shared" si="392"/>
        <v>462.89648571341638</v>
      </c>
      <c r="AJ58" s="27">
        <f t="shared" si="392"/>
        <v>462.89648571341638</v>
      </c>
      <c r="AK58" s="26">
        <f t="shared" si="392"/>
        <v>511.4041399989444</v>
      </c>
      <c r="AL58" s="26">
        <f t="shared" si="392"/>
        <v>557.9531499208066</v>
      </c>
      <c r="AM58" s="27">
        <f t="shared" si="392"/>
        <v>557.9531499208066</v>
      </c>
      <c r="AN58" s="26">
        <f t="shared" si="392"/>
        <v>616.25508403767617</v>
      </c>
      <c r="AO58" s="26">
        <f t="shared" si="392"/>
        <v>672.90143494018787</v>
      </c>
      <c r="AP58" s="27">
        <f t="shared" si="392"/>
        <v>672.90143494018787</v>
      </c>
      <c r="AQ58" s="26">
        <f t="shared" si="392"/>
        <v>742.5659552669822</v>
      </c>
      <c r="AR58" s="26">
        <f t="shared" si="392"/>
        <v>810.22720888977426</v>
      </c>
      <c r="AS58" s="27">
        <f t="shared" si="392"/>
        <v>810.22720888977426</v>
      </c>
      <c r="AT58" s="26">
        <f t="shared" si="392"/>
        <v>892.25949611062367</v>
      </c>
      <c r="AU58" s="26">
        <f t="shared" si="392"/>
        <v>971.92429347685425</v>
      </c>
      <c r="AV58" s="27">
        <f t="shared" si="392"/>
        <v>971.92429347685425</v>
      </c>
      <c r="AW58" s="26">
        <f t="shared" si="392"/>
        <v>1067.4048916108941</v>
      </c>
      <c r="AX58" s="26">
        <f t="shared" si="392"/>
        <v>1160.1361293536852</v>
      </c>
      <c r="AY58" s="27">
        <f>-AY60</f>
        <v>1160.1361293536852</v>
      </c>
    </row>
    <row r="59" spans="1:51" s="24" customFormat="1" ht="12" customHeight="1" x14ac:dyDescent="0.2">
      <c r="A59" s="6"/>
      <c r="B59" s="23" t="s">
        <v>59</v>
      </c>
      <c r="C59" s="23"/>
      <c r="D59" s="26"/>
      <c r="E59" s="26"/>
      <c r="F59" s="27"/>
      <c r="G59" s="26"/>
      <c r="H59" s="26"/>
      <c r="I59" s="27">
        <f>+I35+I27+I34-I6-I10+I28</f>
        <v>53.852999999999994</v>
      </c>
      <c r="J59" s="26"/>
      <c r="K59" s="26"/>
      <c r="L59" s="27">
        <f>+L35+L27+L34-L6-L10+L28</f>
        <v>75.50500000000001</v>
      </c>
      <c r="M59" s="26"/>
      <c r="N59" s="26"/>
      <c r="O59" s="27">
        <f>+O35+O27+O34-O6-O10+O28</f>
        <v>148.21299999999999</v>
      </c>
      <c r="P59" s="26">
        <f t="shared" ref="P59:Q59" si="394">+P35+P27+P34-P6-P10+P28</f>
        <v>197.44800000000001</v>
      </c>
      <c r="Q59" s="26">
        <f t="shared" si="394"/>
        <v>-54.982000000000021</v>
      </c>
      <c r="R59" s="27">
        <f>+R35+R27+R34-R6-R10+R28</f>
        <v>-54.982000000000021</v>
      </c>
      <c r="S59" s="26">
        <f t="shared" ref="S59:T59" si="395">+S35+S27+S34-S6-S10+S28</f>
        <v>-0.35799999999998633</v>
      </c>
      <c r="T59" s="26">
        <f t="shared" si="395"/>
        <v>49.567999999999969</v>
      </c>
      <c r="U59" s="27">
        <f>+U35+U27+U34-U6-U10+U28</f>
        <v>49.567999999999969</v>
      </c>
      <c r="V59" s="26">
        <f t="shared" ref="V59:AY59" si="396">+V35+V27+V34-V6-V10+V28</f>
        <v>52.335625889173272</v>
      </c>
      <c r="W59" s="26">
        <f t="shared" si="396"/>
        <v>58.293459691155462</v>
      </c>
      <c r="X59" s="27">
        <f t="shared" si="396"/>
        <v>58.293459691155462</v>
      </c>
      <c r="Y59" s="26">
        <f t="shared" si="396"/>
        <v>54.343657238225703</v>
      </c>
      <c r="Z59" s="26">
        <f t="shared" si="396"/>
        <v>54.041140413591606</v>
      </c>
      <c r="AA59" s="27">
        <f t="shared" si="396"/>
        <v>54.041140413591606</v>
      </c>
      <c r="AB59" s="26">
        <f t="shared" si="396"/>
        <v>41.747343436283629</v>
      </c>
      <c r="AC59" s="26">
        <f t="shared" si="396"/>
        <v>31.069299904077567</v>
      </c>
      <c r="AD59" s="27">
        <f t="shared" si="396"/>
        <v>31.069299904077567</v>
      </c>
      <c r="AE59" s="26">
        <f t="shared" si="396"/>
        <v>7.9182820718607303</v>
      </c>
      <c r="AF59" s="26">
        <f t="shared" si="396"/>
        <v>-13.543569940133139</v>
      </c>
      <c r="AG59" s="27">
        <f t="shared" si="396"/>
        <v>-13.543569940133139</v>
      </c>
      <c r="AH59" s="26">
        <f t="shared" si="396"/>
        <v>-49.335061971568635</v>
      </c>
      <c r="AI59" s="26">
        <f t="shared" si="396"/>
        <v>-82.22538103043992</v>
      </c>
      <c r="AJ59" s="27">
        <f t="shared" si="396"/>
        <v>-82.22538103043992</v>
      </c>
      <c r="AK59" s="26">
        <f t="shared" si="396"/>
        <v>-126.90840553808245</v>
      </c>
      <c r="AL59" s="26">
        <f t="shared" si="396"/>
        <v>-167.52059682660115</v>
      </c>
      <c r="AM59" s="27">
        <f t="shared" si="396"/>
        <v>-167.52059682660115</v>
      </c>
      <c r="AN59" s="26">
        <f t="shared" si="396"/>
        <v>-222.24916508464332</v>
      </c>
      <c r="AO59" s="26">
        <f t="shared" si="396"/>
        <v>-273.0972865566643</v>
      </c>
      <c r="AP59" s="27">
        <f t="shared" si="396"/>
        <v>-273.0972865566643</v>
      </c>
      <c r="AQ59" s="26">
        <f t="shared" si="396"/>
        <v>-339.55391648660265</v>
      </c>
      <c r="AR59" s="26">
        <f t="shared" si="396"/>
        <v>-401.66939699461824</v>
      </c>
      <c r="AS59" s="27">
        <f t="shared" si="396"/>
        <v>-401.66939699461824</v>
      </c>
      <c r="AT59" s="26">
        <f t="shared" si="396"/>
        <v>-480.99894806130379</v>
      </c>
      <c r="AU59" s="26">
        <f t="shared" si="396"/>
        <v>-555.51117376351453</v>
      </c>
      <c r="AV59" s="27">
        <f t="shared" si="396"/>
        <v>-555.51117376351453</v>
      </c>
      <c r="AW59" s="26">
        <f t="shared" si="396"/>
        <v>-648.96424139311409</v>
      </c>
      <c r="AX59" s="26">
        <f t="shared" si="396"/>
        <v>-737.1089978815794</v>
      </c>
      <c r="AY59" s="27">
        <f t="shared" si="396"/>
        <v>-737.1089978815794</v>
      </c>
    </row>
    <row r="60" spans="1:51" s="24" customFormat="1" ht="12" customHeight="1" x14ac:dyDescent="0.2">
      <c r="A60" s="6"/>
      <c r="B60" s="23" t="s">
        <v>333</v>
      </c>
      <c r="C60" s="23"/>
      <c r="D60" s="26"/>
      <c r="E60" s="26"/>
      <c r="F60" s="27"/>
      <c r="G60" s="26"/>
      <c r="H60" s="26"/>
      <c r="I60" s="27">
        <f>+I34-I6-I10+I27</f>
        <v>-58.244</v>
      </c>
      <c r="J60" s="26"/>
      <c r="K60" s="26"/>
      <c r="L60" s="27">
        <f>+L34-L6-L10+L27</f>
        <v>-51.069000000000003</v>
      </c>
      <c r="M60" s="26"/>
      <c r="N60" s="26"/>
      <c r="O60" s="27">
        <f>+O34-O6-O10+O27</f>
        <v>-33.503999999999998</v>
      </c>
      <c r="P60" s="26">
        <f t="shared" ref="P60:Q60" si="397">+P34-P6-P10+P27</f>
        <v>-10.619</v>
      </c>
      <c r="Q60" s="26">
        <f t="shared" si="397"/>
        <v>-294.48</v>
      </c>
      <c r="R60" s="27">
        <f>+R34-R6-R10+R27</f>
        <v>-294.48</v>
      </c>
      <c r="S60" s="26">
        <f t="shared" ref="S60:T60" si="398">+S34-S6-S10+S27</f>
        <v>-274.49299999999999</v>
      </c>
      <c r="T60" s="26">
        <f t="shared" si="398"/>
        <v>-281.74299999999999</v>
      </c>
      <c r="U60" s="27">
        <f>+U34-U6-U10+U27</f>
        <v>-281.74299999999999</v>
      </c>
      <c r="V60" s="26">
        <f t="shared" ref="V60:AY60" si="399">+V34-V6-V10+V27</f>
        <v>-282.97794411082674</v>
      </c>
      <c r="W60" s="26">
        <f t="shared" si="399"/>
        <v>-282.60771543384453</v>
      </c>
      <c r="X60" s="27">
        <f t="shared" si="399"/>
        <v>-282.60771543384453</v>
      </c>
      <c r="Y60" s="26">
        <f t="shared" si="399"/>
        <v>-290.62228192239922</v>
      </c>
      <c r="Z60" s="26">
        <f t="shared" si="399"/>
        <v>-296.6732456513115</v>
      </c>
      <c r="AA60" s="27">
        <f t="shared" si="399"/>
        <v>-296.6732456513115</v>
      </c>
      <c r="AB60" s="26">
        <f t="shared" si="399"/>
        <v>-313.0564859303862</v>
      </c>
      <c r="AC60" s="26">
        <f t="shared" si="399"/>
        <v>-329.61011671505617</v>
      </c>
      <c r="AD60" s="27">
        <f t="shared" si="399"/>
        <v>-329.61011671505617</v>
      </c>
      <c r="AE60" s="26">
        <f t="shared" si="399"/>
        <v>-356.8274535076182</v>
      </c>
      <c r="AF60" s="26">
        <f t="shared" si="399"/>
        <v>-384.24769345688685</v>
      </c>
      <c r="AG60" s="27">
        <f t="shared" si="399"/>
        <v>-384.24769345688685</v>
      </c>
      <c r="AH60" s="26">
        <f t="shared" si="399"/>
        <v>-424.02219120104405</v>
      </c>
      <c r="AI60" s="26">
        <f t="shared" si="399"/>
        <v>-462.89648571341638</v>
      </c>
      <c r="AJ60" s="27">
        <f t="shared" si="399"/>
        <v>-462.89648571341638</v>
      </c>
      <c r="AK60" s="26">
        <f t="shared" si="399"/>
        <v>-511.4041399989444</v>
      </c>
      <c r="AL60" s="26">
        <f t="shared" si="399"/>
        <v>-557.9531499208066</v>
      </c>
      <c r="AM60" s="27">
        <f t="shared" si="399"/>
        <v>-557.9531499208066</v>
      </c>
      <c r="AN60" s="26">
        <f t="shared" si="399"/>
        <v>-616.25508403767617</v>
      </c>
      <c r="AO60" s="26">
        <f t="shared" si="399"/>
        <v>-672.90143494018787</v>
      </c>
      <c r="AP60" s="27">
        <f t="shared" si="399"/>
        <v>-672.90143494018787</v>
      </c>
      <c r="AQ60" s="26">
        <f t="shared" si="399"/>
        <v>-742.5659552669822</v>
      </c>
      <c r="AR60" s="26">
        <f t="shared" si="399"/>
        <v>-810.22720888977426</v>
      </c>
      <c r="AS60" s="27">
        <f t="shared" si="399"/>
        <v>-810.22720888977426</v>
      </c>
      <c r="AT60" s="26">
        <f t="shared" si="399"/>
        <v>-892.25949611062367</v>
      </c>
      <c r="AU60" s="26">
        <f t="shared" si="399"/>
        <v>-971.92429347685425</v>
      </c>
      <c r="AV60" s="27">
        <f t="shared" si="399"/>
        <v>-971.92429347685425</v>
      </c>
      <c r="AW60" s="26">
        <f t="shared" si="399"/>
        <v>-1067.4048916108941</v>
      </c>
      <c r="AX60" s="26">
        <f t="shared" si="399"/>
        <v>-1160.1361293536852</v>
      </c>
      <c r="AY60" s="27">
        <f t="shared" si="399"/>
        <v>-1160.1361293536852</v>
      </c>
    </row>
    <row r="61" spans="1:51" ht="12" customHeight="1" x14ac:dyDescent="0.2">
      <c r="A61" s="6"/>
      <c r="B61" s="6" t="s">
        <v>163</v>
      </c>
      <c r="D61" s="53"/>
      <c r="E61" s="53"/>
      <c r="F61" s="56"/>
      <c r="G61" s="53"/>
      <c r="H61" s="53"/>
      <c r="I61" s="56">
        <f t="shared" ref="I61" si="400">I59/I46</f>
        <v>0.81198076082203763</v>
      </c>
      <c r="J61" s="53"/>
      <c r="K61" s="53"/>
      <c r="L61" s="56">
        <f t="shared" ref="L61" si="401">L59/L46</f>
        <v>0.93102257734374061</v>
      </c>
      <c r="M61" s="53"/>
      <c r="N61" s="53"/>
      <c r="O61" s="56">
        <f t="shared" ref="O61" si="402">O59/O46</f>
        <v>1.6849087705337349</v>
      </c>
      <c r="P61" s="53">
        <f t="shared" ref="P61:R61" si="403">P59/P46</f>
        <v>2.6687571805095622</v>
      </c>
      <c r="Q61" s="53">
        <f t="shared" si="403"/>
        <v>-0.15532559841120522</v>
      </c>
      <c r="R61" s="56">
        <f t="shared" si="403"/>
        <v>-0.15532559841120522</v>
      </c>
      <c r="S61" s="53">
        <f t="shared" ref="S61:U61" si="404">S59/S46</f>
        <v>-9.7379723800634411E-4</v>
      </c>
      <c r="T61" s="53">
        <f t="shared" si="404"/>
        <v>0.13039955382980281</v>
      </c>
      <c r="U61" s="56">
        <f t="shared" si="404"/>
        <v>0.13039955382980281</v>
      </c>
      <c r="V61" s="53">
        <f t="shared" ref="V61:AY61" si="405">V59/V46</f>
        <v>0.13384110131782803</v>
      </c>
      <c r="W61" s="53">
        <f t="shared" si="405"/>
        <v>0.14540252579046295</v>
      </c>
      <c r="X61" s="56">
        <f t="shared" si="405"/>
        <v>0.14540252579046295</v>
      </c>
      <c r="Y61" s="53">
        <f t="shared" si="405"/>
        <v>0.13004131737599028</v>
      </c>
      <c r="Z61" s="53">
        <f t="shared" si="405"/>
        <v>0.12484691762443328</v>
      </c>
      <c r="AA61" s="56">
        <f t="shared" si="405"/>
        <v>0.12484691762443328</v>
      </c>
      <c r="AB61" s="53">
        <f t="shared" si="405"/>
        <v>9.1230814791218723E-2</v>
      </c>
      <c r="AC61" s="53">
        <f t="shared" si="405"/>
        <v>6.4439766672203386E-2</v>
      </c>
      <c r="AD61" s="56">
        <f t="shared" si="405"/>
        <v>6.4439766672203386E-2</v>
      </c>
      <c r="AE61" s="53">
        <f t="shared" si="405"/>
        <v>1.5312511367637989E-2</v>
      </c>
      <c r="AF61" s="53">
        <f t="shared" si="405"/>
        <v>-2.4543744777552168E-2</v>
      </c>
      <c r="AG61" s="56">
        <f t="shared" si="405"/>
        <v>-2.4543744777552168E-2</v>
      </c>
      <c r="AH61" s="53">
        <f t="shared" si="405"/>
        <v>-8.2366741594663728E-2</v>
      </c>
      <c r="AI61" s="53">
        <f t="shared" si="405"/>
        <v>-0.12757907149901926</v>
      </c>
      <c r="AJ61" s="56">
        <f t="shared" si="405"/>
        <v>-0.12757907149901926</v>
      </c>
      <c r="AK61" s="53">
        <f t="shared" si="405"/>
        <v>-0.18179461336147543</v>
      </c>
      <c r="AL61" s="53">
        <f t="shared" si="405"/>
        <v>-0.22300787506467754</v>
      </c>
      <c r="AM61" s="56">
        <f t="shared" si="405"/>
        <v>-0.22300787506467754</v>
      </c>
      <c r="AN61" s="53">
        <f t="shared" si="405"/>
        <v>-0.27272208124878194</v>
      </c>
      <c r="AO61" s="53">
        <f t="shared" si="405"/>
        <v>-0.3110612655471805</v>
      </c>
      <c r="AP61" s="56">
        <f t="shared" si="405"/>
        <v>-0.3110612655471805</v>
      </c>
      <c r="AQ61" s="53">
        <f t="shared" si="405"/>
        <v>-0.3563302912743031</v>
      </c>
      <c r="AR61" s="53">
        <f t="shared" si="405"/>
        <v>-0.3911430513850559</v>
      </c>
      <c r="AS61" s="56">
        <f t="shared" si="405"/>
        <v>-0.3911430513850559</v>
      </c>
      <c r="AT61" s="53">
        <f t="shared" si="405"/>
        <v>-0.43168934576752943</v>
      </c>
      <c r="AU61" s="53">
        <f t="shared" si="405"/>
        <v>-0.46281623455033322</v>
      </c>
      <c r="AV61" s="56">
        <f t="shared" si="405"/>
        <v>-0.46281623455033322</v>
      </c>
      <c r="AW61" s="53">
        <f t="shared" si="405"/>
        <v>-0.49877000851432141</v>
      </c>
      <c r="AX61" s="53">
        <f t="shared" si="405"/>
        <v>-0.52635007460893524</v>
      </c>
      <c r="AY61" s="56">
        <f t="shared" si="405"/>
        <v>-0.52635007460893524</v>
      </c>
    </row>
    <row r="62" spans="1:51" ht="12" customHeight="1" x14ac:dyDescent="0.2">
      <c r="A62" s="6"/>
      <c r="B62" s="6" t="s">
        <v>164</v>
      </c>
      <c r="D62" s="53"/>
      <c r="E62" s="53"/>
      <c r="F62" s="56"/>
      <c r="G62" s="53"/>
      <c r="H62" s="53"/>
      <c r="I62" s="56">
        <f t="shared" ref="I62" si="406">I59/(I59+I46)</f>
        <v>0.4481177606177606</v>
      </c>
      <c r="J62" s="53"/>
      <c r="K62" s="53"/>
      <c r="L62" s="56">
        <f t="shared" ref="L62" si="407">L59/(L59+L46)</f>
        <v>0.48213966437638894</v>
      </c>
      <c r="M62" s="53"/>
      <c r="N62" s="53"/>
      <c r="O62" s="56">
        <f t="shared" ref="O62" si="408">O59/(O59+O46)</f>
        <v>0.62754786643971916</v>
      </c>
      <c r="P62" s="53">
        <f t="shared" ref="P62:R62" si="409">P59/(P59+P46)</f>
        <v>0.72742813143575036</v>
      </c>
      <c r="Q62" s="53">
        <f t="shared" si="409"/>
        <v>-0.18388813265684947</v>
      </c>
      <c r="R62" s="56">
        <f t="shared" si="409"/>
        <v>-0.18388813265684947</v>
      </c>
      <c r="S62" s="53">
        <f t="shared" ref="S62:U62" si="410">S59/(S59+S46)</f>
        <v>-9.7474644340068419E-4</v>
      </c>
      <c r="T62" s="53">
        <f t="shared" si="410"/>
        <v>0.1153570464425681</v>
      </c>
      <c r="U62" s="56">
        <f t="shared" si="410"/>
        <v>0.1153570464425681</v>
      </c>
      <c r="V62" s="53">
        <f t="shared" ref="V62:AY62" si="411">V59/(V59+V46)</f>
        <v>0.11804220288210465</v>
      </c>
      <c r="W62" s="53">
        <f t="shared" si="411"/>
        <v>0.12694447804724199</v>
      </c>
      <c r="X62" s="56">
        <f t="shared" si="411"/>
        <v>0.12694447804724199</v>
      </c>
      <c r="Y62" s="53">
        <f t="shared" si="411"/>
        <v>0.11507660417050274</v>
      </c>
      <c r="Z62" s="53">
        <f t="shared" si="411"/>
        <v>0.11099014067451753</v>
      </c>
      <c r="AA62" s="56">
        <f t="shared" si="411"/>
        <v>0.11099014067451753</v>
      </c>
      <c r="AB62" s="53">
        <f t="shared" si="411"/>
        <v>8.3603591059397991E-2</v>
      </c>
      <c r="AC62" s="53">
        <f t="shared" si="411"/>
        <v>6.0538668969183446E-2</v>
      </c>
      <c r="AD62" s="56">
        <f t="shared" si="411"/>
        <v>6.0538668969183446E-2</v>
      </c>
      <c r="AE62" s="53">
        <f t="shared" si="411"/>
        <v>1.5081574585357816E-2</v>
      </c>
      <c r="AF62" s="53">
        <f t="shared" si="411"/>
        <v>-2.5161297235164165E-2</v>
      </c>
      <c r="AG62" s="56">
        <f t="shared" si="411"/>
        <v>-2.5161297235164165E-2</v>
      </c>
      <c r="AH62" s="53">
        <f t="shared" si="411"/>
        <v>-8.9759978553742376E-2</v>
      </c>
      <c r="AI62" s="53">
        <f t="shared" si="411"/>
        <v>-0.14623568432525955</v>
      </c>
      <c r="AJ62" s="56">
        <f t="shared" si="411"/>
        <v>-0.14623568432525955</v>
      </c>
      <c r="AK62" s="53">
        <f t="shared" si="411"/>
        <v>-0.22218701603560889</v>
      </c>
      <c r="AL62" s="53">
        <f t="shared" si="411"/>
        <v>-0.28701433117258546</v>
      </c>
      <c r="AM62" s="56">
        <f t="shared" si="411"/>
        <v>-0.28701433117258546</v>
      </c>
      <c r="AN62" s="53">
        <f t="shared" si="411"/>
        <v>-0.37499018493104114</v>
      </c>
      <c r="AO62" s="53">
        <f t="shared" si="411"/>
        <v>-0.45150787724867419</v>
      </c>
      <c r="AP62" s="56">
        <f t="shared" si="411"/>
        <v>-0.45150787724867419</v>
      </c>
      <c r="AQ62" s="53">
        <f t="shared" si="411"/>
        <v>-0.55359182892068493</v>
      </c>
      <c r="AR62" s="53">
        <f t="shared" si="411"/>
        <v>-0.64242192238233653</v>
      </c>
      <c r="AS62" s="56">
        <f t="shared" si="411"/>
        <v>-0.64242192238233653</v>
      </c>
      <c r="AT62" s="53">
        <f t="shared" si="411"/>
        <v>-0.75960100792153118</v>
      </c>
      <c r="AU62" s="53">
        <f t="shared" si="411"/>
        <v>-0.86156035293233058</v>
      </c>
      <c r="AV62" s="56">
        <f t="shared" si="411"/>
        <v>-0.86156035293233058</v>
      </c>
      <c r="AW62" s="53">
        <f t="shared" si="411"/>
        <v>-0.99509210738953269</v>
      </c>
      <c r="AX62" s="53">
        <f t="shared" si="411"/>
        <v>-1.1112639238238222</v>
      </c>
      <c r="AY62" s="56">
        <f t="shared" si="411"/>
        <v>-1.1112639238238222</v>
      </c>
    </row>
    <row r="63" spans="1:51" s="24" customFormat="1" ht="12" customHeight="1" x14ac:dyDescent="0.2">
      <c r="A63" s="6"/>
      <c r="B63" s="23" t="s">
        <v>297</v>
      </c>
      <c r="C63" s="23"/>
      <c r="D63" s="26"/>
      <c r="E63" s="26"/>
      <c r="F63" s="27"/>
      <c r="G63" s="26"/>
      <c r="H63" s="26"/>
      <c r="I63" s="27">
        <f>I59/'Income &amp; Cash Flow'!I20</f>
        <v>3.3825136612021858</v>
      </c>
      <c r="J63" s="26"/>
      <c r="K63" s="26"/>
      <c r="L63" s="27">
        <f>L59/'Income &amp; Cash Flow'!L20</f>
        <v>3.4794930875576044</v>
      </c>
      <c r="M63" s="26"/>
      <c r="N63" s="26"/>
      <c r="O63" s="27">
        <f>O59/'Income &amp; Cash Flow'!O20</f>
        <v>5.0584641638225252</v>
      </c>
      <c r="P63" s="26">
        <f>P59/'Income &amp; Cash Flow'!P20</f>
        <v>7.993846153846154</v>
      </c>
      <c r="Q63" s="26">
        <f>Q59/'Income &amp; Cash Flow'!Q20</f>
        <v>-2.7354228855721407</v>
      </c>
      <c r="R63" s="27">
        <f>R59/'Income &amp; Cash Flow'!R20</f>
        <v>-1.2272767857142863</v>
      </c>
      <c r="S63" s="26">
        <f>S59/'Income &amp; Cash Flow'!S20</f>
        <v>-1.1337006776869539E-2</v>
      </c>
      <c r="T63" s="26">
        <f>T59/'Income &amp; Cash Flow'!T20</f>
        <v>1.477833099788318</v>
      </c>
      <c r="U63" s="27">
        <f>U59/'Income &amp; Cash Flow'!U20</f>
        <v>0.76119105023111489</v>
      </c>
      <c r="V63" s="26">
        <f>V59/'Income &amp; Cash Flow'!V20</f>
        <v>1.2332648573241822</v>
      </c>
      <c r="W63" s="26">
        <f>W59/'Income &amp; Cash Flow'!W20</f>
        <v>1.4362237112143108</v>
      </c>
      <c r="X63" s="27">
        <f>X59/'Income &amp; Cash Flow'!X20</f>
        <v>0.70212227095829416</v>
      </c>
      <c r="Y63" s="26">
        <f>Y59/'Income &amp; Cash Flow'!Y20</f>
        <v>0.98005412952707949</v>
      </c>
      <c r="Z63" s="26">
        <f>Z59/'Income &amp; Cash Flow'!Z20</f>
        <v>0.9950800370478059</v>
      </c>
      <c r="AA63" s="27">
        <f>AA59/'Income &amp; Cash Flow'!AA20</f>
        <v>0.49236637157930419</v>
      </c>
      <c r="AB63" s="26">
        <f>AB59/'Income &amp; Cash Flow'!AB20</f>
        <v>0.57199341179539087</v>
      </c>
      <c r="AC63" s="26">
        <f>AC59/'Income &amp; Cash Flow'!AC20</f>
        <v>0.43448785674133533</v>
      </c>
      <c r="AD63" s="27">
        <f>AD59/'Income &amp; Cash Flow'!AD20</f>
        <v>0.21502201845254537</v>
      </c>
      <c r="AE63" s="26">
        <f>AE59/'Income &amp; Cash Flow'!AE20</f>
        <v>8.6935246078653619E-2</v>
      </c>
      <c r="AF63" s="26">
        <f>AF59/'Income &amp; Cash Flow'!AF20</f>
        <v>-0.15200767356079592</v>
      </c>
      <c r="AG63" s="27">
        <f>AG59/'Income &amp; Cash Flow'!AG20</f>
        <v>-7.5166694432188361E-2</v>
      </c>
      <c r="AH63" s="26">
        <f>AH59/'Income &amp; Cash Flow'!AH20</f>
        <v>-0.4421416384306337</v>
      </c>
      <c r="AI63" s="26">
        <f>AI59/'Income &amp; Cash Flow'!AI20</f>
        <v>-0.76677610842711885</v>
      </c>
      <c r="AJ63" s="27">
        <f>AJ59/'Income &amp; Cash Flow'!AJ20</f>
        <v>-0.37577198448745364</v>
      </c>
      <c r="AK63" s="26">
        <f>AK59/'Income &amp; Cash Flow'!AK20</f>
        <v>-1.0279411433083674</v>
      </c>
      <c r="AL63" s="26">
        <f>AL59/'Income &amp; Cash Flow'!AL20</f>
        <v>-1.3916243839581539</v>
      </c>
      <c r="AM63" s="27">
        <f>AM59/'Income &amp; Cash Flow'!AM20</f>
        <v>-0.6870200031812117</v>
      </c>
      <c r="AN63" s="26">
        <f>AN59/'Income &amp; Cash Flow'!AN20</f>
        <v>-1.5823943798871798</v>
      </c>
      <c r="AO63" s="26">
        <f>AO59/'Income &amp; Cash Flow'!AO20</f>
        <v>-1.9984117395754346</v>
      </c>
      <c r="AP63" s="27">
        <f>AP59/'Income &amp; Cash Flow'!AP20</f>
        <v>-0.98552528338184497</v>
      </c>
      <c r="AQ63" s="26">
        <f>AQ59/'Income &amp; Cash Flow'!AQ20</f>
        <v>-2.1393687419173406</v>
      </c>
      <c r="AR63" s="26">
        <f>AR59/'Income &amp; Cash Flow'!AR20</f>
        <v>-2.6056404260604382</v>
      </c>
      <c r="AS63" s="27">
        <f>AS59/'Income &amp; Cash Flow'!AS20</f>
        <v>-1.2838192267435999</v>
      </c>
      <c r="AT63" s="26">
        <f>AT59/'Income &amp; Cash Flow'!AT20</f>
        <v>-2.6972520037847891</v>
      </c>
      <c r="AU63" s="26">
        <f>AU59/'Income &amp; Cash Flow'!AU20</f>
        <v>-3.2122108247935088</v>
      </c>
      <c r="AV63" s="27">
        <f>AV59/'Income &amp; Cash Flow'!AV20</f>
        <v>-1.5814517745177712</v>
      </c>
      <c r="AW63" s="26">
        <f>AW59/'Income &amp; Cash Flow'!AW20</f>
        <v>-3.2551585461472103</v>
      </c>
      <c r="AX63" s="26">
        <f>AX59/'Income &amp; Cash Flow'!AX20</f>
        <v>-3.8176286194126638</v>
      </c>
      <c r="AY63" s="27">
        <f>AY59/'Income &amp; Cash Flow'!AY20</f>
        <v>-1.8782469673681457</v>
      </c>
    </row>
    <row r="64" spans="1:51" s="24" customFormat="1" ht="12" customHeight="1" x14ac:dyDescent="0.2">
      <c r="A64" s="6"/>
      <c r="B64" s="23" t="s">
        <v>334</v>
      </c>
      <c r="C64" s="23"/>
      <c r="D64" s="26"/>
      <c r="E64" s="26"/>
      <c r="F64" s="27"/>
      <c r="G64" s="26"/>
      <c r="H64" s="26"/>
      <c r="I64" s="27">
        <f>I60/'Income &amp; Cash Flow'!I20</f>
        <v>-3.6583129200427109</v>
      </c>
      <c r="J64" s="26"/>
      <c r="K64" s="26"/>
      <c r="L64" s="27">
        <f>L60/'Income &amp; Cash Flow'!L20</f>
        <v>-2.3534101382488481</v>
      </c>
      <c r="M64" s="26"/>
      <c r="N64" s="26"/>
      <c r="O64" s="27">
        <f>O60/'Income &amp; Cash Flow'!O20</f>
        <v>-1.143481228668942</v>
      </c>
      <c r="P64" s="26">
        <f>P60/'Income &amp; Cash Flow'!P20</f>
        <v>-0.429919028340081</v>
      </c>
      <c r="Q64" s="26">
        <f>Q60/'Income &amp; Cash Flow'!Q20</f>
        <v>-14.650746268656718</v>
      </c>
      <c r="R64" s="27">
        <f>R60/'Income &amp; Cash Flow'!R20</f>
        <v>-6.5732142857142861</v>
      </c>
      <c r="S64" s="26">
        <f>S60/'Income &amp; Cash Flow'!S20</f>
        <v>-8.6925391095066189</v>
      </c>
      <c r="T64" s="26">
        <f>T60/'Income &amp; Cash Flow'!T20</f>
        <v>-8.3999582600399521</v>
      </c>
      <c r="U64" s="27">
        <f>U60/'Income &amp; Cash Flow'!U20</f>
        <v>-4.3265867104838831</v>
      </c>
      <c r="V64" s="26">
        <f>V60/'Income &amp; Cash Flow'!V20</f>
        <v>-6.6682445836942676</v>
      </c>
      <c r="W64" s="26">
        <f>W60/'Income &amp; Cash Flow'!W20</f>
        <v>-6.9628377527878511</v>
      </c>
      <c r="X64" s="27">
        <f>X60/'Income &amp; Cash Flow'!X20</f>
        <v>-3.4039010894536461</v>
      </c>
      <c r="Y64" s="26">
        <f>Y60/'Income &amp; Cash Flow'!Y20</f>
        <v>-5.2411924777540033</v>
      </c>
      <c r="Z64" s="26">
        <f>Z60/'Income &amp; Cash Flow'!Z20</f>
        <v>-5.4627571145695555</v>
      </c>
      <c r="AA64" s="27">
        <f>AA60/'Income &amp; Cash Flow'!AA20</f>
        <v>-2.7029764432812384</v>
      </c>
      <c r="AB64" s="26">
        <f>AB60/'Income &amp; Cash Flow'!AB20</f>
        <v>-4.2892848438438973</v>
      </c>
      <c r="AC64" s="26">
        <f>AC60/'Income &amp; Cash Flow'!AC20</f>
        <v>-4.6094245320600509</v>
      </c>
      <c r="AD64" s="27">
        <f>AD60/'Income &amp; Cash Flow'!AD20</f>
        <v>-2.2811403159151626</v>
      </c>
      <c r="AE64" s="26">
        <f>AE60/'Income &amp; Cash Flow'!AE20</f>
        <v>-3.9176278638195159</v>
      </c>
      <c r="AF64" s="26">
        <f>AF60/'Income &amp; Cash Flow'!AF20</f>
        <v>-4.3126441707517076</v>
      </c>
      <c r="AG64" s="27">
        <f>AG60/'Income &amp; Cash Flow'!AG20</f>
        <v>-2.1325713300124964</v>
      </c>
      <c r="AH64" s="26">
        <f>AH60/'Income &amp; Cash Flow'!AH20</f>
        <v>-3.8000938654261529</v>
      </c>
      <c r="AI64" s="26">
        <f>AI60/'Income &amp; Cash Flow'!AI20</f>
        <v>-4.3166472623401333</v>
      </c>
      <c r="AJ64" s="27">
        <f>AJ60/'Income &amp; Cash Flow'!AJ20</f>
        <v>-2.1154481605187652</v>
      </c>
      <c r="AK64" s="26">
        <f>AK60/'Income &amp; Cash Flow'!AK20</f>
        <v>-4.1423052644483676</v>
      </c>
      <c r="AL64" s="26">
        <f>AL60/'Income &amp; Cash Flow'!AL20</f>
        <v>-4.6350193543051965</v>
      </c>
      <c r="AM64" s="27">
        <f>AM60/'Income &amp; Cash Flow'!AM20</f>
        <v>-2.2882259381533565</v>
      </c>
      <c r="AN64" s="26">
        <f>AN60/'Income &amp; Cash Flow'!AN20</f>
        <v>-4.3876816418488342</v>
      </c>
      <c r="AO64" s="26">
        <f>AO60/'Income &amp; Cash Flow'!AO20</f>
        <v>-4.9240113078992866</v>
      </c>
      <c r="AP64" s="27">
        <f>AP60/'Income &amp; Cash Flow'!AP20</f>
        <v>-2.4282972039705015</v>
      </c>
      <c r="AQ64" s="26">
        <f>AQ60/'Income &amp; Cash Flow'!AQ20</f>
        <v>-4.6785571197287377</v>
      </c>
      <c r="AR64" s="26">
        <f>AR60/'Income &amp; Cash Flow'!AR20</f>
        <v>-5.2559661890437663</v>
      </c>
      <c r="AS64" s="27">
        <f>AS60/'Income &amp; Cash Flow'!AS20</f>
        <v>-2.5896552652166132</v>
      </c>
      <c r="AT64" s="26">
        <f>AT60/'Income &amp; Cash Flow'!AT20</f>
        <v>-5.0034386218109903</v>
      </c>
      <c r="AU64" s="26">
        <f>AU60/'Income &amp; Cash Flow'!AU20</f>
        <v>-5.6200952993165272</v>
      </c>
      <c r="AV64" s="27">
        <f>AV60/'Income &amp; Cash Flow'!AV20</f>
        <v>-2.7669135585564963</v>
      </c>
      <c r="AW64" s="26">
        <f>AW60/'Income &amp; Cash Flow'!AW20</f>
        <v>-5.3540271304745053</v>
      </c>
      <c r="AX64" s="26">
        <f>AX60/'Income &amp; Cash Flow'!AX20</f>
        <v>-6.0085671217743011</v>
      </c>
      <c r="AY64" s="27">
        <f>AY60/'Income &amp; Cash Flow'!AY20</f>
        <v>-2.9561736092697242</v>
      </c>
    </row>
    <row r="65" spans="1:51" ht="12" customHeight="1" x14ac:dyDescent="0.2">
      <c r="A65" s="6"/>
      <c r="B65" s="6" t="s">
        <v>165</v>
      </c>
      <c r="D65" s="53"/>
      <c r="E65" s="53"/>
      <c r="F65" s="56"/>
      <c r="G65" s="53"/>
      <c r="H65" s="53"/>
      <c r="I65" s="56">
        <f t="shared" ref="I65" si="412">I39/I46</f>
        <v>2.1720670054129037</v>
      </c>
      <c r="J65" s="53"/>
      <c r="K65" s="53"/>
      <c r="L65" s="56">
        <f t="shared" ref="L65" si="413">L39/L46</f>
        <v>2.0632806816360256</v>
      </c>
      <c r="M65" s="53"/>
      <c r="N65" s="53"/>
      <c r="O65" s="56">
        <f t="shared" ref="O65" si="414">O39/O46</f>
        <v>2.6890467799693054</v>
      </c>
      <c r="P65" s="53">
        <f t="shared" ref="P65:R65" si="415">P39/P46</f>
        <v>3.4673109414070411</v>
      </c>
      <c r="Q65" s="53">
        <f t="shared" si="415"/>
        <v>0.8695939589636672</v>
      </c>
      <c r="R65" s="56">
        <f t="shared" si="415"/>
        <v>0.8695939589636672</v>
      </c>
      <c r="S65" s="53">
        <f t="shared" ref="S65:U65" si="416">S39/S46</f>
        <v>0.89038796843591295</v>
      </c>
      <c r="T65" s="53">
        <f t="shared" si="416"/>
        <v>1.0603750355147268</v>
      </c>
      <c r="U65" s="56">
        <f t="shared" si="416"/>
        <v>1.0603750355147268</v>
      </c>
      <c r="V65" s="53">
        <f t="shared" ref="V65:AY65" si="417">V39/V46</f>
        <v>1.0618827295225535</v>
      </c>
      <c r="W65" s="53">
        <f t="shared" si="417"/>
        <v>1.0524204334564105</v>
      </c>
      <c r="X65" s="56">
        <f t="shared" si="417"/>
        <v>1.0524204334564105</v>
      </c>
      <c r="Y65" s="53">
        <f t="shared" si="417"/>
        <v>1.0367377700042522</v>
      </c>
      <c r="Z65" s="53">
        <f t="shared" si="417"/>
        <v>1.0166267105377635</v>
      </c>
      <c r="AA65" s="56">
        <f t="shared" si="417"/>
        <v>1.0166267105377635</v>
      </c>
      <c r="AB65" s="53">
        <f t="shared" si="417"/>
        <v>0.98687994580254235</v>
      </c>
      <c r="AC65" s="53">
        <f t="shared" si="417"/>
        <v>0.95079339823153186</v>
      </c>
      <c r="AD65" s="56">
        <f t="shared" si="417"/>
        <v>0.95079339823153186</v>
      </c>
      <c r="AE65" s="53">
        <f t="shared" si="417"/>
        <v>0.90832506427686177</v>
      </c>
      <c r="AF65" s="53">
        <f t="shared" si="417"/>
        <v>0.86363508366304509</v>
      </c>
      <c r="AG65" s="56">
        <f t="shared" si="417"/>
        <v>0.86363508366304509</v>
      </c>
      <c r="AH65" s="53">
        <f t="shared" si="417"/>
        <v>0.81497423972707062</v>
      </c>
      <c r="AI65" s="53">
        <f t="shared" si="417"/>
        <v>0.76800362650248333</v>
      </c>
      <c r="AJ65" s="56">
        <f t="shared" si="417"/>
        <v>0.76800362650248333</v>
      </c>
      <c r="AK65" s="53">
        <f t="shared" si="417"/>
        <v>0.72885475296352475</v>
      </c>
      <c r="AL65" s="53">
        <f t="shared" si="417"/>
        <v>0.68600182479749816</v>
      </c>
      <c r="AM65" s="56">
        <f t="shared" si="417"/>
        <v>0.68600182479749816</v>
      </c>
      <c r="AN65" s="53">
        <f t="shared" si="417"/>
        <v>0.64903348852432319</v>
      </c>
      <c r="AO65" s="53">
        <f t="shared" si="417"/>
        <v>0.60961662476368128</v>
      </c>
      <c r="AP65" s="56">
        <f t="shared" si="417"/>
        <v>0.60961662476368128</v>
      </c>
      <c r="AQ65" s="53">
        <f t="shared" si="417"/>
        <v>0.57629528158006049</v>
      </c>
      <c r="AR65" s="53">
        <f t="shared" si="417"/>
        <v>0.54058146828739873</v>
      </c>
      <c r="AS65" s="56">
        <f t="shared" si="417"/>
        <v>0.54058146828739873</v>
      </c>
      <c r="AT65" s="53">
        <f t="shared" si="417"/>
        <v>0.51096118047433925</v>
      </c>
      <c r="AU65" s="53">
        <f t="shared" si="417"/>
        <v>0.47889840049432636</v>
      </c>
      <c r="AV65" s="56">
        <f t="shared" si="417"/>
        <v>0.47889840049432636</v>
      </c>
      <c r="AW65" s="53">
        <f t="shared" si="417"/>
        <v>0.45278516895296594</v>
      </c>
      <c r="AX65" s="53">
        <f t="shared" si="417"/>
        <v>0.42413432855151545</v>
      </c>
      <c r="AY65" s="56">
        <f t="shared" si="417"/>
        <v>0.42413432855151545</v>
      </c>
    </row>
    <row r="66" spans="1:51" x14ac:dyDescent="0.2">
      <c r="A66" s="6"/>
      <c r="B66" s="6"/>
      <c r="D66" s="6"/>
      <c r="E66" s="6"/>
      <c r="F66" s="13"/>
      <c r="G66" s="6"/>
      <c r="H66" s="6"/>
      <c r="I66" s="13"/>
      <c r="J66" s="6"/>
      <c r="K66" s="6"/>
      <c r="L66" s="13"/>
      <c r="M66" s="6"/>
      <c r="N66" s="6"/>
      <c r="O66" s="13"/>
      <c r="P66" s="6"/>
      <c r="Q66" s="6"/>
      <c r="R66" s="13"/>
      <c r="S66" s="6"/>
      <c r="T66" s="6"/>
      <c r="U66" s="13"/>
      <c r="V66" s="6"/>
      <c r="W66" s="6"/>
      <c r="X66" s="13"/>
      <c r="Y66" s="6"/>
      <c r="Z66" s="6"/>
      <c r="AA66" s="13"/>
      <c r="AB66" s="6"/>
      <c r="AC66" s="6"/>
      <c r="AD66" s="13"/>
      <c r="AE66" s="6"/>
      <c r="AF66" s="6"/>
      <c r="AG66" s="13"/>
      <c r="AH66" s="6"/>
      <c r="AI66" s="6"/>
      <c r="AJ66" s="13"/>
      <c r="AK66" s="6"/>
      <c r="AL66" s="6"/>
      <c r="AM66" s="13"/>
      <c r="AN66" s="6"/>
      <c r="AO66" s="6"/>
      <c r="AP66" s="13"/>
      <c r="AQ66" s="6"/>
      <c r="AR66" s="6"/>
      <c r="AS66" s="13"/>
      <c r="AT66" s="6"/>
      <c r="AU66" s="6"/>
      <c r="AV66" s="13"/>
      <c r="AW66" s="6"/>
      <c r="AX66" s="6"/>
      <c r="AY66" s="13"/>
    </row>
    <row r="67" spans="1:51" s="24" customFormat="1" ht="12" customHeight="1" x14ac:dyDescent="0.2">
      <c r="A67" s="6"/>
      <c r="B67" s="23" t="s">
        <v>166</v>
      </c>
      <c r="C67" s="23"/>
      <c r="D67" s="26"/>
      <c r="E67" s="26"/>
      <c r="F67" s="27"/>
      <c r="G67" s="26"/>
      <c r="H67" s="26"/>
      <c r="I67" s="27">
        <f>I23-I39-I17</f>
        <v>59.829000000000008</v>
      </c>
      <c r="J67" s="26"/>
      <c r="K67" s="26"/>
      <c r="L67" s="27">
        <f>L23-L39-L17</f>
        <v>65.688999999999993</v>
      </c>
      <c r="M67" s="26"/>
      <c r="N67" s="26"/>
      <c r="O67" s="27">
        <f>O23-O39-O17</f>
        <v>72.763000000000034</v>
      </c>
      <c r="P67" s="26">
        <f t="shared" ref="P67:Q67" si="418">P23-P39-P17</f>
        <v>62.288000000000068</v>
      </c>
      <c r="Q67" s="26">
        <f t="shared" si="418"/>
        <v>343.39300000000003</v>
      </c>
      <c r="R67" s="27">
        <f>R23-R39-R17</f>
        <v>343.39300000000003</v>
      </c>
      <c r="S67" s="26">
        <f t="shared" ref="S67:T67" si="419">S23-S39-S17</f>
        <v>348.48</v>
      </c>
      <c r="T67" s="26">
        <f t="shared" si="419"/>
        <v>361.81899999999996</v>
      </c>
      <c r="U67" s="27">
        <f>U23-U39-U17</f>
        <v>361.81899999999996</v>
      </c>
      <c r="V67" s="26">
        <f t="shared" ref="V67:AY67" si="420">V23-V39-V17</f>
        <v>376.40330770324312</v>
      </c>
      <c r="W67" s="26">
        <f t="shared" si="420"/>
        <v>389.44246522826199</v>
      </c>
      <c r="X67" s="27">
        <f t="shared" si="420"/>
        <v>389.44246522826199</v>
      </c>
      <c r="Y67" s="26">
        <f t="shared" si="420"/>
        <v>410.29112711836171</v>
      </c>
      <c r="Z67" s="26">
        <f t="shared" si="420"/>
        <v>428.56915576031736</v>
      </c>
      <c r="AA67" s="27">
        <f t="shared" si="420"/>
        <v>428.56915576031736</v>
      </c>
      <c r="AB67" s="26">
        <f t="shared" si="420"/>
        <v>457.3687468356992</v>
      </c>
      <c r="AC67" s="26">
        <f t="shared" si="420"/>
        <v>485.39204699521713</v>
      </c>
      <c r="AD67" s="27">
        <f t="shared" si="420"/>
        <v>485.39204699521713</v>
      </c>
      <c r="AE67" s="26">
        <f t="shared" si="420"/>
        <v>524.6194879600863</v>
      </c>
      <c r="AF67" s="26">
        <f t="shared" si="420"/>
        <v>562.97489449377269</v>
      </c>
      <c r="AG67" s="27">
        <f t="shared" si="420"/>
        <v>562.97489449377269</v>
      </c>
      <c r="AH67" s="26">
        <f t="shared" si="420"/>
        <v>614.60298859539375</v>
      </c>
      <c r="AI67" s="26">
        <f t="shared" si="420"/>
        <v>663.97650165087646</v>
      </c>
      <c r="AJ67" s="27">
        <f t="shared" si="420"/>
        <v>663.97650165087646</v>
      </c>
      <c r="AK67" s="26">
        <f t="shared" si="420"/>
        <v>722.25501054866868</v>
      </c>
      <c r="AL67" s="26">
        <f t="shared" si="420"/>
        <v>779.38352816426573</v>
      </c>
      <c r="AM67" s="27">
        <f t="shared" si="420"/>
        <v>779.38352816426573</v>
      </c>
      <c r="AN67" s="26">
        <f t="shared" si="420"/>
        <v>848.0576218490171</v>
      </c>
      <c r="AO67" s="26">
        <f t="shared" si="420"/>
        <v>915.31161851083607</v>
      </c>
      <c r="AP67" s="27">
        <f t="shared" si="420"/>
        <v>915.31161851083607</v>
      </c>
      <c r="AQ67" s="26">
        <f t="shared" si="420"/>
        <v>995.45576193131296</v>
      </c>
      <c r="AR67" s="26">
        <f t="shared" si="420"/>
        <v>1073.8897143662223</v>
      </c>
      <c r="AS67" s="27">
        <f t="shared" si="420"/>
        <v>1073.8897143662223</v>
      </c>
      <c r="AT67" s="26">
        <f t="shared" si="420"/>
        <v>1166.6401033946845</v>
      </c>
      <c r="AU67" s="26">
        <f t="shared" si="420"/>
        <v>1257.3632038556684</v>
      </c>
      <c r="AV67" s="27">
        <f t="shared" si="420"/>
        <v>1257.3632038556684</v>
      </c>
      <c r="AW67" s="26">
        <f t="shared" si="420"/>
        <v>1363.9171725224255</v>
      </c>
      <c r="AX67" s="26">
        <f t="shared" si="420"/>
        <v>1468.1002616386093</v>
      </c>
      <c r="AY67" s="27">
        <f t="shared" si="420"/>
        <v>1468.1002616386093</v>
      </c>
    </row>
    <row r="68" spans="1:51" s="24" customFormat="1" ht="12" customHeight="1" x14ac:dyDescent="0.2">
      <c r="A68" s="6"/>
      <c r="B68" s="23" t="s">
        <v>167</v>
      </c>
      <c r="C68" s="23"/>
      <c r="D68" s="26"/>
      <c r="E68" s="26"/>
      <c r="F68" s="27"/>
      <c r="G68" s="26"/>
      <c r="H68" s="26"/>
      <c r="I68" s="27">
        <f t="shared" ref="I68" si="421">I91</f>
        <v>-10.452000000000002</v>
      </c>
      <c r="J68" s="26"/>
      <c r="K68" s="26"/>
      <c r="L68" s="27">
        <f t="shared" ref="L68" si="422">L91</f>
        <v>-9.6690000000000005</v>
      </c>
      <c r="M68" s="26"/>
      <c r="N68" s="26"/>
      <c r="O68" s="27">
        <f t="shared" ref="O68" si="423">O91</f>
        <v>-6.5350000000000001</v>
      </c>
      <c r="P68" s="26">
        <f t="shared" ref="P68:R68" si="424">P91</f>
        <v>2.3339999999999996</v>
      </c>
      <c r="Q68" s="26">
        <f t="shared" si="424"/>
        <v>-10.542000000000002</v>
      </c>
      <c r="R68" s="27">
        <f t="shared" si="424"/>
        <v>-10.542000000000002</v>
      </c>
      <c r="S68" s="26">
        <f t="shared" ref="S68:U68" si="425">S91</f>
        <v>-7.0970000000000013</v>
      </c>
      <c r="T68" s="26">
        <f t="shared" si="425"/>
        <v>-11.975000000000001</v>
      </c>
      <c r="U68" s="27">
        <f t="shared" si="425"/>
        <v>-11.975000000000001</v>
      </c>
      <c r="V68" s="26">
        <f t="shared" ref="V68:AY68" si="426">V91</f>
        <v>-13.955291407583715</v>
      </c>
      <c r="W68" s="26">
        <f t="shared" si="426"/>
        <v>-14.522700205582638</v>
      </c>
      <c r="X68" s="27">
        <f t="shared" si="426"/>
        <v>-14.522700205582638</v>
      </c>
      <c r="Y68" s="26">
        <f t="shared" si="426"/>
        <v>-15.614467929037531</v>
      </c>
      <c r="Z68" s="26">
        <f t="shared" si="426"/>
        <v>-16.11429324099425</v>
      </c>
      <c r="AA68" s="27">
        <f t="shared" si="426"/>
        <v>-16.11429324099425</v>
      </c>
      <c r="AB68" s="26">
        <f t="shared" si="426"/>
        <v>-16.740147344062024</v>
      </c>
      <c r="AC68" s="26">
        <f t="shared" si="426"/>
        <v>-17.216596797089053</v>
      </c>
      <c r="AD68" s="27">
        <f t="shared" si="426"/>
        <v>-17.216596797089053</v>
      </c>
      <c r="AE68" s="26">
        <f t="shared" si="426"/>
        <v>-17.653921044009806</v>
      </c>
      <c r="AF68" s="26">
        <f t="shared" si="426"/>
        <v>-18.145184536717899</v>
      </c>
      <c r="AG68" s="27">
        <f t="shared" si="426"/>
        <v>-18.145184536717899</v>
      </c>
      <c r="AH68" s="26">
        <f t="shared" si="426"/>
        <v>-18.386525558368419</v>
      </c>
      <c r="AI68" s="26">
        <f t="shared" si="426"/>
        <v>-19.013275993767515</v>
      </c>
      <c r="AJ68" s="27">
        <f t="shared" si="426"/>
        <v>-19.013275993767515</v>
      </c>
      <c r="AK68" s="26">
        <f t="shared" si="426"/>
        <v>-21.189977200840758</v>
      </c>
      <c r="AL68" s="26">
        <f t="shared" si="426"/>
        <v>-21.621834482114323</v>
      </c>
      <c r="AM68" s="27">
        <f t="shared" si="426"/>
        <v>-21.621834482114323</v>
      </c>
      <c r="AN68" s="26">
        <f t="shared" si="426"/>
        <v>-23.225451867472458</v>
      </c>
      <c r="AO68" s="26">
        <f t="shared" si="426"/>
        <v>-23.67396245900629</v>
      </c>
      <c r="AP68" s="27">
        <f t="shared" si="426"/>
        <v>-23.67396245900629</v>
      </c>
      <c r="AQ68" s="26">
        <f t="shared" si="426"/>
        <v>-25.350686716111184</v>
      </c>
      <c r="AR68" s="26">
        <f t="shared" si="426"/>
        <v>-25.817504394596668</v>
      </c>
      <c r="AS68" s="27">
        <f t="shared" si="426"/>
        <v>-25.817504394596668</v>
      </c>
      <c r="AT68" s="26">
        <f t="shared" si="426"/>
        <v>-27.570525526455967</v>
      </c>
      <c r="AU68" s="26">
        <f t="shared" si="426"/>
        <v>-28.057447242738704</v>
      </c>
      <c r="AV68" s="27">
        <f t="shared" si="426"/>
        <v>-28.057447242738704</v>
      </c>
      <c r="AW68" s="26">
        <f t="shared" si="426"/>
        <v>-29.890222078068348</v>
      </c>
      <c r="AX68" s="26">
        <f t="shared" si="426"/>
        <v>-30.399206763843154</v>
      </c>
      <c r="AY68" s="27">
        <f t="shared" si="426"/>
        <v>-30.399206763843154</v>
      </c>
    </row>
    <row r="69" spans="1:51" s="24" customFormat="1" ht="12" customHeight="1" x14ac:dyDescent="0.2">
      <c r="A69" s="6"/>
      <c r="B69" s="23" t="s">
        <v>168</v>
      </c>
      <c r="C69" s="23"/>
      <c r="D69" s="26"/>
      <c r="E69" s="26"/>
      <c r="F69" s="27"/>
      <c r="G69" s="26"/>
      <c r="H69" s="26"/>
      <c r="I69" s="27">
        <f t="shared" ref="I69" si="427">I23-I31</f>
        <v>170.65700000000001</v>
      </c>
      <c r="J69" s="26"/>
      <c r="K69" s="26"/>
      <c r="L69" s="27">
        <f t="shared" ref="L69" si="428">L23-L31</f>
        <v>195.376</v>
      </c>
      <c r="M69" s="26"/>
      <c r="N69" s="26"/>
      <c r="O69" s="27">
        <f t="shared" ref="O69" si="429">O23-O31</f>
        <v>258.041</v>
      </c>
      <c r="P69" s="26">
        <f t="shared" ref="P69:R69" si="430">P23-P31</f>
        <v>271.02700000000004</v>
      </c>
      <c r="Q69" s="26">
        <f t="shared" si="430"/>
        <v>577.51</v>
      </c>
      <c r="R69" s="27">
        <f t="shared" si="430"/>
        <v>577.51</v>
      </c>
      <c r="S69" s="26">
        <f t="shared" ref="S69:U69" si="431">S23-S31</f>
        <v>629.25800000000004</v>
      </c>
      <c r="T69" s="26">
        <f t="shared" si="431"/>
        <v>697.15800000000002</v>
      </c>
      <c r="U69" s="27">
        <f t="shared" si="431"/>
        <v>697.15800000000002</v>
      </c>
      <c r="V69" s="26">
        <f t="shared" ref="V69:AY69" si="432">V23-V31</f>
        <v>712.0646277032431</v>
      </c>
      <c r="W69" s="26">
        <f t="shared" si="432"/>
        <v>727.53509035326192</v>
      </c>
      <c r="X69" s="27">
        <f t="shared" si="432"/>
        <v>727.53509035326192</v>
      </c>
      <c r="Y69" s="26">
        <f t="shared" si="432"/>
        <v>748.58425377898675</v>
      </c>
      <c r="Z69" s="26">
        <f t="shared" si="432"/>
        <v>769.2966143252205</v>
      </c>
      <c r="AA69" s="27">
        <f t="shared" si="432"/>
        <v>769.2966143252205</v>
      </c>
      <c r="AB69" s="26">
        <f t="shared" si="432"/>
        <v>798.12817307736907</v>
      </c>
      <c r="AC69" s="26">
        <f t="shared" si="432"/>
        <v>828.54723973935086</v>
      </c>
      <c r="AD69" s="27">
        <f t="shared" si="432"/>
        <v>828.54723973935086</v>
      </c>
      <c r="AE69" s="26">
        <f t="shared" si="432"/>
        <v>867.58065025831525</v>
      </c>
      <c r="AF69" s="26">
        <f t="shared" si="432"/>
        <v>908.24063294177654</v>
      </c>
      <c r="AG69" s="27">
        <f t="shared" si="432"/>
        <v>908.24063294177654</v>
      </c>
      <c r="AH69" s="26">
        <f t="shared" si="432"/>
        <v>959.37836587955678</v>
      </c>
      <c r="AI69" s="26">
        <f t="shared" si="432"/>
        <v>1010.8993520116654</v>
      </c>
      <c r="AJ69" s="27">
        <f t="shared" si="432"/>
        <v>1010.8993520116654</v>
      </c>
      <c r="AK69" s="26">
        <f t="shared" si="432"/>
        <v>1068.3054554669525</v>
      </c>
      <c r="AL69" s="26">
        <f t="shared" si="432"/>
        <v>1127.3424642201744</v>
      </c>
      <c r="AM69" s="27">
        <f t="shared" si="432"/>
        <v>1127.3424642201744</v>
      </c>
      <c r="AN69" s="26">
        <f t="shared" si="432"/>
        <v>1194.6580367823428</v>
      </c>
      <c r="AO69" s="26">
        <f t="shared" si="432"/>
        <v>1263.4805190041479</v>
      </c>
      <c r="AP69" s="27">
        <f t="shared" si="432"/>
        <v>1263.4805190041479</v>
      </c>
      <c r="AQ69" s="26">
        <f t="shared" si="432"/>
        <v>1341.6540714910002</v>
      </c>
      <c r="AR69" s="26">
        <f t="shared" si="432"/>
        <v>1421.1925659766562</v>
      </c>
      <c r="AS69" s="27">
        <f t="shared" si="432"/>
        <v>1421.1925659766562</v>
      </c>
      <c r="AT69" s="26">
        <f t="shared" si="432"/>
        <v>1511.2082857622772</v>
      </c>
      <c r="AU69" s="26">
        <f t="shared" si="432"/>
        <v>1602.4206652700498</v>
      </c>
      <c r="AV69" s="27">
        <f t="shared" si="432"/>
        <v>1602.4206652700498</v>
      </c>
      <c r="AW69" s="26">
        <f t="shared" si="432"/>
        <v>1705.2928887743917</v>
      </c>
      <c r="AX69" s="26">
        <f t="shared" si="432"/>
        <v>1809.1660018968087</v>
      </c>
      <c r="AY69" s="27">
        <f t="shared" si="432"/>
        <v>1809.1660018968087</v>
      </c>
    </row>
    <row r="70" spans="1:51" s="24" customFormat="1" ht="12" customHeight="1" x14ac:dyDescent="0.2">
      <c r="A70" s="6"/>
      <c r="B70" s="23" t="s">
        <v>169</v>
      </c>
      <c r="C70" s="23"/>
      <c r="D70" s="26"/>
      <c r="E70" s="26"/>
      <c r="F70" s="27"/>
      <c r="G70" s="26"/>
      <c r="H70" s="26"/>
      <c r="I70" s="27">
        <f>I68+I17+I15</f>
        <v>17.557999999999996</v>
      </c>
      <c r="J70" s="26"/>
      <c r="K70" s="26"/>
      <c r="L70" s="27">
        <f>L68+L17+L15</f>
        <v>42.304000000000002</v>
      </c>
      <c r="M70" s="26"/>
      <c r="N70" s="26"/>
      <c r="O70" s="27">
        <f>O68+O17+O15</f>
        <v>78.153000000000006</v>
      </c>
      <c r="P70" s="26">
        <f t="shared" ref="P70:Q70" si="433">P68+P17+P15</f>
        <v>91.984000000000009</v>
      </c>
      <c r="Q70" s="26">
        <f t="shared" si="433"/>
        <v>87.673999999999992</v>
      </c>
      <c r="R70" s="27">
        <f>R68+R17+R15</f>
        <v>87.673999999999992</v>
      </c>
      <c r="S70" s="26">
        <f t="shared" ref="S70:T70" si="434">S68+S17+S15</f>
        <v>115.084</v>
      </c>
      <c r="T70" s="26">
        <f t="shared" si="434"/>
        <v>136.38600000000002</v>
      </c>
      <c r="U70" s="27">
        <f>U68+U17+U15</f>
        <v>136.38600000000002</v>
      </c>
      <c r="V70" s="26">
        <f t="shared" ref="V70:AY70" si="435">V68+V17+V15</f>
        <v>147.7198585924163</v>
      </c>
      <c r="W70" s="26">
        <f t="shared" si="435"/>
        <v>159.29110979441737</v>
      </c>
      <c r="X70" s="27">
        <f t="shared" si="435"/>
        <v>159.29110979441737</v>
      </c>
      <c r="Y70" s="26">
        <f t="shared" si="435"/>
        <v>170.05054357096247</v>
      </c>
      <c r="Z70" s="26">
        <f t="shared" si="435"/>
        <v>180.38052085900574</v>
      </c>
      <c r="AA70" s="27">
        <f t="shared" si="435"/>
        <v>180.38052085900574</v>
      </c>
      <c r="AB70" s="26">
        <f t="shared" si="435"/>
        <v>190.66321697093798</v>
      </c>
      <c r="AC70" s="26">
        <f t="shared" si="435"/>
        <v>200.17637002391098</v>
      </c>
      <c r="AD70" s="27">
        <f t="shared" si="435"/>
        <v>200.17637002391098</v>
      </c>
      <c r="AE70" s="26">
        <f t="shared" si="435"/>
        <v>209.99423230114022</v>
      </c>
      <c r="AF70" s="26">
        <f t="shared" si="435"/>
        <v>218.91313935829214</v>
      </c>
      <c r="AG70" s="27">
        <f t="shared" si="435"/>
        <v>218.91313935829214</v>
      </c>
      <c r="AH70" s="26">
        <f t="shared" si="435"/>
        <v>228.5165844137031</v>
      </c>
      <c r="AI70" s="26">
        <f t="shared" si="435"/>
        <v>236.93966925969059</v>
      </c>
      <c r="AJ70" s="27">
        <f t="shared" si="435"/>
        <v>236.93966925969059</v>
      </c>
      <c r="AK70" s="26">
        <f t="shared" si="435"/>
        <v>244.40344539416219</v>
      </c>
      <c r="AL70" s="26">
        <f t="shared" si="435"/>
        <v>252.84702192291178</v>
      </c>
      <c r="AM70" s="27">
        <f t="shared" si="435"/>
        <v>252.84702192291178</v>
      </c>
      <c r="AN70" s="26">
        <f t="shared" si="435"/>
        <v>260.85649800767618</v>
      </c>
      <c r="AO70" s="26">
        <f t="shared" si="435"/>
        <v>269.26872595201712</v>
      </c>
      <c r="AP70" s="27">
        <f t="shared" si="435"/>
        <v>269.26872595201712</v>
      </c>
      <c r="AQ70" s="26">
        <f t="shared" si="435"/>
        <v>277.33176147588364</v>
      </c>
      <c r="AR70" s="26">
        <f t="shared" si="435"/>
        <v>285.85012973367503</v>
      </c>
      <c r="AS70" s="27">
        <f t="shared" si="435"/>
        <v>285.85012973367503</v>
      </c>
      <c r="AT70" s="26">
        <f t="shared" si="435"/>
        <v>294.09986193699751</v>
      </c>
      <c r="AU70" s="26">
        <f t="shared" si="435"/>
        <v>302.84579046245113</v>
      </c>
      <c r="AV70" s="27">
        <f t="shared" si="435"/>
        <v>302.84579046245113</v>
      </c>
      <c r="AW70" s="26">
        <f t="shared" si="435"/>
        <v>311.40159880548163</v>
      </c>
      <c r="AX70" s="26">
        <f t="shared" si="435"/>
        <v>320.48422983230739</v>
      </c>
      <c r="AY70" s="27">
        <f t="shared" si="435"/>
        <v>320.48422983230739</v>
      </c>
    </row>
    <row r="71" spans="1:51" s="24" customFormat="1" ht="12" customHeight="1" x14ac:dyDescent="0.2">
      <c r="A71" s="6"/>
      <c r="B71" s="23" t="s">
        <v>170</v>
      </c>
      <c r="C71" s="23"/>
      <c r="D71" s="26"/>
      <c r="E71" s="26"/>
      <c r="F71" s="27"/>
      <c r="G71" s="26"/>
      <c r="H71" s="26"/>
      <c r="I71" s="27">
        <f t="shared" ref="I71" si="436">+I41</f>
        <v>66.323000000000008</v>
      </c>
      <c r="J71" s="26"/>
      <c r="K71" s="26"/>
      <c r="L71" s="27">
        <f t="shared" ref="L71" si="437">+L41</f>
        <v>81.09899999999999</v>
      </c>
      <c r="M71" s="26"/>
      <c r="N71" s="26"/>
      <c r="O71" s="27">
        <f t="shared" ref="O71" si="438">+O41</f>
        <v>87.965000000000032</v>
      </c>
      <c r="P71" s="26">
        <f t="shared" ref="P71:R71" si="439">+P41</f>
        <v>73.98500000000007</v>
      </c>
      <c r="Q71" s="26">
        <f t="shared" si="439"/>
        <v>353.97900000000004</v>
      </c>
      <c r="R71" s="27">
        <f t="shared" si="439"/>
        <v>353.97900000000004</v>
      </c>
      <c r="S71" s="26">
        <f t="shared" ref="S71:U71" si="440">+S41</f>
        <v>367.63300000000004</v>
      </c>
      <c r="T71" s="26">
        <f t="shared" si="440"/>
        <v>380.12399999999997</v>
      </c>
      <c r="U71" s="27">
        <f t="shared" si="440"/>
        <v>380.12399999999997</v>
      </c>
      <c r="V71" s="26">
        <f t="shared" ref="V71:AY71" si="441">+V41</f>
        <v>391.02805770324312</v>
      </c>
      <c r="W71" s="26">
        <f t="shared" si="441"/>
        <v>400.91091522826201</v>
      </c>
      <c r="X71" s="27">
        <f t="shared" si="441"/>
        <v>400.91091522826201</v>
      </c>
      <c r="Y71" s="26">
        <f t="shared" si="441"/>
        <v>417.89531461836174</v>
      </c>
      <c r="Z71" s="26">
        <f t="shared" si="441"/>
        <v>432.85922826031737</v>
      </c>
      <c r="AA71" s="27">
        <f t="shared" si="441"/>
        <v>432.85922826031737</v>
      </c>
      <c r="AB71" s="26">
        <f t="shared" si="441"/>
        <v>457.60134371069921</v>
      </c>
      <c r="AC71" s="26">
        <f t="shared" si="441"/>
        <v>482.1448231202171</v>
      </c>
      <c r="AD71" s="27">
        <f t="shared" si="441"/>
        <v>482.1448231202171</v>
      </c>
      <c r="AE71" s="26">
        <f t="shared" si="441"/>
        <v>517.11191467883634</v>
      </c>
      <c r="AF71" s="26">
        <f t="shared" si="441"/>
        <v>551.81350942502274</v>
      </c>
      <c r="AG71" s="27">
        <f t="shared" si="441"/>
        <v>551.81350942502274</v>
      </c>
      <c r="AH71" s="26">
        <f t="shared" si="441"/>
        <v>598.96823665008128</v>
      </c>
      <c r="AI71" s="26">
        <f t="shared" si="441"/>
        <v>644.50524732868894</v>
      </c>
      <c r="AJ71" s="27">
        <f t="shared" si="441"/>
        <v>644.50524732868894</v>
      </c>
      <c r="AK71" s="26">
        <f t="shared" si="441"/>
        <v>698.08672100609056</v>
      </c>
      <c r="AL71" s="26">
        <f t="shared" si="441"/>
        <v>751.18691112596889</v>
      </c>
      <c r="AM71" s="27">
        <f t="shared" si="441"/>
        <v>751.18691112596889</v>
      </c>
      <c r="AN71" s="26">
        <f t="shared" si="441"/>
        <v>814.92911782931003</v>
      </c>
      <c r="AO71" s="26">
        <f t="shared" si="441"/>
        <v>877.95337062062436</v>
      </c>
      <c r="AP71" s="27">
        <f t="shared" si="441"/>
        <v>877.95337062062436</v>
      </c>
      <c r="AQ71" s="26">
        <f t="shared" si="441"/>
        <v>952.91903271062051</v>
      </c>
      <c r="AR71" s="26">
        <f t="shared" si="441"/>
        <v>1026.9117540815</v>
      </c>
      <c r="AS71" s="27">
        <f t="shared" si="441"/>
        <v>1026.9117540815</v>
      </c>
      <c r="AT71" s="26">
        <f t="shared" si="441"/>
        <v>1114.2247377129574</v>
      </c>
      <c r="AU71" s="26">
        <f t="shared" si="441"/>
        <v>1200.2845455567101</v>
      </c>
      <c r="AV71" s="27">
        <f t="shared" si="441"/>
        <v>1200.2845455567101</v>
      </c>
      <c r="AW71" s="26">
        <f t="shared" si="441"/>
        <v>1301.1292385566121</v>
      </c>
      <c r="AX71" s="26">
        <f t="shared" si="441"/>
        <v>1400.4158704247029</v>
      </c>
      <c r="AY71" s="27">
        <f t="shared" si="441"/>
        <v>1400.4158704247029</v>
      </c>
    </row>
    <row r="72" spans="1:51" x14ac:dyDescent="0.2">
      <c r="A72" s="6"/>
      <c r="B72" s="6"/>
      <c r="D72" s="6"/>
      <c r="E72" s="6"/>
      <c r="F72" s="13"/>
      <c r="G72" s="6"/>
      <c r="H72" s="6"/>
      <c r="I72" s="13"/>
      <c r="J72" s="6"/>
      <c r="K72" s="6"/>
      <c r="L72" s="13"/>
      <c r="M72" s="6"/>
      <c r="N72" s="6"/>
      <c r="O72" s="13"/>
      <c r="P72" s="6"/>
      <c r="Q72" s="6"/>
      <c r="R72" s="13"/>
      <c r="S72" s="6"/>
      <c r="T72" s="6"/>
      <c r="U72" s="13"/>
      <c r="V72" s="6"/>
      <c r="W72" s="6"/>
      <c r="X72" s="13"/>
      <c r="Y72" s="6"/>
      <c r="Z72" s="6"/>
      <c r="AA72" s="13"/>
      <c r="AB72" s="6"/>
      <c r="AC72" s="6"/>
      <c r="AD72" s="13"/>
      <c r="AE72" s="6"/>
      <c r="AF72" s="6"/>
      <c r="AG72" s="13"/>
      <c r="AH72" s="6"/>
      <c r="AI72" s="6"/>
      <c r="AJ72" s="13"/>
      <c r="AK72" s="6"/>
      <c r="AL72" s="6"/>
      <c r="AM72" s="13"/>
      <c r="AN72" s="6"/>
      <c r="AO72" s="6"/>
      <c r="AP72" s="13"/>
      <c r="AQ72" s="6"/>
      <c r="AR72" s="6"/>
      <c r="AS72" s="13"/>
      <c r="AT72" s="6"/>
      <c r="AU72" s="6"/>
      <c r="AV72" s="13"/>
      <c r="AW72" s="6"/>
      <c r="AX72" s="6"/>
      <c r="AY72" s="13"/>
    </row>
    <row r="73" spans="1:51" ht="12" customHeight="1" x14ac:dyDescent="0.2">
      <c r="A73" s="6"/>
      <c r="B73" s="6" t="s">
        <v>62</v>
      </c>
      <c r="C73" s="111"/>
      <c r="D73" s="53"/>
      <c r="E73" s="53"/>
      <c r="F73" s="56"/>
      <c r="G73" s="53"/>
      <c r="H73" s="53"/>
      <c r="I73" s="56">
        <f>'Income &amp; Cash Flow'!I42/AVERAGE(I46,F46)</f>
        <v>0</v>
      </c>
      <c r="J73" s="53"/>
      <c r="K73" s="53"/>
      <c r="L73" s="56">
        <f>'Income &amp; Cash Flow'!L42/AVERAGE(L46,I46)</f>
        <v>4.3412787779300251E-2</v>
      </c>
      <c r="M73" s="53"/>
      <c r="N73" s="53"/>
      <c r="O73" s="56">
        <f>'Income &amp; Cash Flow'!O42/AVERAGE(O46,L46)</f>
        <v>3.5489518762125589E-2</v>
      </c>
      <c r="P73" s="53">
        <f>'Income &amp; Cash Flow'!P42/AVERAGE(P46,O46)</f>
        <v>4.6928064217351025E-2</v>
      </c>
      <c r="Q73" s="53">
        <f>'Income &amp; Cash Flow'!Q42/AVERAGE(Q46,P46)</f>
        <v>8.8792515258292754E-3</v>
      </c>
      <c r="R73" s="56">
        <f>'Income &amp; Cash Flow'!R42/AVERAGE(R46,O46)</f>
        <v>2.5795123364046119E-2</v>
      </c>
      <c r="S73" s="53">
        <f>'Income &amp; Cash Flow'!S42/AVERAGE(S46,R46)</f>
        <v>2.0235251076755927E-2</v>
      </c>
      <c r="T73" s="53">
        <f>'Income &amp; Cash Flow'!T42/AVERAGE(T46,S46)</f>
        <v>1.9190726399084194E-2</v>
      </c>
      <c r="U73" s="56">
        <f>'Income &amp; Cash Flow'!U42/AVERAGE(U46,R46)</f>
        <v>3.9438607388881393E-2</v>
      </c>
      <c r="V73" s="53">
        <f>'Income &amp; Cash Flow'!V42/AVERAGE(V46,U46)</f>
        <v>2.827991598886254E-2</v>
      </c>
      <c r="W73" s="53">
        <f>'Income &amp; Cash Flow'!W42/AVERAGE(W46,V46)</f>
        <v>2.4958634093825847E-2</v>
      </c>
      <c r="X73" s="56">
        <f>'Income &amp; Cash Flow'!X42/AVERAGE(X46,U46)</f>
        <v>5.3229157424253826E-2</v>
      </c>
      <c r="Y73" s="53">
        <f>'Income &amp; Cash Flow'!Y42/AVERAGE(Y46,X46)</f>
        <v>4.1485760051633465E-2</v>
      </c>
      <c r="Z73" s="53">
        <f>'Income &amp; Cash Flow'!Z42/AVERAGE(Z46,Y46)</f>
        <v>3.5177981163221309E-2</v>
      </c>
      <c r="AA73" s="56">
        <f>'Income &amp; Cash Flow'!AA42/AVERAGE(AA46,X46)</f>
        <v>7.6635780932093361E-2</v>
      </c>
      <c r="AB73" s="53">
        <f>'Income &amp; Cash Flow'!AB42/AVERAGE(AB46,AA46)</f>
        <v>5.5571501376227773E-2</v>
      </c>
      <c r="AC73" s="53">
        <f>'Income &amp; Cash Flow'!AC42/AVERAGE(AC46,AB46)</f>
        <v>5.2234274053567648E-2</v>
      </c>
      <c r="AD73" s="56">
        <f>'Income &amp; Cash Flow'!AD42/AVERAGE(AD46,AA46)</f>
        <v>0.10772759920688661</v>
      </c>
      <c r="AE73" s="53">
        <f>'Income &amp; Cash Flow'!AE42/AVERAGE(AE46,AD46)</f>
        <v>6.9986201215189794E-2</v>
      </c>
      <c r="AF73" s="53">
        <f>'Income &amp; Cash Flow'!AF42/AVERAGE(AF46,AE46)</f>
        <v>6.4927999584776561E-2</v>
      </c>
      <c r="AG73" s="56">
        <f>'Income &amp; Cash Flow'!AG42/AVERAGE(AG46,AD46)</f>
        <v>0.13476111002134086</v>
      </c>
      <c r="AH73" s="53">
        <f>'Income &amp; Cash Flow'!AH42/AVERAGE(AH46,AG46)</f>
        <v>8.1952511648513623E-2</v>
      </c>
      <c r="AI73" s="53">
        <f>'Income &amp; Cash Flow'!AI42/AVERAGE(AI46,AH46)</f>
        <v>7.324162720849034E-2</v>
      </c>
      <c r="AJ73" s="56">
        <f>'Income &amp; Cash Flow'!AJ42/AVERAGE(AJ46,AG46)</f>
        <v>0.15496160597730882</v>
      </c>
      <c r="AK73" s="53">
        <f>'Income &amp; Cash Flow'!AK42/AVERAGE(AK46,AJ46)</f>
        <v>7.981795652160617E-2</v>
      </c>
      <c r="AL73" s="53">
        <f>'Income &amp; Cash Flow'!AL42/AVERAGE(AL46,AK46)</f>
        <v>7.3278349847242505E-2</v>
      </c>
      <c r="AM73" s="56">
        <f>'Income &amp; Cash Flow'!AM42/AVERAGE(AM46,AJ46)</f>
        <v>0.15287277090587134</v>
      </c>
      <c r="AN73" s="53">
        <f>'Income &amp; Cash Flow'!AN42/AVERAGE(AN46,AM46)</f>
        <v>8.140164014011407E-2</v>
      </c>
      <c r="AO73" s="53">
        <f>'Income &amp; Cash Flow'!AO42/AVERAGE(AO46,AN46)</f>
        <v>7.4457918043705107E-2</v>
      </c>
      <c r="AP73" s="56">
        <f>'Income &amp; Cash Flow'!AP42/AVERAGE(AP46,AM46)</f>
        <v>0.1556237494278267</v>
      </c>
      <c r="AQ73" s="53">
        <f>'Income &amp; Cash Flow'!AQ42/AVERAGE(AQ46,AP46)</f>
        <v>8.1890646178944065E-2</v>
      </c>
      <c r="AR73" s="53">
        <f>'Income &amp; Cash Flow'!AR42/AVERAGE(AR46,AQ46)</f>
        <v>7.4746510524536944E-2</v>
      </c>
      <c r="AS73" s="56">
        <f>'Income &amp; Cash Flow'!AS42/AVERAGE(AS46,AP46)</f>
        <v>0.15639782736236432</v>
      </c>
      <c r="AT73" s="53">
        <f>'Income &amp; Cash Flow'!AT42/AVERAGE(AT46,AS46)</f>
        <v>8.1557606407689942E-2</v>
      </c>
      <c r="AU73" s="53">
        <f>'Income &amp; Cash Flow'!AU42/AVERAGE(AU46,AT46)</f>
        <v>7.436548945025398E-2</v>
      </c>
      <c r="AV73" s="56">
        <f>'Income &amp; Cash Flow'!AV42/AVERAGE(AV46,AS46)</f>
        <v>0.15568703261887862</v>
      </c>
      <c r="AW73" s="53">
        <f>'Income &amp; Cash Flow'!AW42/AVERAGE(AW46,AV46)</f>
        <v>8.063015694594354E-2</v>
      </c>
      <c r="AX73" s="53">
        <f>'Income &amp; Cash Flow'!AX42/AVERAGE(AX46,AW46)</f>
        <v>7.3503589881221104E-2</v>
      </c>
      <c r="AY73" s="56">
        <f>'Income &amp; Cash Flow'!AY42/AVERAGE(AY46,AV46)</f>
        <v>0.153905712198281</v>
      </c>
    </row>
    <row r="74" spans="1:51" ht="12" customHeight="1" x14ac:dyDescent="0.2">
      <c r="A74" s="6"/>
      <c r="B74" s="6" t="s">
        <v>63</v>
      </c>
      <c r="C74" s="111"/>
      <c r="D74" s="53"/>
      <c r="E74" s="53"/>
      <c r="F74" s="56"/>
      <c r="G74" s="53"/>
      <c r="H74" s="53"/>
      <c r="I74" s="56">
        <f>'Income &amp; Cash Flow'!I27/AVERAGE(I69,F69)</f>
        <v>2.1680915520605658E-2</v>
      </c>
      <c r="J74" s="53"/>
      <c r="K74" s="53"/>
      <c r="L74" s="56">
        <f>'Income &amp; Cash Flow'!L27/AVERAGE(L69,I69)</f>
        <v>3.9340715181418066E-2</v>
      </c>
      <c r="M74" s="53"/>
      <c r="N74" s="53"/>
      <c r="O74" s="56">
        <f>'Income &amp; Cash Flow'!O27/AVERAGE(O69,L69)</f>
        <v>1.6320517316289421E-2</v>
      </c>
      <c r="P74" s="53">
        <f>'Income &amp; Cash Flow'!P27/AVERAGE(P69,O69)</f>
        <v>3.3266045196458684E-2</v>
      </c>
      <c r="Q74" s="53">
        <f>'Income &amp; Cash Flow'!Q27/AVERAGE(Q69,P69)</f>
        <v>1.1313590332537057E-2</v>
      </c>
      <c r="R74" s="56">
        <f>'Income &amp; Cash Flow'!R27/AVERAGE(R69,O69)</f>
        <v>3.2553368974485103E-2</v>
      </c>
      <c r="S74" s="53">
        <f>'Income &amp; Cash Flow'!S27/AVERAGE(S69,R69)</f>
        <v>2.0713177677896662E-2</v>
      </c>
      <c r="T74" s="53">
        <f>'Income &amp; Cash Flow'!T27/AVERAGE(T69,S69)</f>
        <v>1.945392697313663E-2</v>
      </c>
      <c r="U74" s="56">
        <f>'Income &amp; Cash Flow'!U27/AVERAGE(U69,R69)</f>
        <v>3.9853514797578656E-2</v>
      </c>
      <c r="V74" s="53">
        <f>'Income &amp; Cash Flow'!V27/AVERAGE(V69,U69)</f>
        <v>2.4732887547725506E-2</v>
      </c>
      <c r="W74" s="53">
        <f>'Income &amp; Cash Flow'!W27/AVERAGE(W69,V69)</f>
        <v>2.2417124627417746E-2</v>
      </c>
      <c r="X74" s="56">
        <f>'Income &amp; Cash Flow'!X27/AVERAGE(X69,U69)</f>
        <v>4.711599398388211E-2</v>
      </c>
      <c r="Y74" s="53">
        <f>'Income &amp; Cash Flow'!Y27/AVERAGE(Y69,X69)</f>
        <v>3.577332141864524E-2</v>
      </c>
      <c r="Z74" s="53">
        <f>'Income &amp; Cash Flow'!Z27/AVERAGE(Z69,Y69)</f>
        <v>3.4394005070259567E-2</v>
      </c>
      <c r="AA74" s="56">
        <f>'Income &amp; Cash Flow'!AA27/AVERAGE(AA69,X69)</f>
        <v>7.0155979256268652E-2</v>
      </c>
      <c r="AB74" s="53">
        <f>'Income &amp; Cash Flow'!AB27/AVERAGE(AB69,AA69)</f>
        <v>5.1152250007944822E-2</v>
      </c>
      <c r="AC74" s="53">
        <f>'Income &amp; Cash Flow'!AC27/AVERAGE(AC69,AB69)</f>
        <v>4.8804386079982033E-2</v>
      </c>
      <c r="AD74" s="56">
        <f>'Income &amp; Cash Flow'!AD27/AVERAGE(AD69,AA69)</f>
        <v>9.9863449774448401E-2</v>
      </c>
      <c r="AE74" s="53">
        <f>'Income &amp; Cash Flow'!AE27/AVERAGE(AE69,AD69)</f>
        <v>6.4166886573430004E-2</v>
      </c>
      <c r="AF74" s="53">
        <f>'Income &amp; Cash Flow'!AF27/AVERAGE(AF69,AE69)</f>
        <v>6.0524998272959749E-2</v>
      </c>
      <c r="AG74" s="56">
        <f>'Income &amp; Cash Flow'!AG27/AVERAGE(AG69,AD69)</f>
        <v>0.12454994040023315</v>
      </c>
      <c r="AH74" s="53">
        <f>'Income &amp; Cash Flow'!AH27/AVERAGE(AH69,AG69)</f>
        <v>7.6215347265264188E-2</v>
      </c>
      <c r="AI74" s="53">
        <f>'Income &amp; Cash Flow'!AI27/AVERAGE(AI69,AH69)</f>
        <v>6.9374034504769713E-2</v>
      </c>
      <c r="AJ74" s="56">
        <f>'Income &amp; Cash Flow'!AJ27/AVERAGE(AJ69,AG69)</f>
        <v>0.14539186673561322</v>
      </c>
      <c r="AK74" s="53">
        <f>'Income &amp; Cash Flow'!AK27/AVERAGE(AK69,AJ69)</f>
        <v>7.6249906353628133E-2</v>
      </c>
      <c r="AL74" s="53">
        <f>'Income &amp; Cash Flow'!AL27/AVERAGE(AL69,AK69)</f>
        <v>7.0968808706740175E-2</v>
      </c>
      <c r="AM74" s="56">
        <f>'Income &amp; Cash Flow'!AM27/AVERAGE(AM69,AJ69)</f>
        <v>0.14701877340228806</v>
      </c>
      <c r="AN74" s="53">
        <f>'Income &amp; Cash Flow'!AN27/AVERAGE(AN69,AM69)</f>
        <v>7.9592345217468941E-2</v>
      </c>
      <c r="AO74" s="53">
        <f>'Income &amp; Cash Flow'!AO27/AVERAGE(AO69,AN69)</f>
        <v>7.3661223947251664E-2</v>
      </c>
      <c r="AP74" s="56">
        <f>'Income &amp; Cash Flow'!AP27/AVERAGE(AP69,AM69)</f>
        <v>0.15303640741676822</v>
      </c>
      <c r="AQ74" s="53">
        <f>'Income &amp; Cash Flow'!AQ27/AVERAGE(AQ69,AP69)</f>
        <v>8.1914254585508231E-2</v>
      </c>
      <c r="AR74" s="53">
        <f>'Income &amp; Cash Flow'!AR27/AVERAGE(AR69,AQ69)</f>
        <v>7.5470101306763807E-2</v>
      </c>
      <c r="AS74" s="56">
        <f>'Income &amp; Cash Flow'!AS27/AVERAGE(AS69,AP69)</f>
        <v>0.15715506519598674</v>
      </c>
      <c r="AT74" s="53">
        <f>'Income &amp; Cash Flow'!AT27/AVERAGE(AT69,AS69)</f>
        <v>8.333247753128864E-2</v>
      </c>
      <c r="AU74" s="53">
        <f>'Income &amp; Cash Flow'!AU27/AVERAGE(AU69,AT69)</f>
        <v>7.6509357355445576E-2</v>
      </c>
      <c r="AV74" s="56">
        <f>'Income &amp; Cash Flow'!AV27/AVERAGE(AV69,AS69)</f>
        <v>0.15960572377111815</v>
      </c>
      <c r="AW74" s="53">
        <f>'Income &amp; Cash Flow'!AW27/AVERAGE(AW69,AV69)</f>
        <v>8.3984800523956862E-2</v>
      </c>
      <c r="AX74" s="53">
        <f>'Income &amp; Cash Flow'!AX27/AVERAGE(AX69,AW69)</f>
        <v>7.6904990538106427E-2</v>
      </c>
      <c r="AY74" s="56">
        <f>'Income &amp; Cash Flow'!AY27/AVERAGE(AY69,AV69)</f>
        <v>0.16065166863123911</v>
      </c>
    </row>
    <row r="75" spans="1:51" ht="12" customHeight="1" x14ac:dyDescent="0.2">
      <c r="A75" s="6"/>
      <c r="B75" s="6" t="s">
        <v>171</v>
      </c>
      <c r="C75" s="111"/>
      <c r="D75" s="53"/>
      <c r="E75" s="53"/>
      <c r="F75" s="56"/>
      <c r="G75" s="53"/>
      <c r="H75" s="53"/>
      <c r="I75" s="56">
        <f>'Income &amp; Cash Flow'!I42/AVERAGE(I70,F70)</f>
        <v>0</v>
      </c>
      <c r="J75" s="53"/>
      <c r="K75" s="53"/>
      <c r="L75" s="56">
        <f>'Income &amp; Cash Flow'!L42/AVERAGE(L70,I70)</f>
        <v>0.10691256556747186</v>
      </c>
      <c r="M75" s="53"/>
      <c r="N75" s="53"/>
      <c r="O75" s="56">
        <f>'Income &amp; Cash Flow'!O42/AVERAGE(O70,L70)</f>
        <v>4.9810305752260142E-2</v>
      </c>
      <c r="P75" s="53">
        <f>'Income &amp; Cash Flow'!P42/AVERAGE(P70,O70)</f>
        <v>4.4669883681973936E-2</v>
      </c>
      <c r="Q75" s="53">
        <f>'Income &amp; Cash Flow'!Q42/AVERAGE(Q70,P70)</f>
        <v>2.1151298578410093E-2</v>
      </c>
      <c r="R75" s="56">
        <f>'Income &amp; Cash Flow'!R42/AVERAGE(R70,O70)</f>
        <v>6.8746344081482516E-2</v>
      </c>
      <c r="S75" s="53">
        <f>'Income &amp; Cash Flow'!S42/AVERAGE(S70,R70)</f>
        <v>7.2016887126525223E-2</v>
      </c>
      <c r="T75" s="53">
        <f>'Income &amp; Cash Flow'!T42/AVERAGE(T70,S70)</f>
        <v>5.7064460969499346E-2</v>
      </c>
      <c r="U75" s="56">
        <f>'Income &amp; Cash Flow'!U42/AVERAGE(U70,R70)</f>
        <v>0.12921538873516022</v>
      </c>
      <c r="V75" s="53">
        <f>'Income &amp; Cash Flow'!V42/AVERAGE(V70,U70)</f>
        <v>7.6760526919554067E-2</v>
      </c>
      <c r="W75" s="53">
        <f>'Income &amp; Cash Flow'!W42/AVERAGE(W70,V70)</f>
        <v>6.4381136458723842E-2</v>
      </c>
      <c r="X75" s="56">
        <f>'Income &amp; Cash Flow'!X42/AVERAGE(X70,U70)</f>
        <v>0.14060550877756464</v>
      </c>
      <c r="Y75" s="53">
        <f>'Income &amp; Cash Flow'!Y42/AVERAGE(Y70,X70)</f>
        <v>0.10314152016026298</v>
      </c>
      <c r="Z75" s="53">
        <f>'Income &amp; Cash Flow'!Z42/AVERAGE(Z70,Y70)</f>
        <v>8.5402894668009793E-2</v>
      </c>
      <c r="AA75" s="56">
        <f>'Income &amp; Cash Flow'!AA42/AVERAGE(AA70,X70)</f>
        <v>0.18811293113055536</v>
      </c>
      <c r="AB75" s="53">
        <f>'Income &amp; Cash Flow'!AB42/AVERAGE(AB70,AA70)</f>
        <v>0.13336495365795251</v>
      </c>
      <c r="AC75" s="53">
        <f>'Income &amp; Cash Flow'!AC42/AVERAGE(AC70,AB70)</f>
        <v>0.12559362063721233</v>
      </c>
      <c r="AD75" s="56">
        <f>'Income &amp; Cash Flow'!AD42/AVERAGE(AD70,AA70)</f>
        <v>0.25901827579868053</v>
      </c>
      <c r="AE75" s="53">
        <f>'Income &amp; Cash Flow'!AE42/AVERAGE(AE70,AD70)</f>
        <v>0.17050023263690028</v>
      </c>
      <c r="AF75" s="53">
        <f>'Income &amp; Cash Flow'!AF42/AVERAGE(AF70,AE70)</f>
        <v>0.16181393484530987</v>
      </c>
      <c r="AG75" s="56">
        <f>'Income &amp; Cash Flow'!AG42/AVERAGE(AG70,AD70)</f>
        <v>0.33247640298850267</v>
      </c>
      <c r="AH75" s="53">
        <f>'Income &amp; Cash Flow'!AH42/AVERAGE(AH70,AG70)</f>
        <v>0.21078048560353532</v>
      </c>
      <c r="AI75" s="53">
        <f>'Income &amp; Cash Flow'!AI42/AVERAGE(AI70,AH70)</f>
        <v>0.19566612466468561</v>
      </c>
      <c r="AJ75" s="56">
        <f>'Income &amp; Cash Flow'!AJ42/AVERAGE(AJ70,AG70)</f>
        <v>0.40667397963251145</v>
      </c>
      <c r="AK75" s="53">
        <f>'Income &amp; Cash Flow'!AK42/AVERAGE(AK70,AJ70)</f>
        <v>0.22263317806439795</v>
      </c>
      <c r="AL75" s="53">
        <f>'Income &amp; Cash Flow'!AL42/AVERAGE(AL70,AK70)</f>
        <v>0.21357522460011644</v>
      </c>
      <c r="AM75" s="56">
        <f>'Income &amp; Cash Flow'!AM42/AVERAGE(AM70,AJ70)</f>
        <v>0.4356250005066265</v>
      </c>
      <c r="AN75" s="53">
        <f>'Income &amp; Cash Flow'!AN42/AVERAGE(AN70,AM70)</f>
        <v>0.24816729584392941</v>
      </c>
      <c r="AO75" s="53">
        <f>'Income &amp; Cash Flow'!AO42/AVERAGE(AO70,AN70)</f>
        <v>0.23777119043898307</v>
      </c>
      <c r="AP75" s="56">
        <f>'Income &amp; Cash Flow'!AP42/AVERAGE(AP70,AM70)</f>
        <v>0.48558757329427232</v>
      </c>
      <c r="AQ75" s="53">
        <f>'Income &amp; Cash Flow'!AQ42/AVERAGE(AQ70,AP70)</f>
        <v>0.27429782378261897</v>
      </c>
      <c r="AR75" s="53">
        <f>'Income &amp; Cash Flow'!AR42/AVERAGE(AR70,AQ70)</f>
        <v>0.26276669234503941</v>
      </c>
      <c r="AS75" s="56">
        <f>'Income &amp; Cash Flow'!AS42/AVERAGE(AS70,AP70)</f>
        <v>0.53667203675465103</v>
      </c>
      <c r="AT75" s="53">
        <f>'Income &amp; Cash Flow'!AT42/AVERAGE(AT70,AS70)</f>
        <v>0.30110521557189146</v>
      </c>
      <c r="AU75" s="53">
        <f>'Income &amp; Cash Flow'!AU42/AVERAGE(AU70,AT70)</f>
        <v>0.28833381229206251</v>
      </c>
      <c r="AV75" s="56">
        <f>'Income &amp; Cash Flow'!AV42/AVERAGE(AV70,AS70)</f>
        <v>0.58900626122039423</v>
      </c>
      <c r="AW75" s="53">
        <f>'Income &amp; Cash Flow'!AW42/AVERAGE(AW70,AV70)</f>
        <v>0.32835204434516119</v>
      </c>
      <c r="AX75" s="53">
        <f>'Income &amp; Cash Flow'!AX42/AVERAGE(AX70,AW70)</f>
        <v>0.31425497255455614</v>
      </c>
      <c r="AY75" s="56">
        <f>'Income &amp; Cash Flow'!AY42/AVERAGE(AY70,AV70)</f>
        <v>0.64213600613477595</v>
      </c>
    </row>
    <row r="76" spans="1:51" x14ac:dyDescent="0.2">
      <c r="A76" s="6"/>
      <c r="B76" s="6"/>
      <c r="D76" s="6"/>
      <c r="E76" s="6"/>
      <c r="F76" s="13"/>
      <c r="G76" s="6"/>
      <c r="H76" s="6"/>
      <c r="I76" s="13"/>
      <c r="J76" s="6"/>
      <c r="K76" s="6"/>
      <c r="L76" s="13"/>
      <c r="M76" s="6"/>
      <c r="N76" s="6"/>
      <c r="O76" s="13"/>
      <c r="P76" s="6"/>
      <c r="Q76" s="6"/>
      <c r="R76" s="13"/>
      <c r="S76" s="6"/>
      <c r="T76" s="6"/>
      <c r="U76" s="13"/>
      <c r="V76" s="6"/>
      <c r="W76" s="6"/>
      <c r="X76" s="13"/>
      <c r="Y76" s="6"/>
      <c r="Z76" s="6"/>
      <c r="AA76" s="13"/>
      <c r="AB76" s="6"/>
      <c r="AC76" s="6"/>
      <c r="AD76" s="13"/>
      <c r="AE76" s="6"/>
      <c r="AF76" s="6"/>
      <c r="AG76" s="13"/>
      <c r="AH76" s="6"/>
      <c r="AI76" s="6"/>
      <c r="AJ76" s="13"/>
      <c r="AK76" s="6"/>
      <c r="AL76" s="6"/>
      <c r="AM76" s="13"/>
      <c r="AN76" s="6"/>
      <c r="AO76" s="6"/>
      <c r="AP76" s="13"/>
      <c r="AQ76" s="6"/>
      <c r="AR76" s="6"/>
      <c r="AS76" s="13"/>
      <c r="AT76" s="6"/>
      <c r="AU76" s="6"/>
      <c r="AV76" s="13"/>
      <c r="AW76" s="6"/>
      <c r="AX76" s="6"/>
      <c r="AY76" s="13"/>
    </row>
    <row r="77" spans="1:51" s="14" customFormat="1" x14ac:dyDescent="0.2">
      <c r="B77" s="16" t="s">
        <v>172</v>
      </c>
    </row>
    <row r="78" spans="1:51" ht="12" customHeight="1" x14ac:dyDescent="0.2">
      <c r="A78" s="14"/>
      <c r="B78" s="12" t="s">
        <v>173</v>
      </c>
      <c r="D78" s="6"/>
      <c r="E78" s="6"/>
      <c r="F78" s="13"/>
      <c r="G78" s="6"/>
      <c r="H78" s="6"/>
      <c r="I78" s="13"/>
      <c r="J78" s="6"/>
      <c r="K78" s="6"/>
      <c r="L78" s="13"/>
      <c r="M78" s="6"/>
      <c r="N78" s="6"/>
      <c r="O78" s="13"/>
      <c r="P78" s="6"/>
      <c r="Q78" s="6"/>
      <c r="R78" s="13"/>
      <c r="S78" s="6"/>
      <c r="T78" s="6"/>
      <c r="U78" s="13"/>
      <c r="V78" s="6"/>
      <c r="W78" s="6"/>
      <c r="X78" s="13"/>
      <c r="Y78" s="6"/>
      <c r="Z78" s="6"/>
      <c r="AA78" s="13"/>
      <c r="AB78" s="6"/>
      <c r="AC78" s="6"/>
      <c r="AD78" s="13"/>
      <c r="AE78" s="6"/>
      <c r="AF78" s="6"/>
      <c r="AG78" s="13"/>
      <c r="AH78" s="6"/>
      <c r="AI78" s="6"/>
      <c r="AJ78" s="13"/>
      <c r="AK78" s="6"/>
      <c r="AL78" s="6"/>
      <c r="AM78" s="13"/>
      <c r="AN78" s="6"/>
      <c r="AO78" s="6"/>
      <c r="AP78" s="13"/>
      <c r="AQ78" s="6"/>
      <c r="AR78" s="6"/>
      <c r="AS78" s="13"/>
      <c r="AT78" s="6"/>
      <c r="AU78" s="6"/>
      <c r="AV78" s="13"/>
      <c r="AW78" s="6"/>
      <c r="AX78" s="6"/>
      <c r="AY78" s="13"/>
    </row>
    <row r="79" spans="1:51" s="24" customFormat="1" ht="12" customHeight="1" x14ac:dyDescent="0.2">
      <c r="A79" s="6"/>
      <c r="B79" s="28" t="s">
        <v>74</v>
      </c>
      <c r="C79" s="29"/>
      <c r="D79" s="31"/>
      <c r="E79" s="31"/>
      <c r="F79" s="30"/>
      <c r="G79" s="31"/>
      <c r="H79" s="31"/>
      <c r="I79" s="30">
        <f>+I7</f>
        <v>4.9930000000000003</v>
      </c>
      <c r="J79" s="31"/>
      <c r="K79" s="31"/>
      <c r="L79" s="30">
        <f>+L7</f>
        <v>16.352</v>
      </c>
      <c r="M79" s="31"/>
      <c r="N79" s="31"/>
      <c r="O79" s="30">
        <f t="shared" ref="O79:U79" si="442">+O7</f>
        <v>23.946999999999999</v>
      </c>
      <c r="P79" s="31">
        <f t="shared" si="442"/>
        <v>21.198</v>
      </c>
      <c r="Q79" s="31">
        <f t="shared" si="442"/>
        <v>26.02</v>
      </c>
      <c r="R79" s="30">
        <f t="shared" si="442"/>
        <v>26.02</v>
      </c>
      <c r="S79" s="31">
        <f t="shared" si="442"/>
        <v>18.852</v>
      </c>
      <c r="T79" s="31">
        <f t="shared" si="442"/>
        <v>24.702999999999999</v>
      </c>
      <c r="U79" s="30">
        <f t="shared" si="442"/>
        <v>24.702999999999999</v>
      </c>
      <c r="V79" s="31">
        <f>+'Income &amp; Cash Flow'!V8*'Balance Sheet'!V81</f>
        <v>30.056948108051341</v>
      </c>
      <c r="W79" s="31">
        <f t="shared" ref="W79" si="443">+X79</f>
        <v>30.530703485804001</v>
      </c>
      <c r="X79" s="30">
        <f>+'Income &amp; Cash Flow'!X8*'Balance Sheet'!X81</f>
        <v>30.530703485804001</v>
      </c>
      <c r="Y79" s="31">
        <f>+'Income &amp; Cash Flow'!Y8*'Balance Sheet'!Y81</f>
        <v>35.880664438540919</v>
      </c>
      <c r="Z79" s="31">
        <f t="shared" ref="Z79" si="444">+AA79</f>
        <v>36.366778726315616</v>
      </c>
      <c r="AA79" s="30">
        <f>+'Income &amp; Cash Flow'!AA8*'Balance Sheet'!AA81</f>
        <v>36.366778726315616</v>
      </c>
      <c r="AB79" s="31">
        <f>+'Income &amp; Cash Flow'!AB8*'Balance Sheet'!AB81</f>
        <v>42.290880386036832</v>
      </c>
      <c r="AC79" s="31">
        <f t="shared" ref="AC79" si="445">+AD79</f>
        <v>42.699202671252536</v>
      </c>
      <c r="AD79" s="30">
        <f>+'Income &amp; Cash Flow'!AD8*'Balance Sheet'!AD81</f>
        <v>42.699202671252536</v>
      </c>
      <c r="AE79" s="31">
        <f>+'Income &amp; Cash Flow'!AE8*'Balance Sheet'!AE81</f>
        <v>48.585045745584303</v>
      </c>
      <c r="AF79" s="31">
        <f t="shared" ref="AF79" si="446">+AG79</f>
        <v>48.940994773312823</v>
      </c>
      <c r="AG79" s="30">
        <f>+'Income &amp; Cash Flow'!AG8*'Balance Sheet'!AG81</f>
        <v>48.940994773312823</v>
      </c>
      <c r="AH79" s="31">
        <f>+'Income &amp; Cash Flow'!AH8*'Balance Sheet'!AH81</f>
        <v>55.323150012453596</v>
      </c>
      <c r="AI79" s="31">
        <f t="shared" ref="AI79" si="447">+AJ79</f>
        <v>55.520987572986073</v>
      </c>
      <c r="AJ79" s="30">
        <f>+'Income &amp; Cash Flow'!AJ8*'Balance Sheet'!AJ81</f>
        <v>55.520987572986073</v>
      </c>
      <c r="AK79" s="31">
        <f>+'Income &amp; Cash Flow'!AK8*'Balance Sheet'!AK81</f>
        <v>62.307826432307358</v>
      </c>
      <c r="AL79" s="31">
        <f t="shared" ref="AL79" si="448">+AM79</f>
        <v>62.43201081537773</v>
      </c>
      <c r="AM79" s="30">
        <f>+'Income &amp; Cash Flow'!AM8*'Balance Sheet'!AM81</f>
        <v>62.43201081537773</v>
      </c>
      <c r="AN79" s="31">
        <f>+'Income &amp; Cash Flow'!AN8*'Balance Sheet'!AN81</f>
        <v>69.742683499596438</v>
      </c>
      <c r="AO79" s="31">
        <f t="shared" ref="AO79" si="449">+AP79</f>
        <v>69.787762509142979</v>
      </c>
      <c r="AP79" s="30">
        <f>+'Income &amp; Cash Flow'!AP8*'Balance Sheet'!AP81</f>
        <v>69.787762509142979</v>
      </c>
      <c r="AQ79" s="31">
        <f>+'Income &amp; Cash Flow'!AQ8*'Balance Sheet'!AQ81</f>
        <v>77.653388229956761</v>
      </c>
      <c r="AR79" s="31">
        <f t="shared" ref="AR79" si="450">+AS79</f>
        <v>77.613579767880893</v>
      </c>
      <c r="AS79" s="30">
        <f>+'Income &amp; Cash Flow'!AS8*'Balance Sheet'!AS81</f>
        <v>77.613579767880893</v>
      </c>
      <c r="AT79" s="31">
        <f>+'Income &amp; Cash Flow'!AT8*'Balance Sheet'!AT81</f>
        <v>86.06693368531954</v>
      </c>
      <c r="AU79" s="31">
        <f t="shared" ref="AU79" si="451">+AV79</f>
        <v>85.936118463977664</v>
      </c>
      <c r="AV79" s="30">
        <f>+'Income &amp; Cash Flow'!AV8*'Balance Sheet'!AV81</f>
        <v>85.936118463977664</v>
      </c>
      <c r="AW79" s="31">
        <f>+'Income &amp; Cash Flow'!AW8*'Balance Sheet'!AW81</f>
        <v>95.011735239131312</v>
      </c>
      <c r="AX79" s="31">
        <f t="shared" ref="AX79" si="452">+AY79</f>
        <v>94.783448454542054</v>
      </c>
      <c r="AY79" s="30">
        <f>+'Income &amp; Cash Flow'!AY8*'Balance Sheet'!AY81</f>
        <v>94.783448454542054</v>
      </c>
    </row>
    <row r="80" spans="1:51" s="24" customFormat="1" ht="12" customHeight="1" x14ac:dyDescent="0.2">
      <c r="A80" s="6"/>
      <c r="B80" s="23" t="s">
        <v>323</v>
      </c>
      <c r="C80" s="23"/>
      <c r="D80" s="26"/>
      <c r="E80" s="26"/>
      <c r="F80" s="27"/>
      <c r="G80" s="26"/>
      <c r="H80" s="26"/>
      <c r="I80" s="27">
        <f>I79/'Income &amp; Cash Flow'!I$8*365</f>
        <v>15.246630581188144</v>
      </c>
      <c r="J80" s="26"/>
      <c r="K80" s="26"/>
      <c r="L80" s="27">
        <f>L79/'Income &amp; Cash Flow'!L$8*365</f>
        <v>34.742479277265531</v>
      </c>
      <c r="M80" s="26"/>
      <c r="N80" s="26"/>
      <c r="O80" s="27">
        <f>O79/'Income &amp; Cash Flow'!O$8*365</f>
        <v>33.741970476058121</v>
      </c>
      <c r="P80" s="26">
        <f>P79/'Income &amp; Cash Flow'!P$8*182.5</f>
        <v>23.093984491126275</v>
      </c>
      <c r="Q80" s="26">
        <f>Q79/'Income &amp; Cash Flow'!Q$8*182.5</f>
        <v>27.1822069068158</v>
      </c>
      <c r="R80" s="27">
        <f>R79/'Income &amp; Cash Flow'!R$8*365</f>
        <v>27.752517430613594</v>
      </c>
      <c r="S80" s="26">
        <f>S79/'Income &amp; Cash Flow'!S$8*182.5</f>
        <v>16.196714983122977</v>
      </c>
      <c r="T80" s="26">
        <f>T79/'Income &amp; Cash Flow'!T$8*182.5</f>
        <v>20.165669184972465</v>
      </c>
      <c r="U80" s="27">
        <f>U79/'Income &amp; Cash Flow'!U$8*365</f>
        <v>20.681117569073951</v>
      </c>
      <c r="V80" s="26">
        <f>V79/'Income &amp; Cash Flow'!V$8*182.5</f>
        <v>20.681117569073951</v>
      </c>
      <c r="W80" s="26">
        <f>W79/'Income &amp; Cash Flow'!W$8*182.5</f>
        <v>20.365105259057461</v>
      </c>
      <c r="X80" s="27">
        <f>X79/'Income &amp; Cash Flow'!X$8*365</f>
        <v>20.681117569073951</v>
      </c>
      <c r="Y80" s="26">
        <f>Y79/'Income &amp; Cash Flow'!Y$8*182.5</f>
        <v>20.681117569073951</v>
      </c>
      <c r="Z80" s="26">
        <f>Z79/'Income &amp; Cash Flow'!Z$8*182.5</f>
        <v>20.408319807073791</v>
      </c>
      <c r="AA80" s="27">
        <f>AA79/'Income &amp; Cash Flow'!AA$8*365</f>
        <v>20.681117569073947</v>
      </c>
      <c r="AB80" s="26">
        <f>AB79/'Income &amp; Cash Flow'!AB$8*182.5</f>
        <v>20.681117569073951</v>
      </c>
      <c r="AC80" s="26">
        <f>AC79/'Income &amp; Cash Flow'!AC$8*182.5</f>
        <v>20.48522227712326</v>
      </c>
      <c r="AD80" s="27">
        <f>AD79/'Income &amp; Cash Flow'!AD$8*365</f>
        <v>20.681117569073951</v>
      </c>
      <c r="AE80" s="26">
        <f>AE79/'Income &amp; Cash Flow'!AE$8*182.5</f>
        <v>20.681117569073951</v>
      </c>
      <c r="AF80" s="26">
        <f>AF79/'Income &amp; Cash Flow'!AF$8*182.5</f>
        <v>20.531789372973986</v>
      </c>
      <c r="AG80" s="27">
        <f>AG79/'Income &amp; Cash Flow'!AG$8*365</f>
        <v>20.681117569073951</v>
      </c>
      <c r="AH80" s="26">
        <f>AH79/'Income &amp; Cash Flow'!AH$8*182.5</f>
        <v>20.681117569073951</v>
      </c>
      <c r="AI80" s="26">
        <f>AI79/'Income &amp; Cash Flow'!AI$8*182.5</f>
        <v>20.607686339338819</v>
      </c>
      <c r="AJ80" s="27">
        <f>AJ79/'Income &amp; Cash Flow'!AJ$8*365</f>
        <v>20.681117569073951</v>
      </c>
      <c r="AK80" s="26">
        <f>AK79/'Income &amp; Cash Flow'!AK$8*182.5</f>
        <v>20.681117569073951</v>
      </c>
      <c r="AL80" s="26">
        <f>AL79/'Income &amp; Cash Flow'!AL$8*182.5</f>
        <v>20.64006213374298</v>
      </c>
      <c r="AM80" s="27">
        <f>AM79/'Income &amp; Cash Flow'!AM$8*365</f>
        <v>20.681117569073951</v>
      </c>
      <c r="AN80" s="26">
        <f>AN79/'Income &amp; Cash Flow'!AN$8*182.5</f>
        <v>20.681117569073951</v>
      </c>
      <c r="AO80" s="26">
        <f>AO79/'Income &amp; Cash Flow'!AO$8*182.5</f>
        <v>20.667767341930752</v>
      </c>
      <c r="AP80" s="27">
        <f>AP79/'Income &amp; Cash Flow'!AP$8*365</f>
        <v>20.681117569073947</v>
      </c>
      <c r="AQ80" s="26">
        <f>AQ79/'Income &amp; Cash Flow'!AQ$8*182.5</f>
        <v>20.681117569073951</v>
      </c>
      <c r="AR80" s="26">
        <f>AR79/'Income &amp; Cash Flow'!AR$8*182.5</f>
        <v>20.691730479476227</v>
      </c>
      <c r="AS80" s="27">
        <f>AS79/'Income &amp; Cash Flow'!AS$8*365</f>
        <v>20.681117569073951</v>
      </c>
      <c r="AT80" s="26">
        <f>AT79/'Income &amp; Cash Flow'!AT$8*182.5</f>
        <v>20.681117569073951</v>
      </c>
      <c r="AU80" s="26">
        <f>AU79/'Income &amp; Cash Flow'!AU$8*182.5</f>
        <v>20.712647146735897</v>
      </c>
      <c r="AV80" s="27">
        <f>AV79/'Income &amp; Cash Flow'!AV$8*365</f>
        <v>20.681117569073947</v>
      </c>
      <c r="AW80" s="26">
        <f>AW79/'Income &amp; Cash Flow'!AW$8*182.5</f>
        <v>20.681117569073951</v>
      </c>
      <c r="AX80" s="26">
        <f>AX79/'Income &amp; Cash Flow'!AX$8*182.5</f>
        <v>20.731048485040617</v>
      </c>
      <c r="AY80" s="27">
        <f>AY79/'Income &amp; Cash Flow'!AY$8*365</f>
        <v>20.681117569073951</v>
      </c>
    </row>
    <row r="81" spans="1:52" ht="12" customHeight="1" x14ac:dyDescent="0.2">
      <c r="A81" s="6"/>
      <c r="B81" s="8" t="s">
        <v>174</v>
      </c>
      <c r="C81" s="6"/>
      <c r="D81" s="40"/>
      <c r="E81" s="40"/>
      <c r="F81" s="41"/>
      <c r="G81" s="40"/>
      <c r="H81" s="40"/>
      <c r="I81" s="41">
        <f>I79/'Income &amp; Cash Flow'!I$8</f>
        <v>4.1771590633392176E-2</v>
      </c>
      <c r="J81" s="40"/>
      <c r="K81" s="40"/>
      <c r="L81" s="41">
        <f>L79/'Income &amp; Cash Flow'!L$8</f>
        <v>9.5184874732234331E-2</v>
      </c>
      <c r="M81" s="40"/>
      <c r="N81" s="40"/>
      <c r="O81" s="41">
        <f>O79/'Income &amp; Cash Flow'!O$8</f>
        <v>9.2443754728926367E-2</v>
      </c>
      <c r="P81" s="40">
        <f>P79/'Income &amp; Cash Flow'!P$8</f>
        <v>0.12654238077329466</v>
      </c>
      <c r="Q81" s="40">
        <f>Q79/'Income &amp; Cash Flow'!Q$8</f>
        <v>0.14894359948940164</v>
      </c>
      <c r="R81" s="41">
        <f>R79/'Income &amp; Cash Flow'!R$8</f>
        <v>7.6034294330448199E-2</v>
      </c>
      <c r="S81" s="40">
        <f>S79/'Income &amp; Cash Flow'!S$8</f>
        <v>8.8749123195194402E-2</v>
      </c>
      <c r="T81" s="40">
        <f>T79/'Income &amp; Cash Flow'!T$8</f>
        <v>0.11049681745190393</v>
      </c>
      <c r="U81" s="41">
        <f>U79/'Income &amp; Cash Flow'!U$8</f>
        <v>5.6660596079654658E-2</v>
      </c>
      <c r="V81" s="42">
        <f t="shared" ref="V81" si="453">+X81*2</f>
        <v>0.11332119215930932</v>
      </c>
      <c r="W81" s="40">
        <f>W79/'Income &amp; Cash Flow'!W$8</f>
        <v>0.11158961785784911</v>
      </c>
      <c r="X81" s="359">
        <f t="shared" ref="X81" si="454">+U81</f>
        <v>5.6660596079654658E-2</v>
      </c>
      <c r="Y81" s="42">
        <f t="shared" ref="Y81" si="455">+AA81*2</f>
        <v>0.11332119215930932</v>
      </c>
      <c r="Z81" s="40">
        <f>Z79/'Income &amp; Cash Flow'!Z$8</f>
        <v>0.1118264099017742</v>
      </c>
      <c r="AA81" s="359">
        <f t="shared" ref="AA81" si="456">+X81</f>
        <v>5.6660596079654658E-2</v>
      </c>
      <c r="AB81" s="42">
        <f t="shared" ref="AB81" si="457">+AD81*2</f>
        <v>0.11332119215930932</v>
      </c>
      <c r="AC81" s="40">
        <f>AC79/'Income &amp; Cash Flow'!AC$8</f>
        <v>0.11224779329930554</v>
      </c>
      <c r="AD81" s="359">
        <f t="shared" ref="AD81" si="458">+AA81</f>
        <v>5.6660596079654658E-2</v>
      </c>
      <c r="AE81" s="42">
        <f t="shared" ref="AE81" si="459">+AG81*2</f>
        <v>0.11332119215930932</v>
      </c>
      <c r="AF81" s="40">
        <f>AF79/'Income &amp; Cash Flow'!AF$8</f>
        <v>0.11250295546835061</v>
      </c>
      <c r="AG81" s="359">
        <f t="shared" ref="AG81" si="460">+AD81</f>
        <v>5.6660596079654658E-2</v>
      </c>
      <c r="AH81" s="42">
        <f t="shared" ref="AH81" si="461">+AJ81*2</f>
        <v>0.11332119215930932</v>
      </c>
      <c r="AI81" s="40">
        <f>AI79/'Income &amp; Cash Flow'!AI$8</f>
        <v>0.11291882925665107</v>
      </c>
      <c r="AJ81" s="359">
        <f t="shared" ref="AJ81" si="462">+AG81</f>
        <v>5.6660596079654658E-2</v>
      </c>
      <c r="AK81" s="42">
        <f t="shared" ref="AK81" si="463">+AM81*2</f>
        <v>0.11332119215930932</v>
      </c>
      <c r="AL81" s="40">
        <f>AL79/'Income &amp; Cash Flow'!AL$8</f>
        <v>0.11309623086982455</v>
      </c>
      <c r="AM81" s="359">
        <f t="shared" ref="AM81" si="464">+AJ81</f>
        <v>5.6660596079654658E-2</v>
      </c>
      <c r="AN81" s="42">
        <f t="shared" ref="AN81" si="465">+AP81*2</f>
        <v>0.11332119215930932</v>
      </c>
      <c r="AO81" s="40">
        <f>AO79/'Income &amp; Cash Flow'!AO$8</f>
        <v>0.11324804022975754</v>
      </c>
      <c r="AP81" s="359">
        <f t="shared" ref="AP81" si="466">+AM81</f>
        <v>5.6660596079654658E-2</v>
      </c>
      <c r="AQ81" s="42">
        <f t="shared" ref="AQ81" si="467">+AS81*2</f>
        <v>0.11332119215930932</v>
      </c>
      <c r="AR81" s="40">
        <f>AR79/'Income &amp; Cash Flow'!AR$8</f>
        <v>0.11337934509302043</v>
      </c>
      <c r="AS81" s="359">
        <f t="shared" ref="AS81" si="468">+AP81</f>
        <v>5.6660596079654658E-2</v>
      </c>
      <c r="AT81" s="42">
        <f t="shared" ref="AT81" si="469">+AV81*2</f>
        <v>0.11332119215930932</v>
      </c>
      <c r="AU81" s="40">
        <f>AU79/'Income &amp; Cash Flow'!AU$8</f>
        <v>0.11349395696841588</v>
      </c>
      <c r="AV81" s="359">
        <f t="shared" ref="AV81" si="470">+AS81</f>
        <v>5.6660596079654658E-2</v>
      </c>
      <c r="AW81" s="42">
        <f t="shared" ref="AW81" si="471">+AY81*2</f>
        <v>0.11332119215930932</v>
      </c>
      <c r="AX81" s="40">
        <f>AX79/'Income &amp; Cash Flow'!AX$8</f>
        <v>0.11359478621940064</v>
      </c>
      <c r="AY81" s="359">
        <f t="shared" ref="AY81" si="472">+AV81</f>
        <v>5.6660596079654658E-2</v>
      </c>
      <c r="AZ81" s="6"/>
    </row>
    <row r="82" spans="1:52" x14ac:dyDescent="0.2">
      <c r="A82" s="6"/>
      <c r="B82" s="6"/>
      <c r="D82" s="6"/>
      <c r="E82" s="6"/>
      <c r="F82" s="13"/>
      <c r="G82" s="6"/>
      <c r="H82" s="6"/>
      <c r="I82" s="13"/>
      <c r="J82" s="6"/>
      <c r="K82" s="6"/>
      <c r="L82" s="13"/>
      <c r="M82" s="6"/>
      <c r="N82" s="6"/>
      <c r="O82" s="13"/>
      <c r="P82" s="6"/>
      <c r="Q82" s="6"/>
      <c r="R82" s="13"/>
      <c r="S82" s="6"/>
      <c r="T82" s="6"/>
      <c r="U82" s="13"/>
      <c r="V82" s="130"/>
      <c r="W82" s="130"/>
      <c r="X82" s="251"/>
      <c r="Y82" s="130"/>
      <c r="Z82" s="130"/>
      <c r="AA82" s="251"/>
      <c r="AB82" s="130"/>
      <c r="AC82" s="130"/>
      <c r="AD82" s="251"/>
      <c r="AE82" s="130"/>
      <c r="AF82" s="130"/>
      <c r="AG82" s="251"/>
      <c r="AH82" s="130"/>
      <c r="AI82" s="130"/>
      <c r="AJ82" s="251"/>
      <c r="AK82" s="130"/>
      <c r="AL82" s="130"/>
      <c r="AM82" s="251"/>
      <c r="AN82" s="130"/>
      <c r="AO82" s="130"/>
      <c r="AP82" s="251"/>
      <c r="AQ82" s="130"/>
      <c r="AR82" s="130"/>
      <c r="AS82" s="251"/>
      <c r="AT82" s="130"/>
      <c r="AU82" s="130"/>
      <c r="AV82" s="251"/>
      <c r="AW82" s="130"/>
      <c r="AX82" s="130"/>
      <c r="AY82" s="251"/>
    </row>
    <row r="83" spans="1:52" s="24" customFormat="1" ht="12" customHeight="1" x14ac:dyDescent="0.2">
      <c r="A83" s="6"/>
      <c r="B83" s="28" t="s">
        <v>146</v>
      </c>
      <c r="C83" s="29"/>
      <c r="D83" s="31"/>
      <c r="E83" s="31"/>
      <c r="F83" s="30"/>
      <c r="G83" s="31"/>
      <c r="H83" s="31"/>
      <c r="I83" s="30">
        <f>+I8</f>
        <v>1.6519999999999999</v>
      </c>
      <c r="J83" s="31"/>
      <c r="K83" s="31"/>
      <c r="L83" s="30">
        <f>+L8</f>
        <v>1.9870000000000001</v>
      </c>
      <c r="M83" s="31"/>
      <c r="N83" s="31"/>
      <c r="O83" s="30">
        <f t="shared" ref="O83:U83" si="473">+O8</f>
        <v>2.153</v>
      </c>
      <c r="P83" s="31">
        <f t="shared" si="473"/>
        <v>3.1709999999999998</v>
      </c>
      <c r="Q83" s="31">
        <f t="shared" si="473"/>
        <v>2.8250000000000002</v>
      </c>
      <c r="R83" s="30">
        <f t="shared" si="473"/>
        <v>2.8250000000000002</v>
      </c>
      <c r="S83" s="31">
        <f t="shared" si="473"/>
        <v>4.2489999999999997</v>
      </c>
      <c r="T83" s="31">
        <f t="shared" si="473"/>
        <v>3.7610000000000001</v>
      </c>
      <c r="U83" s="30">
        <f t="shared" si="473"/>
        <v>3.7610000000000001</v>
      </c>
      <c r="V83" s="252">
        <f>+'Income &amp; Cash Flow'!V8*'Balance Sheet'!V85</f>
        <v>4.5761317181873089</v>
      </c>
      <c r="W83" s="252">
        <f t="shared" ref="W83" si="474">+X83</f>
        <v>4.6482603655470527</v>
      </c>
      <c r="X83" s="170">
        <f>+'Income &amp; Cash Flow'!X8*'Balance Sheet'!X85</f>
        <v>4.6482603655470527</v>
      </c>
      <c r="Y83" s="252">
        <f>+'Income &amp; Cash Flow'!Y8*'Balance Sheet'!Y85</f>
        <v>5.4627850444623087</v>
      </c>
      <c r="Z83" s="252">
        <f t="shared" ref="Z83" si="475">+AA83</f>
        <v>5.5367953199883839</v>
      </c>
      <c r="AA83" s="170">
        <f>+'Income &amp; Cash Flow'!AA8*'Balance Sheet'!AA85</f>
        <v>5.5367953199883839</v>
      </c>
      <c r="AB83" s="252">
        <f>+'Income &amp; Cash Flow'!AB8*'Balance Sheet'!AB85</f>
        <v>6.4387321836167475</v>
      </c>
      <c r="AC83" s="252">
        <f t="shared" ref="AC83" si="476">+AD83</f>
        <v>6.5008987267368656</v>
      </c>
      <c r="AD83" s="170">
        <f>+'Income &amp; Cash Flow'!AD8*'Balance Sheet'!AD85</f>
        <v>6.5008987267368656</v>
      </c>
      <c r="AE83" s="252">
        <f>+'Income &amp; Cash Flow'!AE8*'Balance Sheet'!AE85</f>
        <v>7.39701076991226</v>
      </c>
      <c r="AF83" s="252">
        <f t="shared" ref="AF83" si="477">+AG83</f>
        <v>7.4512035518936788</v>
      </c>
      <c r="AG83" s="170">
        <f>+'Income &amp; Cash Flow'!AG8*'Balance Sheet'!AG85</f>
        <v>7.4512035518936788</v>
      </c>
      <c r="AH83" s="252">
        <f>+'Income &amp; Cash Flow'!AH8*'Balance Sheet'!AH85</f>
        <v>8.4228784842666062</v>
      </c>
      <c r="AI83" s="252">
        <f t="shared" ref="AI83" si="478">+AJ83</f>
        <v>8.4529989985831921</v>
      </c>
      <c r="AJ83" s="170">
        <f>+'Income &amp; Cash Flow'!AJ8*'Balance Sheet'!AJ85</f>
        <v>8.4529989985831921</v>
      </c>
      <c r="AK83" s="252">
        <f>+'Income &amp; Cash Flow'!AK8*'Balance Sheet'!AK85</f>
        <v>9.4862864920012946</v>
      </c>
      <c r="AL83" s="252">
        <f t="shared" ref="AL83" si="479">+AM83</f>
        <v>9.5051934047134221</v>
      </c>
      <c r="AM83" s="170">
        <f>+'Income &amp; Cash Flow'!AM8*'Balance Sheet'!AM85</f>
        <v>9.5051934047134221</v>
      </c>
      <c r="AN83" s="252">
        <f>+'Income &amp; Cash Flow'!AN8*'Balance Sheet'!AN85</f>
        <v>10.618233924704782</v>
      </c>
      <c r="AO83" s="252">
        <f t="shared" ref="AO83" si="480">+AP83</f>
        <v>10.625097145969589</v>
      </c>
      <c r="AP83" s="170">
        <f>+'Income &amp; Cash Flow'!AP8*'Balance Sheet'!AP85</f>
        <v>10.625097145969589</v>
      </c>
      <c r="AQ83" s="252">
        <f>+'Income &amp; Cash Flow'!AQ8*'Balance Sheet'!AQ85</f>
        <v>11.822628552518616</v>
      </c>
      <c r="AR83" s="252">
        <f t="shared" ref="AR83" si="481">+AS83</f>
        <v>11.816567765332147</v>
      </c>
      <c r="AS83" s="170">
        <f>+'Income &amp; Cash Flow'!AS8*'Balance Sheet'!AS85</f>
        <v>11.816567765332147</v>
      </c>
      <c r="AT83" s="252">
        <f>+'Income &amp; Cash Flow'!AT8*'Balance Sheet'!AT85</f>
        <v>13.103580034428482</v>
      </c>
      <c r="AU83" s="252">
        <f t="shared" ref="AU83" si="482">+AV83</f>
        <v>13.08366358511193</v>
      </c>
      <c r="AV83" s="170">
        <f>+'Income &amp; Cash Flow'!AV8*'Balance Sheet'!AV85</f>
        <v>13.08366358511193</v>
      </c>
      <c r="AW83" s="252">
        <f>+'Income &amp; Cash Flow'!AW8*'Balance Sheet'!AW85</f>
        <v>14.465414574520215</v>
      </c>
      <c r="AX83" s="252">
        <f t="shared" ref="AX83" si="483">+AY83</f>
        <v>14.430658204976428</v>
      </c>
      <c r="AY83" s="170">
        <f>+'Income &amp; Cash Flow'!AY8*'Balance Sheet'!AY85</f>
        <v>14.430658204976428</v>
      </c>
    </row>
    <row r="84" spans="1:52" s="24" customFormat="1" ht="12" customHeight="1" x14ac:dyDescent="0.2">
      <c r="A84" s="6"/>
      <c r="B84" s="23" t="s">
        <v>324</v>
      </c>
      <c r="C84" s="23"/>
      <c r="D84" s="26"/>
      <c r="E84" s="26"/>
      <c r="F84" s="27"/>
      <c r="G84" s="26"/>
      <c r="H84" s="26"/>
      <c r="I84" s="27">
        <f>I83/'Income &amp; Cash Flow'!I$8*365</f>
        <v>5.044549112782458</v>
      </c>
      <c r="J84" s="26"/>
      <c r="K84" s="26"/>
      <c r="L84" s="27">
        <f>L83/'Income &amp; Cash Flow'!L$8*365</f>
        <v>4.2217041538604825</v>
      </c>
      <c r="M84" s="26"/>
      <c r="N84" s="26"/>
      <c r="O84" s="27">
        <f>O83/'Income &amp; Cash Flow'!O$8*365</f>
        <v>3.0336352125507635</v>
      </c>
      <c r="P84" s="26">
        <f>P83/'Income &amp; Cash Flow'!P$8*182.5</f>
        <v>3.454619531152062</v>
      </c>
      <c r="Q84" s="26">
        <f>Q83/'Income &amp; Cash Flow'!Q$8*182.5</f>
        <v>2.9511811879997945</v>
      </c>
      <c r="R84" s="27">
        <f>R83/'Income &amp; Cash Flow'!R$8*365</f>
        <v>3.0130999900646964</v>
      </c>
      <c r="S84" s="26">
        <f>S83/'Income &amp; Cash Flow'!S$8*182.5</f>
        <v>3.6505326736308894</v>
      </c>
      <c r="T84" s="26">
        <f>T83/'Income &amp; Cash Flow'!T$8*182.5</f>
        <v>3.0701972151026777</v>
      </c>
      <c r="U84" s="27">
        <f>U83/'Income &amp; Cash Flow'!U$8*365</f>
        <v>3.1486735690923018</v>
      </c>
      <c r="V84" s="26">
        <f>V83/'Income &amp; Cash Flow'!V$8*182.5</f>
        <v>3.1486735690923018</v>
      </c>
      <c r="W84" s="26">
        <f>W83/'Income &amp; Cash Flow'!W$8*182.5</f>
        <v>3.100561101053116</v>
      </c>
      <c r="X84" s="27">
        <f>X83/'Income &amp; Cash Flow'!X$8*365</f>
        <v>3.1486735690923018</v>
      </c>
      <c r="Y84" s="26">
        <f>Y83/'Income &amp; Cash Flow'!Y$8*182.5</f>
        <v>3.1486735690923018</v>
      </c>
      <c r="Z84" s="26">
        <f>Z83/'Income &amp; Cash Flow'!Z$8*182.5</f>
        <v>3.1071404604462836</v>
      </c>
      <c r="AA84" s="27">
        <f>AA83/'Income &amp; Cash Flow'!AA$8*365</f>
        <v>3.1486735690923018</v>
      </c>
      <c r="AB84" s="26">
        <f>AB83/'Income &amp; Cash Flow'!AB$8*182.5</f>
        <v>3.1486735690923018</v>
      </c>
      <c r="AC84" s="26">
        <f>AC83/'Income &amp; Cash Flow'!AC$8*182.5</f>
        <v>3.1188487626709542</v>
      </c>
      <c r="AD84" s="27">
        <f>AD83/'Income &amp; Cash Flow'!AD$8*365</f>
        <v>3.1486735690923018</v>
      </c>
      <c r="AE84" s="26">
        <f>AE83/'Income &amp; Cash Flow'!AE$8*182.5</f>
        <v>3.1486735690923018</v>
      </c>
      <c r="AF84" s="26">
        <f>AF83/'Income &amp; Cash Flow'!AF$8*182.5</f>
        <v>3.1259385431629831</v>
      </c>
      <c r="AG84" s="27">
        <f>AG83/'Income &amp; Cash Flow'!AG$8*365</f>
        <v>3.1486735690923018</v>
      </c>
      <c r="AH84" s="26">
        <f>AH83/'Income &amp; Cash Flow'!AH$8*182.5</f>
        <v>3.1486735690923018</v>
      </c>
      <c r="AI84" s="26">
        <f>AI83/'Income &amp; Cash Flow'!AI$8*182.5</f>
        <v>3.1374937587440108</v>
      </c>
      <c r="AJ84" s="27">
        <f>AJ83/'Income &amp; Cash Flow'!AJ$8*365</f>
        <v>3.1486735690923018</v>
      </c>
      <c r="AK84" s="26">
        <f>AK83/'Income &amp; Cash Flow'!AK$8*182.5</f>
        <v>3.1486735690923018</v>
      </c>
      <c r="AL84" s="26">
        <f>AL83/'Income &amp; Cash Flow'!AL$8*182.5</f>
        <v>3.1424229318304402</v>
      </c>
      <c r="AM84" s="27">
        <f>AM83/'Income &amp; Cash Flow'!AM$8*365</f>
        <v>3.1486735690923018</v>
      </c>
      <c r="AN84" s="26">
        <f>AN83/'Income &amp; Cash Flow'!AN$8*182.5</f>
        <v>3.1486735690923018</v>
      </c>
      <c r="AO84" s="26">
        <f>AO83/'Income &amp; Cash Flow'!AO$8*182.5</f>
        <v>3.1466410141683827</v>
      </c>
      <c r="AP84" s="27">
        <f>AP83/'Income &amp; Cash Flow'!AP$8*365</f>
        <v>3.1486735690923018</v>
      </c>
      <c r="AQ84" s="26">
        <f>AQ83/'Income &amp; Cash Flow'!AQ$8*182.5</f>
        <v>3.1486735690923018</v>
      </c>
      <c r="AR84" s="26">
        <f>AR83/'Income &amp; Cash Flow'!AR$8*182.5</f>
        <v>3.1502893710606035</v>
      </c>
      <c r="AS84" s="27">
        <f>AS83/'Income &amp; Cash Flow'!AS$8*365</f>
        <v>3.1486735690923018</v>
      </c>
      <c r="AT84" s="26">
        <f>AT83/'Income &amp; Cash Flow'!AT$8*182.5</f>
        <v>3.1486735690923018</v>
      </c>
      <c r="AU84" s="26">
        <f>AU83/'Income &amp; Cash Flow'!AU$8*182.5</f>
        <v>3.1534739067673447</v>
      </c>
      <c r="AV84" s="27">
        <f>AV83/'Income &amp; Cash Flow'!AV$8*365</f>
        <v>3.1486735690923018</v>
      </c>
      <c r="AW84" s="26">
        <f>AW83/'Income &amp; Cash Flow'!AW$8*182.5</f>
        <v>3.1486735690923018</v>
      </c>
      <c r="AX84" s="26">
        <f>AX83/'Income &amp; Cash Flow'!AX$8*182.5</f>
        <v>3.156275486873569</v>
      </c>
      <c r="AY84" s="27">
        <f>AY83/'Income &amp; Cash Flow'!AY$8*365</f>
        <v>3.1486735690923018</v>
      </c>
    </row>
    <row r="85" spans="1:52" ht="12" customHeight="1" x14ac:dyDescent="0.2">
      <c r="A85" s="6"/>
      <c r="B85" s="8" t="s">
        <v>174</v>
      </c>
      <c r="C85" s="6"/>
      <c r="D85" s="40"/>
      <c r="E85" s="40"/>
      <c r="F85" s="41"/>
      <c r="G85" s="40"/>
      <c r="H85" s="40"/>
      <c r="I85" s="41">
        <f>I83/'Income &amp; Cash Flow'!I$8</f>
        <v>1.3820682500773857E-2</v>
      </c>
      <c r="J85" s="40"/>
      <c r="K85" s="40"/>
      <c r="L85" s="41">
        <f>L83/'Income &amp; Cash Flow'!L$8</f>
        <v>1.1566312750302692E-2</v>
      </c>
      <c r="M85" s="40"/>
      <c r="N85" s="40"/>
      <c r="O85" s="41">
        <f>O83/'Income &amp; Cash Flow'!O$8</f>
        <v>8.3113293494541472E-3</v>
      </c>
      <c r="P85" s="40">
        <f>P83/'Income &amp; Cash Flow'!P$8</f>
        <v>1.8929422088504448E-2</v>
      </c>
      <c r="Q85" s="40">
        <f>Q83/'Income &amp; Cash Flow'!Q$8</f>
        <v>1.6170855824656407E-2</v>
      </c>
      <c r="R85" s="41">
        <f>R83/'Income &amp; Cash Flow'!R$8</f>
        <v>8.2550684659306751E-3</v>
      </c>
      <c r="S85" s="40">
        <f>S83/'Income &amp; Cash Flow'!S$8</f>
        <v>2.0002918759621312E-2</v>
      </c>
      <c r="T85" s="40">
        <f>T83/'Income &amp; Cash Flow'!T$8</f>
        <v>1.6822998438918782E-2</v>
      </c>
      <c r="U85" s="41">
        <f>U83/'Income &amp; Cash Flow'!U$8</f>
        <v>8.6265029290200045E-3</v>
      </c>
      <c r="V85" s="42">
        <f t="shared" ref="V85" si="484">+X85*2</f>
        <v>1.7253005858040009E-2</v>
      </c>
      <c r="W85" s="40">
        <f>W83/'Income &amp; Cash Flow'!W$8</f>
        <v>1.6989375896181456E-2</v>
      </c>
      <c r="X85" s="359">
        <f t="shared" ref="X85" si="485">+U85</f>
        <v>8.6265029290200045E-3</v>
      </c>
      <c r="Y85" s="42">
        <f t="shared" ref="Y85" si="486">+AA85*2</f>
        <v>1.7253005858040009E-2</v>
      </c>
      <c r="Z85" s="40">
        <f>Z83/'Income &amp; Cash Flow'!Z$8</f>
        <v>1.7025427180527582E-2</v>
      </c>
      <c r="AA85" s="359">
        <f t="shared" ref="AA85" si="487">+X85</f>
        <v>8.6265029290200045E-3</v>
      </c>
      <c r="AB85" s="42">
        <f t="shared" ref="AB85" si="488">+AD85*2</f>
        <v>1.7253005858040009E-2</v>
      </c>
      <c r="AC85" s="40">
        <f>AC83/'Income &amp; Cash Flow'!AC$8</f>
        <v>1.7089582261210708E-2</v>
      </c>
      <c r="AD85" s="359">
        <f t="shared" ref="AD85" si="489">+AA85</f>
        <v>8.6265029290200045E-3</v>
      </c>
      <c r="AE85" s="42">
        <f t="shared" ref="AE85" si="490">+AG85*2</f>
        <v>1.7253005858040009E-2</v>
      </c>
      <c r="AF85" s="40">
        <f>AF83/'Income &amp; Cash Flow'!AF$8</f>
        <v>1.7128430373495797E-2</v>
      </c>
      <c r="AG85" s="359">
        <f t="shared" ref="AG85" si="491">+AD85</f>
        <v>8.6265029290200045E-3</v>
      </c>
      <c r="AH85" s="42">
        <f t="shared" ref="AH85" si="492">+AJ85*2</f>
        <v>1.7253005858040009E-2</v>
      </c>
      <c r="AI85" s="40">
        <f>AI83/'Income &amp; Cash Flow'!AI$8</f>
        <v>1.7191746623254855E-2</v>
      </c>
      <c r="AJ85" s="359">
        <f t="shared" ref="AJ85" si="493">+AG85</f>
        <v>8.6265029290200045E-3</v>
      </c>
      <c r="AK85" s="42">
        <f t="shared" ref="AK85" si="494">+AM85*2</f>
        <v>1.7253005858040009E-2</v>
      </c>
      <c r="AL85" s="40">
        <f>AL83/'Income &amp; Cash Flow'!AL$8</f>
        <v>1.7218755790851727E-2</v>
      </c>
      <c r="AM85" s="359">
        <f t="shared" ref="AM85" si="495">+AJ85</f>
        <v>8.6265029290200045E-3</v>
      </c>
      <c r="AN85" s="42">
        <f t="shared" ref="AN85" si="496">+AP85*2</f>
        <v>1.7253005858040009E-2</v>
      </c>
      <c r="AO85" s="40">
        <f>AO83/'Income &amp; Cash Flow'!AO$8</f>
        <v>1.7241868570785659E-2</v>
      </c>
      <c r="AP85" s="359">
        <f t="shared" ref="AP85" si="497">+AM85</f>
        <v>8.6265029290200045E-3</v>
      </c>
      <c r="AQ85" s="42">
        <f t="shared" ref="AQ85" si="498">+AS85*2</f>
        <v>1.7253005858040009E-2</v>
      </c>
      <c r="AR85" s="40">
        <f>AR83/'Income &amp; Cash Flow'!AR$8</f>
        <v>1.7261859567455361E-2</v>
      </c>
      <c r="AS85" s="359">
        <f t="shared" ref="AS85" si="499">+AP85</f>
        <v>8.6265029290200045E-3</v>
      </c>
      <c r="AT85" s="42">
        <f t="shared" ref="AT85" si="500">+AV85*2</f>
        <v>1.7253005858040009E-2</v>
      </c>
      <c r="AU85" s="40">
        <f>AU83/'Income &amp; Cash Flow'!AU$8</f>
        <v>1.7279309078177232E-2</v>
      </c>
      <c r="AV85" s="359">
        <f t="shared" ref="AV85" si="501">+AS85</f>
        <v>8.6265029290200045E-3</v>
      </c>
      <c r="AW85" s="42">
        <f t="shared" ref="AW85" si="502">+AY85*2</f>
        <v>1.7253005858040009E-2</v>
      </c>
      <c r="AX85" s="40">
        <f>AX83/'Income &amp; Cash Flow'!AX$8</f>
        <v>1.7294660202046952E-2</v>
      </c>
      <c r="AY85" s="359">
        <f t="shared" ref="AY85" si="503">+AV85</f>
        <v>8.6265029290200045E-3</v>
      </c>
    </row>
    <row r="86" spans="1:52" x14ac:dyDescent="0.2">
      <c r="A86" s="6"/>
      <c r="B86" s="6"/>
      <c r="D86" s="6"/>
      <c r="E86" s="6"/>
      <c r="F86" s="13"/>
      <c r="G86" s="6"/>
      <c r="H86" s="6"/>
      <c r="I86" s="13"/>
      <c r="J86" s="6"/>
      <c r="K86" s="6"/>
      <c r="L86" s="13"/>
      <c r="M86" s="6"/>
      <c r="N86" s="6"/>
      <c r="O86" s="13"/>
      <c r="P86" s="6"/>
      <c r="Q86" s="6"/>
      <c r="R86" s="13"/>
      <c r="S86" s="6"/>
      <c r="T86" s="6"/>
      <c r="U86" s="13"/>
      <c r="V86" s="130"/>
      <c r="W86" s="130"/>
      <c r="X86" s="251"/>
      <c r="Y86" s="130"/>
      <c r="Z86" s="130"/>
      <c r="AA86" s="251"/>
      <c r="AB86" s="130"/>
      <c r="AC86" s="130"/>
      <c r="AD86" s="251"/>
      <c r="AE86" s="130"/>
      <c r="AF86" s="130"/>
      <c r="AG86" s="251"/>
      <c r="AH86" s="130"/>
      <c r="AI86" s="130"/>
      <c r="AJ86" s="251"/>
      <c r="AK86" s="130"/>
      <c r="AL86" s="130"/>
      <c r="AM86" s="251"/>
      <c r="AN86" s="130"/>
      <c r="AO86" s="130"/>
      <c r="AP86" s="251"/>
      <c r="AQ86" s="130"/>
      <c r="AR86" s="130"/>
      <c r="AS86" s="251"/>
      <c r="AT86" s="130"/>
      <c r="AU86" s="130"/>
      <c r="AV86" s="251"/>
      <c r="AW86" s="130"/>
      <c r="AX86" s="130"/>
      <c r="AY86" s="251"/>
    </row>
    <row r="87" spans="1:52" s="24" customFormat="1" ht="12" customHeight="1" x14ac:dyDescent="0.2">
      <c r="A87" s="6"/>
      <c r="B87" s="28" t="s">
        <v>85</v>
      </c>
      <c r="C87" s="29"/>
      <c r="D87" s="31"/>
      <c r="E87" s="31"/>
      <c r="F87" s="30"/>
      <c r="G87" s="31"/>
      <c r="H87" s="31"/>
      <c r="I87" s="30">
        <f>+I25</f>
        <v>17.097000000000001</v>
      </c>
      <c r="J87" s="31"/>
      <c r="K87" s="31"/>
      <c r="L87" s="30">
        <f>+L25</f>
        <v>28.007999999999999</v>
      </c>
      <c r="M87" s="31"/>
      <c r="N87" s="31"/>
      <c r="O87" s="30">
        <f t="shared" ref="O87:U87" si="504">+O25</f>
        <v>32.634999999999998</v>
      </c>
      <c r="P87" s="31">
        <f t="shared" si="504"/>
        <v>22.035</v>
      </c>
      <c r="Q87" s="31">
        <f t="shared" si="504"/>
        <v>39.387</v>
      </c>
      <c r="R87" s="30">
        <f t="shared" si="504"/>
        <v>39.387</v>
      </c>
      <c r="S87" s="31">
        <f t="shared" si="504"/>
        <v>30.198</v>
      </c>
      <c r="T87" s="31">
        <f t="shared" si="504"/>
        <v>40.439</v>
      </c>
      <c r="U87" s="30">
        <f t="shared" si="504"/>
        <v>40.439</v>
      </c>
      <c r="V87" s="252">
        <f>+'Income &amp; Cash Flow'!V16*'Balance Sheet'!V89</f>
        <v>48.588371233822365</v>
      </c>
      <c r="W87" s="252">
        <f t="shared" ref="W87" si="505">+X87</f>
        <v>49.701664056933694</v>
      </c>
      <c r="X87" s="170">
        <f>+'Income &amp; Cash Flow'!X16*'Balance Sheet'!X89</f>
        <v>49.701664056933694</v>
      </c>
      <c r="Y87" s="252">
        <f>+'Income &amp; Cash Flow'!Y16*'Balance Sheet'!Y89</f>
        <v>56.957917412040757</v>
      </c>
      <c r="Z87" s="252">
        <f t="shared" ref="Z87" si="506">+AA87</f>
        <v>58.017867287298252</v>
      </c>
      <c r="AA87" s="170">
        <f>+'Income &amp; Cash Flow'!AA16*'Balance Sheet'!AA89</f>
        <v>58.017867287298252</v>
      </c>
      <c r="AB87" s="252">
        <f>+'Income &amp; Cash Flow'!AB16*'Balance Sheet'!AB89</f>
        <v>65.469759913715606</v>
      </c>
      <c r="AC87" s="252">
        <f t="shared" ref="AC87" si="507">+AD87</f>
        <v>66.416698195078453</v>
      </c>
      <c r="AD87" s="170">
        <f>+'Income &amp; Cash Flow'!AD16*'Balance Sheet'!AD89</f>
        <v>66.416698195078453</v>
      </c>
      <c r="AE87" s="252">
        <f>+'Income &amp; Cash Flow'!AE16*'Balance Sheet'!AE89</f>
        <v>73.635977559506372</v>
      </c>
      <c r="AF87" s="252">
        <f t="shared" ref="AF87" si="508">+AG87</f>
        <v>74.537382861924399</v>
      </c>
      <c r="AG87" s="170">
        <f>+'Income &amp; Cash Flow'!AG16*'Balance Sheet'!AG89</f>
        <v>74.537382861924399</v>
      </c>
      <c r="AH87" s="252">
        <f>+'Income &amp; Cash Flow'!AH16*'Balance Sheet'!AH89</f>
        <v>82.132554055088619</v>
      </c>
      <c r="AI87" s="252">
        <f t="shared" ref="AI87" si="509">+AJ87</f>
        <v>82.987262565336778</v>
      </c>
      <c r="AJ87" s="170">
        <f>+'Income &amp; Cash Flow'!AJ16*'Balance Sheet'!AJ89</f>
        <v>82.987262565336778</v>
      </c>
      <c r="AK87" s="252">
        <f>+'Income &amp; Cash Flow'!AK16*'Balance Sheet'!AK89</f>
        <v>92.984090125149407</v>
      </c>
      <c r="AL87" s="252">
        <f t="shared" ref="AL87" si="510">+AM87</f>
        <v>93.55903870220547</v>
      </c>
      <c r="AM87" s="170">
        <f>+'Income &amp; Cash Flow'!AM16*'Balance Sheet'!AM89</f>
        <v>93.55903870220547</v>
      </c>
      <c r="AN87" s="252">
        <f>+'Income &amp; Cash Flow'!AN16*'Balance Sheet'!AN89</f>
        <v>103.58636929177368</v>
      </c>
      <c r="AO87" s="252">
        <f t="shared" ref="AO87" si="511">+AP87</f>
        <v>104.08682211411886</v>
      </c>
      <c r="AP87" s="170">
        <f>+'Income &amp; Cash Flow'!AP16*'Balance Sheet'!AP89</f>
        <v>104.08682211411886</v>
      </c>
      <c r="AQ87" s="252">
        <f>+'Income &amp; Cash Flow'!AQ16*'Balance Sheet'!AQ89</f>
        <v>114.82670349858655</v>
      </c>
      <c r="AR87" s="252">
        <f t="shared" ref="AR87" si="512">+AS87</f>
        <v>115.24765192780971</v>
      </c>
      <c r="AS87" s="170">
        <f>+'Income &amp; Cash Flow'!AS16*'Balance Sheet'!AS89</f>
        <v>115.24765192780971</v>
      </c>
      <c r="AT87" s="252">
        <f>+'Income &amp; Cash Flow'!AT16*'Balance Sheet'!AT89</f>
        <v>126.74103924620398</v>
      </c>
      <c r="AU87" s="252">
        <f t="shared" ref="AU87" si="513">+AV87</f>
        <v>127.0772292918283</v>
      </c>
      <c r="AV87" s="170">
        <f>+'Income &amp; Cash Flow'!AV16*'Balance Sheet'!AV89</f>
        <v>127.0772292918283</v>
      </c>
      <c r="AW87" s="252">
        <f>+'Income &amp; Cash Flow'!AW16*'Balance Sheet'!AW89</f>
        <v>139.36737189171987</v>
      </c>
      <c r="AX87" s="252">
        <f t="shared" ref="AX87" si="514">+AY87</f>
        <v>139.61331342336163</v>
      </c>
      <c r="AY87" s="170">
        <f>+'Income &amp; Cash Flow'!AY16*'Balance Sheet'!AY89</f>
        <v>139.61331342336163</v>
      </c>
    </row>
    <row r="88" spans="1:52" s="24" customFormat="1" ht="12" customHeight="1" x14ac:dyDescent="0.2">
      <c r="A88" s="6"/>
      <c r="B88" s="23" t="s">
        <v>325</v>
      </c>
      <c r="C88" s="23"/>
      <c r="D88" s="26"/>
      <c r="E88" s="26"/>
      <c r="F88" s="27"/>
      <c r="G88" s="26"/>
      <c r="H88" s="26"/>
      <c r="I88" s="27">
        <f>-I87/'Income &amp; Cash Flow'!I16*365</f>
        <v>61.86091119966693</v>
      </c>
      <c r="J88" s="26"/>
      <c r="K88" s="26"/>
      <c r="L88" s="27">
        <f>-L87/'Income &amp; Cash Flow'!L16*365</f>
        <v>69.127030280080604</v>
      </c>
      <c r="M88" s="26"/>
      <c r="N88" s="26"/>
      <c r="O88" s="27">
        <f>-O87/'Income &amp; Cash Flow'!O16*365</f>
        <v>51.920579017796818</v>
      </c>
      <c r="P88" s="26">
        <f>-P87/'Income &amp; Cash Flow'!P16*365</f>
        <v>54.118919609993746</v>
      </c>
      <c r="Q88" s="26">
        <f>-Q87/'Income &amp; Cash Flow'!Q16*365</f>
        <v>86.433681843597256</v>
      </c>
      <c r="R88" s="27">
        <f>-R87/'Income &amp; Cash Flow'!R16*365</f>
        <v>45.647599542770052</v>
      </c>
      <c r="S88" s="26">
        <f>-S87/'Income &amp; Cash Flow'!S16*365</f>
        <v>60.950061103400223</v>
      </c>
      <c r="T88" s="26">
        <f>-T87/'Income &amp; Cash Flow'!T16*365</f>
        <v>77.676453252781272</v>
      </c>
      <c r="U88" s="27">
        <f>-U87/'Income &amp; Cash Flow'!U16*365</f>
        <v>39.799696923122561</v>
      </c>
      <c r="V88" s="142">
        <f>-V87/'Income &amp; Cash Flow'!V16*365</f>
        <v>79.599393846245121</v>
      </c>
      <c r="W88" s="142">
        <f>-W87/'Income &amp; Cash Flow'!W16*365</f>
        <v>77.855469629164133</v>
      </c>
      <c r="X88" s="143">
        <f>-X87/'Income &amp; Cash Flow'!X16*365</f>
        <v>39.799696923122561</v>
      </c>
      <c r="Y88" s="142">
        <f>-Y87/'Income &amp; Cash Flow'!Y16*365</f>
        <v>79.599393846245121</v>
      </c>
      <c r="Z88" s="142">
        <f>-Z87/'Income &amp; Cash Flow'!Z16*365</f>
        <v>78.171254290144972</v>
      </c>
      <c r="AA88" s="143">
        <f>-AA87/'Income &amp; Cash Flow'!AA16*365</f>
        <v>39.799696923122561</v>
      </c>
      <c r="AB88" s="142">
        <f>-AB87/'Income &amp; Cash Flow'!AB16*365</f>
        <v>79.599393846245135</v>
      </c>
      <c r="AC88" s="142">
        <f>-AC87/'Income &amp; Cash Flow'!AC16*365</f>
        <v>78.480456135204989</v>
      </c>
      <c r="AD88" s="143">
        <f>-AD87/'Income &amp; Cash Flow'!AD16*365</f>
        <v>39.799696923122561</v>
      </c>
      <c r="AE88" s="142">
        <f>-AE87/'Income &amp; Cash Flow'!AE16*365</f>
        <v>79.599393846245135</v>
      </c>
      <c r="AF88" s="142">
        <f>-AF87/'Income &amp; Cash Flow'!AF16*365</f>
        <v>78.64827417123179</v>
      </c>
      <c r="AG88" s="143">
        <f>-AG87/'Income &amp; Cash Flow'!AG16*365</f>
        <v>39.799696923122561</v>
      </c>
      <c r="AH88" s="142">
        <f>-AH87/'Income &amp; Cash Flow'!AH16*365</f>
        <v>79.599393846245121</v>
      </c>
      <c r="AI88" s="142">
        <f>-AI87/'Income &amp; Cash Flow'!AI16*365</f>
        <v>78.787935355250823</v>
      </c>
      <c r="AJ88" s="143">
        <f>-AJ87/'Income &amp; Cash Flow'!AJ16*365</f>
        <v>39.799696923122561</v>
      </c>
      <c r="AK88" s="142">
        <f>-AK87/'Income &amp; Cash Flow'!AK16*365</f>
        <v>79.599393846245121</v>
      </c>
      <c r="AL88" s="142">
        <f>-AL87/'Income &amp; Cash Flow'!AL16*365</f>
        <v>79.113219197224282</v>
      </c>
      <c r="AM88" s="143">
        <f>-AM87/'Income &amp; Cash Flow'!AM16*365</f>
        <v>39.799696923122561</v>
      </c>
      <c r="AN88" s="142">
        <f>-AN87/'Income &amp; Cash Flow'!AN16*365</f>
        <v>79.599393846245121</v>
      </c>
      <c r="AO88" s="142">
        <f>-AO87/'Income &amp; Cash Flow'!AO16*365</f>
        <v>79.218508682810864</v>
      </c>
      <c r="AP88" s="143">
        <f>-AP87/'Income &amp; Cash Flow'!AP16*365</f>
        <v>39.799696923122561</v>
      </c>
      <c r="AQ88" s="142">
        <f>-AQ87/'Income &amp; Cash Flow'!AQ16*365</f>
        <v>79.599393846245121</v>
      </c>
      <c r="AR88" s="142">
        <f>-AR87/'Income &amp; Cash Flow'!AR16*365</f>
        <v>79.309710736885592</v>
      </c>
      <c r="AS88" s="143">
        <f>-AS87/'Income &amp; Cash Flow'!AS16*365</f>
        <v>39.799696923122561</v>
      </c>
      <c r="AT88" s="142">
        <f>-AT87/'Income &amp; Cash Flow'!AT16*365</f>
        <v>79.599393846245121</v>
      </c>
      <c r="AU88" s="142">
        <f>-AU87/'Income &amp; Cash Flow'!AU16*365</f>
        <v>79.389364761491024</v>
      </c>
      <c r="AV88" s="143">
        <f>-AV87/'Income &amp; Cash Flow'!AV16*365</f>
        <v>39.799696923122561</v>
      </c>
      <c r="AW88" s="142">
        <f>-AW87/'Income &amp; Cash Flow'!AW16*365</f>
        <v>79.599393846245121</v>
      </c>
      <c r="AX88" s="142">
        <f>-AX87/'Income &amp; Cash Flow'!AX16*365</f>
        <v>79.459418863205201</v>
      </c>
      <c r="AY88" s="143">
        <f>-AY87/'Income &amp; Cash Flow'!AY16*365</f>
        <v>39.799696923122561</v>
      </c>
    </row>
    <row r="89" spans="1:52" ht="12" customHeight="1" x14ac:dyDescent="0.2">
      <c r="A89" s="6"/>
      <c r="B89" s="8" t="s">
        <v>175</v>
      </c>
      <c r="C89" s="6"/>
      <c r="D89" s="40"/>
      <c r="E89" s="40"/>
      <c r="F89" s="41"/>
      <c r="G89" s="40"/>
      <c r="H89" s="40"/>
      <c r="I89" s="41">
        <f>I87/'Income &amp; Cash Flow'!I16</f>
        <v>-0.16948194849223816</v>
      </c>
      <c r="J89" s="40"/>
      <c r="K89" s="40"/>
      <c r="L89" s="41">
        <f>L87/'Income &amp; Cash Flow'!L16</f>
        <v>-0.18938912405501535</v>
      </c>
      <c r="M89" s="40"/>
      <c r="N89" s="40"/>
      <c r="O89" s="41">
        <f>O87/'Income &amp; Cash Flow'!O16</f>
        <v>-0.14224816169259402</v>
      </c>
      <c r="P89" s="40">
        <f>P87/'Income &amp; Cash Flow'!P16</f>
        <v>-0.14827101263011985</v>
      </c>
      <c r="Q89" s="40">
        <f>Q87/'Income &amp; Cash Flow'!Q16</f>
        <v>-0.23680460779067741</v>
      </c>
      <c r="R89" s="41">
        <f>R87/'Income &amp; Cash Flow'!R16</f>
        <v>-0.12506191655553439</v>
      </c>
      <c r="S89" s="40">
        <f>S87/'Income &amp; Cash Flow'!S16</f>
        <v>-0.16698646877643897</v>
      </c>
      <c r="T89" s="40">
        <f>T87/'Income &amp; Cash Flow'!T16</f>
        <v>-0.21281220069255141</v>
      </c>
      <c r="U89" s="41">
        <f>U87/'Income &amp; Cash Flow'!U16</f>
        <v>-0.10904026554280154</v>
      </c>
      <c r="V89" s="42">
        <f t="shared" ref="V89" si="515">+X89*2</f>
        <v>-0.21808053108560307</v>
      </c>
      <c r="W89" s="40">
        <f>W87/'Income &amp; Cash Flow'!W$8</f>
        <v>0.18165941382881212</v>
      </c>
      <c r="X89" s="359">
        <f t="shared" ref="X89" si="516">+U89</f>
        <v>-0.10904026554280154</v>
      </c>
      <c r="Y89" s="42">
        <f t="shared" ref="Y89" si="517">+AA89*2</f>
        <v>-0.21808053108560307</v>
      </c>
      <c r="Z89" s="40">
        <f>Z87/'Income &amp; Cash Flow'!Z$8</f>
        <v>0.17840265308407355</v>
      </c>
      <c r="AA89" s="359">
        <f t="shared" ref="AA89" si="518">+X89</f>
        <v>-0.10904026554280154</v>
      </c>
      <c r="AB89" s="42">
        <f t="shared" ref="AB89" si="519">+AD89*2</f>
        <v>-0.21808053108560307</v>
      </c>
      <c r="AC89" s="40">
        <f>AC87/'Income &amp; Cash Flow'!AC$8</f>
        <v>0.17459641736220827</v>
      </c>
      <c r="AD89" s="359">
        <f t="shared" ref="AD89" si="520">+AA89</f>
        <v>-0.10904026554280154</v>
      </c>
      <c r="AE89" s="42">
        <f t="shared" ref="AE89" si="521">+AG89*2</f>
        <v>-0.21808053108560307</v>
      </c>
      <c r="AF89" s="40">
        <f>AF87/'Income &amp; Cash Flow'!AF$8</f>
        <v>0.1713425708587176</v>
      </c>
      <c r="AG89" s="359">
        <f t="shared" ref="AG89" si="522">+AD89</f>
        <v>-0.10904026554280154</v>
      </c>
      <c r="AH89" s="42">
        <f t="shared" ref="AH89" si="523">+AJ89*2</f>
        <v>-0.21808053108560307</v>
      </c>
      <c r="AI89" s="40">
        <f>AI87/'Income &amp; Cash Flow'!AI$8</f>
        <v>0.16877986040456425</v>
      </c>
      <c r="AJ89" s="359">
        <f t="shared" ref="AJ89" si="524">+AG89</f>
        <v>-0.10904026554280154</v>
      </c>
      <c r="AK89" s="42">
        <f t="shared" ref="AK89" si="525">+AM89*2</f>
        <v>-0.21808053108560307</v>
      </c>
      <c r="AL89" s="40">
        <f>AL87/'Income &amp; Cash Flow'!AL$8</f>
        <v>0.16948316260890342</v>
      </c>
      <c r="AM89" s="359">
        <f t="shared" ref="AM89" si="526">+AJ89</f>
        <v>-0.10904026554280154</v>
      </c>
      <c r="AN89" s="42">
        <f t="shared" ref="AN89" si="527">+AP89*2</f>
        <v>-0.21808053108560307</v>
      </c>
      <c r="AO89" s="40">
        <f>AO87/'Income &amp; Cash Flow'!AO$8</f>
        <v>0.16890681395069856</v>
      </c>
      <c r="AP89" s="359">
        <f t="shared" ref="AP89" si="528">+AM89</f>
        <v>-0.10904026554280154</v>
      </c>
      <c r="AQ89" s="42">
        <f t="shared" ref="AQ89" si="529">+AS89*2</f>
        <v>-0.21808053108560307</v>
      </c>
      <c r="AR89" s="40">
        <f>AR87/'Income &amp; Cash Flow'!AR$8</f>
        <v>0.16835589001515014</v>
      </c>
      <c r="AS89" s="359">
        <f t="shared" ref="AS89" si="530">+AP89</f>
        <v>-0.10904026554280154</v>
      </c>
      <c r="AT89" s="42">
        <f t="shared" ref="AT89" si="531">+AV89*2</f>
        <v>-0.21808053108560307</v>
      </c>
      <c r="AU89" s="40">
        <f>AU87/'Income &amp; Cash Flow'!AU$8</f>
        <v>0.16782812454995671</v>
      </c>
      <c r="AV89" s="359">
        <f t="shared" ref="AV89" si="532">+AS89</f>
        <v>-0.10904026554280154</v>
      </c>
      <c r="AW89" s="42">
        <f t="shared" ref="AW89" si="533">+AY89*2</f>
        <v>-0.21808053108560307</v>
      </c>
      <c r="AX89" s="40">
        <f>AX87/'Income &amp; Cash Flow'!AX$8</f>
        <v>0.1673218768708869</v>
      </c>
      <c r="AY89" s="359">
        <f t="shared" ref="AY89" si="534">+AV89</f>
        <v>-0.10904026554280154</v>
      </c>
    </row>
    <row r="90" spans="1:52" x14ac:dyDescent="0.2">
      <c r="A90" s="6"/>
      <c r="B90" s="6"/>
      <c r="D90" s="6"/>
      <c r="E90" s="6"/>
      <c r="F90" s="13"/>
      <c r="G90" s="6"/>
      <c r="H90" s="6"/>
      <c r="I90" s="13"/>
      <c r="J90" s="6"/>
      <c r="K90" s="6"/>
      <c r="L90" s="13"/>
      <c r="M90" s="6"/>
      <c r="N90" s="6"/>
      <c r="O90" s="13"/>
      <c r="P90" s="6"/>
      <c r="Q90" s="6"/>
      <c r="R90" s="13"/>
      <c r="S90" s="6"/>
      <c r="T90" s="6"/>
      <c r="U90" s="13"/>
      <c r="V90" s="6"/>
      <c r="W90" s="6"/>
      <c r="X90" s="13"/>
      <c r="Y90" s="6"/>
      <c r="Z90" s="6"/>
      <c r="AA90" s="13"/>
      <c r="AB90" s="6"/>
      <c r="AC90" s="6"/>
      <c r="AD90" s="13"/>
      <c r="AE90" s="6"/>
      <c r="AF90" s="6"/>
      <c r="AG90" s="13"/>
      <c r="AH90" s="6"/>
      <c r="AI90" s="6"/>
      <c r="AJ90" s="13"/>
      <c r="AK90" s="6"/>
      <c r="AL90" s="6"/>
      <c r="AM90" s="13"/>
      <c r="AN90" s="6"/>
      <c r="AO90" s="6"/>
      <c r="AP90" s="13"/>
      <c r="AQ90" s="6"/>
      <c r="AR90" s="6"/>
      <c r="AS90" s="13"/>
      <c r="AT90" s="6"/>
      <c r="AU90" s="6"/>
      <c r="AV90" s="13"/>
      <c r="AW90" s="6"/>
      <c r="AX90" s="6"/>
      <c r="AY90" s="13"/>
    </row>
    <row r="91" spans="1:52" s="24" customFormat="1" ht="12" customHeight="1" x14ac:dyDescent="0.2">
      <c r="A91" s="6"/>
      <c r="B91" s="23" t="s">
        <v>173</v>
      </c>
      <c r="C91" s="23"/>
      <c r="D91" s="26"/>
      <c r="E91" s="26"/>
      <c r="F91" s="27"/>
      <c r="G91" s="26"/>
      <c r="H91" s="26"/>
      <c r="I91" s="27">
        <f t="shared" ref="I91:O91" si="535">I79+I83-I87</f>
        <v>-10.452000000000002</v>
      </c>
      <c r="J91" s="26"/>
      <c r="K91" s="26"/>
      <c r="L91" s="27">
        <f t="shared" si="535"/>
        <v>-9.6690000000000005</v>
      </c>
      <c r="M91" s="26"/>
      <c r="N91" s="26"/>
      <c r="O91" s="27">
        <f t="shared" si="535"/>
        <v>-6.5350000000000001</v>
      </c>
      <c r="P91" s="26">
        <f t="shared" ref="P91:R91" si="536">P79+P83-P87</f>
        <v>2.3339999999999996</v>
      </c>
      <c r="Q91" s="26">
        <f t="shared" si="536"/>
        <v>-10.542000000000002</v>
      </c>
      <c r="R91" s="27">
        <f t="shared" si="536"/>
        <v>-10.542000000000002</v>
      </c>
      <c r="S91" s="26">
        <f t="shared" ref="S91:U91" si="537">S79+S83-S87</f>
        <v>-7.0970000000000013</v>
      </c>
      <c r="T91" s="26">
        <f t="shared" si="537"/>
        <v>-11.975000000000001</v>
      </c>
      <c r="U91" s="27">
        <f t="shared" si="537"/>
        <v>-11.975000000000001</v>
      </c>
      <c r="V91" s="26">
        <f t="shared" ref="V91:AY91" si="538">V79+V83-V87</f>
        <v>-13.955291407583715</v>
      </c>
      <c r="W91" s="26">
        <f t="shared" si="538"/>
        <v>-14.522700205582638</v>
      </c>
      <c r="X91" s="27">
        <f t="shared" si="538"/>
        <v>-14.522700205582638</v>
      </c>
      <c r="Y91" s="26">
        <f t="shared" si="538"/>
        <v>-15.614467929037531</v>
      </c>
      <c r="Z91" s="26">
        <f t="shared" si="538"/>
        <v>-16.11429324099425</v>
      </c>
      <c r="AA91" s="27">
        <f t="shared" si="538"/>
        <v>-16.11429324099425</v>
      </c>
      <c r="AB91" s="26">
        <f t="shared" si="538"/>
        <v>-16.740147344062024</v>
      </c>
      <c r="AC91" s="26">
        <f t="shared" si="538"/>
        <v>-17.216596797089053</v>
      </c>
      <c r="AD91" s="27">
        <f t="shared" si="538"/>
        <v>-17.216596797089053</v>
      </c>
      <c r="AE91" s="26">
        <f t="shared" si="538"/>
        <v>-17.653921044009806</v>
      </c>
      <c r="AF91" s="26">
        <f t="shared" si="538"/>
        <v>-18.145184536717899</v>
      </c>
      <c r="AG91" s="27">
        <f t="shared" si="538"/>
        <v>-18.145184536717899</v>
      </c>
      <c r="AH91" s="26">
        <f t="shared" si="538"/>
        <v>-18.386525558368419</v>
      </c>
      <c r="AI91" s="26">
        <f t="shared" si="538"/>
        <v>-19.013275993767515</v>
      </c>
      <c r="AJ91" s="27">
        <f t="shared" si="538"/>
        <v>-19.013275993767515</v>
      </c>
      <c r="AK91" s="26">
        <f t="shared" si="538"/>
        <v>-21.189977200840758</v>
      </c>
      <c r="AL91" s="26">
        <f t="shared" si="538"/>
        <v>-21.621834482114323</v>
      </c>
      <c r="AM91" s="27">
        <f t="shared" si="538"/>
        <v>-21.621834482114323</v>
      </c>
      <c r="AN91" s="26">
        <f t="shared" si="538"/>
        <v>-23.225451867472458</v>
      </c>
      <c r="AO91" s="26">
        <f t="shared" si="538"/>
        <v>-23.67396245900629</v>
      </c>
      <c r="AP91" s="27">
        <f t="shared" si="538"/>
        <v>-23.67396245900629</v>
      </c>
      <c r="AQ91" s="26">
        <f t="shared" si="538"/>
        <v>-25.350686716111184</v>
      </c>
      <c r="AR91" s="26">
        <f t="shared" si="538"/>
        <v>-25.817504394596668</v>
      </c>
      <c r="AS91" s="27">
        <f t="shared" si="538"/>
        <v>-25.817504394596668</v>
      </c>
      <c r="AT91" s="26">
        <f t="shared" si="538"/>
        <v>-27.570525526455967</v>
      </c>
      <c r="AU91" s="26">
        <f t="shared" si="538"/>
        <v>-28.057447242738704</v>
      </c>
      <c r="AV91" s="27">
        <f t="shared" si="538"/>
        <v>-28.057447242738704</v>
      </c>
      <c r="AW91" s="26">
        <f t="shared" si="538"/>
        <v>-29.890222078068348</v>
      </c>
      <c r="AX91" s="26">
        <f t="shared" si="538"/>
        <v>-30.399206763843154</v>
      </c>
      <c r="AY91" s="27">
        <f t="shared" si="538"/>
        <v>-30.399206763843154</v>
      </c>
    </row>
    <row r="92" spans="1:52" s="24" customFormat="1" ht="12" customHeight="1" x14ac:dyDescent="0.2">
      <c r="A92" s="6"/>
      <c r="B92" s="28" t="s">
        <v>176</v>
      </c>
      <c r="C92" s="29"/>
      <c r="D92" s="31"/>
      <c r="E92" s="31"/>
      <c r="F92" s="30"/>
      <c r="G92" s="31"/>
      <c r="H92" s="31"/>
      <c r="I92" s="30">
        <f>+I91-F91</f>
        <v>-10.452000000000002</v>
      </c>
      <c r="J92" s="31"/>
      <c r="K92" s="31"/>
      <c r="L92" s="30">
        <f t="shared" ref="L92" si="539">+L91-I91</f>
        <v>0.78300000000000125</v>
      </c>
      <c r="M92" s="31"/>
      <c r="N92" s="31"/>
      <c r="O92" s="30">
        <f t="shared" ref="O92" si="540">+O91-L91</f>
        <v>3.1340000000000003</v>
      </c>
      <c r="P92" s="31">
        <f t="shared" ref="P92" si="541">+P91-O91</f>
        <v>8.8689999999999998</v>
      </c>
      <c r="Q92" s="31">
        <f t="shared" ref="Q92" si="542">+Q91-P91</f>
        <v>-12.876000000000001</v>
      </c>
      <c r="R92" s="30">
        <f t="shared" ref="R92" si="543">+R91-O91</f>
        <v>-4.0070000000000014</v>
      </c>
      <c r="S92" s="31">
        <f t="shared" ref="S92" si="544">+S91-R91</f>
        <v>3.4450000000000003</v>
      </c>
      <c r="T92" s="31">
        <f t="shared" ref="T92" si="545">+T91-S91</f>
        <v>-4.8780000000000001</v>
      </c>
      <c r="U92" s="30">
        <f t="shared" ref="U92" si="546">+U91-R91</f>
        <v>-1.4329999999999998</v>
      </c>
      <c r="V92" s="31">
        <f t="shared" ref="V92" si="547">+V91-U91</f>
        <v>-1.9802914075837137</v>
      </c>
      <c r="W92" s="31">
        <f t="shared" ref="W92" si="548">+W91-V91</f>
        <v>-0.56740879799892241</v>
      </c>
      <c r="X92" s="30">
        <f t="shared" ref="X92" si="549">+X91-U91</f>
        <v>-2.5477002055826361</v>
      </c>
      <c r="Y92" s="31">
        <f t="shared" ref="Y92" si="550">+Y91-X91</f>
        <v>-1.0917677234548933</v>
      </c>
      <c r="Z92" s="31">
        <f t="shared" ref="Z92" si="551">+Z91-Y91</f>
        <v>-0.49982531195671953</v>
      </c>
      <c r="AA92" s="30">
        <f t="shared" ref="AA92" si="552">+AA91-X91</f>
        <v>-1.5915930354116128</v>
      </c>
      <c r="AB92" s="31">
        <f t="shared" ref="AB92" si="553">+AB91-AA91</f>
        <v>-0.62585410306777334</v>
      </c>
      <c r="AC92" s="31">
        <f t="shared" ref="AC92" si="554">+AC91-AB91</f>
        <v>-0.47644945302702979</v>
      </c>
      <c r="AD92" s="30">
        <f t="shared" ref="AD92" si="555">+AD91-AA91</f>
        <v>-1.1023035560948031</v>
      </c>
      <c r="AE92" s="31">
        <f t="shared" ref="AE92" si="556">+AE91-AD91</f>
        <v>-0.43732424692075256</v>
      </c>
      <c r="AF92" s="31">
        <f t="shared" ref="AF92" si="557">+AF91-AE91</f>
        <v>-0.491263492708093</v>
      </c>
      <c r="AG92" s="30">
        <f t="shared" ref="AG92" si="558">+AG91-AD91</f>
        <v>-0.92858773962884555</v>
      </c>
      <c r="AH92" s="31">
        <f t="shared" ref="AH92" si="559">+AH91-AG91</f>
        <v>-0.24134102165051985</v>
      </c>
      <c r="AI92" s="31">
        <f t="shared" ref="AI92" si="560">+AI91-AH91</f>
        <v>-0.62675043539909581</v>
      </c>
      <c r="AJ92" s="30">
        <f t="shared" ref="AJ92" si="561">+AJ91-AG91</f>
        <v>-0.86809145704961566</v>
      </c>
      <c r="AK92" s="31">
        <f t="shared" ref="AK92" si="562">+AK91-AJ91</f>
        <v>-2.1767012070732434</v>
      </c>
      <c r="AL92" s="31">
        <f t="shared" ref="AL92" si="563">+AL91-AK91</f>
        <v>-0.43185728127356526</v>
      </c>
      <c r="AM92" s="30">
        <f t="shared" ref="AM92" si="564">+AM91-AJ91</f>
        <v>-2.6085584883468087</v>
      </c>
      <c r="AN92" s="31">
        <f t="shared" ref="AN92" si="565">+AN91-AM91</f>
        <v>-1.6036173853581346</v>
      </c>
      <c r="AO92" s="31">
        <f t="shared" ref="AO92" si="566">+AO91-AN91</f>
        <v>-0.44851059153383233</v>
      </c>
      <c r="AP92" s="30">
        <f t="shared" ref="AP92" si="567">+AP91-AM91</f>
        <v>-2.0521279768919669</v>
      </c>
      <c r="AQ92" s="31">
        <f t="shared" ref="AQ92" si="568">+AQ91-AP91</f>
        <v>-1.6767242571048939</v>
      </c>
      <c r="AR92" s="31">
        <f t="shared" ref="AR92" si="569">+AR91-AQ91</f>
        <v>-0.46681767848548361</v>
      </c>
      <c r="AS92" s="30">
        <f t="shared" ref="AS92" si="570">+AS91-AP91</f>
        <v>-2.1435419355903775</v>
      </c>
      <c r="AT92" s="31">
        <f t="shared" ref="AT92" si="571">+AT91-AS91</f>
        <v>-1.753021131859299</v>
      </c>
      <c r="AU92" s="31">
        <f t="shared" ref="AU92" si="572">+AU91-AT91</f>
        <v>-0.48692171628273684</v>
      </c>
      <c r="AV92" s="30">
        <f t="shared" ref="AV92" si="573">+AV91-AS91</f>
        <v>-2.2399428481420358</v>
      </c>
      <c r="AW92" s="31">
        <f t="shared" ref="AW92" si="574">+AW91-AV91</f>
        <v>-1.8327748353296442</v>
      </c>
      <c r="AX92" s="31">
        <f t="shared" ref="AX92" si="575">+AX91-AW91</f>
        <v>-0.50898468577480571</v>
      </c>
      <c r="AY92" s="30">
        <f t="shared" ref="AY92" si="576">+AY91-AV91</f>
        <v>-2.34175952110445</v>
      </c>
    </row>
    <row r="93" spans="1:52" s="24" customFormat="1" ht="12" customHeight="1" x14ac:dyDescent="0.2">
      <c r="A93" s="6"/>
      <c r="B93" s="153" t="s">
        <v>326</v>
      </c>
      <c r="C93" s="23"/>
      <c r="D93" s="186"/>
      <c r="E93" s="186"/>
      <c r="F93" s="27"/>
      <c r="G93" s="186"/>
      <c r="H93" s="186"/>
      <c r="I93" s="27">
        <f>I91/'Income &amp; Cash Flow'!I$8*365</f>
        <v>-31.916239301938411</v>
      </c>
      <c r="J93" s="186"/>
      <c r="K93" s="186"/>
      <c r="L93" s="27">
        <f>L91/'Income &amp; Cash Flow'!L$8*365</f>
        <v>-20.543360575579772</v>
      </c>
      <c r="M93" s="186"/>
      <c r="N93" s="186"/>
      <c r="O93" s="27">
        <f>O91/'Income &amp; Cash Flow'!O$8*365</f>
        <v>-9.2079916925309995</v>
      </c>
      <c r="P93" s="186">
        <f>P91/'Income &amp; Cash Flow'!P$8*365</f>
        <v>5.0855137090563929</v>
      </c>
      <c r="Q93" s="186">
        <f>Q91/'Income &amp; Cash Flow'!Q$8*365</f>
        <v>-22.025735988597404</v>
      </c>
      <c r="R93" s="27">
        <f>R91/'Income &amp; Cash Flow'!R$8*365</f>
        <v>-11.243929237260897</v>
      </c>
      <c r="S93" s="186">
        <f>S91/'Income &amp; Cash Flow'!S$8*365</f>
        <v>-12.194789543308273</v>
      </c>
      <c r="T93" s="186">
        <f>T91/'Income &amp; Cash Flow'!T$8*365</f>
        <v>-19.550976682188022</v>
      </c>
      <c r="U93" s="27">
        <f>U91/'Income &amp; Cash Flow'!U$8*365</f>
        <v>-10.025356551417261</v>
      </c>
      <c r="V93" s="186">
        <f>V91/'Income &amp; Cash Flow'!V$8*365</f>
        <v>-19.204279907155058</v>
      </c>
      <c r="W93" s="186">
        <f>W91/'Income &amp; Cash Flow'!W$8*365</f>
        <v>-19.37435332729526</v>
      </c>
      <c r="X93" s="27">
        <f>X91/'Income &amp; Cash Flow'!X$8*365</f>
        <v>-9.8374959002081965</v>
      </c>
      <c r="Y93" s="186">
        <f>Y91/'Income &amp; Cash Flow'!Y$8*365</f>
        <v>-17.999925702161356</v>
      </c>
      <c r="Z93" s="186">
        <f>Z91/'Income &amp; Cash Flow'!Z$8*365</f>
        <v>-18.086047840646689</v>
      </c>
      <c r="AA93" s="27">
        <f>AA91/'Income &amp; Cash Flow'!AA$8*365</f>
        <v>-9.1639019107948112</v>
      </c>
      <c r="AB93" s="186">
        <f>AB91/'Income &amp; Cash Flow'!AB$8*365</f>
        <v>-16.372558442196638</v>
      </c>
      <c r="AC93" s="186">
        <f>AC91/'Income &amp; Cash Flow'!AC$8*365</f>
        <v>-16.519550257617585</v>
      </c>
      <c r="AD93" s="27">
        <f>AD91/'Income &amp; Cash Flow'!AD$8*365</f>
        <v>-8.3387613872157598</v>
      </c>
      <c r="AE93" s="186">
        <f>AE91/'Income &amp; Cash Flow'!AE$8*365</f>
        <v>-15.029431837037976</v>
      </c>
      <c r="AF93" s="186">
        <f>AF91/'Income &amp; Cash Flow'!AF$8*365</f>
        <v>-15.224582531157989</v>
      </c>
      <c r="AG93" s="27">
        <f>AG91/'Income &amp; Cash Flow'!AG$8*365</f>
        <v>-7.667655642362087</v>
      </c>
      <c r="AH93" s="186">
        <f>AH91/'Income &amp; Cash Flow'!AH$8*365</f>
        <v>-13.746646627092014</v>
      </c>
      <c r="AI93" s="186">
        <f>AI91/'Income &amp; Cash Flow'!AI$8*365</f>
        <v>-14.114288851500286</v>
      </c>
      <c r="AJ93" s="27">
        <f>AJ91/'Income &amp; Cash Flow'!AJ$8*365</f>
        <v>-7.0822911008823235</v>
      </c>
      <c r="AK93" s="186">
        <f>AK91/'Income &amp; Cash Flow'!AK$8*365</f>
        <v>-14.06668904596407</v>
      </c>
      <c r="AL93" s="186">
        <f>AL91/'Income &amp; Cash Flow'!AL$8*365</f>
        <v>-14.296384221102906</v>
      </c>
      <c r="AM93" s="27">
        <f>AM91/'Income &amp; Cash Flow'!AM$8*365</f>
        <v>-7.1624106791306783</v>
      </c>
      <c r="AN93" s="186">
        <f>AN91/'Income &amp; Cash Flow'!AN$8*365</f>
        <v>-13.774299369161653</v>
      </c>
      <c r="AO93" s="186">
        <f>AO91/'Income &amp; Cash Flow'!AO$8*365</f>
        <v>-14.022170379806706</v>
      </c>
      <c r="AP93" s="27">
        <f>AP91/'Income &amp; Cash Flow'!AP$8*365</f>
        <v>-7.0156139606339796</v>
      </c>
      <c r="AQ93" s="186">
        <f>AQ91/'Income &amp; Cash Flow'!AQ$8*365</f>
        <v>-13.503094826463791</v>
      </c>
      <c r="AR93" s="186">
        <f>AR91/'Income &amp; Cash Flow'!AR$8*365</f>
        <v>-13.765860154456139</v>
      </c>
      <c r="AS93" s="27">
        <f>AS91/'Income &amp; Cash Flow'!AS$8*365</f>
        <v>-6.8793997818626229</v>
      </c>
      <c r="AT93" s="186">
        <f>AT91/'Income &amp; Cash Flow'!AT$8*365</f>
        <v>-13.249903428383613</v>
      </c>
      <c r="AU93" s="186">
        <f>AU91/'Income &amp; Cash Flow'!AU$8*365</f>
        <v>-13.525023353727718</v>
      </c>
      <c r="AV93" s="27">
        <f>AV91/'Income &amp; Cash Flow'!AV$8*365</f>
        <v>-6.7522175249095007</v>
      </c>
      <c r="AW93" s="186">
        <f>AW91/'Income &amp; Cash Flow'!AW$8*365</f>
        <v>-13.01235464032797</v>
      </c>
      <c r="AX93" s="186">
        <f>AX91/'Income &amp; Cash Flow'!AX$8*365</f>
        <v>-13.297837114045354</v>
      </c>
      <c r="AY93" s="27">
        <f>AY91/'Income &amp; Cash Flow'!AY$8*365</f>
        <v>-6.6329045771229405</v>
      </c>
    </row>
    <row r="94" spans="1:52" s="24" customFormat="1" ht="12" customHeight="1" x14ac:dyDescent="0.2">
      <c r="A94" s="6"/>
      <c r="B94" s="23"/>
      <c r="C94" s="23"/>
      <c r="D94" s="26"/>
      <c r="E94" s="26"/>
      <c r="F94" s="27"/>
      <c r="G94" s="26"/>
      <c r="H94" s="26"/>
      <c r="I94" s="27"/>
      <c r="J94" s="26"/>
      <c r="K94" s="26"/>
      <c r="L94" s="27"/>
      <c r="M94" s="26"/>
      <c r="N94" s="26"/>
      <c r="O94" s="27"/>
      <c r="P94" s="26"/>
      <c r="Q94" s="26"/>
      <c r="R94" s="27"/>
      <c r="S94" s="26"/>
      <c r="T94" s="26"/>
      <c r="U94" s="27"/>
      <c r="V94" s="26"/>
      <c r="W94" s="26"/>
      <c r="X94" s="27"/>
      <c r="Y94" s="26"/>
      <c r="Z94" s="26"/>
      <c r="AA94" s="27"/>
      <c r="AB94" s="26"/>
      <c r="AC94" s="26"/>
      <c r="AD94" s="27"/>
      <c r="AE94" s="26"/>
      <c r="AF94" s="26"/>
      <c r="AG94" s="27"/>
      <c r="AH94" s="26"/>
      <c r="AI94" s="26"/>
      <c r="AJ94" s="27"/>
      <c r="AK94" s="26"/>
      <c r="AL94" s="26"/>
      <c r="AM94" s="27"/>
      <c r="AN94" s="26"/>
      <c r="AO94" s="26"/>
      <c r="AP94" s="27"/>
      <c r="AQ94" s="26"/>
      <c r="AR94" s="26"/>
      <c r="AS94" s="27"/>
      <c r="AT94" s="26"/>
      <c r="AU94" s="26"/>
      <c r="AV94" s="27"/>
      <c r="AW94" s="26"/>
      <c r="AX94" s="26"/>
      <c r="AY94" s="27"/>
    </row>
    <row r="95" spans="1:52" ht="12" customHeight="1" x14ac:dyDescent="0.2">
      <c r="A95" s="6"/>
      <c r="B95" s="8" t="s">
        <v>177</v>
      </c>
      <c r="C95" s="6"/>
      <c r="D95" s="40"/>
      <c r="E95" s="40"/>
      <c r="F95" s="41"/>
      <c r="G95" s="40"/>
      <c r="H95" s="40"/>
      <c r="I95" s="41">
        <f>I91/'Income &amp; Cash Flow'!I$8</f>
        <v>-8.7441751512160035E-2</v>
      </c>
      <c r="J95" s="40"/>
      <c r="K95" s="40"/>
      <c r="L95" s="41">
        <f>L91/'Income &amp; Cash Flow'!L$8</f>
        <v>-5.6283179659122662E-2</v>
      </c>
      <c r="M95" s="40"/>
      <c r="N95" s="40"/>
      <c r="O95" s="41">
        <f>O91/'Income &amp; Cash Flow'!O$8</f>
        <v>-2.5227374500084929E-2</v>
      </c>
      <c r="P95" s="40">
        <f>P91/'Income &amp; Cash Flow'!P$8</f>
        <v>1.3932914271387379E-2</v>
      </c>
      <c r="Q95" s="40">
        <f>Q91/'Income &amp; Cash Flow'!Q$8</f>
        <v>-6.0344482160540829E-2</v>
      </c>
      <c r="R95" s="139">
        <f>R91/'Income &amp; Cash Flow'!R$8</f>
        <v>-3.0805285581536702E-2</v>
      </c>
      <c r="S95" s="40">
        <f>S91/'Income &amp; Cash Flow'!S$8</f>
        <v>-3.3410382310433626E-2</v>
      </c>
      <c r="T95" s="40">
        <f>T91/'Income &amp; Cash Flow'!T$8</f>
        <v>-5.3564319677227454E-2</v>
      </c>
      <c r="U95" s="139">
        <f>U91/'Income &amp; Cash Flow'!U$8</f>
        <v>-2.7466730277855508E-2</v>
      </c>
      <c r="V95" s="40">
        <f>V91/'Income &amp; Cash Flow'!V$8</f>
        <v>-5.2614465499054956E-2</v>
      </c>
      <c r="W95" s="40">
        <f>W91/'Income &amp; Cash Flow'!W$8</f>
        <v>-5.3080420074781531E-2</v>
      </c>
      <c r="X95" s="139">
        <f>X91/'Income &amp; Cash Flow'!X$8</f>
        <v>-2.6952043562214235E-2</v>
      </c>
      <c r="Y95" s="40">
        <f>Y91/'Income &amp; Cash Flow'!Y$8</f>
        <v>-4.9314864937428371E-2</v>
      </c>
      <c r="Z95" s="40">
        <f>Z91/'Income &amp; Cash Flow'!Z$8</f>
        <v>-4.9550816001771754E-2</v>
      </c>
      <c r="AA95" s="139">
        <f>AA91/'Income &amp; Cash Flow'!AA$8</f>
        <v>-2.5106580577520032E-2</v>
      </c>
      <c r="AB95" s="40">
        <f>AB91/'Income &amp; Cash Flow'!AB$8</f>
        <v>-4.4856324499168869E-2</v>
      </c>
      <c r="AC95" s="40">
        <f>AC91/'Income &amp; Cash Flow'!AC$8</f>
        <v>-4.5259041801692011E-2</v>
      </c>
      <c r="AD95" s="139">
        <f>AD91/'Income &amp; Cash Flow'!AD$8</f>
        <v>-2.2845921608810302E-2</v>
      </c>
      <c r="AE95" s="40">
        <f>AE91/'Income &amp; Cash Flow'!AE$8</f>
        <v>-4.1176525580925959E-2</v>
      </c>
      <c r="AF95" s="40">
        <f>AF91/'Income &amp; Cash Flow'!AF$8</f>
        <v>-4.1711185016871204E-2</v>
      </c>
      <c r="AG95" s="139">
        <f>AG91/'Income &amp; Cash Flow'!AG$8</f>
        <v>-2.1007275732498869E-2</v>
      </c>
      <c r="AH95" s="40">
        <f>AH91/'Income &amp; Cash Flow'!AH$8</f>
        <v>-3.7662045553676748E-2</v>
      </c>
      <c r="AI95" s="40">
        <f>AI91/'Income &amp; Cash Flow'!AI$8</f>
        <v>-3.8669284524658315E-2</v>
      </c>
      <c r="AJ95" s="139">
        <f>AJ91/'Income &amp; Cash Flow'!AJ$8</f>
        <v>-1.9403537262691298E-2</v>
      </c>
      <c r="AK95" s="40">
        <f>AK91/'Income &amp; Cash Flow'!AK$8</f>
        <v>-3.8538874098531697E-2</v>
      </c>
      <c r="AL95" s="40">
        <f>AL91/'Income &amp; Cash Flow'!AL$8</f>
        <v>-3.9168175948227142E-2</v>
      </c>
      <c r="AM95" s="139">
        <f>AM91/'Income &amp; Cash Flow'!AM$8</f>
        <v>-1.9623042956522407E-2</v>
      </c>
      <c r="AN95" s="40">
        <f>AN91/'Income &amp; Cash Flow'!AN$8</f>
        <v>-3.7737806490853842E-2</v>
      </c>
      <c r="AO95" s="40">
        <f>AO91/'Income &amp; Cash Flow'!AO$8</f>
        <v>-3.8416905150155362E-2</v>
      </c>
      <c r="AP95" s="139">
        <f>AP91/'Income &amp; Cash Flow'!AP$8</f>
        <v>-1.9220860166120492E-2</v>
      </c>
      <c r="AQ95" s="40">
        <f>AQ91/'Income &amp; Cash Flow'!AQ$8</f>
        <v>-3.6994780346476137E-2</v>
      </c>
      <c r="AR95" s="40">
        <f>AR91/'Income &amp; Cash Flow'!AR$8</f>
        <v>-3.771468535467435E-2</v>
      </c>
      <c r="AS95" s="139">
        <f>AS91/'Income &amp; Cash Flow'!AS$8</f>
        <v>-1.8847670635240062E-2</v>
      </c>
      <c r="AT95" s="40">
        <f>AT91/'Income &amp; Cash Flow'!AT$8</f>
        <v>-3.6301105283242777E-2</v>
      </c>
      <c r="AU95" s="40">
        <f>AU91/'Income &amp; Cash Flow'!AU$8</f>
        <v>-3.7054858503363611E-2</v>
      </c>
      <c r="AV95" s="139">
        <f>AV91/'Income &amp; Cash Flow'!AV$8</f>
        <v>-1.8499226095642467E-2</v>
      </c>
      <c r="AW95" s="40">
        <f>AW91/'Income &amp; Cash Flow'!AW$8</f>
        <v>-3.5650286685830056E-2</v>
      </c>
      <c r="AX95" s="40">
        <f>AX91/'Income &amp; Cash Flow'!AX$8</f>
        <v>-3.6432430449439328E-2</v>
      </c>
      <c r="AY95" s="139">
        <f>AY91/'Income &amp; Cash Flow'!AY$8</f>
        <v>-1.8172341307186139E-2</v>
      </c>
      <c r="AZ95" s="17"/>
    </row>
    <row r="96" spans="1:52" ht="12" customHeight="1" x14ac:dyDescent="0.2">
      <c r="A96" s="6"/>
      <c r="B96" s="8" t="s">
        <v>178</v>
      </c>
      <c r="C96" s="6"/>
      <c r="D96" s="40"/>
      <c r="E96" s="40"/>
      <c r="F96" s="41"/>
      <c r="G96" s="40"/>
      <c r="H96" s="40"/>
      <c r="I96" s="41">
        <f>I92/'Income &amp; Cash Flow'!I$8</f>
        <v>-8.7441751512160035E-2</v>
      </c>
      <c r="J96" s="40"/>
      <c r="K96" s="40"/>
      <c r="L96" s="41">
        <f>L92/'Income &amp; Cash Flow'!L$8</f>
        <v>4.5578373847443496E-3</v>
      </c>
      <c r="M96" s="40"/>
      <c r="N96" s="40"/>
      <c r="O96" s="41">
        <f>O92/'Income &amp; Cash Flow'!O$8</f>
        <v>1.2098330785503623E-2</v>
      </c>
      <c r="P96" s="40">
        <f>P92/'Income &amp; Cash Flow'!P$8</f>
        <v>5.2943880322594124E-2</v>
      </c>
      <c r="Q96" s="40">
        <f>Q92/'Income &amp; Cash Flow'!Q$8</f>
        <v>-7.3704757379920674E-2</v>
      </c>
      <c r="R96" s="139">
        <f>R92/'Income &amp; Cash Flow'!R$8</f>
        <v>-1.1709047555038665E-2</v>
      </c>
      <c r="S96" s="40">
        <f>S92/'Income &amp; Cash Flow'!S$8</f>
        <v>1.6217946605529637E-2</v>
      </c>
      <c r="T96" s="40">
        <f>T92/'Income &amp; Cash Flow'!T$8</f>
        <v>-2.1819352934072275E-2</v>
      </c>
      <c r="U96" s="139">
        <f>U92/'Income &amp; Cash Flow'!U$8</f>
        <v>-3.2868329426444204E-3</v>
      </c>
      <c r="V96" s="40">
        <f>V92/'Income &amp; Cash Flow'!V$8</f>
        <v>-7.466126711318067E-3</v>
      </c>
      <c r="W96" s="40">
        <f>W92/'Income &amp; Cash Flow'!W$8</f>
        <v>-2.0738772353320325E-3</v>
      </c>
      <c r="X96" s="139">
        <f>X92/'Income &amp; Cash Flow'!X$8</f>
        <v>-4.7281652827846537E-3</v>
      </c>
      <c r="Y96" s="40">
        <f>Y92/'Income &amp; Cash Flow'!Y$8</f>
        <v>-3.4481083870361766E-3</v>
      </c>
      <c r="Z96" s="40">
        <f>Z92/'Income &amp; Cash Flow'!Z$8</f>
        <v>-1.5369431159903276E-3</v>
      </c>
      <c r="AA96" s="139">
        <f>AA92/'Income &amp; Cash Flow'!AA$8</f>
        <v>-2.4797524900766828E-3</v>
      </c>
      <c r="AB96" s="40">
        <f>AB92/'Income &amp; Cash Flow'!AB$8</f>
        <v>-1.6770171826655043E-3</v>
      </c>
      <c r="AC96" s="40">
        <f>AC92/'Income &amp; Cash Flow'!AC$8</f>
        <v>-1.2524917650734305E-3</v>
      </c>
      <c r="AD96" s="139">
        <f>AD92/'Income &amp; Cash Flow'!AD$8</f>
        <v>-1.462724656240577E-3</v>
      </c>
      <c r="AE96" s="40">
        <f>AE92/'Income &amp; Cash Flow'!AE$8</f>
        <v>-1.0200279584122029E-3</v>
      </c>
      <c r="AF96" s="40">
        <f>AF92/'Income &amp; Cash Flow'!AF$8</f>
        <v>-1.1292903852764052E-3</v>
      </c>
      <c r="AG96" s="139">
        <f>AG92/'Income &amp; Cash Flow'!AG$8</f>
        <v>-1.0750565059686888E-3</v>
      </c>
      <c r="AH96" s="40">
        <f>AH92/'Income &amp; Cash Flow'!AH$8</f>
        <v>-4.9435095948488364E-4</v>
      </c>
      <c r="AI96" s="40">
        <f>AI92/'Income &amp; Cash Flow'!AI$8</f>
        <v>-1.274687798165113E-3</v>
      </c>
      <c r="AJ96" s="139">
        <f>AJ92/'Income &amp; Cash Flow'!AJ$8</f>
        <v>-8.8590966332196608E-4</v>
      </c>
      <c r="AK96" s="40">
        <f>AK92/'Income &amp; Cash Flow'!AK$8</f>
        <v>-3.9588345458998076E-3</v>
      </c>
      <c r="AL96" s="40">
        <f>AL92/'Income &amp; Cash Flow'!AL$8</f>
        <v>-7.8231391473458178E-4</v>
      </c>
      <c r="AM96" s="139">
        <f>AM92/'Income &amp; Cash Flow'!AM$8</f>
        <v>-2.3674149995817147E-3</v>
      </c>
      <c r="AN96" s="40">
        <f>AN92/'Income &amp; Cash Flow'!AN$8</f>
        <v>-2.6056329461029396E-3</v>
      </c>
      <c r="AO96" s="40">
        <f>AO92/'Income &amp; Cash Flow'!AO$8</f>
        <v>-7.2782023219101414E-4</v>
      </c>
      <c r="AP96" s="139">
        <f>AP92/'Income &amp; Cash Flow'!AP$8</f>
        <v>-1.6661201079086225E-3</v>
      </c>
      <c r="AQ96" s="40">
        <f>AQ92/'Income &amp; Cash Flow'!AQ$8</f>
        <v>-2.4468783148892696E-3</v>
      </c>
      <c r="AR96" s="40">
        <f>AR92/'Income &amp; Cash Flow'!AR$8</f>
        <v>-6.8193585224156188E-4</v>
      </c>
      <c r="AS96" s="139">
        <f>AS92/'Income &amp; Cash Flow'!AS$8</f>
        <v>-1.5648597082562271E-3</v>
      </c>
      <c r="AT96" s="40">
        <f>AT92/'Income &amp; Cash Flow'!AT$8</f>
        <v>-2.3081389801695939E-3</v>
      </c>
      <c r="AU96" s="40">
        <f>AU92/'Income &amp; Cash Flow'!AU$8</f>
        <v>-6.4306688855099859E-4</v>
      </c>
      <c r="AV96" s="139">
        <f>AV92/'Income &amp; Cash Flow'!AV$8</f>
        <v>-1.4768702523292045E-3</v>
      </c>
      <c r="AW96" s="40">
        <f>AW92/'Income &amp; Cash Flow'!AW$8</f>
        <v>-2.1859639630452455E-3</v>
      </c>
      <c r="AX96" s="40">
        <f>AX92/'Income &amp; Cash Flow'!AX$8</f>
        <v>-6.1000108681704334E-4</v>
      </c>
      <c r="AY96" s="139">
        <f>AY92/'Income &amp; Cash Flow'!AY$8</f>
        <v>-1.3998803852828846E-3</v>
      </c>
      <c r="AZ96" s="17"/>
    </row>
    <row r="97" spans="1:51" s="24" customFormat="1" ht="12" customHeight="1" x14ac:dyDescent="0.2">
      <c r="A97" s="6"/>
      <c r="B97" s="23" t="s">
        <v>325</v>
      </c>
      <c r="C97" s="23"/>
      <c r="D97" s="26"/>
      <c r="E97" s="26"/>
      <c r="F97" s="27"/>
      <c r="G97" s="26"/>
      <c r="H97" s="26"/>
      <c r="I97" s="27">
        <f t="shared" ref="I97:AJ97" si="577">-I88</f>
        <v>-61.86091119966693</v>
      </c>
      <c r="J97" s="26"/>
      <c r="K97" s="26"/>
      <c r="L97" s="27">
        <f t="shared" si="577"/>
        <v>-69.127030280080604</v>
      </c>
      <c r="M97" s="26"/>
      <c r="N97" s="26"/>
      <c r="O97" s="27">
        <f t="shared" si="577"/>
        <v>-51.920579017796818</v>
      </c>
      <c r="P97" s="26">
        <f t="shared" ref="P97:R97" si="578">-P88</f>
        <v>-54.118919609993746</v>
      </c>
      <c r="Q97" s="26">
        <f t="shared" si="578"/>
        <v>-86.433681843597256</v>
      </c>
      <c r="R97" s="27">
        <f t="shared" si="578"/>
        <v>-45.647599542770052</v>
      </c>
      <c r="S97" s="26">
        <f t="shared" ref="S97:U97" si="579">-S88</f>
        <v>-60.950061103400223</v>
      </c>
      <c r="T97" s="26">
        <f t="shared" si="579"/>
        <v>-77.676453252781272</v>
      </c>
      <c r="U97" s="27">
        <f t="shared" si="579"/>
        <v>-39.799696923122561</v>
      </c>
      <c r="V97" s="26">
        <f t="shared" si="577"/>
        <v>-79.599393846245121</v>
      </c>
      <c r="W97" s="26">
        <f t="shared" si="577"/>
        <v>-77.855469629164133</v>
      </c>
      <c r="X97" s="27">
        <f t="shared" si="577"/>
        <v>-39.799696923122561</v>
      </c>
      <c r="Y97" s="26">
        <f t="shared" si="577"/>
        <v>-79.599393846245121</v>
      </c>
      <c r="Z97" s="26">
        <f t="shared" si="577"/>
        <v>-78.171254290144972</v>
      </c>
      <c r="AA97" s="27">
        <f t="shared" si="577"/>
        <v>-39.799696923122561</v>
      </c>
      <c r="AB97" s="26">
        <f t="shared" si="577"/>
        <v>-79.599393846245135</v>
      </c>
      <c r="AC97" s="26">
        <f t="shared" si="577"/>
        <v>-78.480456135204989</v>
      </c>
      <c r="AD97" s="27">
        <f t="shared" si="577"/>
        <v>-39.799696923122561</v>
      </c>
      <c r="AE97" s="26">
        <f t="shared" si="577"/>
        <v>-79.599393846245135</v>
      </c>
      <c r="AF97" s="26">
        <f t="shared" si="577"/>
        <v>-78.64827417123179</v>
      </c>
      <c r="AG97" s="27">
        <f t="shared" si="577"/>
        <v>-39.799696923122561</v>
      </c>
      <c r="AH97" s="26">
        <f t="shared" si="577"/>
        <v>-79.599393846245121</v>
      </c>
      <c r="AI97" s="26">
        <f t="shared" si="577"/>
        <v>-78.787935355250823</v>
      </c>
      <c r="AJ97" s="27">
        <f t="shared" si="577"/>
        <v>-39.799696923122561</v>
      </c>
      <c r="AK97" s="26">
        <f t="shared" ref="AK97:AM97" si="580">-AK88</f>
        <v>-79.599393846245121</v>
      </c>
      <c r="AL97" s="26">
        <f t="shared" si="580"/>
        <v>-79.113219197224282</v>
      </c>
      <c r="AM97" s="27">
        <f t="shared" si="580"/>
        <v>-39.799696923122561</v>
      </c>
      <c r="AN97" s="26">
        <f t="shared" ref="AN97:AP97" si="581">-AN88</f>
        <v>-79.599393846245121</v>
      </c>
      <c r="AO97" s="26">
        <f t="shared" si="581"/>
        <v>-79.218508682810864</v>
      </c>
      <c r="AP97" s="27">
        <f t="shared" si="581"/>
        <v>-39.799696923122561</v>
      </c>
      <c r="AQ97" s="26">
        <f t="shared" ref="AQ97:AS97" si="582">-AQ88</f>
        <v>-79.599393846245121</v>
      </c>
      <c r="AR97" s="26">
        <f t="shared" si="582"/>
        <v>-79.309710736885592</v>
      </c>
      <c r="AS97" s="27">
        <f t="shared" si="582"/>
        <v>-39.799696923122561</v>
      </c>
      <c r="AT97" s="26">
        <f t="shared" ref="AT97:AV97" si="583">-AT88</f>
        <v>-79.599393846245121</v>
      </c>
      <c r="AU97" s="26">
        <f t="shared" si="583"/>
        <v>-79.389364761491024</v>
      </c>
      <c r="AV97" s="27">
        <f t="shared" si="583"/>
        <v>-39.799696923122561</v>
      </c>
      <c r="AW97" s="26">
        <f t="shared" ref="AW97:AY97" si="584">-AW88</f>
        <v>-79.599393846245121</v>
      </c>
      <c r="AX97" s="26">
        <f t="shared" si="584"/>
        <v>-79.459418863205201</v>
      </c>
      <c r="AY97" s="27">
        <f t="shared" si="584"/>
        <v>-39.799696923122561</v>
      </c>
    </row>
    <row r="98" spans="1:51" x14ac:dyDescent="0.2">
      <c r="A98" s="6"/>
      <c r="B98" s="6"/>
      <c r="D98" s="6"/>
      <c r="E98" s="6"/>
      <c r="F98" s="13"/>
      <c r="G98" s="6"/>
      <c r="H98" s="6"/>
      <c r="I98" s="13"/>
      <c r="J98" s="6"/>
      <c r="K98" s="6"/>
      <c r="L98" s="13"/>
      <c r="M98" s="6"/>
      <c r="N98" s="6"/>
      <c r="O98" s="13"/>
      <c r="P98" s="6"/>
      <c r="Q98" s="6"/>
      <c r="R98" s="13"/>
      <c r="S98" s="6"/>
      <c r="T98" s="6"/>
      <c r="U98" s="13"/>
      <c r="V98" s="6"/>
      <c r="W98" s="6"/>
      <c r="X98" s="13"/>
      <c r="Y98" s="6"/>
      <c r="Z98" s="6"/>
      <c r="AA98" s="13"/>
      <c r="AB98" s="6"/>
      <c r="AC98" s="6"/>
      <c r="AD98" s="13"/>
      <c r="AE98" s="6"/>
      <c r="AF98" s="6"/>
      <c r="AG98" s="13"/>
      <c r="AH98" s="6"/>
      <c r="AI98" s="6"/>
      <c r="AJ98" s="13"/>
      <c r="AK98" s="6"/>
      <c r="AL98" s="6"/>
      <c r="AM98" s="13"/>
      <c r="AN98" s="6"/>
      <c r="AO98" s="6"/>
      <c r="AP98" s="13"/>
      <c r="AQ98" s="6"/>
      <c r="AR98" s="6"/>
      <c r="AS98" s="13"/>
      <c r="AT98" s="6"/>
      <c r="AU98" s="6"/>
      <c r="AV98" s="13"/>
      <c r="AW98" s="6"/>
      <c r="AX98" s="6"/>
      <c r="AY98" s="13"/>
    </row>
    <row r="99" spans="1:51" ht="12" customHeight="1" x14ac:dyDescent="0.2">
      <c r="A99" s="14"/>
      <c r="B99" s="12" t="s">
        <v>76</v>
      </c>
      <c r="D99" s="6"/>
      <c r="E99" s="6"/>
      <c r="F99" s="13"/>
      <c r="G99" s="6"/>
      <c r="H99" s="6"/>
      <c r="I99" s="13"/>
      <c r="J99" s="6"/>
      <c r="K99" s="6"/>
      <c r="L99" s="13"/>
      <c r="M99" s="6"/>
      <c r="N99" s="6"/>
      <c r="O99" s="13"/>
      <c r="P99" s="6"/>
      <c r="Q99" s="6"/>
      <c r="R99" s="13"/>
      <c r="S99" s="6"/>
      <c r="T99" s="6"/>
      <c r="U99" s="13"/>
      <c r="V99" s="6"/>
      <c r="W99" s="6"/>
      <c r="X99" s="13"/>
      <c r="Y99" s="6"/>
      <c r="Z99" s="6"/>
      <c r="AA99" s="13"/>
      <c r="AB99" s="6"/>
      <c r="AC99" s="6"/>
      <c r="AD99" s="13"/>
      <c r="AE99" s="6"/>
      <c r="AF99" s="6"/>
      <c r="AG99" s="13"/>
      <c r="AH99" s="6"/>
      <c r="AI99" s="6"/>
      <c r="AJ99" s="13"/>
      <c r="AK99" s="6"/>
      <c r="AL99" s="6"/>
      <c r="AM99" s="13"/>
      <c r="AN99" s="6"/>
      <c r="AO99" s="6"/>
      <c r="AP99" s="13"/>
      <c r="AQ99" s="6"/>
      <c r="AR99" s="6"/>
      <c r="AS99" s="13"/>
      <c r="AT99" s="6"/>
      <c r="AU99" s="6"/>
      <c r="AV99" s="13"/>
      <c r="AW99" s="6"/>
      <c r="AX99" s="6"/>
      <c r="AY99" s="13"/>
    </row>
    <row r="100" spans="1:51" s="24" customFormat="1" ht="12" customHeight="1" x14ac:dyDescent="0.2">
      <c r="B100" s="153" t="s">
        <v>179</v>
      </c>
      <c r="C100" s="23"/>
      <c r="D100" s="26"/>
      <c r="E100" s="26"/>
      <c r="F100" s="27"/>
      <c r="G100" s="26"/>
      <c r="H100" s="26"/>
      <c r="I100" s="27"/>
      <c r="J100" s="26"/>
      <c r="K100" s="26"/>
      <c r="L100" s="27"/>
      <c r="M100" s="26"/>
      <c r="N100" s="26"/>
      <c r="O100" s="27"/>
      <c r="P100" s="26"/>
      <c r="Q100" s="26"/>
      <c r="R100" s="27"/>
      <c r="S100" s="26"/>
      <c r="T100" s="26"/>
      <c r="U100" s="27"/>
      <c r="V100" s="26"/>
      <c r="W100" s="26"/>
      <c r="X100" s="27"/>
      <c r="Y100" s="26"/>
      <c r="Z100" s="26"/>
      <c r="AA100" s="27"/>
      <c r="AB100" s="26"/>
      <c r="AC100" s="26"/>
      <c r="AD100" s="27"/>
      <c r="AE100" s="26"/>
      <c r="AF100" s="26"/>
      <c r="AG100" s="27"/>
      <c r="AH100" s="26"/>
      <c r="AI100" s="26"/>
      <c r="AJ100" s="27"/>
      <c r="AK100" s="26"/>
      <c r="AL100" s="26"/>
      <c r="AM100" s="27"/>
      <c r="AN100" s="26"/>
      <c r="AO100" s="26"/>
      <c r="AP100" s="27"/>
      <c r="AQ100" s="26"/>
      <c r="AR100" s="26"/>
      <c r="AS100" s="27"/>
      <c r="AT100" s="26"/>
      <c r="AU100" s="26"/>
      <c r="AV100" s="27"/>
      <c r="AW100" s="26"/>
      <c r="AX100" s="26"/>
      <c r="AY100" s="27"/>
    </row>
    <row r="101" spans="1:51" s="24" customFormat="1" ht="12" customHeight="1" x14ac:dyDescent="0.2">
      <c r="B101" s="23" t="s">
        <v>180</v>
      </c>
      <c r="C101" s="23"/>
      <c r="D101" s="26"/>
      <c r="E101" s="26"/>
      <c r="F101" s="27"/>
      <c r="G101" s="26"/>
      <c r="H101" s="26"/>
      <c r="I101" s="27">
        <f>+F14</f>
        <v>0</v>
      </c>
      <c r="J101" s="26"/>
      <c r="K101" s="26"/>
      <c r="L101" s="27">
        <f>+I14</f>
        <v>0.38900000000000001</v>
      </c>
      <c r="M101" s="26"/>
      <c r="N101" s="26"/>
      <c r="O101" s="27">
        <f>+L15</f>
        <v>36.563000000000002</v>
      </c>
      <c r="P101" s="26">
        <f>+O15</f>
        <v>69.486000000000004</v>
      </c>
      <c r="Q101" s="26">
        <f>+P15</f>
        <v>77.953000000000003</v>
      </c>
      <c r="R101" s="27">
        <f>+O15</f>
        <v>69.486000000000004</v>
      </c>
      <c r="S101" s="26">
        <f>+R15</f>
        <v>87.63</v>
      </c>
      <c r="T101" s="26">
        <f>+S15</f>
        <v>103.02800000000001</v>
      </c>
      <c r="U101" s="27">
        <f>+R15</f>
        <v>87.63</v>
      </c>
      <c r="V101" s="26">
        <f>+U15</f>
        <v>130.05600000000001</v>
      </c>
      <c r="W101" s="26">
        <f>+T15</f>
        <v>130.05600000000001</v>
      </c>
      <c r="X101" s="27">
        <f>+U15</f>
        <v>130.05600000000001</v>
      </c>
      <c r="Y101" s="26">
        <f>+X15</f>
        <v>162.34536</v>
      </c>
      <c r="Z101" s="26">
        <f>+W15</f>
        <v>162.34536</v>
      </c>
      <c r="AA101" s="27">
        <f>+X15</f>
        <v>162.34536</v>
      </c>
      <c r="AB101" s="26">
        <f>+AA15</f>
        <v>192.20474160000001</v>
      </c>
      <c r="AC101" s="26">
        <f>+Z15</f>
        <v>192.20474160000001</v>
      </c>
      <c r="AD101" s="27">
        <f>+AA15</f>
        <v>192.20474160000001</v>
      </c>
      <c r="AE101" s="26">
        <f>+AD15</f>
        <v>220.64019069600002</v>
      </c>
      <c r="AF101" s="26">
        <f>+AC15</f>
        <v>220.64019069600002</v>
      </c>
      <c r="AG101" s="27">
        <f>+AD15</f>
        <v>220.64019069600002</v>
      </c>
      <c r="AH101" s="26">
        <f>+AG15</f>
        <v>248.21970896376004</v>
      </c>
      <c r="AI101" s="26">
        <f>+AF15</f>
        <v>248.21970896376004</v>
      </c>
      <c r="AJ101" s="27">
        <f>+AG15</f>
        <v>248.21970896376004</v>
      </c>
      <c r="AK101" s="26">
        <f>+AJ15</f>
        <v>275.42419957564562</v>
      </c>
      <c r="AL101" s="26">
        <f>+AI15</f>
        <v>275.42419957564562</v>
      </c>
      <c r="AM101" s="27">
        <f>+AJ15</f>
        <v>275.42419957564562</v>
      </c>
      <c r="AN101" s="26">
        <f>+AM15</f>
        <v>302.66547344332298</v>
      </c>
      <c r="AO101" s="26">
        <f>+AL15</f>
        <v>302.66547344332298</v>
      </c>
      <c r="AP101" s="27">
        <f>+AM15</f>
        <v>302.66547344332298</v>
      </c>
      <c r="AQ101" s="26">
        <f>+AP15</f>
        <v>330.30093630123514</v>
      </c>
      <c r="AR101" s="26">
        <f>+AO15</f>
        <v>330.30093630123514</v>
      </c>
      <c r="AS101" s="27">
        <f>+AP15</f>
        <v>330.30093630123514</v>
      </c>
      <c r="AT101" s="26">
        <f>+AS15</f>
        <v>358.645594412994</v>
      </c>
      <c r="AU101" s="26">
        <f>+AR15</f>
        <v>358.645594412994</v>
      </c>
      <c r="AV101" s="27">
        <f>+AS15</f>
        <v>358.645594412994</v>
      </c>
      <c r="AW101" s="26">
        <f>+AV15</f>
        <v>387.98189600414827</v>
      </c>
      <c r="AX101" s="26">
        <f>+AU15</f>
        <v>387.98189600414827</v>
      </c>
      <c r="AY101" s="27">
        <f>+AV15</f>
        <v>387.98189600414827</v>
      </c>
    </row>
    <row r="102" spans="1:51" s="24" customFormat="1" ht="12" customHeight="1" x14ac:dyDescent="0.2">
      <c r="B102" s="23" t="s">
        <v>181</v>
      </c>
      <c r="C102" s="23"/>
      <c r="D102" s="26"/>
      <c r="E102" s="26"/>
      <c r="F102" s="27"/>
      <c r="G102" s="26"/>
      <c r="H102" s="26"/>
      <c r="I102" s="27">
        <f>+-'Income &amp; Cash Flow'!I102</f>
        <v>11.667</v>
      </c>
      <c r="J102" s="26"/>
      <c r="K102" s="26"/>
      <c r="L102" s="27">
        <f>+-'Income &amp; Cash Flow'!L102</f>
        <v>19.391999999999999</v>
      </c>
      <c r="M102" s="26"/>
      <c r="N102" s="26"/>
      <c r="O102" s="27">
        <f>-'Income &amp; Cash Flow'!O102</f>
        <v>39.713000000000001</v>
      </c>
      <c r="P102" s="26">
        <f>+-'Income &amp; Cash Flow'!P102</f>
        <v>14.867000000000001</v>
      </c>
      <c r="Q102" s="26">
        <f>+-'Income &amp; Cash Flow'!Q102</f>
        <v>18.629000000000001</v>
      </c>
      <c r="R102" s="27">
        <f>+-'Income &amp; Cash Flow'!R102</f>
        <v>33.496000000000002</v>
      </c>
      <c r="S102" s="26">
        <f>+-'Income &amp; Cash Flow'!S102</f>
        <v>21.855</v>
      </c>
      <c r="T102" s="26">
        <f>+-'Income &amp; Cash Flow'!T102</f>
        <v>39.471000000000004</v>
      </c>
      <c r="U102" s="27">
        <f>+-'Income &amp; Cash Flow'!U102</f>
        <v>61.326000000000001</v>
      </c>
      <c r="V102" s="140">
        <v>30</v>
      </c>
      <c r="W102" s="140">
        <v>30</v>
      </c>
      <c r="X102" s="143">
        <f>+W102+V102</f>
        <v>60</v>
      </c>
      <c r="Y102" s="140">
        <f t="shared" ref="Y102:Z102" si="585">+V102*1.065</f>
        <v>31.95</v>
      </c>
      <c r="Z102" s="140">
        <f t="shared" si="585"/>
        <v>31.95</v>
      </c>
      <c r="AA102" s="143">
        <f t="shared" ref="AA102" si="586">+Z102+Y102</f>
        <v>63.9</v>
      </c>
      <c r="AB102" s="140">
        <f>+Y102*1.07</f>
        <v>34.186500000000002</v>
      </c>
      <c r="AC102" s="140">
        <f>+Z102*1.07</f>
        <v>34.186500000000002</v>
      </c>
      <c r="AD102" s="143">
        <f t="shared" ref="AD102" si="587">+AC102+AB102</f>
        <v>68.373000000000005</v>
      </c>
      <c r="AE102" s="140">
        <f t="shared" ref="AE102:AF102" si="588">+AB102*1.07</f>
        <v>36.579555000000006</v>
      </c>
      <c r="AF102" s="140">
        <f t="shared" si="588"/>
        <v>36.579555000000006</v>
      </c>
      <c r="AG102" s="143">
        <f t="shared" ref="AG102" si="589">+AF102+AE102</f>
        <v>73.159110000000013</v>
      </c>
      <c r="AH102" s="140">
        <f t="shared" ref="AH102:AI102" si="590">+AE102*1.07</f>
        <v>39.140123850000009</v>
      </c>
      <c r="AI102" s="140">
        <f t="shared" si="590"/>
        <v>39.140123850000009</v>
      </c>
      <c r="AJ102" s="143">
        <f t="shared" ref="AJ102" si="591">+AI102+AH102</f>
        <v>78.280247700000018</v>
      </c>
      <c r="AK102" s="140">
        <f t="shared" ref="AK102:AL102" si="592">+AH102*1.07</f>
        <v>41.879932519500009</v>
      </c>
      <c r="AL102" s="140">
        <f t="shared" si="592"/>
        <v>41.879932519500009</v>
      </c>
      <c r="AM102" s="143">
        <f t="shared" ref="AM102" si="593">+AL102+AK102</f>
        <v>83.759865039000019</v>
      </c>
      <c r="AN102" s="140">
        <f t="shared" ref="AN102:AO102" si="594">+AK102*1.07</f>
        <v>44.811527795865011</v>
      </c>
      <c r="AO102" s="140">
        <f t="shared" si="594"/>
        <v>44.811527795865011</v>
      </c>
      <c r="AP102" s="143">
        <f t="shared" ref="AP102" si="595">+AO102+AN102</f>
        <v>89.623055591730022</v>
      </c>
      <c r="AQ102" s="140">
        <f t="shared" ref="AQ102:AR102" si="596">+AN102*1.07</f>
        <v>47.948334741575565</v>
      </c>
      <c r="AR102" s="140">
        <f t="shared" si="596"/>
        <v>47.948334741575565</v>
      </c>
      <c r="AS102" s="143">
        <f t="shared" ref="AS102" si="597">+AR102+AQ102</f>
        <v>95.896669483151129</v>
      </c>
      <c r="AT102" s="140">
        <f t="shared" ref="AT102:AU102" si="598">+AQ102*1.07</f>
        <v>51.30471817348586</v>
      </c>
      <c r="AU102" s="140">
        <f t="shared" si="598"/>
        <v>51.30471817348586</v>
      </c>
      <c r="AV102" s="143">
        <f t="shared" ref="AV102" si="599">+AU102+AT102</f>
        <v>102.60943634697172</v>
      </c>
      <c r="AW102" s="140">
        <f t="shared" ref="AW102:AX102" si="600">+AT102*1.07</f>
        <v>54.896048445629873</v>
      </c>
      <c r="AX102" s="140">
        <f t="shared" si="600"/>
        <v>54.896048445629873</v>
      </c>
      <c r="AY102" s="143">
        <f t="shared" ref="AY102" si="601">+AX102+AW102</f>
        <v>109.79209689125975</v>
      </c>
    </row>
    <row r="103" spans="1:51" s="24" customFormat="1" ht="12" customHeight="1" x14ac:dyDescent="0.2">
      <c r="B103" s="23" t="s">
        <v>182</v>
      </c>
      <c r="C103" s="23"/>
      <c r="D103" s="26"/>
      <c r="E103" s="26"/>
      <c r="F103" s="27"/>
      <c r="G103" s="26"/>
      <c r="H103" s="26"/>
      <c r="I103" s="27">
        <f>-'Income &amp; Cash Flow'!I103</f>
        <v>3.496</v>
      </c>
      <c r="J103" s="26"/>
      <c r="K103" s="26"/>
      <c r="L103" s="27">
        <f>-'Income &amp; Cash Flow'!L103</f>
        <v>7.0110000000000001</v>
      </c>
      <c r="M103" s="26"/>
      <c r="N103" s="26"/>
      <c r="O103" s="27">
        <f>-'Income &amp; Cash Flow'!O101</f>
        <v>6.44</v>
      </c>
      <c r="P103" s="26">
        <f>-'Income &amp; Cash Flow'!P103</f>
        <v>8.9999999999999993E-3</v>
      </c>
      <c r="Q103" s="26">
        <f>-'Income &amp; Cash Flow'!Q103</f>
        <v>5.3999999999999999E-2</v>
      </c>
      <c r="R103" s="27">
        <f>-'Income &amp; Cash Flow'!R103</f>
        <v>6.3E-2</v>
      </c>
      <c r="S103" s="26">
        <f>-'Income &amp; Cash Flow'!S103</f>
        <v>8.0000000000000002E-3</v>
      </c>
      <c r="T103" s="26">
        <f>-'Income &amp; Cash Flow'!T103</f>
        <v>2.8999999999999998E-2</v>
      </c>
      <c r="U103" s="27">
        <f>-'Income &amp; Cash Flow'!U103</f>
        <v>3.6999999999999998E-2</v>
      </c>
      <c r="V103" s="140">
        <v>0</v>
      </c>
      <c r="W103" s="140">
        <v>0</v>
      </c>
      <c r="X103" s="27">
        <f t="shared" ref="X103:X106" si="602">+W103+V103</f>
        <v>0</v>
      </c>
      <c r="Y103" s="140">
        <v>0</v>
      </c>
      <c r="Z103" s="140">
        <v>0</v>
      </c>
      <c r="AA103" s="27">
        <f t="shared" ref="AA103:AA106" si="603">+Z103+Y103</f>
        <v>0</v>
      </c>
      <c r="AB103" s="140">
        <v>0</v>
      </c>
      <c r="AC103" s="140">
        <v>0</v>
      </c>
      <c r="AD103" s="27">
        <f t="shared" ref="AD103:AD106" si="604">+AC103+AB103</f>
        <v>0</v>
      </c>
      <c r="AE103" s="140">
        <v>0</v>
      </c>
      <c r="AF103" s="140">
        <v>0</v>
      </c>
      <c r="AG103" s="27">
        <f t="shared" ref="AG103:AG106" si="605">+AF103+AE103</f>
        <v>0</v>
      </c>
      <c r="AH103" s="140">
        <v>0</v>
      </c>
      <c r="AI103" s="140">
        <v>0</v>
      </c>
      <c r="AJ103" s="27">
        <f t="shared" ref="AJ103:AJ106" si="606">+AI103+AH103</f>
        <v>0</v>
      </c>
      <c r="AK103" s="140">
        <v>0</v>
      </c>
      <c r="AL103" s="140">
        <v>0</v>
      </c>
      <c r="AM103" s="27">
        <f t="shared" ref="AM103:AM106" si="607">+AL103+AK103</f>
        <v>0</v>
      </c>
      <c r="AN103" s="140">
        <v>0</v>
      </c>
      <c r="AO103" s="140">
        <v>0</v>
      </c>
      <c r="AP103" s="27">
        <f t="shared" ref="AP103:AP106" si="608">+AO103+AN103</f>
        <v>0</v>
      </c>
      <c r="AQ103" s="140">
        <v>0</v>
      </c>
      <c r="AR103" s="140">
        <v>0</v>
      </c>
      <c r="AS103" s="27">
        <f t="shared" ref="AS103:AS106" si="609">+AR103+AQ103</f>
        <v>0</v>
      </c>
      <c r="AT103" s="140">
        <v>0</v>
      </c>
      <c r="AU103" s="140">
        <v>0</v>
      </c>
      <c r="AV103" s="27">
        <f t="shared" ref="AV103:AV106" si="610">+AU103+AT103</f>
        <v>0</v>
      </c>
      <c r="AW103" s="140">
        <v>0</v>
      </c>
      <c r="AX103" s="140">
        <v>0</v>
      </c>
      <c r="AY103" s="27">
        <f t="shared" ref="AY103:AY106" si="611">+AX103+AW103</f>
        <v>0</v>
      </c>
    </row>
    <row r="104" spans="1:51" s="24" customFormat="1" ht="12" customHeight="1" x14ac:dyDescent="0.2">
      <c r="B104" s="23" t="s">
        <v>183</v>
      </c>
      <c r="C104" s="23"/>
      <c r="D104" s="26"/>
      <c r="E104" s="26"/>
      <c r="F104" s="27"/>
      <c r="G104" s="26"/>
      <c r="H104" s="26"/>
      <c r="I104" s="27">
        <v>0</v>
      </c>
      <c r="J104" s="26"/>
      <c r="K104" s="26"/>
      <c r="L104" s="27">
        <v>0</v>
      </c>
      <c r="M104" s="26"/>
      <c r="N104" s="26"/>
      <c r="O104" s="27">
        <v>0</v>
      </c>
      <c r="P104" s="26">
        <v>0</v>
      </c>
      <c r="Q104" s="26">
        <v>0</v>
      </c>
      <c r="R104" s="27">
        <v>0</v>
      </c>
      <c r="S104" s="26">
        <v>0</v>
      </c>
      <c r="T104" s="26">
        <v>0</v>
      </c>
      <c r="U104" s="27">
        <v>0</v>
      </c>
      <c r="V104" s="140">
        <v>0</v>
      </c>
      <c r="W104" s="140">
        <v>0</v>
      </c>
      <c r="X104" s="27">
        <f t="shared" si="602"/>
        <v>0</v>
      </c>
      <c r="Y104" s="140">
        <v>0</v>
      </c>
      <c r="Z104" s="140">
        <v>0</v>
      </c>
      <c r="AA104" s="27">
        <f t="shared" si="603"/>
        <v>0</v>
      </c>
      <c r="AB104" s="140">
        <v>0</v>
      </c>
      <c r="AC104" s="140">
        <v>0</v>
      </c>
      <c r="AD104" s="27">
        <f t="shared" si="604"/>
        <v>0</v>
      </c>
      <c r="AE104" s="140">
        <v>0</v>
      </c>
      <c r="AF104" s="140">
        <v>0</v>
      </c>
      <c r="AG104" s="27">
        <f t="shared" si="605"/>
        <v>0</v>
      </c>
      <c r="AH104" s="140">
        <v>0</v>
      </c>
      <c r="AI104" s="140">
        <v>0</v>
      </c>
      <c r="AJ104" s="27">
        <f t="shared" si="606"/>
        <v>0</v>
      </c>
      <c r="AK104" s="140">
        <v>0</v>
      </c>
      <c r="AL104" s="140">
        <v>0</v>
      </c>
      <c r="AM104" s="27">
        <f t="shared" si="607"/>
        <v>0</v>
      </c>
      <c r="AN104" s="140">
        <v>0</v>
      </c>
      <c r="AO104" s="140">
        <v>0</v>
      </c>
      <c r="AP104" s="27">
        <f t="shared" si="608"/>
        <v>0</v>
      </c>
      <c r="AQ104" s="140">
        <v>0</v>
      </c>
      <c r="AR104" s="140">
        <v>0</v>
      </c>
      <c r="AS104" s="27">
        <f t="shared" si="609"/>
        <v>0</v>
      </c>
      <c r="AT104" s="140">
        <v>0</v>
      </c>
      <c r="AU104" s="140">
        <v>0</v>
      </c>
      <c r="AV104" s="27">
        <f t="shared" si="610"/>
        <v>0</v>
      </c>
      <c r="AW104" s="140">
        <v>0</v>
      </c>
      <c r="AX104" s="140">
        <v>0</v>
      </c>
      <c r="AY104" s="27">
        <f t="shared" si="611"/>
        <v>0</v>
      </c>
    </row>
    <row r="105" spans="1:51" s="24" customFormat="1" ht="12" customHeight="1" x14ac:dyDescent="0.2">
      <c r="B105" s="23" t="s">
        <v>184</v>
      </c>
      <c r="C105" s="23"/>
      <c r="D105" s="26"/>
      <c r="E105" s="26"/>
      <c r="F105" s="27"/>
      <c r="G105" s="26"/>
      <c r="H105" s="26"/>
      <c r="I105" s="27">
        <f>'Income &amp; Cash Flow'!I22</f>
        <v>-3.5369999999999999</v>
      </c>
      <c r="J105" s="26"/>
      <c r="K105" s="26"/>
      <c r="L105" s="27">
        <f>'Income &amp; Cash Flow'!L22</f>
        <v>-5.3410000000000002</v>
      </c>
      <c r="M105" s="26">
        <f>'Income &amp; Cash Flow'!M22</f>
        <v>-3.7979999999999992</v>
      </c>
      <c r="N105" s="26">
        <f>'Income &amp; Cash Flow'!N22</f>
        <v>-4.5920000000000014</v>
      </c>
      <c r="O105" s="27">
        <f>'Income &amp; Cash Flow'!O22</f>
        <v>-8.39</v>
      </c>
      <c r="P105" s="26">
        <f>'Income &amp; Cash Flow'!P22</f>
        <v>-6.0619999999999994</v>
      </c>
      <c r="Q105" s="26">
        <f>'Income &amp; Cash Flow'!Q22</f>
        <v>-6.8980000000000015</v>
      </c>
      <c r="R105" s="27">
        <f>'Income &amp; Cash Flow'!R22</f>
        <v>-12.96</v>
      </c>
      <c r="S105" s="26">
        <f>'Income &amp; Cash Flow'!S22</f>
        <v>-7.8319999999999999</v>
      </c>
      <c r="T105" s="26">
        <f>'Income &amp; Cash Flow'!T22</f>
        <v>-11.463999999999999</v>
      </c>
      <c r="U105" s="27">
        <f>'Income &amp; Cash Flow'!U22</f>
        <v>-19.295999999999999</v>
      </c>
      <c r="V105" s="26">
        <f t="shared" ref="V105:W105" si="612">+U107*V109</f>
        <v>-13.005600000000001</v>
      </c>
      <c r="W105" s="26">
        <f t="shared" si="612"/>
        <v>-14.705040000000004</v>
      </c>
      <c r="X105" s="27">
        <f t="shared" si="602"/>
        <v>-27.710640000000005</v>
      </c>
      <c r="Y105" s="26">
        <f t="shared" ref="Y105:Z105" si="613">+X107*Y109</f>
        <v>-16.234536000000002</v>
      </c>
      <c r="Z105" s="26">
        <f t="shared" si="613"/>
        <v>-17.806082400000001</v>
      </c>
      <c r="AA105" s="27">
        <f t="shared" si="603"/>
        <v>-34.0406184</v>
      </c>
      <c r="AB105" s="26">
        <f t="shared" ref="AB105:AC105" si="614">+AA107*AB109</f>
        <v>-19.220474160000002</v>
      </c>
      <c r="AC105" s="26">
        <f t="shared" si="614"/>
        <v>-20.717076744</v>
      </c>
      <c r="AD105" s="27">
        <f t="shared" si="604"/>
        <v>-39.937550904000005</v>
      </c>
      <c r="AE105" s="26">
        <f t="shared" ref="AE105:AF105" si="615">+AD107*AE109</f>
        <v>-22.064019069600004</v>
      </c>
      <c r="AF105" s="26">
        <f t="shared" si="615"/>
        <v>-23.515572662640004</v>
      </c>
      <c r="AG105" s="27">
        <f t="shared" si="605"/>
        <v>-45.579591732240004</v>
      </c>
      <c r="AH105" s="26">
        <f t="shared" ref="AH105:AI105" si="616">+AG107*AH109</f>
        <v>-24.821970896376005</v>
      </c>
      <c r="AI105" s="26">
        <f t="shared" si="616"/>
        <v>-26.253786191738403</v>
      </c>
      <c r="AJ105" s="27">
        <f t="shared" si="606"/>
        <v>-51.075757088114408</v>
      </c>
      <c r="AK105" s="26">
        <f t="shared" ref="AK105" si="617">+AJ107*AK109</f>
        <v>-27.542419957564562</v>
      </c>
      <c r="AL105" s="26">
        <f t="shared" ref="AL105" si="618">+AK107*AL109</f>
        <v>-28.976171213758107</v>
      </c>
      <c r="AM105" s="27">
        <f t="shared" si="607"/>
        <v>-56.518591171322669</v>
      </c>
      <c r="AN105" s="26">
        <f t="shared" ref="AN105" si="619">+AM107*AN109</f>
        <v>-30.266547344332299</v>
      </c>
      <c r="AO105" s="26">
        <f t="shared" ref="AO105" si="620">+AN107*AO109</f>
        <v>-31.721045389485568</v>
      </c>
      <c r="AP105" s="27">
        <f t="shared" si="608"/>
        <v>-61.987592733817863</v>
      </c>
      <c r="AQ105" s="26">
        <f t="shared" ref="AQ105" si="621">+AP107*AQ109</f>
        <v>-33.030093630123517</v>
      </c>
      <c r="AR105" s="26">
        <f t="shared" ref="AR105" si="622">+AQ107*AR109</f>
        <v>-34.521917741268723</v>
      </c>
      <c r="AS105" s="27">
        <f t="shared" si="609"/>
        <v>-67.55201137139224</v>
      </c>
      <c r="AT105" s="26">
        <f t="shared" ref="AT105" si="623">+AS107*AT109</f>
        <v>-35.864559441299399</v>
      </c>
      <c r="AU105" s="26">
        <f t="shared" ref="AU105" si="624">+AT107*AU109</f>
        <v>-37.408575314518053</v>
      </c>
      <c r="AV105" s="27">
        <f t="shared" si="610"/>
        <v>-73.273134755817452</v>
      </c>
      <c r="AW105" s="26">
        <f t="shared" ref="AW105" si="625">+AV107*AW109</f>
        <v>-38.79818960041483</v>
      </c>
      <c r="AX105" s="26">
        <f t="shared" ref="AX105" si="626">+AW107*AX109</f>
        <v>-40.407975484936337</v>
      </c>
      <c r="AY105" s="27">
        <f t="shared" si="611"/>
        <v>-79.206165085351159</v>
      </c>
    </row>
    <row r="106" spans="1:51" s="24" customFormat="1" ht="12" customHeight="1" x14ac:dyDescent="0.2">
      <c r="B106" s="23" t="s">
        <v>185</v>
      </c>
      <c r="C106" s="23"/>
      <c r="D106" s="26"/>
      <c r="E106" s="26"/>
      <c r="F106" s="27"/>
      <c r="G106" s="26"/>
      <c r="H106" s="26"/>
      <c r="I106" s="27">
        <f t="shared" ref="I106:O106" si="627">I107-SUM(I101:I105)</f>
        <v>-11.237000000000002</v>
      </c>
      <c r="J106" s="26"/>
      <c r="K106" s="26"/>
      <c r="L106" s="27">
        <f t="shared" si="627"/>
        <v>15.112000000000005</v>
      </c>
      <c r="M106" s="26"/>
      <c r="N106" s="26"/>
      <c r="O106" s="27">
        <f t="shared" si="627"/>
        <v>-4.8400000000000034</v>
      </c>
      <c r="P106" s="26">
        <f t="shared" ref="P106:R106" si="628">P107-SUM(P101:P105)</f>
        <v>-0.34700000000000841</v>
      </c>
      <c r="Q106" s="26">
        <f t="shared" si="628"/>
        <v>-2.1080000000000183</v>
      </c>
      <c r="R106" s="27">
        <f t="shared" si="628"/>
        <v>-2.4550000000000125</v>
      </c>
      <c r="S106" s="26">
        <f t="shared" ref="S106" si="629">S107-SUM(S101:S105)</f>
        <v>1.3670000000000044</v>
      </c>
      <c r="T106" s="26">
        <f t="shared" ref="T106:U106" si="630">T107-SUM(T101:T105)</f>
        <v>-1.0080000000000098</v>
      </c>
      <c r="U106" s="27">
        <f t="shared" si="630"/>
        <v>0.35900000000000887</v>
      </c>
      <c r="V106" s="140">
        <v>0</v>
      </c>
      <c r="W106" s="140">
        <v>0</v>
      </c>
      <c r="X106" s="27">
        <f t="shared" si="602"/>
        <v>0</v>
      </c>
      <c r="Y106" s="140">
        <v>0</v>
      </c>
      <c r="Z106" s="140">
        <v>0</v>
      </c>
      <c r="AA106" s="27">
        <f t="shared" si="603"/>
        <v>0</v>
      </c>
      <c r="AB106" s="140">
        <v>0</v>
      </c>
      <c r="AC106" s="140">
        <v>0</v>
      </c>
      <c r="AD106" s="27">
        <f t="shared" si="604"/>
        <v>0</v>
      </c>
      <c r="AE106" s="140">
        <v>0</v>
      </c>
      <c r="AF106" s="140">
        <v>0</v>
      </c>
      <c r="AG106" s="27">
        <f t="shared" si="605"/>
        <v>0</v>
      </c>
      <c r="AH106" s="140">
        <v>0</v>
      </c>
      <c r="AI106" s="140">
        <v>0</v>
      </c>
      <c r="AJ106" s="27">
        <f t="shared" si="606"/>
        <v>0</v>
      </c>
      <c r="AK106" s="140">
        <v>0</v>
      </c>
      <c r="AL106" s="140">
        <v>0</v>
      </c>
      <c r="AM106" s="27">
        <f t="shared" si="607"/>
        <v>0</v>
      </c>
      <c r="AN106" s="140">
        <v>0</v>
      </c>
      <c r="AO106" s="140">
        <v>0</v>
      </c>
      <c r="AP106" s="27">
        <f t="shared" si="608"/>
        <v>0</v>
      </c>
      <c r="AQ106" s="140">
        <v>0</v>
      </c>
      <c r="AR106" s="140">
        <v>0</v>
      </c>
      <c r="AS106" s="27">
        <f t="shared" si="609"/>
        <v>0</v>
      </c>
      <c r="AT106" s="140">
        <v>0</v>
      </c>
      <c r="AU106" s="140">
        <v>0</v>
      </c>
      <c r="AV106" s="27">
        <f t="shared" si="610"/>
        <v>0</v>
      </c>
      <c r="AW106" s="140">
        <v>0</v>
      </c>
      <c r="AX106" s="140">
        <v>0</v>
      </c>
      <c r="AY106" s="27">
        <f t="shared" si="611"/>
        <v>0</v>
      </c>
    </row>
    <row r="107" spans="1:51" s="24" customFormat="1" ht="12" customHeight="1" x14ac:dyDescent="0.2">
      <c r="B107" s="28" t="s">
        <v>186</v>
      </c>
      <c r="C107" s="29"/>
      <c r="D107" s="31"/>
      <c r="E107" s="31"/>
      <c r="F107" s="30"/>
      <c r="G107" s="31"/>
      <c r="H107" s="31"/>
      <c r="I107" s="30">
        <f>+I14</f>
        <v>0.38900000000000001</v>
      </c>
      <c r="J107" s="31"/>
      <c r="K107" s="31"/>
      <c r="L107" s="30">
        <f>+L15</f>
        <v>36.563000000000002</v>
      </c>
      <c r="M107" s="31"/>
      <c r="N107" s="31"/>
      <c r="O107" s="30">
        <f t="shared" ref="O107:U107" si="631">+O15</f>
        <v>69.486000000000004</v>
      </c>
      <c r="P107" s="31">
        <f t="shared" si="631"/>
        <v>77.953000000000003</v>
      </c>
      <c r="Q107" s="31">
        <f t="shared" si="631"/>
        <v>87.63</v>
      </c>
      <c r="R107" s="30">
        <f t="shared" si="631"/>
        <v>87.63</v>
      </c>
      <c r="S107" s="31">
        <f t="shared" si="631"/>
        <v>103.02800000000001</v>
      </c>
      <c r="T107" s="31">
        <f t="shared" si="631"/>
        <v>130.05600000000001</v>
      </c>
      <c r="U107" s="30">
        <f t="shared" si="631"/>
        <v>130.05600000000001</v>
      </c>
      <c r="V107" s="31">
        <f t="shared" ref="V107:AJ107" si="632">SUM(V101:V106)</f>
        <v>147.05040000000002</v>
      </c>
      <c r="W107" s="31">
        <f t="shared" si="632"/>
        <v>145.35096000000001</v>
      </c>
      <c r="X107" s="30">
        <f t="shared" si="632"/>
        <v>162.34536</v>
      </c>
      <c r="Y107" s="31">
        <f t="shared" si="632"/>
        <v>178.060824</v>
      </c>
      <c r="Z107" s="31">
        <f t="shared" si="632"/>
        <v>176.48927759999998</v>
      </c>
      <c r="AA107" s="30">
        <f t="shared" si="632"/>
        <v>192.20474160000001</v>
      </c>
      <c r="AB107" s="31">
        <f t="shared" si="632"/>
        <v>207.17076743999999</v>
      </c>
      <c r="AC107" s="31">
        <f t="shared" si="632"/>
        <v>205.674164856</v>
      </c>
      <c r="AD107" s="30">
        <f t="shared" si="632"/>
        <v>220.64019069600002</v>
      </c>
      <c r="AE107" s="31">
        <f t="shared" si="632"/>
        <v>235.15572662640002</v>
      </c>
      <c r="AF107" s="31">
        <f t="shared" si="632"/>
        <v>233.70417303336001</v>
      </c>
      <c r="AG107" s="30">
        <f t="shared" si="632"/>
        <v>248.21970896376004</v>
      </c>
      <c r="AH107" s="31">
        <f t="shared" si="632"/>
        <v>262.53786191738402</v>
      </c>
      <c r="AI107" s="31">
        <f t="shared" si="632"/>
        <v>261.10604662202161</v>
      </c>
      <c r="AJ107" s="30">
        <f t="shared" si="632"/>
        <v>275.42419957564562</v>
      </c>
      <c r="AK107" s="31">
        <f t="shared" ref="AK107:AM107" si="633">SUM(AK101:AK106)</f>
        <v>289.76171213758107</v>
      </c>
      <c r="AL107" s="31">
        <f t="shared" si="633"/>
        <v>288.32796088138753</v>
      </c>
      <c r="AM107" s="30">
        <f t="shared" si="633"/>
        <v>302.66547344332298</v>
      </c>
      <c r="AN107" s="31">
        <f t="shared" ref="AN107:AP107" si="634">SUM(AN101:AN106)</f>
        <v>317.21045389485568</v>
      </c>
      <c r="AO107" s="31">
        <f t="shared" si="634"/>
        <v>315.75595584970245</v>
      </c>
      <c r="AP107" s="30">
        <f t="shared" si="634"/>
        <v>330.30093630123514</v>
      </c>
      <c r="AQ107" s="31">
        <f t="shared" ref="AQ107:AS107" si="635">SUM(AQ101:AQ106)</f>
        <v>345.2191774126872</v>
      </c>
      <c r="AR107" s="31">
        <f t="shared" si="635"/>
        <v>343.727353301542</v>
      </c>
      <c r="AS107" s="30">
        <f t="shared" si="635"/>
        <v>358.645594412994</v>
      </c>
      <c r="AT107" s="31">
        <f t="shared" ref="AT107:AV107" si="636">SUM(AT101:AT106)</f>
        <v>374.08575314518049</v>
      </c>
      <c r="AU107" s="31">
        <f t="shared" si="636"/>
        <v>372.54173727196184</v>
      </c>
      <c r="AV107" s="30">
        <f t="shared" si="636"/>
        <v>387.98189600414827</v>
      </c>
      <c r="AW107" s="31">
        <f t="shared" ref="AW107:AY107" si="637">SUM(AW101:AW106)</f>
        <v>404.07975484936333</v>
      </c>
      <c r="AX107" s="31">
        <f t="shared" si="637"/>
        <v>402.46996896484183</v>
      </c>
      <c r="AY107" s="30">
        <f t="shared" si="637"/>
        <v>418.56782781005688</v>
      </c>
    </row>
    <row r="108" spans="1:51" x14ac:dyDescent="0.2">
      <c r="A108" s="24"/>
      <c r="B108" s="6"/>
      <c r="D108" s="6"/>
      <c r="E108" s="6"/>
      <c r="F108" s="13"/>
      <c r="G108" s="6"/>
      <c r="H108" s="6"/>
      <c r="I108" s="13"/>
      <c r="J108" s="6"/>
      <c r="K108" s="6"/>
      <c r="L108" s="13"/>
      <c r="M108" s="6"/>
      <c r="N108" s="6"/>
      <c r="O108" s="13"/>
      <c r="P108" s="6"/>
      <c r="Q108" s="6"/>
      <c r="R108" s="13"/>
      <c r="S108" s="6"/>
      <c r="T108" s="6"/>
      <c r="U108" s="13"/>
      <c r="V108" s="6"/>
      <c r="W108" s="6"/>
      <c r="X108" s="13"/>
      <c r="Y108" s="6"/>
      <c r="Z108" s="6"/>
      <c r="AA108" s="13"/>
      <c r="AB108" s="6"/>
      <c r="AC108" s="6"/>
      <c r="AD108" s="13"/>
      <c r="AE108" s="6"/>
      <c r="AF108" s="6"/>
      <c r="AG108" s="13"/>
      <c r="AH108" s="6"/>
      <c r="AI108" s="6"/>
      <c r="AJ108" s="13"/>
      <c r="AK108" s="6"/>
      <c r="AL108" s="6"/>
      <c r="AM108" s="13"/>
      <c r="AN108" s="6"/>
      <c r="AO108" s="6"/>
      <c r="AP108" s="13"/>
      <c r="AQ108" s="6"/>
      <c r="AR108" s="6"/>
      <c r="AS108" s="13"/>
      <c r="AT108" s="6"/>
      <c r="AU108" s="6"/>
      <c r="AV108" s="13"/>
      <c r="AW108" s="6"/>
      <c r="AX108" s="6"/>
      <c r="AY108" s="13"/>
    </row>
    <row r="109" spans="1:51" ht="12" customHeight="1" x14ac:dyDescent="0.2">
      <c r="A109" s="24"/>
      <c r="B109" s="8" t="s">
        <v>187</v>
      </c>
      <c r="C109" s="6"/>
      <c r="D109" s="40"/>
      <c r="E109" s="40"/>
      <c r="F109" s="41"/>
      <c r="G109" s="40"/>
      <c r="H109" s="40"/>
      <c r="I109" s="41">
        <f>I105/AVERAGE(I107,F107)</f>
        <v>-9.0925449871465283</v>
      </c>
      <c r="J109" s="40"/>
      <c r="K109" s="40"/>
      <c r="L109" s="41">
        <f t="shared" ref="L109" si="638">L105/AVERAGE(L107,I107)</f>
        <v>-0.28907772245074687</v>
      </c>
      <c r="M109" s="40"/>
      <c r="N109" s="40"/>
      <c r="O109" s="41">
        <f>O105/AVERAGE(O107,L107)</f>
        <v>-0.15822874331676867</v>
      </c>
      <c r="P109" s="40">
        <f>P105/AVERAGE(P107,O107)</f>
        <v>-8.2230617407877141E-2</v>
      </c>
      <c r="Q109" s="40">
        <f>Q105/AVERAGE(Q107,P107)</f>
        <v>-8.3317731892766783E-2</v>
      </c>
      <c r="R109" s="41">
        <f>R105/AVERAGE(R107,O107)</f>
        <v>-0.1649736500420072</v>
      </c>
      <c r="S109" s="40">
        <f>S105/AVERAGE(S107,R107)</f>
        <v>-8.2157580589327484E-2</v>
      </c>
      <c r="T109" s="40">
        <f>T105/AVERAGE(T107,S107)</f>
        <v>-9.8367970345454844E-2</v>
      </c>
      <c r="U109" s="41">
        <f>U105/AVERAGE(U107,R107)</f>
        <v>-0.17728287533419695</v>
      </c>
      <c r="V109" s="42">
        <v>-0.1</v>
      </c>
      <c r="W109" s="42">
        <v>-0.1</v>
      </c>
      <c r="X109" s="41">
        <f t="shared" ref="X109" si="639">X105/AVERAGE(X107,U107)</f>
        <v>-0.18953837971205062</v>
      </c>
      <c r="Y109" s="42">
        <v>-0.1</v>
      </c>
      <c r="Z109" s="42">
        <v>-0.1</v>
      </c>
      <c r="AA109" s="41">
        <f t="shared" ref="AA109" si="640">AA105/AVERAGE(AA107,X107)</f>
        <v>-0.19202148439040242</v>
      </c>
      <c r="AB109" s="42">
        <v>-0.1</v>
      </c>
      <c r="AC109" s="42">
        <v>-0.1</v>
      </c>
      <c r="AD109" s="41">
        <f t="shared" ref="AD109" si="641">AD105/AVERAGE(AD107,AA107)</f>
        <v>-0.19347482688907383</v>
      </c>
      <c r="AE109" s="42">
        <v>-0.1</v>
      </c>
      <c r="AF109" s="42">
        <v>-0.1</v>
      </c>
      <c r="AG109" s="41">
        <f t="shared" ref="AG109" si="642">AG105/AVERAGE(AG107,AD107)</f>
        <v>-0.19442734072722354</v>
      </c>
      <c r="AH109" s="42">
        <v>-0.1</v>
      </c>
      <c r="AI109" s="42">
        <v>-0.1</v>
      </c>
      <c r="AJ109" s="41">
        <f t="shared" ref="AJ109" si="643">AJ105/AVERAGE(AJ107,AG107)</f>
        <v>-0.19507820583869473</v>
      </c>
      <c r="AK109" s="42">
        <v>-0.1</v>
      </c>
      <c r="AL109" s="42">
        <v>-0.1</v>
      </c>
      <c r="AM109" s="41">
        <f t="shared" ref="AM109" si="644">AM105/AVERAGE(AM107,AJ107)</f>
        <v>-0.19553572329415458</v>
      </c>
      <c r="AN109" s="42">
        <v>-0.1</v>
      </c>
      <c r="AO109" s="42">
        <v>-0.1</v>
      </c>
      <c r="AP109" s="41">
        <f t="shared" ref="AP109" si="645">AP105/AVERAGE(AP107,AM107)</f>
        <v>-0.19586376711153997</v>
      </c>
      <c r="AQ109" s="42">
        <v>-0.1</v>
      </c>
      <c r="AR109" s="42">
        <v>-0.1</v>
      </c>
      <c r="AS109" s="41">
        <f t="shared" ref="AS109" si="646">AS105/AVERAGE(AS107,AP107)</f>
        <v>-0.19610233409945832</v>
      </c>
      <c r="AT109" s="42">
        <v>-0.1</v>
      </c>
      <c r="AU109" s="42">
        <v>-0.1</v>
      </c>
      <c r="AV109" s="41">
        <f t="shared" ref="AV109" si="647">AV105/AVERAGE(AV107,AS107)</f>
        <v>-0.1962776235707035</v>
      </c>
      <c r="AW109" s="42">
        <v>-0.1</v>
      </c>
      <c r="AX109" s="42">
        <v>-0.1</v>
      </c>
      <c r="AY109" s="41">
        <f t="shared" ref="AY109" si="648">AY105/AVERAGE(AY107,AV107)</f>
        <v>-0.19640739497320042</v>
      </c>
    </row>
    <row r="110" spans="1:51" ht="12" customHeight="1" x14ac:dyDescent="0.2">
      <c r="A110" s="24"/>
      <c r="B110" s="8" t="s">
        <v>188</v>
      </c>
      <c r="C110" s="6"/>
      <c r="D110" s="40"/>
      <c r="E110" s="40"/>
      <c r="F110" s="41"/>
      <c r="G110" s="40"/>
      <c r="H110" s="40"/>
      <c r="I110" s="41">
        <f>I102/'Income &amp; Cash Flow'!I$8</f>
        <v>9.7606478654073001E-2</v>
      </c>
      <c r="J110" s="40"/>
      <c r="K110" s="40"/>
      <c r="L110" s="41">
        <f>L102/'Income &amp; Cash Flow'!L$8</f>
        <v>0.11288069293098631</v>
      </c>
      <c r="M110" s="40"/>
      <c r="N110" s="40"/>
      <c r="O110" s="41">
        <f>O102/'Income &amp; Cash Flow'!O$8</f>
        <v>0.15330600206914657</v>
      </c>
      <c r="P110" s="40">
        <f>P102/'Income &amp; Cash Flow'!P$8</f>
        <v>8.8749201573571648E-2</v>
      </c>
      <c r="Q110" s="40">
        <f>Q102/'Income &amp; Cash Flow'!Q$8</f>
        <v>0.10663606129469883</v>
      </c>
      <c r="R110" s="41">
        <f>R102/'Income &amp; Cash Flow'!R$8</f>
        <v>9.7880273746836777E-2</v>
      </c>
      <c r="S110" s="40">
        <f>S102/'Income &amp; Cash Flow'!S$8</f>
        <v>0.10288627665133533</v>
      </c>
      <c r="T110" s="40">
        <f>T102/'Income &amp; Cash Flow'!T$8</f>
        <v>0.17655425987305592</v>
      </c>
      <c r="U110" s="41">
        <f>U102/'Income &amp; Cash Flow'!U$8</f>
        <v>0.14066177044006403</v>
      </c>
      <c r="V110" s="40">
        <f>V102/'Income &amp; Cash Flow'!V$8</f>
        <v>0.11310648548076047</v>
      </c>
      <c r="W110" s="40">
        <f>W102/'Income &amp; Cash Flow'!W$8</f>
        <v>0.10964989841429836</v>
      </c>
      <c r="X110" s="41">
        <f>X102/'Income &amp; Cash Flow'!X$8</f>
        <v>0.1113513734251169</v>
      </c>
      <c r="Y110" s="40">
        <f>Y102/'Income &amp; Cash Flow'!Y$8</f>
        <v>0.10090705247924232</v>
      </c>
      <c r="Z110" s="40">
        <f>Z102/'Income &amp; Cash Flow'!Z$8</f>
        <v>9.8244989561759241E-2</v>
      </c>
      <c r="AA110" s="41">
        <f>AA102/'Income &amp; Cash Flow'!AA$8</f>
        <v>9.9558229139222507E-2</v>
      </c>
      <c r="AB110" s="40">
        <f>AB102/'Income &amp; Cash Flow'!AB$8</f>
        <v>9.1604972523421951E-2</v>
      </c>
      <c r="AC110" s="40">
        <f>AC102/'Income &amp; Cash Flow'!AC$8</f>
        <v>8.9869574735882168E-2</v>
      </c>
      <c r="AD110" s="41">
        <f>AD102/'Income &amp; Cash Flow'!AD$8</f>
        <v>9.0728976032202494E-2</v>
      </c>
      <c r="AE110" s="40">
        <f>AE102/'Income &amp; Cash Flow'!AE$8</f>
        <v>8.5319231826261457E-2</v>
      </c>
      <c r="AF110" s="40">
        <f>AF102/'Income &amp; Cash Flow'!AF$8</f>
        <v>8.4087135259071827E-2</v>
      </c>
      <c r="AG110" s="41">
        <f>AG102/'Income &amp; Cash Flow'!AG$8</f>
        <v>8.4698703008738052E-2</v>
      </c>
      <c r="AH110" s="40">
        <f>AH102/'Income &amp; Cash Flow'!AH$8</f>
        <v>8.0172685303468411E-2</v>
      </c>
      <c r="AI110" s="40">
        <f>AI102/'Income &amp; Cash Flow'!AI$8</f>
        <v>7.9603356411706322E-2</v>
      </c>
      <c r="AJ110" s="41">
        <f>AJ102/'Income &amp; Cash Flow'!AJ$8</f>
        <v>7.98870065146874E-2</v>
      </c>
      <c r="AK110" s="40">
        <f>AK102/'Income &amp; Cash Flow'!AK$8</f>
        <v>7.616834276536999E-2</v>
      </c>
      <c r="AL110" s="40">
        <f>AL102/'Income &amp; Cash Flow'!AL$8</f>
        <v>7.5865929275361427E-2</v>
      </c>
      <c r="AM110" s="41">
        <f>AM102/'Income &amp; Cash Flow'!AM$8</f>
        <v>7.6016835252921272E-2</v>
      </c>
      <c r="AN110" s="40">
        <f>AN102/'Income &amp; Cash Flow'!AN$8</f>
        <v>7.2811877855787313E-2</v>
      </c>
      <c r="AO110" s="40">
        <f>AO102/'Income &amp; Cash Flow'!AO$8</f>
        <v>7.2717873737794078E-2</v>
      </c>
      <c r="AP110" s="41">
        <f>AP102/'Income &amp; Cash Flow'!AP$8</f>
        <v>7.2764845436077155E-2</v>
      </c>
      <c r="AQ110" s="40">
        <f>AQ102/'Income &amp; Cash Flow'!AQ$8</f>
        <v>6.9971994510766716E-2</v>
      </c>
      <c r="AR110" s="40">
        <f>AR102/'Income &amp; Cash Flow'!AR$8</f>
        <v>7.0043809441070276E-2</v>
      </c>
      <c r="AS110" s="41">
        <f>AS102/'Income &amp; Cash Flow'!AS$8</f>
        <v>7.0007883558768177E-2</v>
      </c>
      <c r="AT110" s="40">
        <f>AT102/'Income &amp; Cash Flow'!AT$8</f>
        <v>6.7551051000303966E-2</v>
      </c>
      <c r="AU110" s="40">
        <f>AU102/'Income &amp; Cash Flow'!AU$8</f>
        <v>6.7757022084946439E-2</v>
      </c>
      <c r="AV110" s="41">
        <f>AV102/'Income &amp; Cash Flow'!AV$8</f>
        <v>6.7653879774123737E-2</v>
      </c>
      <c r="AW110" s="40">
        <f>AW102/'Income &amp; Cash Flow'!AW$8</f>
        <v>6.547491885120163E-2</v>
      </c>
      <c r="AX110" s="40">
        <f>AX102/'Income &amp; Cash Flow'!AX$8</f>
        <v>6.5791074171160938E-2</v>
      </c>
      <c r="AY110" s="41">
        <f>AY102/'Income &amp; Cash Flow'!AY$8</f>
        <v>6.5632615779721293E-2</v>
      </c>
    </row>
    <row r="111" spans="1:51" x14ac:dyDescent="0.2">
      <c r="A111" s="24"/>
      <c r="B111" s="6"/>
      <c r="D111" s="6"/>
      <c r="E111" s="6"/>
      <c r="F111" s="13"/>
      <c r="G111" s="6"/>
      <c r="H111" s="6"/>
      <c r="I111" s="13"/>
      <c r="J111" s="6"/>
      <c r="K111" s="6"/>
      <c r="L111" s="13"/>
      <c r="M111" s="6"/>
      <c r="N111" s="6"/>
      <c r="O111" s="13"/>
      <c r="P111" s="6"/>
      <c r="Q111" s="6"/>
      <c r="R111" s="13"/>
      <c r="S111" s="6"/>
      <c r="T111" s="6"/>
      <c r="U111" s="13"/>
      <c r="V111" s="6"/>
      <c r="W111" s="6"/>
      <c r="X111" s="13"/>
      <c r="Y111" s="6"/>
      <c r="Z111" s="6"/>
      <c r="AA111" s="13"/>
      <c r="AB111" s="6"/>
      <c r="AC111" s="6"/>
      <c r="AD111" s="13"/>
      <c r="AE111" s="6"/>
      <c r="AF111" s="6"/>
      <c r="AG111" s="13"/>
      <c r="AH111" s="6"/>
      <c r="AI111" s="6"/>
      <c r="AJ111" s="13"/>
      <c r="AK111" s="6"/>
      <c r="AL111" s="6"/>
      <c r="AM111" s="13"/>
      <c r="AN111" s="6"/>
      <c r="AO111" s="6"/>
      <c r="AP111" s="13"/>
      <c r="AQ111" s="6"/>
      <c r="AR111" s="6"/>
      <c r="AS111" s="13"/>
      <c r="AT111" s="6"/>
      <c r="AU111" s="6"/>
      <c r="AV111" s="13"/>
      <c r="AW111" s="6"/>
      <c r="AX111" s="6"/>
      <c r="AY111" s="13"/>
    </row>
    <row r="112" spans="1:51" ht="12" customHeight="1" x14ac:dyDescent="0.2">
      <c r="A112" s="14"/>
      <c r="B112" s="12" t="s">
        <v>78</v>
      </c>
      <c r="D112" s="6"/>
      <c r="E112" s="6"/>
      <c r="F112" s="13"/>
      <c r="G112" s="6"/>
      <c r="H112" s="6"/>
      <c r="I112" s="13"/>
      <c r="J112" s="6"/>
      <c r="K112" s="6"/>
      <c r="L112" s="13"/>
      <c r="M112" s="6"/>
      <c r="N112" s="6"/>
      <c r="O112" s="13"/>
      <c r="P112" s="6"/>
      <c r="Q112" s="6"/>
      <c r="R112" s="13"/>
      <c r="S112" s="6"/>
      <c r="T112" s="6"/>
      <c r="U112" s="13"/>
      <c r="V112" s="6"/>
      <c r="W112" s="6"/>
      <c r="X112" s="13"/>
      <c r="Y112" s="6"/>
      <c r="Z112" s="6"/>
      <c r="AA112" s="13"/>
      <c r="AB112" s="6"/>
      <c r="AC112" s="6"/>
      <c r="AD112" s="13"/>
      <c r="AE112" s="6"/>
      <c r="AF112" s="6"/>
      <c r="AG112" s="13"/>
      <c r="AH112" s="6"/>
      <c r="AI112" s="6"/>
      <c r="AJ112" s="13"/>
      <c r="AK112" s="6"/>
      <c r="AL112" s="6"/>
      <c r="AM112" s="13"/>
      <c r="AN112" s="6"/>
      <c r="AO112" s="6"/>
      <c r="AP112" s="13"/>
      <c r="AQ112" s="6"/>
      <c r="AR112" s="6"/>
      <c r="AS112" s="13"/>
      <c r="AT112" s="6"/>
      <c r="AU112" s="6"/>
      <c r="AV112" s="13"/>
      <c r="AW112" s="6"/>
      <c r="AX112" s="6"/>
      <c r="AY112" s="13"/>
    </row>
    <row r="113" spans="1:51" s="24" customFormat="1" ht="12" customHeight="1" x14ac:dyDescent="0.2">
      <c r="B113" s="23" t="s">
        <v>189</v>
      </c>
      <c r="C113" s="23"/>
      <c r="D113" s="26"/>
      <c r="E113" s="26"/>
      <c r="F113" s="27"/>
      <c r="G113" s="26"/>
      <c r="H113" s="26"/>
      <c r="I113" s="27">
        <f>F119</f>
        <v>0</v>
      </c>
      <c r="J113" s="26"/>
      <c r="K113" s="26"/>
      <c r="L113" s="27">
        <f t="shared" ref="L113" si="649">I119</f>
        <v>6.4939999999999998</v>
      </c>
      <c r="M113" s="26"/>
      <c r="N113" s="26"/>
      <c r="O113" s="27">
        <f t="shared" ref="O113" si="650">L119</f>
        <v>15.41</v>
      </c>
      <c r="P113" s="26">
        <f t="shared" ref="P113" si="651">O119</f>
        <v>15.202</v>
      </c>
      <c r="Q113" s="26">
        <f t="shared" ref="Q113" si="652">P119</f>
        <v>11.696999999999999</v>
      </c>
      <c r="R113" s="27">
        <f t="shared" ref="R113" si="653">O119</f>
        <v>15.202</v>
      </c>
      <c r="S113" s="26">
        <f t="shared" ref="S113" si="654">R119</f>
        <v>10.586</v>
      </c>
      <c r="T113" s="26">
        <f t="shared" ref="T113" si="655">S119</f>
        <v>19.152999999999999</v>
      </c>
      <c r="U113" s="27">
        <f t="shared" ref="U113" si="656">R119</f>
        <v>10.586</v>
      </c>
      <c r="V113" s="26">
        <f t="shared" ref="V113" si="657">U119</f>
        <v>18.305</v>
      </c>
      <c r="W113" s="26">
        <f t="shared" ref="W113" si="658">V119</f>
        <v>14.624749999999999</v>
      </c>
      <c r="X113" s="27">
        <f t="shared" ref="X113" si="659">U119</f>
        <v>18.305</v>
      </c>
      <c r="Y113" s="26">
        <f t="shared" ref="Y113" si="660">X119</f>
        <v>11.468449999999999</v>
      </c>
      <c r="Z113" s="26">
        <f t="shared" ref="Z113" si="661">Y119</f>
        <v>7.6041874999999983</v>
      </c>
      <c r="AA113" s="27">
        <f t="shared" ref="AA113" si="662">X119</f>
        <v>11.468449999999999</v>
      </c>
      <c r="AB113" s="26">
        <f t="shared" ref="AB113" si="663">AA119</f>
        <v>4.2900724999999982</v>
      </c>
      <c r="AC113" s="26">
        <f t="shared" ref="AC113" si="664">AB119</f>
        <v>0.23259687499999782</v>
      </c>
      <c r="AD113" s="27">
        <f t="shared" ref="AD113" si="665">AA119</f>
        <v>4.2900724999999982</v>
      </c>
      <c r="AE113" s="26">
        <f t="shared" ref="AE113" si="666">AD119</f>
        <v>-3.2472238750000031</v>
      </c>
      <c r="AF113" s="26">
        <f t="shared" ref="AF113" si="667">AE119</f>
        <v>-7.5075732812500036</v>
      </c>
      <c r="AG113" s="27">
        <f t="shared" ref="AG113" si="668">AD119</f>
        <v>-3.2472238750000031</v>
      </c>
      <c r="AH113" s="26">
        <f t="shared" ref="AH113" si="669">AG119</f>
        <v>-11.161385068750004</v>
      </c>
      <c r="AI113" s="26">
        <f t="shared" ref="AI113" si="670">AH119</f>
        <v>-15.634751945312505</v>
      </c>
      <c r="AJ113" s="27">
        <f t="shared" ref="AJ113" si="671">AG119</f>
        <v>-11.161385068750004</v>
      </c>
      <c r="AK113" s="26">
        <f t="shared" ref="AK113" si="672">AJ119</f>
        <v>-19.471254322187505</v>
      </c>
      <c r="AL113" s="26">
        <f t="shared" ref="AL113" si="673">AK119</f>
        <v>-24.16828954257813</v>
      </c>
      <c r="AM113" s="27">
        <f t="shared" ref="AM113" si="674">AJ119</f>
        <v>-19.471254322187505</v>
      </c>
      <c r="AN113" s="26">
        <f t="shared" ref="AN113" si="675">AM119</f>
        <v>-28.196617038296882</v>
      </c>
      <c r="AO113" s="26">
        <f t="shared" ref="AO113" si="676">AN119</f>
        <v>-33.128504019707037</v>
      </c>
      <c r="AP113" s="27">
        <f t="shared" ref="AP113" si="677">AM119</f>
        <v>-28.196617038296882</v>
      </c>
      <c r="AQ113" s="26">
        <f t="shared" ref="AQ113" si="678">AP119</f>
        <v>-37.358247890211729</v>
      </c>
      <c r="AR113" s="26">
        <f t="shared" ref="AR113" si="679">AQ119</f>
        <v>-42.536729220692393</v>
      </c>
      <c r="AS113" s="27">
        <f t="shared" ref="AS113" si="680">AP119</f>
        <v>-37.358247890211729</v>
      </c>
      <c r="AT113" s="26">
        <f t="shared" ref="AT113" si="681">AS119</f>
        <v>-46.977960284722315</v>
      </c>
      <c r="AU113" s="26">
        <f t="shared" ref="AU113" si="682">AT119</f>
        <v>-52.41536568172701</v>
      </c>
      <c r="AV113" s="27">
        <f t="shared" ref="AV113" si="683">AS119</f>
        <v>-46.977960284722315</v>
      </c>
      <c r="AW113" s="26">
        <f t="shared" ref="AW113" si="684">AV119</f>
        <v>-57.07865829895843</v>
      </c>
      <c r="AX113" s="26">
        <f t="shared" ref="AX113" si="685">AW119</f>
        <v>-62.787933965813366</v>
      </c>
      <c r="AY113" s="27">
        <f t="shared" ref="AY113" si="686">AV119</f>
        <v>-57.07865829895843</v>
      </c>
    </row>
    <row r="114" spans="1:51" s="24" customFormat="1" ht="12" customHeight="1" x14ac:dyDescent="0.2">
      <c r="B114" s="23" t="s">
        <v>181</v>
      </c>
      <c r="C114" s="23"/>
      <c r="D114" s="26"/>
      <c r="E114" s="26"/>
      <c r="F114" s="27"/>
      <c r="G114" s="26"/>
      <c r="H114" s="26"/>
      <c r="I114" s="27">
        <f>-'Income &amp; Cash Flow'!I103</f>
        <v>3.496</v>
      </c>
      <c r="J114" s="26"/>
      <c r="K114" s="26"/>
      <c r="L114" s="27">
        <f>-'Income &amp; Cash Flow'!L103</f>
        <v>7.0110000000000001</v>
      </c>
      <c r="M114" s="26"/>
      <c r="N114" s="26"/>
      <c r="O114" s="27">
        <f>-'Income &amp; Cash Flow'!O103</f>
        <v>2.944</v>
      </c>
      <c r="P114" s="26">
        <f>-'Income &amp; Cash Flow'!P103</f>
        <v>8.9999999999999993E-3</v>
      </c>
      <c r="Q114" s="26">
        <f>-'Income &amp; Cash Flow'!Q103</f>
        <v>5.3999999999999999E-2</v>
      </c>
      <c r="R114" s="27">
        <f>-'Income &amp; Cash Flow'!R103</f>
        <v>6.3E-2</v>
      </c>
      <c r="S114" s="26">
        <f>-'Income &amp; Cash Flow'!S103</f>
        <v>8.0000000000000002E-3</v>
      </c>
      <c r="T114" s="26">
        <f>-'Income &amp; Cash Flow'!T103</f>
        <v>2.8999999999999998E-2</v>
      </c>
      <c r="U114" s="27">
        <f>-'Income &amp; Cash Flow'!U103</f>
        <v>3.6999999999999998E-2</v>
      </c>
      <c r="V114" s="140">
        <v>0</v>
      </c>
      <c r="W114" s="140">
        <v>0</v>
      </c>
      <c r="X114" s="27">
        <f t="shared" ref="X114" si="687">+W114+V114</f>
        <v>0</v>
      </c>
      <c r="Y114" s="140">
        <v>0</v>
      </c>
      <c r="Z114" s="140">
        <v>0</v>
      </c>
      <c r="AA114" s="27">
        <f t="shared" ref="AA114" si="688">+Z114+Y114</f>
        <v>0</v>
      </c>
      <c r="AB114" s="140">
        <v>0</v>
      </c>
      <c r="AC114" s="140">
        <v>0</v>
      </c>
      <c r="AD114" s="27">
        <f t="shared" ref="AD114" si="689">+AC114+AB114</f>
        <v>0</v>
      </c>
      <c r="AE114" s="140">
        <v>0</v>
      </c>
      <c r="AF114" s="140">
        <v>0</v>
      </c>
      <c r="AG114" s="27">
        <f t="shared" ref="AG114" si="690">+AF114+AE114</f>
        <v>0</v>
      </c>
      <c r="AH114" s="140">
        <v>0</v>
      </c>
      <c r="AI114" s="140">
        <v>0</v>
      </c>
      <c r="AJ114" s="27">
        <f t="shared" ref="AJ114" si="691">+AI114+AH114</f>
        <v>0</v>
      </c>
      <c r="AK114" s="140">
        <v>0</v>
      </c>
      <c r="AL114" s="140">
        <v>0</v>
      </c>
      <c r="AM114" s="27">
        <f t="shared" ref="AM114" si="692">+AL114+AK114</f>
        <v>0</v>
      </c>
      <c r="AN114" s="140">
        <v>0</v>
      </c>
      <c r="AO114" s="140">
        <v>0</v>
      </c>
      <c r="AP114" s="27">
        <f t="shared" ref="AP114" si="693">+AO114+AN114</f>
        <v>0</v>
      </c>
      <c r="AQ114" s="140">
        <v>0</v>
      </c>
      <c r="AR114" s="140">
        <v>0</v>
      </c>
      <c r="AS114" s="27">
        <f t="shared" ref="AS114" si="694">+AR114+AQ114</f>
        <v>0</v>
      </c>
      <c r="AT114" s="140">
        <v>0</v>
      </c>
      <c r="AU114" s="140">
        <v>0</v>
      </c>
      <c r="AV114" s="27">
        <f t="shared" ref="AV114" si="695">+AU114+AT114</f>
        <v>0</v>
      </c>
      <c r="AW114" s="140">
        <v>0</v>
      </c>
      <c r="AX114" s="140">
        <v>0</v>
      </c>
      <c r="AY114" s="27">
        <f t="shared" ref="AY114" si="696">+AX114+AW114</f>
        <v>0</v>
      </c>
    </row>
    <row r="115" spans="1:51" s="24" customFormat="1" ht="12" customHeight="1" x14ac:dyDescent="0.2">
      <c r="B115" s="23" t="s">
        <v>182</v>
      </c>
      <c r="C115" s="23"/>
      <c r="D115" s="26"/>
      <c r="E115" s="26"/>
      <c r="F115" s="27"/>
      <c r="G115" s="26"/>
      <c r="H115" s="26"/>
      <c r="I115" s="27">
        <f t="shared" ref="I115:I116" si="697">+H115+G115</f>
        <v>0</v>
      </c>
      <c r="J115" s="26"/>
      <c r="K115" s="26"/>
      <c r="L115" s="27">
        <f t="shared" ref="L115:L116" si="698">+K115+J115</f>
        <v>0</v>
      </c>
      <c r="M115" s="26"/>
      <c r="N115" s="26"/>
      <c r="O115" s="27">
        <f>+N115+M115</f>
        <v>0</v>
      </c>
      <c r="P115" s="26">
        <v>0</v>
      </c>
      <c r="Q115" s="26">
        <v>0</v>
      </c>
      <c r="R115" s="27">
        <f>+Q115+P115</f>
        <v>0</v>
      </c>
      <c r="S115" s="26">
        <v>0</v>
      </c>
      <c r="T115" s="26">
        <v>0</v>
      </c>
      <c r="U115" s="27">
        <f>+T115+S115</f>
        <v>0</v>
      </c>
      <c r="V115" s="140">
        <v>0</v>
      </c>
      <c r="W115" s="140">
        <v>0</v>
      </c>
      <c r="X115" s="27">
        <f t="shared" ref="X115:X118" si="699">+W115+V115</f>
        <v>0</v>
      </c>
      <c r="Y115" s="140">
        <v>0</v>
      </c>
      <c r="Z115" s="140">
        <v>0</v>
      </c>
      <c r="AA115" s="27">
        <f t="shared" ref="AA115:AA118" si="700">+Z115+Y115</f>
        <v>0</v>
      </c>
      <c r="AB115" s="140">
        <v>0</v>
      </c>
      <c r="AC115" s="140">
        <v>0</v>
      </c>
      <c r="AD115" s="27">
        <f t="shared" ref="AD115:AD118" si="701">+AC115+AB115</f>
        <v>0</v>
      </c>
      <c r="AE115" s="140">
        <v>0</v>
      </c>
      <c r="AF115" s="140">
        <v>0</v>
      </c>
      <c r="AG115" s="27">
        <f t="shared" ref="AG115:AG118" si="702">+AF115+AE115</f>
        <v>0</v>
      </c>
      <c r="AH115" s="140">
        <v>0</v>
      </c>
      <c r="AI115" s="140">
        <v>0</v>
      </c>
      <c r="AJ115" s="27">
        <f t="shared" ref="AJ115:AJ118" si="703">+AI115+AH115</f>
        <v>0</v>
      </c>
      <c r="AK115" s="140">
        <v>0</v>
      </c>
      <c r="AL115" s="140">
        <v>0</v>
      </c>
      <c r="AM115" s="27">
        <f t="shared" ref="AM115:AM118" si="704">+AL115+AK115</f>
        <v>0</v>
      </c>
      <c r="AN115" s="140">
        <v>0</v>
      </c>
      <c r="AO115" s="140">
        <v>0</v>
      </c>
      <c r="AP115" s="27">
        <f t="shared" ref="AP115:AP118" si="705">+AO115+AN115</f>
        <v>0</v>
      </c>
      <c r="AQ115" s="140">
        <v>0</v>
      </c>
      <c r="AR115" s="140">
        <v>0</v>
      </c>
      <c r="AS115" s="27">
        <f t="shared" ref="AS115:AS118" si="706">+AR115+AQ115</f>
        <v>0</v>
      </c>
      <c r="AT115" s="140">
        <v>0</v>
      </c>
      <c r="AU115" s="140">
        <v>0</v>
      </c>
      <c r="AV115" s="27">
        <f t="shared" ref="AV115:AV118" si="707">+AU115+AT115</f>
        <v>0</v>
      </c>
      <c r="AW115" s="140">
        <v>0</v>
      </c>
      <c r="AX115" s="140">
        <v>0</v>
      </c>
      <c r="AY115" s="27">
        <f t="shared" ref="AY115:AY118" si="708">+AX115+AW115</f>
        <v>0</v>
      </c>
    </row>
    <row r="116" spans="1:51" s="24" customFormat="1" ht="12" customHeight="1" x14ac:dyDescent="0.2">
      <c r="B116" s="23" t="s">
        <v>183</v>
      </c>
      <c r="C116" s="23"/>
      <c r="D116" s="26"/>
      <c r="E116" s="26"/>
      <c r="F116" s="27"/>
      <c r="G116" s="26"/>
      <c r="H116" s="26"/>
      <c r="I116" s="27">
        <f t="shared" si="697"/>
        <v>0</v>
      </c>
      <c r="J116" s="26"/>
      <c r="K116" s="26"/>
      <c r="L116" s="27">
        <f t="shared" si="698"/>
        <v>0</v>
      </c>
      <c r="M116" s="26"/>
      <c r="N116" s="26"/>
      <c r="O116" s="27">
        <f>+N116+M116</f>
        <v>0</v>
      </c>
      <c r="P116" s="26">
        <v>0</v>
      </c>
      <c r="Q116" s="26">
        <v>0</v>
      </c>
      <c r="R116" s="27">
        <f>+Q116+P116</f>
        <v>0</v>
      </c>
      <c r="S116" s="26">
        <v>0</v>
      </c>
      <c r="T116" s="26">
        <v>0</v>
      </c>
      <c r="U116" s="27">
        <f>+T116+S116</f>
        <v>0</v>
      </c>
      <c r="V116" s="140">
        <v>0</v>
      </c>
      <c r="W116" s="140">
        <v>0</v>
      </c>
      <c r="X116" s="27">
        <f t="shared" si="699"/>
        <v>0</v>
      </c>
      <c r="Y116" s="140">
        <v>0</v>
      </c>
      <c r="Z116" s="140">
        <v>0</v>
      </c>
      <c r="AA116" s="27">
        <f t="shared" si="700"/>
        <v>0</v>
      </c>
      <c r="AB116" s="140">
        <v>0</v>
      </c>
      <c r="AC116" s="140">
        <v>0</v>
      </c>
      <c r="AD116" s="27">
        <f t="shared" si="701"/>
        <v>0</v>
      </c>
      <c r="AE116" s="140">
        <v>0</v>
      </c>
      <c r="AF116" s="140">
        <v>0</v>
      </c>
      <c r="AG116" s="27">
        <f t="shared" si="702"/>
        <v>0</v>
      </c>
      <c r="AH116" s="140">
        <v>0</v>
      </c>
      <c r="AI116" s="140">
        <v>0</v>
      </c>
      <c r="AJ116" s="27">
        <f t="shared" si="703"/>
        <v>0</v>
      </c>
      <c r="AK116" s="140">
        <v>0</v>
      </c>
      <c r="AL116" s="140">
        <v>0</v>
      </c>
      <c r="AM116" s="27">
        <f t="shared" si="704"/>
        <v>0</v>
      </c>
      <c r="AN116" s="140">
        <v>0</v>
      </c>
      <c r="AO116" s="140">
        <v>0</v>
      </c>
      <c r="AP116" s="27">
        <f t="shared" si="705"/>
        <v>0</v>
      </c>
      <c r="AQ116" s="140">
        <v>0</v>
      </c>
      <c r="AR116" s="140">
        <v>0</v>
      </c>
      <c r="AS116" s="27">
        <f t="shared" si="706"/>
        <v>0</v>
      </c>
      <c r="AT116" s="140">
        <v>0</v>
      </c>
      <c r="AU116" s="140">
        <v>0</v>
      </c>
      <c r="AV116" s="27">
        <f t="shared" si="707"/>
        <v>0</v>
      </c>
      <c r="AW116" s="140">
        <v>0</v>
      </c>
      <c r="AX116" s="140">
        <v>0</v>
      </c>
      <c r="AY116" s="27">
        <f t="shared" si="708"/>
        <v>0</v>
      </c>
    </row>
    <row r="117" spans="1:51" s="24" customFormat="1" ht="12" customHeight="1" x14ac:dyDescent="0.2">
      <c r="B117" s="23" t="s">
        <v>190</v>
      </c>
      <c r="C117" s="23"/>
      <c r="D117" s="26"/>
      <c r="E117" s="26"/>
      <c r="F117" s="27"/>
      <c r="G117" s="26"/>
      <c r="H117" s="26"/>
      <c r="I117" s="27"/>
      <c r="J117" s="26"/>
      <c r="K117" s="26"/>
      <c r="L117" s="27">
        <f>+'Income &amp; Cash Flow'!L24</f>
        <v>-2.4630000000000001</v>
      </c>
      <c r="M117" s="26">
        <f>+'Income &amp; Cash Flow'!M24</f>
        <v>-3.37</v>
      </c>
      <c r="N117" s="26">
        <f>+'Income &amp; Cash Flow'!N24</f>
        <v>-3.4630000000000001</v>
      </c>
      <c r="O117" s="27">
        <f>+'Income &amp; Cash Flow'!O24</f>
        <v>-6.8330000000000002</v>
      </c>
      <c r="P117" s="26">
        <f>+'Income &amp; Cash Flow'!P24</f>
        <v>-3.5139999999999998</v>
      </c>
      <c r="Q117" s="26">
        <f>+'Income &amp; Cash Flow'!Q24</f>
        <v>-3.4020000000000006</v>
      </c>
      <c r="R117" s="27">
        <f>+'Income &amp; Cash Flow'!R24</f>
        <v>-6.9160000000000004</v>
      </c>
      <c r="S117" s="26">
        <f>+'Income &amp; Cash Flow'!S24</f>
        <v>-3.5049999999999999</v>
      </c>
      <c r="T117" s="26">
        <f>+'Income &amp; Cash Flow'!T24</f>
        <v>-3.0060000000000002</v>
      </c>
      <c r="U117" s="27">
        <f>+'Income &amp; Cash Flow'!U24</f>
        <v>-6.5110000000000001</v>
      </c>
      <c r="V117" s="140">
        <f t="shared" ref="V117:W117" si="709">+S117*1.05</f>
        <v>-3.68025</v>
      </c>
      <c r="W117" s="140">
        <f t="shared" si="709"/>
        <v>-3.1563000000000003</v>
      </c>
      <c r="X117" s="27">
        <f t="shared" si="699"/>
        <v>-6.8365500000000008</v>
      </c>
      <c r="Y117" s="140">
        <f t="shared" ref="Y117:Z117" si="710">+V117*1.05</f>
        <v>-3.8642625000000002</v>
      </c>
      <c r="Z117" s="140">
        <f t="shared" si="710"/>
        <v>-3.3141150000000006</v>
      </c>
      <c r="AA117" s="27">
        <f t="shared" si="700"/>
        <v>-7.1783775000000007</v>
      </c>
      <c r="AB117" s="140">
        <f t="shared" ref="AB117:AC117" si="711">+Y117*1.05</f>
        <v>-4.0574756250000004</v>
      </c>
      <c r="AC117" s="140">
        <f t="shared" si="711"/>
        <v>-3.4798207500000009</v>
      </c>
      <c r="AD117" s="27">
        <f t="shared" si="701"/>
        <v>-7.5372963750000013</v>
      </c>
      <c r="AE117" s="140">
        <f t="shared" ref="AE117:AF117" si="712">+AB117*1.05</f>
        <v>-4.2603494062500005</v>
      </c>
      <c r="AF117" s="140">
        <f t="shared" si="712"/>
        <v>-3.6538117875000009</v>
      </c>
      <c r="AG117" s="27">
        <f t="shared" si="702"/>
        <v>-7.9141611937500009</v>
      </c>
      <c r="AH117" s="140">
        <f t="shared" ref="AH117:AI117" si="713">+AE117*1.05</f>
        <v>-4.4733668765625003</v>
      </c>
      <c r="AI117" s="140">
        <f t="shared" si="713"/>
        <v>-3.8365023768750013</v>
      </c>
      <c r="AJ117" s="27">
        <f t="shared" si="703"/>
        <v>-8.3098692534375012</v>
      </c>
      <c r="AK117" s="140">
        <f t="shared" ref="AK117:AL117" si="714">+AH117*1.05</f>
        <v>-4.6970352203906254</v>
      </c>
      <c r="AL117" s="140">
        <f t="shared" si="714"/>
        <v>-4.0283274957187514</v>
      </c>
      <c r="AM117" s="27">
        <f t="shared" si="704"/>
        <v>-8.7253627161093767</v>
      </c>
      <c r="AN117" s="140">
        <f t="shared" ref="AN117:AO117" si="715">+AK117*1.05</f>
        <v>-4.9318869814101571</v>
      </c>
      <c r="AO117" s="140">
        <f t="shared" si="715"/>
        <v>-4.2297438705046888</v>
      </c>
      <c r="AP117" s="27">
        <f t="shared" si="705"/>
        <v>-9.1616308519148468</v>
      </c>
      <c r="AQ117" s="140">
        <f t="shared" ref="AQ117:AR117" si="716">+AN117*1.05</f>
        <v>-5.1784813304806656</v>
      </c>
      <c r="AR117" s="140">
        <f t="shared" si="716"/>
        <v>-4.4412310640299237</v>
      </c>
      <c r="AS117" s="27">
        <f t="shared" si="706"/>
        <v>-9.6197123945105893</v>
      </c>
      <c r="AT117" s="140">
        <f t="shared" ref="AT117:AU117" si="717">+AQ117*1.05</f>
        <v>-5.4374053970046994</v>
      </c>
      <c r="AU117" s="140">
        <f t="shared" si="717"/>
        <v>-4.66329261723142</v>
      </c>
      <c r="AV117" s="27">
        <f t="shared" si="707"/>
        <v>-10.100698014236119</v>
      </c>
      <c r="AW117" s="140">
        <f t="shared" ref="AW117:AX117" si="718">+AT117*1.05</f>
        <v>-5.7092756668549347</v>
      </c>
      <c r="AX117" s="140">
        <f t="shared" si="718"/>
        <v>-4.8964572480929913</v>
      </c>
      <c r="AY117" s="27">
        <f t="shared" si="708"/>
        <v>-10.605732914947925</v>
      </c>
    </row>
    <row r="118" spans="1:51" s="24" customFormat="1" ht="12" customHeight="1" x14ac:dyDescent="0.2">
      <c r="B118" s="23" t="s">
        <v>185</v>
      </c>
      <c r="C118" s="23"/>
      <c r="D118" s="26"/>
      <c r="E118" s="26"/>
      <c r="F118" s="27"/>
      <c r="G118" s="26"/>
      <c r="H118" s="26"/>
      <c r="I118" s="27">
        <f t="shared" ref="I118" si="719">+H118+G118</f>
        <v>0</v>
      </c>
      <c r="J118" s="26"/>
      <c r="K118" s="26"/>
      <c r="L118" s="27">
        <f t="shared" ref="L118" si="720">+K118+J118</f>
        <v>0</v>
      </c>
      <c r="M118" s="26"/>
      <c r="N118" s="26"/>
      <c r="O118" s="27">
        <f>+N118+M118</f>
        <v>0</v>
      </c>
      <c r="P118" s="26">
        <f>P119-SUM(P113:P117)</f>
        <v>0</v>
      </c>
      <c r="Q118" s="26">
        <f>Q119-SUM(Q113:Q117)</f>
        <v>2.2370000000000019</v>
      </c>
      <c r="R118" s="27">
        <f>+Q118+P118</f>
        <v>2.2370000000000019</v>
      </c>
      <c r="S118" s="26">
        <f>S119-SUM(S113:S117)</f>
        <v>12.064</v>
      </c>
      <c r="T118" s="26">
        <f>T119-SUM(T113:T117)</f>
        <v>2.1290000000000013</v>
      </c>
      <c r="U118" s="27">
        <f>+T118+S118</f>
        <v>14.193000000000001</v>
      </c>
      <c r="V118" s="140">
        <v>0</v>
      </c>
      <c r="W118" s="140">
        <v>0</v>
      </c>
      <c r="X118" s="27">
        <f t="shared" si="699"/>
        <v>0</v>
      </c>
      <c r="Y118" s="140">
        <v>0</v>
      </c>
      <c r="Z118" s="140">
        <v>0</v>
      </c>
      <c r="AA118" s="27">
        <f t="shared" si="700"/>
        <v>0</v>
      </c>
      <c r="AB118" s="140">
        <v>0</v>
      </c>
      <c r="AC118" s="140">
        <v>0</v>
      </c>
      <c r="AD118" s="27">
        <f t="shared" si="701"/>
        <v>0</v>
      </c>
      <c r="AE118" s="140">
        <v>0</v>
      </c>
      <c r="AF118" s="140">
        <v>0</v>
      </c>
      <c r="AG118" s="27">
        <f t="shared" si="702"/>
        <v>0</v>
      </c>
      <c r="AH118" s="140">
        <v>0</v>
      </c>
      <c r="AI118" s="140">
        <v>0</v>
      </c>
      <c r="AJ118" s="27">
        <f t="shared" si="703"/>
        <v>0</v>
      </c>
      <c r="AK118" s="140">
        <v>0</v>
      </c>
      <c r="AL118" s="140">
        <v>0</v>
      </c>
      <c r="AM118" s="27">
        <f t="shared" si="704"/>
        <v>0</v>
      </c>
      <c r="AN118" s="140">
        <v>0</v>
      </c>
      <c r="AO118" s="140">
        <v>0</v>
      </c>
      <c r="AP118" s="27">
        <f t="shared" si="705"/>
        <v>0</v>
      </c>
      <c r="AQ118" s="140">
        <v>0</v>
      </c>
      <c r="AR118" s="140">
        <v>0</v>
      </c>
      <c r="AS118" s="27">
        <f t="shared" si="706"/>
        <v>0</v>
      </c>
      <c r="AT118" s="140">
        <v>0</v>
      </c>
      <c r="AU118" s="140">
        <v>0</v>
      </c>
      <c r="AV118" s="27">
        <f t="shared" si="707"/>
        <v>0</v>
      </c>
      <c r="AW118" s="140">
        <v>0</v>
      </c>
      <c r="AX118" s="140">
        <v>0</v>
      </c>
      <c r="AY118" s="27">
        <f t="shared" si="708"/>
        <v>0</v>
      </c>
    </row>
    <row r="119" spans="1:51" s="24" customFormat="1" ht="12" customHeight="1" x14ac:dyDescent="0.2">
      <c r="B119" s="28" t="s">
        <v>191</v>
      </c>
      <c r="C119" s="29"/>
      <c r="D119" s="31"/>
      <c r="E119" s="31"/>
      <c r="F119" s="30"/>
      <c r="G119" s="31"/>
      <c r="H119" s="31"/>
      <c r="I119" s="30">
        <f>I17</f>
        <v>6.4939999999999998</v>
      </c>
      <c r="J119" s="31"/>
      <c r="K119" s="31"/>
      <c r="L119" s="30">
        <f>L17</f>
        <v>15.41</v>
      </c>
      <c r="M119" s="31"/>
      <c r="N119" s="31"/>
      <c r="O119" s="30">
        <f t="shared" ref="O119:Q119" si="721">O17</f>
        <v>15.202</v>
      </c>
      <c r="P119" s="31">
        <f t="shared" si="721"/>
        <v>11.696999999999999</v>
      </c>
      <c r="Q119" s="31">
        <f t="shared" si="721"/>
        <v>10.586</v>
      </c>
      <c r="R119" s="30">
        <f>R17</f>
        <v>10.586</v>
      </c>
      <c r="S119" s="31">
        <f t="shared" ref="S119:T119" si="722">S17</f>
        <v>19.152999999999999</v>
      </c>
      <c r="T119" s="31">
        <f t="shared" si="722"/>
        <v>18.305</v>
      </c>
      <c r="U119" s="30">
        <f>U17</f>
        <v>18.305</v>
      </c>
      <c r="V119" s="31">
        <f t="shared" ref="V119:AJ119" si="723">SUM(V113:V118)</f>
        <v>14.624749999999999</v>
      </c>
      <c r="W119" s="31">
        <f t="shared" si="723"/>
        <v>11.468449999999999</v>
      </c>
      <c r="X119" s="30">
        <f t="shared" si="723"/>
        <v>11.468449999999999</v>
      </c>
      <c r="Y119" s="31">
        <f t="shared" si="723"/>
        <v>7.6041874999999983</v>
      </c>
      <c r="Z119" s="31">
        <f t="shared" si="723"/>
        <v>4.2900724999999973</v>
      </c>
      <c r="AA119" s="30">
        <f t="shared" si="723"/>
        <v>4.2900724999999982</v>
      </c>
      <c r="AB119" s="31">
        <f t="shared" si="723"/>
        <v>0.23259687499999782</v>
      </c>
      <c r="AC119" s="31">
        <f t="shared" si="723"/>
        <v>-3.2472238750000031</v>
      </c>
      <c r="AD119" s="30">
        <f t="shared" si="723"/>
        <v>-3.2472238750000031</v>
      </c>
      <c r="AE119" s="31">
        <f t="shared" si="723"/>
        <v>-7.5075732812500036</v>
      </c>
      <c r="AF119" s="31">
        <f t="shared" si="723"/>
        <v>-11.161385068750004</v>
      </c>
      <c r="AG119" s="30">
        <f t="shared" si="723"/>
        <v>-11.161385068750004</v>
      </c>
      <c r="AH119" s="31">
        <f t="shared" si="723"/>
        <v>-15.634751945312505</v>
      </c>
      <c r="AI119" s="31">
        <f t="shared" si="723"/>
        <v>-19.471254322187505</v>
      </c>
      <c r="AJ119" s="30">
        <f t="shared" si="723"/>
        <v>-19.471254322187505</v>
      </c>
      <c r="AK119" s="31">
        <f t="shared" ref="AK119:AM119" si="724">SUM(AK113:AK118)</f>
        <v>-24.16828954257813</v>
      </c>
      <c r="AL119" s="31">
        <f t="shared" si="724"/>
        <v>-28.196617038296882</v>
      </c>
      <c r="AM119" s="30">
        <f t="shared" si="724"/>
        <v>-28.196617038296882</v>
      </c>
      <c r="AN119" s="31">
        <f t="shared" ref="AN119:AP119" si="725">SUM(AN113:AN118)</f>
        <v>-33.128504019707037</v>
      </c>
      <c r="AO119" s="31">
        <f t="shared" si="725"/>
        <v>-37.358247890211729</v>
      </c>
      <c r="AP119" s="30">
        <f t="shared" si="725"/>
        <v>-37.358247890211729</v>
      </c>
      <c r="AQ119" s="31">
        <f t="shared" ref="AQ119:AS119" si="726">SUM(AQ113:AQ118)</f>
        <v>-42.536729220692393</v>
      </c>
      <c r="AR119" s="31">
        <f t="shared" si="726"/>
        <v>-46.977960284722315</v>
      </c>
      <c r="AS119" s="30">
        <f t="shared" si="726"/>
        <v>-46.977960284722315</v>
      </c>
      <c r="AT119" s="31">
        <f t="shared" ref="AT119:AV119" si="727">SUM(AT113:AT118)</f>
        <v>-52.41536568172701</v>
      </c>
      <c r="AU119" s="31">
        <f t="shared" si="727"/>
        <v>-57.07865829895843</v>
      </c>
      <c r="AV119" s="30">
        <f t="shared" si="727"/>
        <v>-57.07865829895843</v>
      </c>
      <c r="AW119" s="31">
        <f t="shared" ref="AW119:AY119" si="728">SUM(AW113:AW118)</f>
        <v>-62.787933965813366</v>
      </c>
      <c r="AX119" s="31">
        <f t="shared" si="728"/>
        <v>-67.684391213906352</v>
      </c>
      <c r="AY119" s="30">
        <f t="shared" si="728"/>
        <v>-67.684391213906352</v>
      </c>
    </row>
    <row r="120" spans="1:51" x14ac:dyDescent="0.2">
      <c r="A120" s="24"/>
      <c r="B120" s="6"/>
      <c r="D120" s="6"/>
      <c r="E120" s="6"/>
      <c r="F120" s="13"/>
      <c r="G120" s="6"/>
      <c r="H120" s="6"/>
      <c r="I120" s="13"/>
      <c r="J120" s="6"/>
      <c r="K120" s="6"/>
      <c r="L120" s="13"/>
      <c r="M120" s="6"/>
      <c r="N120" s="6"/>
      <c r="O120" s="13"/>
      <c r="P120" s="6"/>
      <c r="Q120" s="6"/>
      <c r="R120" s="13"/>
      <c r="S120" s="6"/>
      <c r="T120" s="6"/>
      <c r="U120" s="13"/>
      <c r="V120" s="6"/>
      <c r="W120" s="6"/>
      <c r="X120" s="13"/>
      <c r="Y120" s="6"/>
      <c r="Z120" s="6"/>
      <c r="AA120" s="13"/>
      <c r="AB120" s="6"/>
      <c r="AC120" s="6"/>
      <c r="AD120" s="13"/>
      <c r="AE120" s="6"/>
      <c r="AF120" s="6"/>
      <c r="AG120" s="13"/>
      <c r="AH120" s="6"/>
      <c r="AI120" s="6"/>
      <c r="AJ120" s="13"/>
      <c r="AK120" s="6"/>
      <c r="AL120" s="6"/>
      <c r="AM120" s="13"/>
      <c r="AN120" s="6"/>
      <c r="AO120" s="6"/>
      <c r="AP120" s="13"/>
      <c r="AQ120" s="6"/>
      <c r="AR120" s="6"/>
      <c r="AS120" s="13"/>
      <c r="AT120" s="6"/>
      <c r="AU120" s="6"/>
      <c r="AV120" s="13"/>
      <c r="AW120" s="6"/>
      <c r="AX120" s="6"/>
      <c r="AY120" s="13"/>
    </row>
    <row r="121" spans="1:51" ht="12" customHeight="1" x14ac:dyDescent="0.2">
      <c r="A121" s="24"/>
      <c r="B121" s="8" t="s">
        <v>192</v>
      </c>
      <c r="C121" s="6"/>
      <c r="D121" s="40"/>
      <c r="E121" s="40"/>
      <c r="F121" s="41"/>
      <c r="G121" s="40"/>
      <c r="H121" s="40"/>
      <c r="I121" s="41">
        <f>I117/AVERAGE(I119,F119)</f>
        <v>0</v>
      </c>
      <c r="J121" s="40"/>
      <c r="K121" s="40"/>
      <c r="L121" s="41">
        <f t="shared" ref="L121" si="729">L117/AVERAGE(L119,I119)</f>
        <v>-0.22489043097151207</v>
      </c>
      <c r="M121" s="40"/>
      <c r="N121" s="40"/>
      <c r="O121" s="41">
        <f>O117/AVERAGE(O119,L119)</f>
        <v>-0.44642623807657128</v>
      </c>
      <c r="P121" s="40">
        <f>P117/AVERAGE(P119,O119)</f>
        <v>-0.26127365329566155</v>
      </c>
      <c r="Q121" s="40">
        <f>Q117/AVERAGE(Q119,P119)</f>
        <v>-0.30534488174841812</v>
      </c>
      <c r="R121" s="41">
        <f>R117/AVERAGE(R119,O119)</f>
        <v>-0.53637350705754616</v>
      </c>
      <c r="S121" s="40">
        <f>S117/AVERAGE(S119,R119)</f>
        <v>-0.23571740811728709</v>
      </c>
      <c r="T121" s="40">
        <f>T117/AVERAGE(T119,S119)</f>
        <v>-0.16049975973089864</v>
      </c>
      <c r="U121" s="41">
        <f>U117/AVERAGE(U119,R119)</f>
        <v>-0.45072860060226372</v>
      </c>
      <c r="V121" s="42">
        <f t="shared" ref="V121:V122" si="730">+T121</f>
        <v>-0.16049975973089864</v>
      </c>
      <c r="W121" s="42">
        <f t="shared" ref="W121:W122" si="731">+V121</f>
        <v>-0.16049975973089864</v>
      </c>
      <c r="X121" s="41">
        <f t="shared" ref="X121" si="732">X117/AVERAGE(X119,U119)</f>
        <v>-0.45923801239023371</v>
      </c>
      <c r="Y121" s="42">
        <f t="shared" ref="Y121:Y122" si="733">+W121</f>
        <v>-0.16049975973089864</v>
      </c>
      <c r="Z121" s="42">
        <f t="shared" ref="Z121:Z122" si="734">+Y121</f>
        <v>-0.16049975973089864</v>
      </c>
      <c r="AA121" s="41">
        <f t="shared" ref="AA121" si="735">AA117/AVERAGE(AA119,X119)</f>
        <v>-0.9110470223334709</v>
      </c>
      <c r="AB121" s="42">
        <f t="shared" ref="AB121:AB122" si="736">+Z121</f>
        <v>-0.16049975973089864</v>
      </c>
      <c r="AC121" s="42">
        <f t="shared" ref="AC121:AC122" si="737">+AB121</f>
        <v>-0.16049975973089864</v>
      </c>
      <c r="AD121" s="41">
        <f t="shared" ref="AD121" si="738">AD117/AVERAGE(AD119,AA119)</f>
        <v>-14.455207005714826</v>
      </c>
      <c r="AE121" s="42">
        <f t="shared" ref="AE121:AE122" si="739">+AC121</f>
        <v>-0.16049975973089864</v>
      </c>
      <c r="AF121" s="42">
        <f t="shared" ref="AF121:AF122" si="740">+AE121</f>
        <v>-0.16049975973089864</v>
      </c>
      <c r="AG121" s="41">
        <f t="shared" ref="AG121" si="741">AG117/AVERAGE(AG119,AD119)</f>
        <v>1.0985323044918796</v>
      </c>
      <c r="AH121" s="42">
        <f t="shared" ref="AH121:AH122" si="742">+AF121</f>
        <v>-0.16049975973089864</v>
      </c>
      <c r="AI121" s="42">
        <f t="shared" ref="AI121:AI122" si="743">+AH121</f>
        <v>-0.16049975973089864</v>
      </c>
      <c r="AJ121" s="41">
        <f t="shared" ref="AJ121" si="744">AJ117/AVERAGE(AJ119,AG119)</f>
        <v>0.54255000017373156</v>
      </c>
      <c r="AK121" s="42">
        <f t="shared" ref="AK121:AK122" si="745">+AI121</f>
        <v>-0.16049975973089864</v>
      </c>
      <c r="AL121" s="42">
        <f t="shared" ref="AL121:AL122" si="746">+AK121</f>
        <v>-0.16049975973089864</v>
      </c>
      <c r="AM121" s="41">
        <f t="shared" ref="AM121" si="747">AM117/AVERAGE(AM119,AJ119)</f>
        <v>0.36608988264336512</v>
      </c>
      <c r="AN121" s="42">
        <f t="shared" ref="AN121:AN122" si="748">+AL121</f>
        <v>-0.16049975973089864</v>
      </c>
      <c r="AO121" s="42">
        <f t="shared" ref="AO121:AO122" si="749">+AN121</f>
        <v>-0.16049975973089864</v>
      </c>
      <c r="AP121" s="41">
        <f t="shared" ref="AP121" si="750">AP117/AVERAGE(AP119,AM119)</f>
        <v>0.27951032656100011</v>
      </c>
      <c r="AQ121" s="42">
        <f t="shared" ref="AQ121:AQ122" si="751">+AO121</f>
        <v>-0.16049975973089864</v>
      </c>
      <c r="AR121" s="42">
        <f t="shared" ref="AR121:AR122" si="752">+AQ121</f>
        <v>-0.16049975973089864</v>
      </c>
      <c r="AS121" s="41">
        <f t="shared" ref="AS121" si="753">AS117/AVERAGE(AS119,AP119)</f>
        <v>0.22812769515454001</v>
      </c>
      <c r="AT121" s="42">
        <f t="shared" ref="AT121:AT122" si="754">+AR121</f>
        <v>-0.16049975973089864</v>
      </c>
      <c r="AU121" s="42">
        <f t="shared" ref="AU121:AU122" si="755">+AT121</f>
        <v>-0.16049975973089864</v>
      </c>
      <c r="AV121" s="41">
        <f t="shared" ref="AV121" si="756">AV117/AVERAGE(AV119,AS119)</f>
        <v>0.194138501744861</v>
      </c>
      <c r="AW121" s="42">
        <f t="shared" ref="AW121:AW122" si="757">+AU121</f>
        <v>-0.16049975973089864</v>
      </c>
      <c r="AX121" s="42">
        <f t="shared" ref="AX121:AX122" si="758">+AW121</f>
        <v>-0.16049975973089864</v>
      </c>
      <c r="AY121" s="41">
        <f t="shared" ref="AY121" si="759">AY117/AVERAGE(AY119,AV119)</f>
        <v>0.17001400585121684</v>
      </c>
    </row>
    <row r="122" spans="1:51" ht="12" customHeight="1" x14ac:dyDescent="0.2">
      <c r="A122" s="24"/>
      <c r="B122" s="8" t="s">
        <v>193</v>
      </c>
      <c r="C122" s="6"/>
      <c r="D122" s="40"/>
      <c r="E122" s="40"/>
      <c r="F122" s="41"/>
      <c r="G122" s="40"/>
      <c r="H122" s="40"/>
      <c r="I122" s="41">
        <f>I114/'Income &amp; Cash Flow'!I$8</f>
        <v>2.9247642870887047E-2</v>
      </c>
      <c r="J122" s="40"/>
      <c r="K122" s="40"/>
      <c r="L122" s="41">
        <f>L114/'Income &amp; Cash Flow'!L$8</f>
        <v>4.0810980720871755E-2</v>
      </c>
      <c r="M122" s="40"/>
      <c r="N122" s="40"/>
      <c r="O122" s="41">
        <f>O114/'Income &amp; Cash Flow'!O$8</f>
        <v>1.1364864656197403E-2</v>
      </c>
      <c r="P122" s="40">
        <f>P114/'Income &amp; Cash Flow'!P$8</f>
        <v>5.3725890506635145E-5</v>
      </c>
      <c r="Q122" s="40">
        <f>Q114/'Income &amp; Cash Flow'!Q$8</f>
        <v>3.0910662461290119E-4</v>
      </c>
      <c r="R122" s="41">
        <f>R114/'Income &amp; Cash Flow'!R$8</f>
        <v>1.8409533216057788E-4</v>
      </c>
      <c r="S122" s="40">
        <f>S114/'Income &amp; Cash Flow'!S$8</f>
        <v>3.76614144685739E-5</v>
      </c>
      <c r="T122" s="40">
        <f>T114/'Income &amp; Cash Flow'!T$8</f>
        <v>1.2971735036656332E-4</v>
      </c>
      <c r="U122" s="41">
        <f>U114/'Income &amp; Cash Flow'!U$8</f>
        <v>8.4865888958718467E-5</v>
      </c>
      <c r="V122" s="42">
        <f t="shared" si="730"/>
        <v>1.2971735036656332E-4</v>
      </c>
      <c r="W122" s="42">
        <f t="shared" si="731"/>
        <v>1.2971735036656332E-4</v>
      </c>
      <c r="X122" s="41">
        <f>X114/'Income &amp; Cash Flow'!X$8</f>
        <v>0</v>
      </c>
      <c r="Y122" s="42">
        <f t="shared" si="733"/>
        <v>1.2971735036656332E-4</v>
      </c>
      <c r="Z122" s="42">
        <f t="shared" si="734"/>
        <v>1.2971735036656332E-4</v>
      </c>
      <c r="AA122" s="41">
        <f>AA114/'Income &amp; Cash Flow'!AA$8</f>
        <v>0</v>
      </c>
      <c r="AB122" s="42">
        <f t="shared" si="736"/>
        <v>1.2971735036656332E-4</v>
      </c>
      <c r="AC122" s="42">
        <f t="shared" si="737"/>
        <v>1.2971735036656332E-4</v>
      </c>
      <c r="AD122" s="41">
        <f>AD114/'Income &amp; Cash Flow'!AD$8</f>
        <v>0</v>
      </c>
      <c r="AE122" s="42">
        <f t="shared" si="739"/>
        <v>1.2971735036656332E-4</v>
      </c>
      <c r="AF122" s="42">
        <f t="shared" si="740"/>
        <v>1.2971735036656332E-4</v>
      </c>
      <c r="AG122" s="41">
        <f>AG114/'Income &amp; Cash Flow'!AG$8</f>
        <v>0</v>
      </c>
      <c r="AH122" s="42">
        <f t="shared" si="742"/>
        <v>1.2971735036656332E-4</v>
      </c>
      <c r="AI122" s="42">
        <f t="shared" si="743"/>
        <v>1.2971735036656332E-4</v>
      </c>
      <c r="AJ122" s="41">
        <f>AJ114/'Income &amp; Cash Flow'!AJ$8</f>
        <v>0</v>
      </c>
      <c r="AK122" s="42">
        <f t="shared" si="745"/>
        <v>1.2971735036656332E-4</v>
      </c>
      <c r="AL122" s="42">
        <f t="shared" si="746"/>
        <v>1.2971735036656332E-4</v>
      </c>
      <c r="AM122" s="41">
        <f>AM114/'Income &amp; Cash Flow'!AM$8</f>
        <v>0</v>
      </c>
      <c r="AN122" s="42">
        <f t="shared" si="748"/>
        <v>1.2971735036656332E-4</v>
      </c>
      <c r="AO122" s="42">
        <f t="shared" si="749"/>
        <v>1.2971735036656332E-4</v>
      </c>
      <c r="AP122" s="41">
        <f>AP114/'Income &amp; Cash Flow'!AP$8</f>
        <v>0</v>
      </c>
      <c r="AQ122" s="42">
        <f t="shared" si="751"/>
        <v>1.2971735036656332E-4</v>
      </c>
      <c r="AR122" s="42">
        <f t="shared" si="752"/>
        <v>1.2971735036656332E-4</v>
      </c>
      <c r="AS122" s="41">
        <f>AS114/'Income &amp; Cash Flow'!AS$8</f>
        <v>0</v>
      </c>
      <c r="AT122" s="42">
        <f t="shared" si="754"/>
        <v>1.2971735036656332E-4</v>
      </c>
      <c r="AU122" s="42">
        <f t="shared" si="755"/>
        <v>1.2971735036656332E-4</v>
      </c>
      <c r="AV122" s="41">
        <f>AV114/'Income &amp; Cash Flow'!AV$8</f>
        <v>0</v>
      </c>
      <c r="AW122" s="42">
        <f t="shared" si="757"/>
        <v>1.2971735036656332E-4</v>
      </c>
      <c r="AX122" s="42">
        <f t="shared" si="758"/>
        <v>1.2971735036656332E-4</v>
      </c>
      <c r="AY122" s="41">
        <f>AY114/'Income &amp; Cash Flow'!AY$8</f>
        <v>0</v>
      </c>
    </row>
    <row r="123" spans="1:51" x14ac:dyDescent="0.2">
      <c r="A123" s="24"/>
      <c r="B123" s="6"/>
      <c r="D123" s="6"/>
      <c r="E123" s="6"/>
      <c r="F123" s="13"/>
      <c r="G123" s="6"/>
      <c r="H123" s="6"/>
      <c r="I123" s="13"/>
      <c r="J123" s="6"/>
      <c r="K123" s="6"/>
      <c r="L123" s="13"/>
      <c r="M123" s="6"/>
      <c r="N123" s="6"/>
      <c r="O123" s="13"/>
      <c r="P123" s="6"/>
      <c r="Q123" s="6"/>
      <c r="R123" s="13"/>
      <c r="S123" s="6"/>
      <c r="T123" s="6"/>
      <c r="U123" s="13"/>
      <c r="V123" s="6"/>
      <c r="W123" s="6"/>
      <c r="X123" s="13"/>
      <c r="Y123" s="6"/>
      <c r="Z123" s="6"/>
      <c r="AA123" s="13"/>
      <c r="AB123" s="6"/>
      <c r="AC123" s="6"/>
      <c r="AD123" s="13"/>
      <c r="AE123" s="6"/>
      <c r="AF123" s="6"/>
      <c r="AG123" s="13"/>
      <c r="AH123" s="6"/>
      <c r="AI123" s="6"/>
      <c r="AJ123" s="13"/>
      <c r="AK123" s="6"/>
      <c r="AL123" s="6"/>
      <c r="AM123" s="13"/>
      <c r="AN123" s="6"/>
      <c r="AO123" s="6"/>
      <c r="AP123" s="13"/>
      <c r="AQ123" s="6"/>
      <c r="AR123" s="6"/>
      <c r="AS123" s="13"/>
      <c r="AT123" s="6"/>
      <c r="AU123" s="6"/>
      <c r="AV123" s="13"/>
      <c r="AW123" s="6"/>
      <c r="AX123" s="6"/>
      <c r="AY123" s="13"/>
    </row>
    <row r="124" spans="1:51" x14ac:dyDescent="0.2">
      <c r="A124" s="14"/>
      <c r="B124" s="12" t="s">
        <v>312</v>
      </c>
      <c r="D124" s="6"/>
      <c r="E124" s="6"/>
      <c r="F124" s="13"/>
      <c r="G124" s="6"/>
      <c r="H124" s="6"/>
      <c r="I124" s="13"/>
      <c r="J124" s="6"/>
      <c r="K124" s="6"/>
      <c r="L124" s="13"/>
      <c r="M124" s="6"/>
      <c r="N124" s="6"/>
      <c r="O124" s="13"/>
      <c r="P124" s="6"/>
      <c r="Q124" s="6"/>
      <c r="R124" s="13"/>
      <c r="S124" s="6"/>
      <c r="T124" s="6"/>
      <c r="U124" s="13"/>
      <c r="V124" s="6"/>
      <c r="W124" s="6"/>
      <c r="X124" s="13"/>
      <c r="Y124" s="6"/>
      <c r="Z124" s="6"/>
      <c r="AA124" s="13"/>
      <c r="AB124" s="6"/>
      <c r="AC124" s="6"/>
      <c r="AD124" s="13"/>
      <c r="AE124" s="6"/>
      <c r="AF124" s="6"/>
      <c r="AG124" s="13"/>
      <c r="AH124" s="6"/>
      <c r="AI124" s="6"/>
      <c r="AJ124" s="13"/>
      <c r="AK124" s="6"/>
      <c r="AL124" s="6"/>
      <c r="AM124" s="13"/>
      <c r="AN124" s="6"/>
      <c r="AO124" s="6"/>
      <c r="AP124" s="13"/>
      <c r="AQ124" s="6"/>
      <c r="AR124" s="6"/>
      <c r="AS124" s="13"/>
      <c r="AT124" s="6"/>
      <c r="AU124" s="6"/>
      <c r="AV124" s="13"/>
      <c r="AW124" s="6"/>
      <c r="AX124" s="6"/>
      <c r="AY124" s="13"/>
    </row>
    <row r="125" spans="1:51" s="24" customFormat="1" ht="12" customHeight="1" x14ac:dyDescent="0.2">
      <c r="B125" s="153" t="s">
        <v>179</v>
      </c>
      <c r="C125" s="23"/>
      <c r="D125" s="26"/>
      <c r="E125" s="26"/>
      <c r="F125" s="27"/>
      <c r="G125" s="26"/>
      <c r="H125" s="26"/>
      <c r="I125" s="27"/>
      <c r="J125" s="26"/>
      <c r="K125" s="26"/>
      <c r="L125" s="27"/>
      <c r="M125" s="26"/>
      <c r="N125" s="26"/>
      <c r="O125" s="27"/>
      <c r="P125" s="26"/>
      <c r="Q125" s="26"/>
      <c r="R125" s="27"/>
      <c r="S125" s="26"/>
      <c r="T125" s="26"/>
      <c r="U125" s="27"/>
      <c r="V125" s="26"/>
      <c r="W125" s="26"/>
      <c r="X125" s="27"/>
      <c r="Y125" s="26"/>
      <c r="Z125" s="26"/>
      <c r="AA125" s="27"/>
      <c r="AB125" s="26"/>
      <c r="AC125" s="26"/>
      <c r="AD125" s="27"/>
      <c r="AE125" s="26"/>
      <c r="AF125" s="26"/>
      <c r="AG125" s="27"/>
      <c r="AH125" s="26"/>
      <c r="AI125" s="26"/>
      <c r="AJ125" s="27"/>
      <c r="AK125" s="26"/>
      <c r="AL125" s="26"/>
      <c r="AM125" s="27"/>
      <c r="AN125" s="26"/>
      <c r="AO125" s="26"/>
      <c r="AP125" s="27"/>
      <c r="AQ125" s="26"/>
      <c r="AR125" s="26"/>
      <c r="AS125" s="27"/>
      <c r="AT125" s="26"/>
      <c r="AU125" s="26"/>
      <c r="AV125" s="27"/>
      <c r="AW125" s="26"/>
      <c r="AX125" s="26"/>
      <c r="AY125" s="27"/>
    </row>
    <row r="126" spans="1:51" s="24" customFormat="1" ht="12" customHeight="1" x14ac:dyDescent="0.2">
      <c r="B126" s="23" t="s">
        <v>195</v>
      </c>
      <c r="C126" s="23"/>
      <c r="D126" s="26"/>
      <c r="E126" s="26"/>
      <c r="F126" s="27"/>
      <c r="G126" s="26"/>
      <c r="H126" s="26"/>
      <c r="I126" s="27">
        <f>+F129</f>
        <v>0</v>
      </c>
      <c r="J126" s="26"/>
      <c r="K126" s="26"/>
      <c r="L126" s="27">
        <f t="shared" ref="L126" si="760">+I129</f>
        <v>46.031999999999996</v>
      </c>
      <c r="M126" s="26"/>
      <c r="N126" s="26"/>
      <c r="O126" s="27">
        <f t="shared" ref="O126" si="761">+L129</f>
        <v>49.127000000000002</v>
      </c>
      <c r="P126" s="26">
        <f t="shared" ref="P126" si="762">+O129</f>
        <v>98.938999999999993</v>
      </c>
      <c r="Q126" s="26">
        <f t="shared" ref="Q126" si="763">+P129</f>
        <v>122.29</v>
      </c>
      <c r="R126" s="27">
        <f t="shared" ref="R126" si="764">+O129</f>
        <v>98.938999999999993</v>
      </c>
      <c r="S126" s="26">
        <f t="shared" ref="S126" si="765">+R129</f>
        <v>93.796000000000006</v>
      </c>
      <c r="T126" s="26">
        <f t="shared" ref="T126" si="766">+S129</f>
        <v>104.149</v>
      </c>
      <c r="U126" s="27">
        <f t="shared" ref="U126" si="767">+R129</f>
        <v>93.796000000000006</v>
      </c>
      <c r="V126" s="26">
        <f t="shared" ref="V126" si="768">+U129</f>
        <v>125.43</v>
      </c>
      <c r="W126" s="26">
        <f t="shared" ref="W126" si="769">+V129</f>
        <v>127.76782500000002</v>
      </c>
      <c r="X126" s="27">
        <f t="shared" ref="X126" si="770">+U129</f>
        <v>125.43</v>
      </c>
      <c r="Y126" s="26">
        <f t="shared" ref="Y126" si="771">+X129</f>
        <v>132.03726512500003</v>
      </c>
      <c r="Z126" s="26">
        <f t="shared" ref="Z126" si="772">+Y129</f>
        <v>134.31242828562503</v>
      </c>
      <c r="AA126" s="27">
        <f t="shared" ref="AA126" si="773">+X129</f>
        <v>132.03726512500003</v>
      </c>
      <c r="AB126" s="26">
        <f t="shared" ref="AB126" si="774">+AA129</f>
        <v>138.64384781490315</v>
      </c>
      <c r="AC126" s="26">
        <f t="shared" ref="AC126" si="775">+AB129</f>
        <v>140.80947017604493</v>
      </c>
      <c r="AD126" s="27">
        <f t="shared" ref="AD126" si="776">+AA129</f>
        <v>138.64384781490315</v>
      </c>
      <c r="AE126" s="26">
        <f t="shared" ref="AE126" si="777">+AD129</f>
        <v>145.16175300038375</v>
      </c>
      <c r="AF126" s="26">
        <f t="shared" ref="AF126" si="778">+AE129</f>
        <v>147.15996444955698</v>
      </c>
      <c r="AG126" s="27">
        <f t="shared" ref="AG126" si="779">+AD129</f>
        <v>145.16175300038375</v>
      </c>
      <c r="AH126" s="26">
        <f t="shared" ref="AH126" si="780">+AG129</f>
        <v>151.48080012659747</v>
      </c>
      <c r="AI126" s="26">
        <f t="shared" ref="AI126" si="781">+AH129</f>
        <v>153.24059026480944</v>
      </c>
      <c r="AJ126" s="27">
        <f t="shared" ref="AJ126" si="782">+AG129</f>
        <v>151.48080012659747</v>
      </c>
      <c r="AK126" s="26">
        <f t="shared" ref="AK126" si="783">+AJ129</f>
        <v>157.46419703855847</v>
      </c>
      <c r="AL126" s="26">
        <f t="shared" ref="AL126" si="784">+AK129</f>
        <v>158.89887007384596</v>
      </c>
      <c r="AM126" s="27">
        <f t="shared" ref="AM126" si="785">+AJ129</f>
        <v>157.46419703855847</v>
      </c>
      <c r="AN126" s="26">
        <f t="shared" ref="AN126" si="786">+AM129</f>
        <v>162.9432923764561</v>
      </c>
      <c r="AO126" s="26">
        <f t="shared" ref="AO126" si="787">+AN129</f>
        <v>163.94745473699064</v>
      </c>
      <c r="AP126" s="27">
        <f t="shared" ref="AP126" si="788">+AM129</f>
        <v>162.9432923764561</v>
      </c>
      <c r="AQ126" s="26">
        <f t="shared" ref="AQ126" si="789">+AP129</f>
        <v>167.7113581119431</v>
      </c>
      <c r="AR126" s="26">
        <f t="shared" ref="AR126" si="790">+AQ129</f>
        <v>168.15735474813422</v>
      </c>
      <c r="AS126" s="27">
        <f t="shared" ref="AS126" si="791">+AP129</f>
        <v>167.7113581119431</v>
      </c>
      <c r="AT126" s="26">
        <f t="shared" ref="AT126" si="792">+AS129</f>
        <v>171.51622735320697</v>
      </c>
      <c r="AU126" s="26">
        <f t="shared" ref="AU126" si="793">+AT129</f>
        <v>171.24992771465622</v>
      </c>
      <c r="AV126" s="27">
        <f t="shared" ref="AV126" si="794">+AS129</f>
        <v>171.51622735320697</v>
      </c>
      <c r="AW126" s="26">
        <f t="shared" ref="AW126" si="795">+AV129</f>
        <v>174.05158133074445</v>
      </c>
      <c r="AX126" s="26">
        <f t="shared" ref="AX126" si="796">+AW129</f>
        <v>172.88739835801638</v>
      </c>
      <c r="AY126" s="27">
        <f t="shared" ref="AY126" si="797">+AV129</f>
        <v>174.05158133074445</v>
      </c>
    </row>
    <row r="127" spans="1:51" s="24" customFormat="1" ht="12" customHeight="1" x14ac:dyDescent="0.2">
      <c r="B127" s="23" t="s">
        <v>97</v>
      </c>
      <c r="C127" s="23"/>
      <c r="D127" s="142"/>
      <c r="E127" s="142"/>
      <c r="F127" s="143"/>
      <c r="G127" s="142"/>
      <c r="H127" s="142"/>
      <c r="I127" s="143">
        <f>+'Income &amp; Cash Flow'!I23</f>
        <v>-5.1710000000000003</v>
      </c>
      <c r="J127" s="142"/>
      <c r="K127" s="142"/>
      <c r="L127" s="143">
        <f>+'Income &amp; Cash Flow'!L23</f>
        <v>-6.6559999999999997</v>
      </c>
      <c r="M127" s="142">
        <f>+'Income &amp; Cash Flow'!M23</f>
        <v>-5.399</v>
      </c>
      <c r="N127" s="142">
        <f>+'Income &amp; Cash Flow'!N23</f>
        <v>-4.9330000000000007</v>
      </c>
      <c r="O127" s="143">
        <f>+'Income &amp; Cash Flow'!O23</f>
        <v>-10.332000000000001</v>
      </c>
      <c r="P127" s="142">
        <f>+'Income &amp; Cash Flow'!P23</f>
        <v>-6.3239999999999998</v>
      </c>
      <c r="Q127" s="142">
        <f>+'Income &amp; Cash Flow'!Q23</f>
        <v>-4.923</v>
      </c>
      <c r="R127" s="143">
        <f>+'Income &amp; Cash Flow'!R23</f>
        <v>-11.247</v>
      </c>
      <c r="S127" s="142">
        <f>+'Income &amp; Cash Flow'!S23</f>
        <v>-7.7430000000000003</v>
      </c>
      <c r="T127" s="142">
        <f>+'Income &amp; Cash Flow'!T23</f>
        <v>-6.1310000000000002</v>
      </c>
      <c r="U127" s="143">
        <f>+'Income &amp; Cash Flow'!U23</f>
        <v>-13.874000000000001</v>
      </c>
      <c r="V127" s="140">
        <f t="shared" ref="V127:W127" si="798">S127*1.075</f>
        <v>-8.3237249999999996</v>
      </c>
      <c r="W127" s="140">
        <f t="shared" si="798"/>
        <v>-6.5908249999999997</v>
      </c>
      <c r="X127" s="27">
        <f t="shared" ref="X127:X128" si="799">+W127+V127</f>
        <v>-14.914549999999998</v>
      </c>
      <c r="Y127" s="140">
        <f t="shared" ref="Y127:Z127" si="800">V127*1.075</f>
        <v>-8.948004375</v>
      </c>
      <c r="Z127" s="140">
        <f t="shared" si="800"/>
        <v>-7.085136874999999</v>
      </c>
      <c r="AA127" s="27">
        <f t="shared" ref="AA127:AA128" si="801">+Z127+Y127</f>
        <v>-16.03314125</v>
      </c>
      <c r="AB127" s="140">
        <f t="shared" ref="AB127:AC127" si="802">Y127*1.075</f>
        <v>-9.6191047031250001</v>
      </c>
      <c r="AC127" s="140">
        <f t="shared" si="802"/>
        <v>-7.6165221406249985</v>
      </c>
      <c r="AD127" s="27">
        <f t="shared" ref="AD127:AD128" si="803">+AC127+AB127</f>
        <v>-17.235626843749998</v>
      </c>
      <c r="AE127" s="140">
        <f t="shared" ref="AE127:AF127" si="804">AB127*1.075</f>
        <v>-10.340537555859374</v>
      </c>
      <c r="AF127" s="140">
        <f t="shared" si="804"/>
        <v>-8.1877613011718733</v>
      </c>
      <c r="AG127" s="27">
        <f t="shared" ref="AG127:AG128" si="805">+AF127+AE127</f>
        <v>-18.528298857031245</v>
      </c>
      <c r="AH127" s="140">
        <f t="shared" ref="AH127:AI127" si="806">AE127*1.075</f>
        <v>-11.116077872548827</v>
      </c>
      <c r="AI127" s="140">
        <f t="shared" si="806"/>
        <v>-8.8018433987597628</v>
      </c>
      <c r="AJ127" s="27">
        <f t="shared" ref="AJ127:AJ128" si="807">+AI127+AH127</f>
        <v>-19.91792127130859</v>
      </c>
      <c r="AK127" s="140">
        <f t="shared" ref="AK127:AL127" si="808">AH127*1.075</f>
        <v>-11.949783712989989</v>
      </c>
      <c r="AL127" s="140">
        <f t="shared" si="808"/>
        <v>-9.4619816536667454</v>
      </c>
      <c r="AM127" s="27">
        <f t="shared" ref="AM127:AM128" si="809">+AL127+AK127</f>
        <v>-21.411765366656734</v>
      </c>
      <c r="AN127" s="140">
        <f t="shared" ref="AN127:AO127" si="810">AK127*1.075</f>
        <v>-12.846017491464238</v>
      </c>
      <c r="AO127" s="140">
        <f t="shared" si="810"/>
        <v>-10.171630277691751</v>
      </c>
      <c r="AP127" s="27">
        <f t="shared" ref="AP127:AP128" si="811">+AO127+AN127</f>
        <v>-23.017647769155989</v>
      </c>
      <c r="AQ127" s="140">
        <f t="shared" ref="AQ127:AR127" si="812">AN127*1.075</f>
        <v>-13.809468803324055</v>
      </c>
      <c r="AR127" s="140">
        <f t="shared" si="812"/>
        <v>-10.934502548518632</v>
      </c>
      <c r="AS127" s="27">
        <f t="shared" ref="AS127:AS128" si="813">+AR127+AQ127</f>
        <v>-24.743971351842688</v>
      </c>
      <c r="AT127" s="140">
        <f t="shared" ref="AT127:AU127" si="814">AQ127*1.075</f>
        <v>-14.845178963573359</v>
      </c>
      <c r="AU127" s="140">
        <f t="shared" si="814"/>
        <v>-11.754590239657528</v>
      </c>
      <c r="AV127" s="27">
        <f t="shared" ref="AV127:AV128" si="815">+AU127+AT127</f>
        <v>-26.599769203230885</v>
      </c>
      <c r="AW127" s="140">
        <f t="shared" ref="AW127:AX127" si="816">AT127*1.075</f>
        <v>-15.958567385841359</v>
      </c>
      <c r="AX127" s="140">
        <f t="shared" si="816"/>
        <v>-12.636184507631842</v>
      </c>
      <c r="AY127" s="27">
        <f t="shared" ref="AY127:AY128" si="817">+AX127+AW127</f>
        <v>-28.594751893473202</v>
      </c>
    </row>
    <row r="128" spans="1:51" s="24" customFormat="1" ht="12" customHeight="1" x14ac:dyDescent="0.2">
      <c r="B128" s="23" t="s">
        <v>313</v>
      </c>
      <c r="C128" s="23"/>
      <c r="D128" s="26"/>
      <c r="E128" s="26"/>
      <c r="F128" s="27"/>
      <c r="G128" s="26"/>
      <c r="H128" s="26"/>
      <c r="I128" s="27">
        <f t="shared" ref="I128" si="818">+I129-SUM(I126:I127)</f>
        <v>51.202999999999996</v>
      </c>
      <c r="J128" s="26"/>
      <c r="K128" s="26"/>
      <c r="L128" s="27">
        <f t="shared" ref="L128" si="819">+L129-SUM(L126:L127)</f>
        <v>9.7510000000000048</v>
      </c>
      <c r="M128" s="26"/>
      <c r="N128" s="26"/>
      <c r="O128" s="27">
        <f t="shared" ref="O128:Q128" si="820">+O129-SUM(O126:O127)</f>
        <v>60.143999999999991</v>
      </c>
      <c r="P128" s="26">
        <f t="shared" si="820"/>
        <v>29.675000000000011</v>
      </c>
      <c r="Q128" s="26">
        <f t="shared" si="820"/>
        <v>-23.570999999999998</v>
      </c>
      <c r="R128" s="27">
        <f t="shared" ref="R128" si="821">+Q128+P128</f>
        <v>6.1040000000000134</v>
      </c>
      <c r="S128" s="26">
        <f t="shared" ref="S128:T128" si="822">+S129-SUM(S126:S127)</f>
        <v>18.095999999999989</v>
      </c>
      <c r="T128" s="26">
        <f t="shared" si="822"/>
        <v>27.412000000000006</v>
      </c>
      <c r="U128" s="27">
        <f t="shared" ref="U128" si="823">+T128+S128</f>
        <v>45.507999999999996</v>
      </c>
      <c r="V128" s="140">
        <f t="shared" ref="V128:W128" si="824">+V126*0.085</f>
        <v>10.661550000000002</v>
      </c>
      <c r="W128" s="140">
        <f t="shared" si="824"/>
        <v>10.860265125000002</v>
      </c>
      <c r="X128" s="27">
        <f t="shared" si="799"/>
        <v>21.521815125000003</v>
      </c>
      <c r="Y128" s="140">
        <f t="shared" ref="Y128:Z128" si="825">+Y126*0.085</f>
        <v>11.223167535625004</v>
      </c>
      <c r="Z128" s="140">
        <f t="shared" si="825"/>
        <v>11.416556404278129</v>
      </c>
      <c r="AA128" s="27">
        <f t="shared" si="801"/>
        <v>22.639723939903135</v>
      </c>
      <c r="AB128" s="140">
        <f t="shared" ref="AB128:AC128" si="826">+AB126*0.085</f>
        <v>11.784727064266768</v>
      </c>
      <c r="AC128" s="140">
        <f t="shared" si="826"/>
        <v>11.96880496496382</v>
      </c>
      <c r="AD128" s="27">
        <f t="shared" si="803"/>
        <v>23.753532029230588</v>
      </c>
      <c r="AE128" s="140">
        <f t="shared" ref="AE128:AF128" si="827">+AE126*0.085</f>
        <v>12.33874900503262</v>
      </c>
      <c r="AF128" s="140">
        <f t="shared" si="827"/>
        <v>12.508596978212344</v>
      </c>
      <c r="AG128" s="27">
        <f t="shared" si="805"/>
        <v>24.847345983244963</v>
      </c>
      <c r="AH128" s="140">
        <f t="shared" ref="AH128:AI128" si="828">+AH126*0.085</f>
        <v>12.875868010760787</v>
      </c>
      <c r="AI128" s="140">
        <f t="shared" si="828"/>
        <v>13.025450172508803</v>
      </c>
      <c r="AJ128" s="27">
        <f t="shared" si="807"/>
        <v>25.901318183269588</v>
      </c>
      <c r="AK128" s="140">
        <f t="shared" ref="AK128:AL128" si="829">+AK126*0.085</f>
        <v>13.38445674827747</v>
      </c>
      <c r="AL128" s="140">
        <f t="shared" si="829"/>
        <v>13.506403956276907</v>
      </c>
      <c r="AM128" s="27">
        <f t="shared" si="809"/>
        <v>26.890860704554377</v>
      </c>
      <c r="AN128" s="140">
        <f t="shared" ref="AN128:AO128" si="830">+AN126*0.085</f>
        <v>13.850179851998769</v>
      </c>
      <c r="AO128" s="140">
        <f t="shared" si="830"/>
        <v>13.935533652644205</v>
      </c>
      <c r="AP128" s="27">
        <f t="shared" si="811"/>
        <v>27.785713504642974</v>
      </c>
      <c r="AQ128" s="140">
        <f t="shared" ref="AQ128:AR128" si="831">+AQ126*0.085</f>
        <v>14.255465439515165</v>
      </c>
      <c r="AR128" s="140">
        <f t="shared" si="831"/>
        <v>14.293375153591411</v>
      </c>
      <c r="AS128" s="27">
        <f t="shared" si="813"/>
        <v>28.548840593106576</v>
      </c>
      <c r="AT128" s="140">
        <f t="shared" ref="AT128:AU128" si="832">+AT126*0.085</f>
        <v>14.578879325022594</v>
      </c>
      <c r="AU128" s="140">
        <f t="shared" si="832"/>
        <v>14.55624385574578</v>
      </c>
      <c r="AV128" s="27">
        <f t="shared" si="815"/>
        <v>29.135123180768375</v>
      </c>
      <c r="AW128" s="140">
        <f t="shared" ref="AW128:AX128" si="833">+AW126*0.085</f>
        <v>14.79438441311328</v>
      </c>
      <c r="AX128" s="140">
        <f t="shared" si="833"/>
        <v>14.695428860431393</v>
      </c>
      <c r="AY128" s="27">
        <f t="shared" si="817"/>
        <v>29.489813273544673</v>
      </c>
    </row>
    <row r="129" spans="1:51" s="24" customFormat="1" ht="12" customHeight="1" x14ac:dyDescent="0.2">
      <c r="A129" s="6"/>
      <c r="B129" s="49" t="s">
        <v>197</v>
      </c>
      <c r="C129" s="46"/>
      <c r="D129" s="47"/>
      <c r="E129" s="47"/>
      <c r="F129" s="48"/>
      <c r="G129" s="47"/>
      <c r="H129" s="47"/>
      <c r="I129" s="48">
        <f>+I16</f>
        <v>46.031999999999996</v>
      </c>
      <c r="J129" s="47"/>
      <c r="K129" s="47"/>
      <c r="L129" s="48">
        <f>+L16</f>
        <v>49.127000000000002</v>
      </c>
      <c r="M129" s="47"/>
      <c r="N129" s="47"/>
      <c r="O129" s="48">
        <f t="shared" ref="O129:U129" si="834">+O16</f>
        <v>98.938999999999993</v>
      </c>
      <c r="P129" s="47">
        <f t="shared" si="834"/>
        <v>122.29</v>
      </c>
      <c r="Q129" s="47">
        <f t="shared" si="834"/>
        <v>93.796000000000006</v>
      </c>
      <c r="R129" s="48">
        <f t="shared" si="834"/>
        <v>93.796000000000006</v>
      </c>
      <c r="S129" s="47">
        <f t="shared" si="834"/>
        <v>104.149</v>
      </c>
      <c r="T129" s="47">
        <f t="shared" si="834"/>
        <v>125.43</v>
      </c>
      <c r="U129" s="48">
        <f t="shared" si="834"/>
        <v>125.43</v>
      </c>
      <c r="V129" s="47">
        <f t="shared" ref="V129:AJ129" si="835">SUM(V126:V128)</f>
        <v>127.76782500000002</v>
      </c>
      <c r="W129" s="47">
        <f t="shared" si="835"/>
        <v>132.03726512500003</v>
      </c>
      <c r="X129" s="48">
        <f t="shared" si="835"/>
        <v>132.03726512500003</v>
      </c>
      <c r="Y129" s="47">
        <f t="shared" si="835"/>
        <v>134.31242828562503</v>
      </c>
      <c r="Z129" s="47">
        <f t="shared" si="835"/>
        <v>138.64384781490315</v>
      </c>
      <c r="AA129" s="48">
        <f t="shared" si="835"/>
        <v>138.64384781490315</v>
      </c>
      <c r="AB129" s="47">
        <f t="shared" si="835"/>
        <v>140.80947017604493</v>
      </c>
      <c r="AC129" s="47">
        <f t="shared" si="835"/>
        <v>145.16175300038375</v>
      </c>
      <c r="AD129" s="48">
        <f t="shared" si="835"/>
        <v>145.16175300038375</v>
      </c>
      <c r="AE129" s="47">
        <f t="shared" si="835"/>
        <v>147.15996444955698</v>
      </c>
      <c r="AF129" s="47">
        <f t="shared" si="835"/>
        <v>151.48080012659747</v>
      </c>
      <c r="AG129" s="48">
        <f t="shared" si="835"/>
        <v>151.48080012659747</v>
      </c>
      <c r="AH129" s="47">
        <f t="shared" si="835"/>
        <v>153.24059026480944</v>
      </c>
      <c r="AI129" s="47">
        <f t="shared" si="835"/>
        <v>157.4641970385585</v>
      </c>
      <c r="AJ129" s="48">
        <f t="shared" si="835"/>
        <v>157.46419703855847</v>
      </c>
      <c r="AK129" s="47">
        <f t="shared" ref="AK129:AM129" si="836">SUM(AK126:AK128)</f>
        <v>158.89887007384596</v>
      </c>
      <c r="AL129" s="47">
        <f t="shared" si="836"/>
        <v>162.9432923764561</v>
      </c>
      <c r="AM129" s="48">
        <f t="shared" si="836"/>
        <v>162.9432923764561</v>
      </c>
      <c r="AN129" s="47">
        <f t="shared" ref="AN129:AP129" si="837">SUM(AN126:AN128)</f>
        <v>163.94745473699064</v>
      </c>
      <c r="AO129" s="47">
        <f t="shared" si="837"/>
        <v>167.7113581119431</v>
      </c>
      <c r="AP129" s="48">
        <f t="shared" si="837"/>
        <v>167.7113581119431</v>
      </c>
      <c r="AQ129" s="47">
        <f t="shared" ref="AQ129:AS129" si="838">SUM(AQ126:AQ128)</f>
        <v>168.15735474813422</v>
      </c>
      <c r="AR129" s="47">
        <f t="shared" si="838"/>
        <v>171.516227353207</v>
      </c>
      <c r="AS129" s="48">
        <f t="shared" si="838"/>
        <v>171.51622735320697</v>
      </c>
      <c r="AT129" s="47">
        <f t="shared" ref="AT129:AV129" si="839">SUM(AT126:AT128)</f>
        <v>171.24992771465622</v>
      </c>
      <c r="AU129" s="47">
        <f t="shared" si="839"/>
        <v>174.05158133074448</v>
      </c>
      <c r="AV129" s="48">
        <f t="shared" si="839"/>
        <v>174.05158133074445</v>
      </c>
      <c r="AW129" s="47">
        <f t="shared" ref="AW129:AY129" si="840">SUM(AW126:AW128)</f>
        <v>172.88739835801638</v>
      </c>
      <c r="AX129" s="47">
        <f t="shared" si="840"/>
        <v>174.94664271081595</v>
      </c>
      <c r="AY129" s="48">
        <f t="shared" si="840"/>
        <v>174.94664271081595</v>
      </c>
    </row>
    <row r="130" spans="1:51" s="24" customFormat="1" ht="12" customHeight="1" x14ac:dyDescent="0.2">
      <c r="B130" s="23"/>
      <c r="C130" s="23"/>
      <c r="D130" s="26"/>
      <c r="E130" s="26"/>
      <c r="F130" s="27"/>
      <c r="G130" s="26"/>
      <c r="H130" s="26"/>
      <c r="I130" s="27"/>
      <c r="J130" s="26"/>
      <c r="K130" s="26"/>
      <c r="L130" s="27"/>
      <c r="M130" s="26"/>
      <c r="N130" s="26"/>
      <c r="O130" s="27"/>
      <c r="P130" s="26"/>
      <c r="Q130" s="26"/>
      <c r="R130" s="27"/>
      <c r="S130" s="26"/>
      <c r="T130" s="26"/>
      <c r="U130" s="27"/>
      <c r="V130" s="26"/>
      <c r="W130" s="26"/>
      <c r="X130" s="27"/>
      <c r="Y130" s="26"/>
      <c r="Z130" s="26"/>
      <c r="AA130" s="27"/>
      <c r="AB130" s="26"/>
      <c r="AC130" s="26"/>
      <c r="AD130" s="27"/>
      <c r="AE130" s="26"/>
      <c r="AF130" s="26"/>
      <c r="AG130" s="27"/>
      <c r="AH130" s="26"/>
      <c r="AI130" s="26"/>
      <c r="AJ130" s="27"/>
      <c r="AK130" s="26"/>
      <c r="AL130" s="26"/>
      <c r="AM130" s="27"/>
      <c r="AN130" s="26"/>
      <c r="AO130" s="26"/>
      <c r="AP130" s="27"/>
      <c r="AQ130" s="26"/>
      <c r="AR130" s="26"/>
      <c r="AS130" s="27"/>
      <c r="AT130" s="26"/>
      <c r="AU130" s="26"/>
      <c r="AV130" s="27"/>
      <c r="AW130" s="26"/>
      <c r="AX130" s="26"/>
      <c r="AY130" s="27"/>
    </row>
    <row r="131" spans="1:51" ht="12" customHeight="1" x14ac:dyDescent="0.2">
      <c r="A131" s="6"/>
      <c r="B131" s="8" t="s">
        <v>315</v>
      </c>
      <c r="C131" s="6"/>
      <c r="D131" s="40"/>
      <c r="E131" s="40"/>
      <c r="F131" s="41"/>
      <c r="G131" s="40"/>
      <c r="H131" s="40"/>
      <c r="I131" s="41">
        <f t="shared" ref="I131:L131" si="841">+I127/AVERAGE(I129,I126)</f>
        <v>-0.22466979492526939</v>
      </c>
      <c r="J131" s="40"/>
      <c r="K131" s="40"/>
      <c r="L131" s="41">
        <f t="shared" si="841"/>
        <v>-0.1398921804558686</v>
      </c>
      <c r="M131" s="40"/>
      <c r="N131" s="40"/>
      <c r="O131" s="41">
        <f t="shared" ref="O131" si="842">+O127/AVERAGE(O129,O126)</f>
        <v>-0.13955938567935922</v>
      </c>
      <c r="P131" s="40">
        <f>+P127/AVERAGE(P129,P126)</f>
        <v>-5.7171528145044274E-2</v>
      </c>
      <c r="Q131" s="40">
        <f t="shared" ref="Q131:R131" si="843">+Q127/AVERAGE(Q129,Q126)</f>
        <v>-4.5565191636663178E-2</v>
      </c>
      <c r="R131" s="41">
        <f t="shared" si="843"/>
        <v>-0.11670947155420654</v>
      </c>
      <c r="S131" s="40">
        <f>+S127/AVERAGE(S129,S126)</f>
        <v>-7.8233852837909526E-2</v>
      </c>
      <c r="T131" s="40">
        <f t="shared" ref="T131:U131" si="844">+T127/AVERAGE(T129,T126)</f>
        <v>-5.3410808479869676E-2</v>
      </c>
      <c r="U131" s="41">
        <f t="shared" si="844"/>
        <v>-0.12657257807011943</v>
      </c>
      <c r="V131" s="42">
        <f t="shared" ref="V131:W131" si="845">+S131</f>
        <v>-7.8233852837909526E-2</v>
      </c>
      <c r="W131" s="42">
        <f t="shared" si="845"/>
        <v>-5.3410808479869676E-2</v>
      </c>
      <c r="X131" s="41">
        <f t="shared" ref="X131" si="846">+X127/AVERAGE(X129,X126)</f>
        <v>-0.1158558933133422</v>
      </c>
      <c r="Y131" s="42">
        <f t="shared" ref="Y131:Z131" si="847">+V131</f>
        <v>-7.8233852837909526E-2</v>
      </c>
      <c r="Z131" s="42">
        <f t="shared" si="847"/>
        <v>-5.3410808479869676E-2</v>
      </c>
      <c r="AA131" s="41">
        <f t="shared" ref="AA131" si="848">+AA127/AVERAGE(AA129,AA126)</f>
        <v>-0.11846516423596713</v>
      </c>
      <c r="AB131" s="42">
        <f t="shared" ref="AB131:AC131" si="849">+Y131</f>
        <v>-7.8233852837909526E-2</v>
      </c>
      <c r="AC131" s="42">
        <f t="shared" si="849"/>
        <v>-5.3410808479869676E-2</v>
      </c>
      <c r="AD131" s="41">
        <f t="shared" ref="AD131" si="850">+AD127/AVERAGE(AD129,AD126)</f>
        <v>-0.12146079424956591</v>
      </c>
      <c r="AE131" s="42">
        <f t="shared" ref="AE131:AF131" si="851">+AB131</f>
        <v>-7.8233852837909526E-2</v>
      </c>
      <c r="AF131" s="42">
        <f t="shared" si="851"/>
        <v>-5.3410808479869676E-2</v>
      </c>
      <c r="AG131" s="41">
        <f t="shared" ref="AG131" si="852">+AG127/AVERAGE(AG129,AG126)</f>
        <v>-0.12492003363455408</v>
      </c>
      <c r="AH131" s="42">
        <f t="shared" ref="AH131:AI131" si="853">+AE131</f>
        <v>-7.8233852837909526E-2</v>
      </c>
      <c r="AI131" s="42">
        <f t="shared" si="853"/>
        <v>-5.3410808479869676E-2</v>
      </c>
      <c r="AJ131" s="41">
        <f t="shared" ref="AJ131" si="854">+AJ127/AVERAGE(AJ129,AJ126)</f>
        <v>-0.12894153622213123</v>
      </c>
      <c r="AK131" s="42">
        <f t="shared" ref="AK131" si="855">+AH131</f>
        <v>-7.8233852837909526E-2</v>
      </c>
      <c r="AL131" s="42">
        <f t="shared" ref="AL131" si="856">+AI131</f>
        <v>-5.3410808479869676E-2</v>
      </c>
      <c r="AM131" s="41">
        <f t="shared" ref="AM131" si="857">+AM127/AVERAGE(AM129,AM126)</f>
        <v>-0.13365333878898628</v>
      </c>
      <c r="AN131" s="42">
        <f t="shared" ref="AN131" si="858">+AK131</f>
        <v>-7.8233852837909526E-2</v>
      </c>
      <c r="AO131" s="42">
        <f t="shared" ref="AO131" si="859">+AL131</f>
        <v>-5.3410808479869676E-2</v>
      </c>
      <c r="AP131" s="41">
        <f t="shared" ref="AP131" si="860">+AP127/AVERAGE(AP129,AP126)</f>
        <v>-0.13922470308617993</v>
      </c>
      <c r="AQ131" s="42">
        <f t="shared" ref="AQ131" si="861">+AN131</f>
        <v>-7.8233852837909526E-2</v>
      </c>
      <c r="AR131" s="42">
        <f t="shared" ref="AR131" si="862">+AO131</f>
        <v>-5.3410808479869676E-2</v>
      </c>
      <c r="AS131" s="41">
        <f t="shared" ref="AS131" si="863">+AS127/AVERAGE(AS129,AS126)</f>
        <v>-0.145884193456223</v>
      </c>
      <c r="AT131" s="42">
        <f t="shared" ref="AT131" si="864">+AQ131</f>
        <v>-7.8233852837909526E-2</v>
      </c>
      <c r="AU131" s="42">
        <f t="shared" ref="AU131" si="865">+AR131</f>
        <v>-5.3410808479869676E-2</v>
      </c>
      <c r="AV131" s="41">
        <f t="shared" ref="AV131" si="866">+AV127/AVERAGE(AV129,AV126)</f>
        <v>-0.15394818923980527</v>
      </c>
      <c r="AW131" s="42">
        <f t="shared" ref="AW131" si="867">+AT131</f>
        <v>-7.8233852837909526E-2</v>
      </c>
      <c r="AX131" s="42">
        <f t="shared" ref="AX131" si="868">+AU131</f>
        <v>-5.3410808479869676E-2</v>
      </c>
      <c r="AY131" s="41">
        <f t="shared" ref="AY131" si="869">+AY127/AVERAGE(AY129,AY126)</f>
        <v>-0.16386760690259558</v>
      </c>
    </row>
    <row r="132" spans="1:51" s="24" customFormat="1" ht="12" customHeight="1" x14ac:dyDescent="0.2">
      <c r="B132" s="23"/>
      <c r="C132" s="23"/>
      <c r="D132" s="26"/>
      <c r="E132" s="26"/>
      <c r="F132" s="27"/>
      <c r="G132" s="26"/>
      <c r="H132" s="26"/>
      <c r="I132" s="27"/>
      <c r="J132" s="26"/>
      <c r="K132" s="26"/>
      <c r="L132" s="27"/>
      <c r="M132" s="26"/>
      <c r="N132" s="26"/>
      <c r="O132" s="27"/>
      <c r="P132" s="26"/>
      <c r="Q132" s="26"/>
      <c r="R132" s="27"/>
      <c r="S132" s="26"/>
      <c r="T132" s="26"/>
      <c r="U132" s="27"/>
      <c r="V132" s="26"/>
      <c r="W132" s="26"/>
      <c r="X132" s="27"/>
      <c r="Y132" s="26"/>
      <c r="Z132" s="26"/>
      <c r="AA132" s="27"/>
      <c r="AB132" s="26"/>
      <c r="AC132" s="26"/>
      <c r="AD132" s="27"/>
      <c r="AE132" s="26"/>
      <c r="AF132" s="26"/>
      <c r="AG132" s="27"/>
      <c r="AH132" s="26"/>
      <c r="AI132" s="26"/>
      <c r="AJ132" s="27"/>
      <c r="AK132" s="26"/>
      <c r="AL132" s="26"/>
      <c r="AM132" s="27"/>
      <c r="AN132" s="26"/>
      <c r="AO132" s="26"/>
      <c r="AP132" s="27"/>
      <c r="AQ132" s="26"/>
      <c r="AR132" s="26"/>
      <c r="AS132" s="27"/>
      <c r="AT132" s="26"/>
      <c r="AU132" s="26"/>
      <c r="AV132" s="27"/>
      <c r="AW132" s="26"/>
      <c r="AX132" s="26"/>
      <c r="AY132" s="27"/>
    </row>
    <row r="133" spans="1:51" x14ac:dyDescent="0.2">
      <c r="A133" s="14"/>
      <c r="B133" s="12" t="s">
        <v>88</v>
      </c>
      <c r="D133" s="6"/>
      <c r="E133" s="6"/>
      <c r="F133" s="13"/>
      <c r="G133" s="6"/>
      <c r="H133" s="6"/>
      <c r="I133" s="13"/>
      <c r="J133" s="6"/>
      <c r="K133" s="6"/>
      <c r="L133" s="13"/>
      <c r="M133" s="6"/>
      <c r="N133" s="6"/>
      <c r="O133" s="13"/>
      <c r="P133" s="6"/>
      <c r="Q133" s="6"/>
      <c r="R133" s="13"/>
      <c r="S133" s="6"/>
      <c r="T133" s="6"/>
      <c r="U133" s="13"/>
      <c r="V133" s="6"/>
      <c r="W133" s="6"/>
      <c r="X133" s="13"/>
      <c r="Y133" s="6"/>
      <c r="Z133" s="6"/>
      <c r="AA133" s="13"/>
      <c r="AB133" s="6"/>
      <c r="AC133" s="6"/>
      <c r="AD133" s="13"/>
      <c r="AE133" s="6"/>
      <c r="AF133" s="6"/>
      <c r="AG133" s="13"/>
      <c r="AH133" s="6"/>
      <c r="AI133" s="6"/>
      <c r="AJ133" s="13"/>
      <c r="AK133" s="6"/>
      <c r="AL133" s="6"/>
      <c r="AM133" s="13"/>
      <c r="AN133" s="6"/>
      <c r="AO133" s="6"/>
      <c r="AP133" s="13"/>
      <c r="AQ133" s="6"/>
      <c r="AR133" s="6"/>
      <c r="AS133" s="13"/>
      <c r="AT133" s="6"/>
      <c r="AU133" s="6"/>
      <c r="AV133" s="13"/>
      <c r="AW133" s="6"/>
      <c r="AX133" s="6"/>
      <c r="AY133" s="13"/>
    </row>
    <row r="134" spans="1:51" s="24" customFormat="1" ht="12" customHeight="1" x14ac:dyDescent="0.2">
      <c r="B134" s="153" t="s">
        <v>153</v>
      </c>
      <c r="C134" s="23"/>
      <c r="D134" s="26"/>
      <c r="E134" s="26"/>
      <c r="F134" s="27"/>
      <c r="G134" s="26"/>
      <c r="H134" s="26"/>
      <c r="I134" s="27"/>
      <c r="J134" s="26"/>
      <c r="K134" s="26"/>
      <c r="L134" s="27"/>
      <c r="M134" s="26"/>
      <c r="N134" s="26"/>
      <c r="O134" s="27"/>
      <c r="P134" s="26"/>
      <c r="Q134" s="26"/>
      <c r="R134" s="27"/>
      <c r="S134" s="26"/>
      <c r="T134" s="26"/>
      <c r="U134" s="27"/>
      <c r="V134" s="26"/>
      <c r="W134" s="26"/>
      <c r="X134" s="27"/>
      <c r="Y134" s="26"/>
      <c r="Z134" s="26"/>
      <c r="AA134" s="27"/>
      <c r="AB134" s="26"/>
      <c r="AC134" s="26"/>
      <c r="AD134" s="27"/>
      <c r="AE134" s="26"/>
      <c r="AF134" s="26"/>
      <c r="AG134" s="27"/>
      <c r="AH134" s="26"/>
      <c r="AI134" s="26"/>
      <c r="AJ134" s="27"/>
      <c r="AK134" s="26"/>
      <c r="AL134" s="26"/>
      <c r="AM134" s="27"/>
      <c r="AN134" s="26"/>
      <c r="AO134" s="26"/>
      <c r="AP134" s="27"/>
      <c r="AQ134" s="26"/>
      <c r="AR134" s="26"/>
      <c r="AS134" s="27"/>
      <c r="AT134" s="26"/>
      <c r="AU134" s="26"/>
      <c r="AV134" s="27"/>
      <c r="AW134" s="26"/>
      <c r="AX134" s="26"/>
      <c r="AY134" s="27"/>
    </row>
    <row r="135" spans="1:51" s="24" customFormat="1" ht="12" customHeight="1" x14ac:dyDescent="0.2">
      <c r="B135" s="23" t="s">
        <v>195</v>
      </c>
      <c r="C135" s="23"/>
      <c r="D135" s="26"/>
      <c r="E135" s="26"/>
      <c r="F135" s="27"/>
      <c r="G135" s="26"/>
      <c r="H135" s="26"/>
      <c r="I135" s="27">
        <f>+F138</f>
        <v>0</v>
      </c>
      <c r="J135" s="26"/>
      <c r="K135" s="26"/>
      <c r="L135" s="27">
        <f t="shared" ref="L135" si="870">+I138</f>
        <v>3.3559999999999999</v>
      </c>
      <c r="M135" s="26"/>
      <c r="N135" s="26"/>
      <c r="O135" s="27">
        <f t="shared" ref="O135" si="871">+L138</f>
        <v>109.76300000000001</v>
      </c>
      <c r="P135" s="26">
        <f t="shared" ref="P135" si="872">+O138</f>
        <v>161.55199999999999</v>
      </c>
      <c r="Q135" s="26">
        <f t="shared" ref="Q135" si="873">+P138</f>
        <v>188.05500000000001</v>
      </c>
      <c r="R135" s="27">
        <f t="shared" ref="R135" si="874">+O138</f>
        <v>161.55199999999999</v>
      </c>
      <c r="S135" s="26">
        <f t="shared" ref="S135" si="875">+R138</f>
        <v>217.297</v>
      </c>
      <c r="T135" s="26">
        <f t="shared" ref="T135" si="876">+S138</f>
        <v>254.44800000000001</v>
      </c>
      <c r="U135" s="27">
        <f t="shared" ref="U135" si="877">+R138</f>
        <v>217.297</v>
      </c>
      <c r="V135" s="26">
        <f t="shared" ref="V135:W135" si="878">+U138</f>
        <v>307.65899999999999</v>
      </c>
      <c r="W135" s="26">
        <f t="shared" si="878"/>
        <v>311.66156999999998</v>
      </c>
      <c r="X135" s="27">
        <f t="shared" ref="X135" si="879">+U138</f>
        <v>307.65899999999999</v>
      </c>
      <c r="Y135" s="26">
        <f t="shared" ref="Y135:Z135" si="880">+X138</f>
        <v>317.24917512499997</v>
      </c>
      <c r="Z135" s="26">
        <f t="shared" si="880"/>
        <v>321.31393916062495</v>
      </c>
      <c r="AA135" s="27">
        <f t="shared" ref="AA135" si="881">+X138</f>
        <v>317.24917512499997</v>
      </c>
      <c r="AB135" s="26">
        <f t="shared" ref="AB135:AC135" si="882">+AA138</f>
        <v>327.06238606490314</v>
      </c>
      <c r="AC135" s="26">
        <f t="shared" si="882"/>
        <v>331.15182936666986</v>
      </c>
      <c r="AD135" s="27">
        <f t="shared" ref="AD135" si="883">+AA138</f>
        <v>327.06238606490314</v>
      </c>
      <c r="AE135" s="26">
        <f t="shared" ref="AE135:AF135" si="884">+AD138</f>
        <v>337.02741661913376</v>
      </c>
      <c r="AF135" s="26">
        <f t="shared" si="884"/>
        <v>341.0937355794789</v>
      </c>
      <c r="AG135" s="27">
        <f t="shared" ref="AG135" si="885">+AD138</f>
        <v>337.02741661913376</v>
      </c>
      <c r="AH135" s="26">
        <f t="shared" ref="AH135:AI135" si="886">+AG138</f>
        <v>347.05212351675374</v>
      </c>
      <c r="AI135" s="26">
        <f t="shared" si="886"/>
        <v>351.03512922947544</v>
      </c>
      <c r="AJ135" s="27">
        <f t="shared" ref="AJ135" si="887">+AG138</f>
        <v>347.05212351675374</v>
      </c>
      <c r="AK135" s="26">
        <f t="shared" ref="AK135" si="888">+AJ138</f>
        <v>357.01910468297649</v>
      </c>
      <c r="AL135" s="26">
        <f t="shared" ref="AL135" si="889">+AK138</f>
        <v>360.84373446086192</v>
      </c>
      <c r="AM135" s="27">
        <f t="shared" ref="AM135" si="890">+AJ138</f>
        <v>357.01910468297649</v>
      </c>
      <c r="AN135" s="26">
        <f t="shared" ref="AN135" si="891">+AM138</f>
        <v>366.78055309420546</v>
      </c>
      <c r="AO135" s="26">
        <f t="shared" ref="AO135" si="892">+AN138</f>
        <v>370.3539189530328</v>
      </c>
      <c r="AP135" s="27">
        <f t="shared" ref="AP135" si="893">+AM138</f>
        <v>366.78055309420546</v>
      </c>
      <c r="AQ135" s="26">
        <f t="shared" ref="AQ135" si="894">+AP138</f>
        <v>376.15214838352364</v>
      </c>
      <c r="AR135" s="26">
        <f t="shared" ref="AR135" si="895">+AQ138</f>
        <v>379.36003878037957</v>
      </c>
      <c r="AS135" s="27">
        <f t="shared" ref="AS135" si="896">+AP138</f>
        <v>376.15214838352364</v>
      </c>
      <c r="AT135" s="26">
        <f t="shared" ref="AT135" si="897">+AS138</f>
        <v>384.90581189515603</v>
      </c>
      <c r="AU135" s="26">
        <f t="shared" ref="AU135" si="898">+AT138</f>
        <v>387.60854804931989</v>
      </c>
      <c r="AV135" s="27">
        <f t="shared" ref="AV135" si="899">+AS138</f>
        <v>384.90581189515603</v>
      </c>
      <c r="AW135" s="26">
        <f t="shared" ref="AW135" si="900">+AV138</f>
        <v>392.76111971333967</v>
      </c>
      <c r="AX135" s="26">
        <f t="shared" ref="AX135" si="901">+AW138</f>
        <v>394.78865021777983</v>
      </c>
      <c r="AY135" s="27">
        <f t="shared" ref="AY135" si="902">+AV138</f>
        <v>392.76111971333967</v>
      </c>
    </row>
    <row r="136" spans="1:51" s="24" customFormat="1" ht="12" customHeight="1" x14ac:dyDescent="0.2">
      <c r="B136" s="23" t="s">
        <v>332</v>
      </c>
      <c r="C136" s="23"/>
      <c r="D136" s="26"/>
      <c r="E136" s="26"/>
      <c r="F136" s="27"/>
      <c r="G136" s="26"/>
      <c r="H136" s="26"/>
      <c r="I136" s="27"/>
      <c r="J136" s="26"/>
      <c r="K136" s="26"/>
      <c r="L136" s="27">
        <f>+'Income &amp; Cash Flow'!L111</f>
        <v>0</v>
      </c>
      <c r="M136" s="26">
        <f>+'Income &amp; Cash Flow'!M111</f>
        <v>-4.931</v>
      </c>
      <c r="N136" s="26">
        <f>+'Income &amp; Cash Flow'!N111</f>
        <v>-1.7889999999999997</v>
      </c>
      <c r="O136" s="27">
        <f>+'Income &amp; Cash Flow'!O111</f>
        <v>-6.72</v>
      </c>
      <c r="P136" s="26">
        <f>+'Income &amp; Cash Flow'!P111</f>
        <v>-3.552</v>
      </c>
      <c r="Q136" s="26">
        <f>+'Income &amp; Cash Flow'!Q111</f>
        <v>-6.3600000000000012</v>
      </c>
      <c r="R136" s="27">
        <f>+'Income &amp; Cash Flow'!R111</f>
        <v>-9.9120000000000008</v>
      </c>
      <c r="S136" s="26">
        <f>+'Income &amp; Cash Flow'!S111</f>
        <v>-7.5149999999999997</v>
      </c>
      <c r="T136" s="26">
        <f>+'Income &amp; Cash Flow'!T111</f>
        <v>-3.3150000000000004</v>
      </c>
      <c r="U136" s="27">
        <f>+'Income &amp; Cash Flow'!U111</f>
        <v>-10.83</v>
      </c>
      <c r="V136" s="140">
        <f t="shared" ref="V136:W136" si="903">+V127*0.8</f>
        <v>-6.6589799999999997</v>
      </c>
      <c r="W136" s="140">
        <f t="shared" si="903"/>
        <v>-5.2726600000000001</v>
      </c>
      <c r="X136" s="27">
        <f t="shared" ref="X136:X137" si="904">+W136+V136</f>
        <v>-11.93164</v>
      </c>
      <c r="Y136" s="140">
        <f t="shared" ref="Y136:Z136" si="905">+Y127*0.8</f>
        <v>-7.1584035000000004</v>
      </c>
      <c r="Z136" s="140">
        <f t="shared" si="905"/>
        <v>-5.6681094999999999</v>
      </c>
      <c r="AA136" s="27">
        <f t="shared" ref="AA136:AA137" si="906">+Z136+Y136</f>
        <v>-12.826513</v>
      </c>
      <c r="AB136" s="140">
        <f t="shared" ref="AB136:AC136" si="907">+AB127*0.8</f>
        <v>-7.6952837625000008</v>
      </c>
      <c r="AC136" s="140">
        <f t="shared" si="907"/>
        <v>-6.0932177124999995</v>
      </c>
      <c r="AD136" s="27">
        <f t="shared" ref="AD136:AD137" si="908">+AC136+AB136</f>
        <v>-13.788501475</v>
      </c>
      <c r="AE136" s="140">
        <f t="shared" ref="AE136:AF136" si="909">+AE127*0.8</f>
        <v>-8.2724300446874999</v>
      </c>
      <c r="AF136" s="140">
        <f t="shared" si="909"/>
        <v>-6.5502090409374993</v>
      </c>
      <c r="AG136" s="27">
        <f t="shared" ref="AG136:AG137" si="910">+AF136+AE136</f>
        <v>-14.822639085624999</v>
      </c>
      <c r="AH136" s="140">
        <f t="shared" ref="AH136:AI136" si="911">+AH127*0.8</f>
        <v>-8.892862298039061</v>
      </c>
      <c r="AI136" s="140">
        <f t="shared" si="911"/>
        <v>-7.0414747190078106</v>
      </c>
      <c r="AJ136" s="27">
        <f t="shared" ref="AJ136:AJ137" si="912">+AI136+AH136</f>
        <v>-15.934337017046872</v>
      </c>
      <c r="AK136" s="140">
        <f t="shared" ref="AK136:AL136" si="913">+AK127*0.8</f>
        <v>-9.5598269703919918</v>
      </c>
      <c r="AL136" s="140">
        <f t="shared" si="913"/>
        <v>-7.5695853229333965</v>
      </c>
      <c r="AM136" s="27">
        <f t="shared" ref="AM136:AM137" si="914">+AL136+AK136</f>
        <v>-17.129412293325387</v>
      </c>
      <c r="AN136" s="140">
        <f t="shared" ref="AN136:AO136" si="915">+AN127*0.8</f>
        <v>-10.276813993171391</v>
      </c>
      <c r="AO136" s="140">
        <f t="shared" si="915"/>
        <v>-8.1373042221534018</v>
      </c>
      <c r="AP136" s="27">
        <f t="shared" ref="AP136:AP137" si="916">+AO136+AN136</f>
        <v>-18.414118215324791</v>
      </c>
      <c r="AQ136" s="140">
        <f t="shared" ref="AQ136:AR136" si="917">+AQ127*0.8</f>
        <v>-11.047575042659245</v>
      </c>
      <c r="AR136" s="140">
        <f t="shared" si="917"/>
        <v>-8.7476020388149056</v>
      </c>
      <c r="AS136" s="27">
        <f t="shared" ref="AS136:AS137" si="918">+AR136+AQ136</f>
        <v>-19.795177081474151</v>
      </c>
      <c r="AT136" s="140">
        <f t="shared" ref="AT136:AU136" si="919">+AT127*0.8</f>
        <v>-11.876143170858688</v>
      </c>
      <c r="AU136" s="140">
        <f t="shared" si="919"/>
        <v>-9.403672191726022</v>
      </c>
      <c r="AV136" s="27">
        <f t="shared" ref="AV136:AV137" si="920">+AU136+AT136</f>
        <v>-21.27981536258471</v>
      </c>
      <c r="AW136" s="140">
        <f t="shared" ref="AW136:AX136" si="921">+AW127*0.8</f>
        <v>-12.766853908673088</v>
      </c>
      <c r="AX136" s="140">
        <f t="shared" si="921"/>
        <v>-10.108947606105474</v>
      </c>
      <c r="AY136" s="27">
        <f t="shared" ref="AY136:AY137" si="922">+AX136+AW136</f>
        <v>-22.875801514778562</v>
      </c>
    </row>
    <row r="137" spans="1:51" s="24" customFormat="1" ht="12" customHeight="1" x14ac:dyDescent="0.2">
      <c r="B137" s="23" t="s">
        <v>314</v>
      </c>
      <c r="C137" s="23"/>
      <c r="D137" s="26"/>
      <c r="E137" s="26"/>
      <c r="F137" s="27"/>
      <c r="G137" s="26"/>
      <c r="H137" s="26"/>
      <c r="I137" s="27"/>
      <c r="J137" s="26"/>
      <c r="K137" s="26"/>
      <c r="L137" s="27">
        <f t="shared" ref="L137" si="923">+L138-SUM(L135:L136)</f>
        <v>106.40700000000001</v>
      </c>
      <c r="M137" s="26"/>
      <c r="N137" s="26"/>
      <c r="O137" s="27">
        <f t="shared" ref="O137:Q137" si="924">+O138-SUM(O135:O136)</f>
        <v>58.508999999999986</v>
      </c>
      <c r="P137" s="26">
        <f t="shared" si="924"/>
        <v>30.055000000000007</v>
      </c>
      <c r="Q137" s="26">
        <f t="shared" si="924"/>
        <v>35.602000000000004</v>
      </c>
      <c r="R137" s="27">
        <f t="shared" ref="R137" si="925">+Q137+P137</f>
        <v>65.657000000000011</v>
      </c>
      <c r="S137" s="26">
        <f t="shared" ref="S137" si="926">+S138-SUM(S135:S136)</f>
        <v>44.665999999999997</v>
      </c>
      <c r="T137" s="26">
        <f t="shared" ref="T137" si="927">+T138-SUM(T135:T136)</f>
        <v>56.525999999999982</v>
      </c>
      <c r="U137" s="27">
        <f t="shared" ref="U137" si="928">+T137+S137</f>
        <v>101.19199999999998</v>
      </c>
      <c r="V137" s="140">
        <f t="shared" ref="V137:W137" si="929">+V128</f>
        <v>10.661550000000002</v>
      </c>
      <c r="W137" s="140">
        <f t="shared" si="929"/>
        <v>10.860265125000002</v>
      </c>
      <c r="X137" s="143">
        <f t="shared" si="904"/>
        <v>21.521815125000003</v>
      </c>
      <c r="Y137" s="140">
        <f t="shared" ref="Y137:Z137" si="930">+Y128</f>
        <v>11.223167535625004</v>
      </c>
      <c r="Z137" s="140">
        <f t="shared" si="930"/>
        <v>11.416556404278129</v>
      </c>
      <c r="AA137" s="143">
        <f t="shared" si="906"/>
        <v>22.639723939903135</v>
      </c>
      <c r="AB137" s="140">
        <f t="shared" ref="AB137:AC137" si="931">+AB128</f>
        <v>11.784727064266768</v>
      </c>
      <c r="AC137" s="140">
        <f t="shared" si="931"/>
        <v>11.96880496496382</v>
      </c>
      <c r="AD137" s="143">
        <f t="shared" si="908"/>
        <v>23.753532029230588</v>
      </c>
      <c r="AE137" s="140">
        <f t="shared" ref="AE137:AF137" si="932">+AE128</f>
        <v>12.33874900503262</v>
      </c>
      <c r="AF137" s="140">
        <f t="shared" si="932"/>
        <v>12.508596978212344</v>
      </c>
      <c r="AG137" s="143">
        <f t="shared" si="910"/>
        <v>24.847345983244963</v>
      </c>
      <c r="AH137" s="140">
        <f t="shared" ref="AH137:AI137" si="933">+AH128</f>
        <v>12.875868010760787</v>
      </c>
      <c r="AI137" s="140">
        <f t="shared" si="933"/>
        <v>13.025450172508803</v>
      </c>
      <c r="AJ137" s="143">
        <f t="shared" si="912"/>
        <v>25.901318183269588</v>
      </c>
      <c r="AK137" s="140">
        <f t="shared" ref="AK137:AL137" si="934">+AK128</f>
        <v>13.38445674827747</v>
      </c>
      <c r="AL137" s="140">
        <f t="shared" si="934"/>
        <v>13.506403956276907</v>
      </c>
      <c r="AM137" s="143">
        <f t="shared" si="914"/>
        <v>26.890860704554377</v>
      </c>
      <c r="AN137" s="140">
        <f t="shared" ref="AN137:AO137" si="935">+AN128</f>
        <v>13.850179851998769</v>
      </c>
      <c r="AO137" s="140">
        <f t="shared" si="935"/>
        <v>13.935533652644205</v>
      </c>
      <c r="AP137" s="143">
        <f t="shared" si="916"/>
        <v>27.785713504642974</v>
      </c>
      <c r="AQ137" s="140">
        <f t="shared" ref="AQ137:AR137" si="936">+AQ128</f>
        <v>14.255465439515165</v>
      </c>
      <c r="AR137" s="140">
        <f t="shared" si="936"/>
        <v>14.293375153591411</v>
      </c>
      <c r="AS137" s="143">
        <f t="shared" si="918"/>
        <v>28.548840593106576</v>
      </c>
      <c r="AT137" s="140">
        <f t="shared" ref="AT137:AU137" si="937">+AT128</f>
        <v>14.578879325022594</v>
      </c>
      <c r="AU137" s="140">
        <f t="shared" si="937"/>
        <v>14.55624385574578</v>
      </c>
      <c r="AV137" s="143">
        <f t="shared" si="920"/>
        <v>29.135123180768375</v>
      </c>
      <c r="AW137" s="140">
        <f t="shared" ref="AW137:AX137" si="938">+AW128</f>
        <v>14.79438441311328</v>
      </c>
      <c r="AX137" s="140">
        <f t="shared" si="938"/>
        <v>14.695428860431393</v>
      </c>
      <c r="AY137" s="143">
        <f t="shared" si="922"/>
        <v>29.489813273544673</v>
      </c>
    </row>
    <row r="138" spans="1:51" s="24" customFormat="1" ht="12" customHeight="1" x14ac:dyDescent="0.2">
      <c r="A138" s="6"/>
      <c r="B138" s="49" t="s">
        <v>197</v>
      </c>
      <c r="C138" s="46"/>
      <c r="D138" s="47"/>
      <c r="E138" s="47"/>
      <c r="F138" s="48"/>
      <c r="G138" s="47"/>
      <c r="H138" s="47"/>
      <c r="I138" s="48">
        <f>I34</f>
        <v>3.3559999999999999</v>
      </c>
      <c r="J138" s="47"/>
      <c r="K138" s="47"/>
      <c r="L138" s="48">
        <f>L35</f>
        <v>109.76300000000001</v>
      </c>
      <c r="M138" s="47"/>
      <c r="N138" s="47"/>
      <c r="O138" s="48">
        <f t="shared" ref="O138:Q138" si="939">O35</f>
        <v>161.55199999999999</v>
      </c>
      <c r="P138" s="47">
        <f t="shared" si="939"/>
        <v>188.05500000000001</v>
      </c>
      <c r="Q138" s="47">
        <f t="shared" si="939"/>
        <v>217.297</v>
      </c>
      <c r="R138" s="48">
        <f>R35</f>
        <v>217.297</v>
      </c>
      <c r="S138" s="47">
        <f t="shared" ref="S138:T138" si="940">S35</f>
        <v>254.44800000000001</v>
      </c>
      <c r="T138" s="47">
        <f t="shared" si="940"/>
        <v>307.65899999999999</v>
      </c>
      <c r="U138" s="48">
        <f>U35</f>
        <v>307.65899999999999</v>
      </c>
      <c r="V138" s="47">
        <f t="shared" ref="V138" si="941">SUM(V135:V137)</f>
        <v>311.66156999999998</v>
      </c>
      <c r="W138" s="47">
        <f t="shared" ref="W138" si="942">SUM(W135:W137)</f>
        <v>317.24917512500002</v>
      </c>
      <c r="X138" s="48">
        <f t="shared" ref="X138:Y138" si="943">SUM(X135:X137)</f>
        <v>317.24917512499997</v>
      </c>
      <c r="Y138" s="47">
        <f t="shared" si="943"/>
        <v>321.31393916062495</v>
      </c>
      <c r="Z138" s="47">
        <f t="shared" ref="Z138" si="944">SUM(Z135:Z137)</f>
        <v>327.06238606490308</v>
      </c>
      <c r="AA138" s="48">
        <f t="shared" ref="AA138:AB138" si="945">SUM(AA135:AA137)</f>
        <v>327.06238606490314</v>
      </c>
      <c r="AB138" s="47">
        <f t="shared" si="945"/>
        <v>331.15182936666986</v>
      </c>
      <c r="AC138" s="47">
        <f t="shared" ref="AC138" si="946">SUM(AC135:AC137)</f>
        <v>337.02741661913365</v>
      </c>
      <c r="AD138" s="48">
        <f t="shared" ref="AD138:AE138" si="947">SUM(AD135:AD137)</f>
        <v>337.02741661913376</v>
      </c>
      <c r="AE138" s="47">
        <f t="shared" si="947"/>
        <v>341.0937355794789</v>
      </c>
      <c r="AF138" s="47">
        <f t="shared" ref="AF138" si="948">SUM(AF135:AF137)</f>
        <v>347.05212351675374</v>
      </c>
      <c r="AG138" s="48">
        <f t="shared" ref="AG138:AH138" si="949">SUM(AG135:AG137)</f>
        <v>347.05212351675374</v>
      </c>
      <c r="AH138" s="47">
        <f t="shared" si="949"/>
        <v>351.03512922947544</v>
      </c>
      <c r="AI138" s="47">
        <f t="shared" ref="AI138" si="950">SUM(AI135:AI137)</f>
        <v>357.01910468297643</v>
      </c>
      <c r="AJ138" s="48">
        <f t="shared" ref="AJ138:AL138" si="951">SUM(AJ135:AJ137)</f>
        <v>357.01910468297649</v>
      </c>
      <c r="AK138" s="47">
        <f t="shared" si="951"/>
        <v>360.84373446086192</v>
      </c>
      <c r="AL138" s="47">
        <f t="shared" si="951"/>
        <v>366.78055309420546</v>
      </c>
      <c r="AM138" s="48">
        <f t="shared" ref="AM138:AO138" si="952">SUM(AM135:AM137)</f>
        <v>366.78055309420546</v>
      </c>
      <c r="AN138" s="47">
        <f t="shared" si="952"/>
        <v>370.3539189530328</v>
      </c>
      <c r="AO138" s="47">
        <f t="shared" si="952"/>
        <v>376.15214838352364</v>
      </c>
      <c r="AP138" s="48">
        <f t="shared" ref="AP138:AR138" si="953">SUM(AP135:AP137)</f>
        <v>376.15214838352364</v>
      </c>
      <c r="AQ138" s="47">
        <f t="shared" si="953"/>
        <v>379.36003878037957</v>
      </c>
      <c r="AR138" s="47">
        <f t="shared" si="953"/>
        <v>384.90581189515603</v>
      </c>
      <c r="AS138" s="48">
        <f t="shared" ref="AS138:AU138" si="954">SUM(AS135:AS137)</f>
        <v>384.90581189515603</v>
      </c>
      <c r="AT138" s="47">
        <f t="shared" si="954"/>
        <v>387.60854804931989</v>
      </c>
      <c r="AU138" s="47">
        <f t="shared" si="954"/>
        <v>392.76111971333967</v>
      </c>
      <c r="AV138" s="48">
        <f t="shared" ref="AV138:AX138" si="955">SUM(AV135:AV137)</f>
        <v>392.76111971333967</v>
      </c>
      <c r="AW138" s="47">
        <f t="shared" si="955"/>
        <v>394.78865021777983</v>
      </c>
      <c r="AX138" s="47">
        <f t="shared" si="955"/>
        <v>399.37513147210575</v>
      </c>
      <c r="AY138" s="48">
        <f t="shared" ref="AY138" si="956">SUM(AY135:AY137)</f>
        <v>399.37513147210575</v>
      </c>
    </row>
    <row r="139" spans="1:51" s="24" customFormat="1" ht="12" customHeight="1" x14ac:dyDescent="0.2">
      <c r="B139" s="23"/>
      <c r="C139" s="23"/>
      <c r="D139" s="26"/>
      <c r="E139" s="26"/>
      <c r="F139" s="27"/>
      <c r="G139" s="26"/>
      <c r="H139" s="26"/>
      <c r="I139" s="27"/>
      <c r="J139" s="26"/>
      <c r="K139" s="26"/>
      <c r="L139" s="27"/>
      <c r="M139" s="26"/>
      <c r="N139" s="26"/>
      <c r="O139" s="27"/>
      <c r="P139" s="26"/>
      <c r="Q139" s="26"/>
      <c r="R139" s="27"/>
      <c r="S139" s="26"/>
      <c r="T139" s="26"/>
      <c r="U139" s="27"/>
      <c r="V139" s="26"/>
      <c r="W139" s="26"/>
      <c r="X139" s="27"/>
      <c r="Y139" s="26"/>
      <c r="Z139" s="26"/>
      <c r="AA139" s="27"/>
      <c r="AB139" s="26"/>
      <c r="AC139" s="26"/>
      <c r="AD139" s="27"/>
      <c r="AE139" s="26"/>
      <c r="AF139" s="26"/>
      <c r="AG139" s="27"/>
      <c r="AH139" s="26"/>
      <c r="AI139" s="26"/>
      <c r="AJ139" s="27"/>
      <c r="AK139" s="26"/>
      <c r="AL139" s="26"/>
      <c r="AM139" s="27"/>
      <c r="AN139" s="26"/>
      <c r="AO139" s="26"/>
      <c r="AP139" s="27"/>
      <c r="AQ139" s="26"/>
      <c r="AR139" s="26"/>
      <c r="AS139" s="27"/>
      <c r="AT139" s="26"/>
      <c r="AU139" s="26"/>
      <c r="AV139" s="27"/>
      <c r="AW139" s="26"/>
      <c r="AX139" s="26"/>
      <c r="AY139" s="27"/>
    </row>
    <row r="140" spans="1:51" s="24" customFormat="1" ht="12" customHeight="1" x14ac:dyDescent="0.2">
      <c r="B140" s="23" t="s">
        <v>327</v>
      </c>
      <c r="C140" s="23"/>
      <c r="D140" s="26"/>
      <c r="E140" s="26"/>
      <c r="F140" s="27"/>
      <c r="G140" s="26"/>
      <c r="H140" s="26"/>
      <c r="I140" s="27"/>
      <c r="J140" s="26"/>
      <c r="K140" s="26"/>
      <c r="L140" s="27">
        <f>+'Income &amp; Cash Flow'!L31</f>
        <v>-5.7990000000000004</v>
      </c>
      <c r="M140" s="26">
        <f>+'Income &amp; Cash Flow'!M31</f>
        <v>-3.6360000000000001</v>
      </c>
      <c r="N140" s="26">
        <f>+'Income &amp; Cash Flow'!N31</f>
        <v>-4.5629999999999997</v>
      </c>
      <c r="O140" s="27">
        <f>+'Income &amp; Cash Flow'!O31</f>
        <v>-8.1989999999999998</v>
      </c>
      <c r="P140" s="26">
        <f>+'Income &amp; Cash Flow'!P31</f>
        <v>-6.2610000000000001</v>
      </c>
      <c r="Q140" s="26">
        <f>+'Income &amp; Cash Flow'!Q31</f>
        <v>-7.133</v>
      </c>
      <c r="R140" s="27">
        <f>+'Income &amp; Cash Flow'!R31</f>
        <v>-13.394</v>
      </c>
      <c r="S140" s="26">
        <f>+'Income &amp; Cash Flow'!S31</f>
        <v>-8.6859999999999999</v>
      </c>
      <c r="T140" s="26">
        <f>+'Income &amp; Cash Flow'!T31</f>
        <v>-10.085000000000001</v>
      </c>
      <c r="U140" s="27">
        <f>+'Income &amp; Cash Flow'!U31</f>
        <v>-18.771000000000001</v>
      </c>
      <c r="V140" s="26">
        <f t="shared" ref="V140:W140" si="957">+V138*V141/2</f>
        <v>-9.3498470999999999</v>
      </c>
      <c r="W140" s="26">
        <f t="shared" si="957"/>
        <v>-9.5174752537499998</v>
      </c>
      <c r="X140" s="27">
        <f t="shared" ref="X140" si="958">+W140+V140</f>
        <v>-18.867322353749998</v>
      </c>
      <c r="Y140" s="26">
        <f t="shared" ref="Y140:Z140" si="959">+Y138*Y141/2</f>
        <v>-9.6394181748187489</v>
      </c>
      <c r="Z140" s="26">
        <f t="shared" si="959"/>
        <v>-9.8118715819470914</v>
      </c>
      <c r="AA140" s="27">
        <f t="shared" ref="AA140" si="960">+Z140+Y140</f>
        <v>-19.451289756765838</v>
      </c>
      <c r="AB140" s="26">
        <f t="shared" ref="AB140:AC140" si="961">+AB138*AB141/2</f>
        <v>-9.9345548810000945</v>
      </c>
      <c r="AC140" s="26">
        <f t="shared" si="961"/>
        <v>-10.110822498574009</v>
      </c>
      <c r="AD140" s="27">
        <f t="shared" ref="AD140" si="962">+AC140+AB140</f>
        <v>-20.045377379574106</v>
      </c>
      <c r="AE140" s="26">
        <f t="shared" ref="AE140:AF140" si="963">+AE138*AE141/2</f>
        <v>-10.232812067384367</v>
      </c>
      <c r="AF140" s="26">
        <f t="shared" si="963"/>
        <v>-10.411563705502612</v>
      </c>
      <c r="AG140" s="27">
        <f t="shared" ref="AG140" si="964">+AF140+AE140</f>
        <v>-20.644375772886981</v>
      </c>
      <c r="AH140" s="26">
        <f t="shared" ref="AH140:AI140" si="965">+AH138*AH141/2</f>
        <v>-10.531053876884263</v>
      </c>
      <c r="AI140" s="26">
        <f t="shared" si="965"/>
        <v>-10.710573140489293</v>
      </c>
      <c r="AJ140" s="27">
        <f t="shared" ref="AJ140" si="966">+AI140+AH140</f>
        <v>-21.241627017373556</v>
      </c>
      <c r="AK140" s="26">
        <f t="shared" ref="AK140:AL140" si="967">+AK138*AK141/2</f>
        <v>-10.825312033825858</v>
      </c>
      <c r="AL140" s="26">
        <f t="shared" si="967"/>
        <v>-11.003416592826163</v>
      </c>
      <c r="AM140" s="27">
        <f t="shared" ref="AM140" si="968">+AL140+AK140</f>
        <v>-21.828728626652023</v>
      </c>
      <c r="AN140" s="26">
        <f t="shared" ref="AN140:AO140" si="969">+AN138*AN141/2</f>
        <v>-11.110617568590984</v>
      </c>
      <c r="AO140" s="26">
        <f t="shared" si="969"/>
        <v>-11.284564451505709</v>
      </c>
      <c r="AP140" s="27">
        <f t="shared" ref="AP140" si="970">+AO140+AN140</f>
        <v>-22.395182020096691</v>
      </c>
      <c r="AQ140" s="26">
        <f t="shared" ref="AQ140:AR140" si="971">+AQ138*AQ141/2</f>
        <v>-11.380801163411387</v>
      </c>
      <c r="AR140" s="26">
        <f t="shared" si="971"/>
        <v>-11.547174356854681</v>
      </c>
      <c r="AS140" s="27">
        <f t="shared" ref="AS140" si="972">+AR140+AQ140</f>
        <v>-22.927975520266067</v>
      </c>
      <c r="AT140" s="26">
        <f t="shared" ref="AT140:AU140" si="973">+AT138*AT141/2</f>
        <v>-11.628256441479596</v>
      </c>
      <c r="AU140" s="26">
        <f t="shared" si="973"/>
        <v>-11.782833591400189</v>
      </c>
      <c r="AV140" s="27">
        <f t="shared" ref="AV140" si="974">+AU140+AT140</f>
        <v>-23.411090032879784</v>
      </c>
      <c r="AW140" s="26">
        <f t="shared" ref="AW140:AX140" si="975">+AW138*AW141/2</f>
        <v>-11.843659506533395</v>
      </c>
      <c r="AX140" s="26">
        <f t="shared" si="975"/>
        <v>-11.981253944163171</v>
      </c>
      <c r="AY140" s="27">
        <f t="shared" ref="AY140" si="976">+AX140+AW140</f>
        <v>-23.824913450696567</v>
      </c>
    </row>
    <row r="141" spans="1:51" s="24" customFormat="1" ht="12" customHeight="1" x14ac:dyDescent="0.2">
      <c r="B141" s="23" t="s">
        <v>328</v>
      </c>
      <c r="C141" s="23"/>
      <c r="D141" s="196"/>
      <c r="E141" s="196"/>
      <c r="F141" s="197"/>
      <c r="G141" s="196"/>
      <c r="H141" s="196"/>
      <c r="I141" s="197"/>
      <c r="J141" s="196"/>
      <c r="K141" s="196"/>
      <c r="L141" s="197"/>
      <c r="M141" s="196"/>
      <c r="N141" s="196"/>
      <c r="O141" s="197">
        <f>+O140/O138</f>
        <v>-5.0751460829949489E-2</v>
      </c>
      <c r="P141" s="196">
        <f>+P140/P138*2</f>
        <v>-6.6586902767807293E-2</v>
      </c>
      <c r="Q141" s="196">
        <f>+Q140/Q138*2</f>
        <v>-6.5652079872248581E-2</v>
      </c>
      <c r="R141" s="197">
        <f>+R140/R138</f>
        <v>-6.1639139058523591E-2</v>
      </c>
      <c r="S141" s="196">
        <f>+S140/S138*2</f>
        <v>-6.8273281770735078E-2</v>
      </c>
      <c r="T141" s="196">
        <f>+T140/T138*2</f>
        <v>-6.5559596826356467E-2</v>
      </c>
      <c r="U141" s="197">
        <f>+U140/U138</f>
        <v>-6.1012354587384091E-2</v>
      </c>
      <c r="V141" s="42">
        <v>-0.06</v>
      </c>
      <c r="W141" s="42">
        <v>-0.06</v>
      </c>
      <c r="X141" s="197">
        <f t="shared" ref="X141" si="977">X140/AVERAGE(X138,U138)</f>
        <v>-6.0384303181746597E-2</v>
      </c>
      <c r="Y141" s="42">
        <v>-0.06</v>
      </c>
      <c r="Z141" s="42">
        <v>-0.06</v>
      </c>
      <c r="AA141" s="197">
        <f t="shared" ref="AA141" si="978">AA140/AVERAGE(AA138,X138)</f>
        <v>-6.0378521598599105E-2</v>
      </c>
      <c r="AB141" s="42">
        <v>-0.06</v>
      </c>
      <c r="AC141" s="42">
        <v>-0.06</v>
      </c>
      <c r="AD141" s="197">
        <f t="shared" ref="AD141" si="979">AD140/AVERAGE(AD138,AA138)</f>
        <v>-6.0369478039136136E-2</v>
      </c>
      <c r="AE141" s="42">
        <v>-0.06</v>
      </c>
      <c r="AF141" s="42">
        <v>-0.06</v>
      </c>
      <c r="AG141" s="197">
        <f t="shared" ref="AG141" si="980">AG140/AVERAGE(AG138,AD138)</f>
        <v>-6.035665317160669E-2</v>
      </c>
      <c r="AH141" s="42">
        <v>-0.06</v>
      </c>
      <c r="AI141" s="42">
        <v>-0.06</v>
      </c>
      <c r="AJ141" s="197">
        <f t="shared" ref="AJ141" si="981">AJ140/AVERAGE(AJ138,AG138)</f>
        <v>-6.033942637220719E-2</v>
      </c>
      <c r="AK141" s="42">
        <v>-0.06</v>
      </c>
      <c r="AL141" s="42">
        <v>-0.06</v>
      </c>
      <c r="AM141" s="197">
        <f t="shared" ref="AM141" si="982">AM140/AVERAGE(AM138,AJ138)</f>
        <v>-6.0317046000516038E-2</v>
      </c>
      <c r="AN141" s="42">
        <v>-0.06</v>
      </c>
      <c r="AO141" s="42">
        <v>-0.06</v>
      </c>
      <c r="AP141" s="197">
        <f t="shared" ref="AP141" si="983">AP140/AVERAGE(AP138,AM138)</f>
        <v>-6.0288588658304013E-2</v>
      </c>
      <c r="AQ141" s="42">
        <v>-0.06</v>
      </c>
      <c r="AR141" s="42">
        <v>-0.06</v>
      </c>
      <c r="AS141" s="197">
        <f t="shared" ref="AS141" si="984">AS140/AVERAGE(AS138,AP138)</f>
        <v>-6.0252902451399193E-2</v>
      </c>
      <c r="AT141" s="42">
        <v>-0.06</v>
      </c>
      <c r="AU141" s="42">
        <v>-0.06</v>
      </c>
      <c r="AV141" s="197">
        <f t="shared" ref="AV141" si="985">AV140/AVERAGE(AV138,AS138)</f>
        <v>-6.0208526507504197E-2</v>
      </c>
      <c r="AW141" s="42">
        <v>-0.06</v>
      </c>
      <c r="AX141" s="42">
        <v>-0.06</v>
      </c>
      <c r="AY141" s="197">
        <f t="shared" ref="AY141" si="986">AY140/AVERAGE(AY138,AV138)</f>
        <v>-6.0153574375726847E-2</v>
      </c>
    </row>
    <row r="142" spans="1:51" s="24" customFormat="1" ht="12" customHeight="1" x14ac:dyDescent="0.2">
      <c r="B142" s="23"/>
      <c r="C142" s="23"/>
      <c r="D142" s="26"/>
      <c r="E142" s="26"/>
      <c r="F142" s="27"/>
      <c r="G142" s="26"/>
      <c r="H142" s="26"/>
      <c r="I142" s="27"/>
      <c r="J142" s="26"/>
      <c r="K142" s="26"/>
      <c r="L142" s="27"/>
      <c r="M142" s="26"/>
      <c r="N142" s="26"/>
      <c r="O142" s="27"/>
      <c r="P142" s="26"/>
      <c r="Q142" s="26"/>
      <c r="R142" s="27"/>
      <c r="S142" s="26"/>
      <c r="T142" s="26"/>
      <c r="U142" s="27"/>
      <c r="V142" s="26"/>
      <c r="W142" s="26"/>
      <c r="X142" s="27"/>
      <c r="Y142" s="26"/>
      <c r="Z142" s="26"/>
      <c r="AA142" s="27"/>
      <c r="AB142" s="26"/>
      <c r="AC142" s="26"/>
      <c r="AD142" s="27"/>
      <c r="AE142" s="26"/>
      <c r="AF142" s="26"/>
      <c r="AG142" s="27"/>
      <c r="AH142" s="26"/>
      <c r="AI142" s="26"/>
      <c r="AJ142" s="27"/>
      <c r="AK142" s="26"/>
      <c r="AL142" s="26"/>
      <c r="AM142" s="27"/>
      <c r="AN142" s="26"/>
      <c r="AO142" s="26"/>
      <c r="AP142" s="27"/>
      <c r="AQ142" s="26"/>
      <c r="AR142" s="26"/>
      <c r="AS142" s="27"/>
      <c r="AT142" s="26"/>
      <c r="AU142" s="26"/>
      <c r="AV142" s="27"/>
      <c r="AW142" s="26"/>
      <c r="AX142" s="26"/>
      <c r="AY142" s="27"/>
    </row>
    <row r="143" spans="1:51" x14ac:dyDescent="0.2">
      <c r="A143" s="24"/>
      <c r="B143" s="5" t="s">
        <v>272</v>
      </c>
      <c r="D143" s="6"/>
      <c r="E143" s="6"/>
      <c r="F143" s="13"/>
      <c r="G143" s="6"/>
      <c r="H143" s="6"/>
      <c r="I143" s="13"/>
      <c r="J143" s="6"/>
      <c r="K143" s="6"/>
      <c r="L143" s="13"/>
      <c r="M143" s="6"/>
      <c r="N143" s="6"/>
      <c r="O143" s="13"/>
      <c r="P143" s="6"/>
      <c r="Q143" s="6"/>
      <c r="R143" s="13"/>
      <c r="S143" s="6"/>
      <c r="T143" s="6"/>
      <c r="U143" s="13"/>
      <c r="V143" s="6"/>
      <c r="W143" s="6"/>
      <c r="X143" s="13"/>
      <c r="Y143" s="6"/>
      <c r="Z143" s="6"/>
      <c r="AA143" s="13"/>
      <c r="AB143" s="6"/>
      <c r="AC143" s="6"/>
      <c r="AD143" s="13"/>
      <c r="AE143" s="6"/>
      <c r="AF143" s="6"/>
      <c r="AG143" s="13"/>
      <c r="AH143" s="6"/>
      <c r="AI143" s="6"/>
      <c r="AJ143" s="13"/>
      <c r="AK143" s="6"/>
      <c r="AL143" s="6"/>
      <c r="AM143" s="13"/>
      <c r="AN143" s="6"/>
      <c r="AO143" s="6"/>
      <c r="AP143" s="13"/>
      <c r="AQ143" s="6"/>
      <c r="AR143" s="6"/>
      <c r="AS143" s="13"/>
      <c r="AT143" s="6"/>
      <c r="AU143" s="6"/>
      <c r="AV143" s="13"/>
      <c r="AW143" s="6"/>
      <c r="AX143" s="6"/>
      <c r="AY143" s="13"/>
    </row>
    <row r="144" spans="1:51" s="24" customFormat="1" ht="12" customHeight="1" x14ac:dyDescent="0.2">
      <c r="B144" s="23" t="s">
        <v>195</v>
      </c>
      <c r="C144" s="23"/>
      <c r="D144" s="26"/>
      <c r="E144" s="26"/>
      <c r="F144" s="27"/>
      <c r="G144" s="26"/>
      <c r="H144" s="26"/>
      <c r="I144" s="27">
        <f>+F146</f>
        <v>0</v>
      </c>
      <c r="J144" s="26"/>
      <c r="K144" s="26"/>
      <c r="L144" s="27">
        <f t="shared" ref="L144" si="987">+I146</f>
        <v>3.3559999999999999</v>
      </c>
      <c r="M144" s="26"/>
      <c r="N144" s="26"/>
      <c r="O144" s="27">
        <f>+L146</f>
        <v>0</v>
      </c>
      <c r="P144" s="26">
        <f>+O146</f>
        <v>3</v>
      </c>
      <c r="Q144" s="26">
        <f>+P146</f>
        <v>3</v>
      </c>
      <c r="R144" s="27">
        <f>+O146</f>
        <v>3</v>
      </c>
      <c r="S144" s="26">
        <f>+R146</f>
        <v>0</v>
      </c>
      <c r="T144" s="26">
        <f>+S146</f>
        <v>0</v>
      </c>
      <c r="U144" s="27">
        <f>+R146</f>
        <v>0</v>
      </c>
      <c r="V144" s="26">
        <f t="shared" ref="V144:W144" si="988">+U146</f>
        <v>0</v>
      </c>
      <c r="W144" s="26">
        <f t="shared" si="988"/>
        <v>0</v>
      </c>
      <c r="X144" s="27">
        <f t="shared" ref="X144" si="989">+U146</f>
        <v>0</v>
      </c>
      <c r="Y144" s="26">
        <f t="shared" ref="Y144:Z144" si="990">+X146</f>
        <v>0</v>
      </c>
      <c r="Z144" s="26">
        <f t="shared" si="990"/>
        <v>0</v>
      </c>
      <c r="AA144" s="27">
        <f t="shared" ref="AA144" si="991">+X146</f>
        <v>0</v>
      </c>
      <c r="AB144" s="26">
        <f t="shared" ref="AB144:AC144" si="992">+AA146</f>
        <v>0</v>
      </c>
      <c r="AC144" s="26">
        <f t="shared" si="992"/>
        <v>0</v>
      </c>
      <c r="AD144" s="27">
        <f t="shared" ref="AD144" si="993">+AA146</f>
        <v>0</v>
      </c>
      <c r="AE144" s="26">
        <f t="shared" ref="AE144:AF144" si="994">+AD146</f>
        <v>0</v>
      </c>
      <c r="AF144" s="26">
        <f t="shared" si="994"/>
        <v>0</v>
      </c>
      <c r="AG144" s="27">
        <f t="shared" ref="AG144" si="995">+AD146</f>
        <v>0</v>
      </c>
      <c r="AH144" s="26">
        <f t="shared" ref="AH144:AI144" si="996">+AG146</f>
        <v>0</v>
      </c>
      <c r="AI144" s="26">
        <f t="shared" si="996"/>
        <v>0</v>
      </c>
      <c r="AJ144" s="27">
        <f t="shared" ref="AJ144" si="997">+AG146</f>
        <v>0</v>
      </c>
      <c r="AK144" s="26">
        <f t="shared" ref="AK144" si="998">+AJ146</f>
        <v>0</v>
      </c>
      <c r="AL144" s="26">
        <f t="shared" ref="AL144" si="999">+AK146</f>
        <v>0</v>
      </c>
      <c r="AM144" s="27">
        <f t="shared" ref="AM144" si="1000">+AJ146</f>
        <v>0</v>
      </c>
      <c r="AN144" s="26">
        <f t="shared" ref="AN144" si="1001">+AM146</f>
        <v>0</v>
      </c>
      <c r="AO144" s="26">
        <f t="shared" ref="AO144" si="1002">+AN146</f>
        <v>0</v>
      </c>
      <c r="AP144" s="27">
        <f t="shared" ref="AP144" si="1003">+AM146</f>
        <v>0</v>
      </c>
      <c r="AQ144" s="26">
        <f t="shared" ref="AQ144" si="1004">+AP146</f>
        <v>0</v>
      </c>
      <c r="AR144" s="26">
        <f t="shared" ref="AR144" si="1005">+AQ146</f>
        <v>0</v>
      </c>
      <c r="AS144" s="27">
        <f t="shared" ref="AS144" si="1006">+AP146</f>
        <v>0</v>
      </c>
      <c r="AT144" s="26">
        <f t="shared" ref="AT144" si="1007">+AS146</f>
        <v>0</v>
      </c>
      <c r="AU144" s="26">
        <f t="shared" ref="AU144" si="1008">+AT146</f>
        <v>0</v>
      </c>
      <c r="AV144" s="27">
        <f t="shared" ref="AV144" si="1009">+AS146</f>
        <v>0</v>
      </c>
      <c r="AW144" s="26">
        <f t="shared" ref="AW144" si="1010">+AV146</f>
        <v>0</v>
      </c>
      <c r="AX144" s="26">
        <f t="shared" ref="AX144" si="1011">+AW146</f>
        <v>0</v>
      </c>
      <c r="AY144" s="27">
        <f t="shared" ref="AY144" si="1012">+AV146</f>
        <v>0</v>
      </c>
    </row>
    <row r="145" spans="1:51" s="24" customFormat="1" ht="12" customHeight="1" x14ac:dyDescent="0.2">
      <c r="B145" s="23" t="s">
        <v>196</v>
      </c>
      <c r="C145" s="23"/>
      <c r="D145" s="26"/>
      <c r="E145" s="26"/>
      <c r="F145" s="27"/>
      <c r="G145" s="26"/>
      <c r="H145" s="26"/>
      <c r="I145" s="27">
        <f t="shared" ref="I145" si="1013">+H145+G145</f>
        <v>0</v>
      </c>
      <c r="J145" s="26"/>
      <c r="K145" s="26"/>
      <c r="L145" s="27">
        <f t="shared" ref="L145" si="1014">+K145+J145</f>
        <v>0</v>
      </c>
      <c r="M145" s="26"/>
      <c r="N145" s="26"/>
      <c r="O145" s="27">
        <f t="shared" ref="O145" si="1015">+N145+M145</f>
        <v>0</v>
      </c>
      <c r="P145" s="26">
        <f t="shared" ref="P145:Q145" si="1016">+P146-P144</f>
        <v>0</v>
      </c>
      <c r="Q145" s="26">
        <f t="shared" si="1016"/>
        <v>-3</v>
      </c>
      <c r="R145" s="27">
        <f t="shared" ref="R145" si="1017">+Q145+P145</f>
        <v>-3</v>
      </c>
      <c r="S145" s="26">
        <f t="shared" ref="S145:T145" si="1018">+S146-S144</f>
        <v>0</v>
      </c>
      <c r="T145" s="26">
        <f t="shared" si="1018"/>
        <v>0</v>
      </c>
      <c r="U145" s="27">
        <f t="shared" ref="U145" si="1019">+T145+S145</f>
        <v>0</v>
      </c>
      <c r="V145" s="140">
        <v>0</v>
      </c>
      <c r="W145" s="140">
        <v>0</v>
      </c>
      <c r="X145" s="27">
        <f t="shared" ref="X145" si="1020">+W145+V145</f>
        <v>0</v>
      </c>
      <c r="Y145" s="140">
        <v>0</v>
      </c>
      <c r="Z145" s="140">
        <v>0</v>
      </c>
      <c r="AA145" s="27">
        <f t="shared" ref="AA145" si="1021">+Z145+Y145</f>
        <v>0</v>
      </c>
      <c r="AB145" s="140">
        <v>0</v>
      </c>
      <c r="AC145" s="140">
        <v>0</v>
      </c>
      <c r="AD145" s="27">
        <f t="shared" ref="AD145" si="1022">+AC145+AB145</f>
        <v>0</v>
      </c>
      <c r="AE145" s="140">
        <v>0</v>
      </c>
      <c r="AF145" s="140">
        <v>0</v>
      </c>
      <c r="AG145" s="27">
        <f t="shared" ref="AG145" si="1023">+AF145+AE145</f>
        <v>0</v>
      </c>
      <c r="AH145" s="140">
        <v>0</v>
      </c>
      <c r="AI145" s="140">
        <v>0</v>
      </c>
      <c r="AJ145" s="27">
        <f t="shared" ref="AJ145" si="1024">+AI145+AH145</f>
        <v>0</v>
      </c>
      <c r="AK145" s="140">
        <v>0</v>
      </c>
      <c r="AL145" s="140">
        <v>0</v>
      </c>
      <c r="AM145" s="27">
        <f t="shared" ref="AM145" si="1025">+AL145+AK145</f>
        <v>0</v>
      </c>
      <c r="AN145" s="140">
        <v>0</v>
      </c>
      <c r="AO145" s="140">
        <v>0</v>
      </c>
      <c r="AP145" s="27">
        <f t="shared" ref="AP145" si="1026">+AO145+AN145</f>
        <v>0</v>
      </c>
      <c r="AQ145" s="140">
        <v>0</v>
      </c>
      <c r="AR145" s="140">
        <v>0</v>
      </c>
      <c r="AS145" s="27">
        <f t="shared" ref="AS145" si="1027">+AR145+AQ145</f>
        <v>0</v>
      </c>
      <c r="AT145" s="140">
        <v>0</v>
      </c>
      <c r="AU145" s="140">
        <v>0</v>
      </c>
      <c r="AV145" s="27">
        <f t="shared" ref="AV145" si="1028">+AU145+AT145</f>
        <v>0</v>
      </c>
      <c r="AW145" s="140">
        <v>0</v>
      </c>
      <c r="AX145" s="140">
        <v>0</v>
      </c>
      <c r="AY145" s="27">
        <f t="shared" ref="AY145" si="1029">+AX145+AW145</f>
        <v>0</v>
      </c>
    </row>
    <row r="146" spans="1:51" s="24" customFormat="1" ht="12" customHeight="1" x14ac:dyDescent="0.2">
      <c r="A146" s="6"/>
      <c r="B146" s="49" t="s">
        <v>197</v>
      </c>
      <c r="C146" s="46"/>
      <c r="D146" s="47"/>
      <c r="E146" s="47"/>
      <c r="F146" s="48"/>
      <c r="G146" s="47"/>
      <c r="H146" s="47"/>
      <c r="I146" s="48">
        <f>+I34</f>
        <v>3.3559999999999999</v>
      </c>
      <c r="J146" s="47"/>
      <c r="K146" s="47"/>
      <c r="L146" s="48">
        <f>+L34</f>
        <v>0</v>
      </c>
      <c r="M146" s="47"/>
      <c r="N146" s="47"/>
      <c r="O146" s="48">
        <f t="shared" ref="O146:Q146" si="1030">+O34</f>
        <v>3</v>
      </c>
      <c r="P146" s="47">
        <f t="shared" si="1030"/>
        <v>3</v>
      </c>
      <c r="Q146" s="47">
        <f t="shared" si="1030"/>
        <v>0</v>
      </c>
      <c r="R146" s="48">
        <f>+R34</f>
        <v>0</v>
      </c>
      <c r="S146" s="47">
        <f t="shared" ref="S146:T146" si="1031">+S34</f>
        <v>0</v>
      </c>
      <c r="T146" s="47">
        <f t="shared" si="1031"/>
        <v>0</v>
      </c>
      <c r="U146" s="48">
        <f>+U34</f>
        <v>0</v>
      </c>
      <c r="V146" s="47">
        <f t="shared" ref="V146:AJ146" si="1032">SUM(V144:V145)</f>
        <v>0</v>
      </c>
      <c r="W146" s="47">
        <f t="shared" si="1032"/>
        <v>0</v>
      </c>
      <c r="X146" s="48">
        <f t="shared" si="1032"/>
        <v>0</v>
      </c>
      <c r="Y146" s="47">
        <f t="shared" si="1032"/>
        <v>0</v>
      </c>
      <c r="Z146" s="47">
        <f t="shared" si="1032"/>
        <v>0</v>
      </c>
      <c r="AA146" s="48">
        <f t="shared" si="1032"/>
        <v>0</v>
      </c>
      <c r="AB146" s="47">
        <f t="shared" si="1032"/>
        <v>0</v>
      </c>
      <c r="AC146" s="47">
        <f t="shared" si="1032"/>
        <v>0</v>
      </c>
      <c r="AD146" s="48">
        <f t="shared" si="1032"/>
        <v>0</v>
      </c>
      <c r="AE146" s="47">
        <f t="shared" si="1032"/>
        <v>0</v>
      </c>
      <c r="AF146" s="47">
        <f t="shared" si="1032"/>
        <v>0</v>
      </c>
      <c r="AG146" s="48">
        <f t="shared" si="1032"/>
        <v>0</v>
      </c>
      <c r="AH146" s="47">
        <f t="shared" si="1032"/>
        <v>0</v>
      </c>
      <c r="AI146" s="47">
        <f t="shared" si="1032"/>
        <v>0</v>
      </c>
      <c r="AJ146" s="48">
        <f t="shared" si="1032"/>
        <v>0</v>
      </c>
      <c r="AK146" s="47">
        <f t="shared" ref="AK146:AM146" si="1033">SUM(AK144:AK145)</f>
        <v>0</v>
      </c>
      <c r="AL146" s="47">
        <f t="shared" si="1033"/>
        <v>0</v>
      </c>
      <c r="AM146" s="48">
        <f t="shared" si="1033"/>
        <v>0</v>
      </c>
      <c r="AN146" s="47">
        <f t="shared" ref="AN146:AP146" si="1034">SUM(AN144:AN145)</f>
        <v>0</v>
      </c>
      <c r="AO146" s="47">
        <f t="shared" si="1034"/>
        <v>0</v>
      </c>
      <c r="AP146" s="48">
        <f t="shared" si="1034"/>
        <v>0</v>
      </c>
      <c r="AQ146" s="47">
        <f t="shared" ref="AQ146:AS146" si="1035">SUM(AQ144:AQ145)</f>
        <v>0</v>
      </c>
      <c r="AR146" s="47">
        <f t="shared" si="1035"/>
        <v>0</v>
      </c>
      <c r="AS146" s="48">
        <f t="shared" si="1035"/>
        <v>0</v>
      </c>
      <c r="AT146" s="47">
        <f t="shared" ref="AT146:AV146" si="1036">SUM(AT144:AT145)</f>
        <v>0</v>
      </c>
      <c r="AU146" s="47">
        <f t="shared" si="1036"/>
        <v>0</v>
      </c>
      <c r="AV146" s="48">
        <f t="shared" si="1036"/>
        <v>0</v>
      </c>
      <c r="AW146" s="47">
        <f t="shared" ref="AW146:AY146" si="1037">SUM(AW144:AW145)</f>
        <v>0</v>
      </c>
      <c r="AX146" s="47">
        <f t="shared" si="1037"/>
        <v>0</v>
      </c>
      <c r="AY146" s="48">
        <f t="shared" si="1037"/>
        <v>0</v>
      </c>
    </row>
    <row r="147" spans="1:51" x14ac:dyDescent="0.2">
      <c r="A147" s="24"/>
      <c r="B147" s="6"/>
      <c r="D147" s="6"/>
      <c r="E147" s="6"/>
      <c r="F147" s="13"/>
      <c r="G147" s="6"/>
      <c r="H147" s="6"/>
      <c r="I147" s="13"/>
      <c r="J147" s="6"/>
      <c r="K147" s="6"/>
      <c r="L147" s="13"/>
      <c r="M147" s="6"/>
      <c r="N147" s="6"/>
      <c r="O147" s="13"/>
      <c r="P147" s="6"/>
      <c r="Q147" s="6"/>
      <c r="R147" s="13"/>
      <c r="S147" s="6"/>
      <c r="T147" s="6"/>
      <c r="U147" s="13"/>
      <c r="V147" s="6"/>
      <c r="W147" s="6"/>
      <c r="X147" s="13"/>
      <c r="Y147" s="6"/>
      <c r="Z147" s="6"/>
      <c r="AA147" s="13"/>
      <c r="AB147" s="6"/>
      <c r="AC147" s="6"/>
      <c r="AD147" s="13"/>
      <c r="AE147" s="6"/>
      <c r="AF147" s="6"/>
      <c r="AG147" s="13"/>
      <c r="AH147" s="6"/>
      <c r="AI147" s="6"/>
      <c r="AJ147" s="13"/>
      <c r="AK147" s="6"/>
      <c r="AL147" s="6"/>
      <c r="AM147" s="13"/>
      <c r="AN147" s="6"/>
      <c r="AO147" s="6"/>
      <c r="AP147" s="13"/>
      <c r="AQ147" s="6"/>
      <c r="AR147" s="6"/>
      <c r="AS147" s="13"/>
      <c r="AT147" s="6"/>
      <c r="AU147" s="6"/>
      <c r="AV147" s="13"/>
      <c r="AW147" s="6"/>
      <c r="AX147" s="6"/>
      <c r="AY147" s="13"/>
    </row>
    <row r="148" spans="1:51" s="24" customFormat="1" ht="12" customHeight="1" x14ac:dyDescent="0.2">
      <c r="B148" s="28" t="s">
        <v>88</v>
      </c>
      <c r="C148" s="29"/>
      <c r="D148" s="31"/>
      <c r="E148" s="31"/>
      <c r="F148" s="30"/>
      <c r="G148" s="31"/>
      <c r="H148" s="31"/>
      <c r="I148" s="30">
        <f t="shared" ref="I148:L148" si="1038">+I146+I138</f>
        <v>6.7119999999999997</v>
      </c>
      <c r="J148" s="31"/>
      <c r="K148" s="31"/>
      <c r="L148" s="30">
        <f t="shared" si="1038"/>
        <v>109.76300000000001</v>
      </c>
      <c r="M148" s="31"/>
      <c r="N148" s="31"/>
      <c r="O148" s="30">
        <f>+O146+O138</f>
        <v>164.55199999999999</v>
      </c>
      <c r="P148" s="31">
        <f t="shared" ref="P148:Q148" si="1039">+P146+P138</f>
        <v>191.05500000000001</v>
      </c>
      <c r="Q148" s="31">
        <f t="shared" si="1039"/>
        <v>217.297</v>
      </c>
      <c r="R148" s="30">
        <f>+R146+R138</f>
        <v>217.297</v>
      </c>
      <c r="S148" s="31">
        <f t="shared" ref="S148:T148" si="1040">+S146+S138</f>
        <v>254.44800000000001</v>
      </c>
      <c r="T148" s="31">
        <f t="shared" si="1040"/>
        <v>307.65899999999999</v>
      </c>
      <c r="U148" s="30">
        <f>+U146+U138</f>
        <v>307.65899999999999</v>
      </c>
      <c r="V148" s="31">
        <f t="shared" ref="V148:AJ148" si="1041">+V146+V138</f>
        <v>311.66156999999998</v>
      </c>
      <c r="W148" s="31">
        <f t="shared" si="1041"/>
        <v>317.24917512500002</v>
      </c>
      <c r="X148" s="30">
        <f t="shared" si="1041"/>
        <v>317.24917512499997</v>
      </c>
      <c r="Y148" s="31">
        <f t="shared" si="1041"/>
        <v>321.31393916062495</v>
      </c>
      <c r="Z148" s="31">
        <f t="shared" si="1041"/>
        <v>327.06238606490308</v>
      </c>
      <c r="AA148" s="30">
        <f t="shared" si="1041"/>
        <v>327.06238606490314</v>
      </c>
      <c r="AB148" s="31">
        <f t="shared" si="1041"/>
        <v>331.15182936666986</v>
      </c>
      <c r="AC148" s="31">
        <f t="shared" si="1041"/>
        <v>337.02741661913365</v>
      </c>
      <c r="AD148" s="30">
        <f t="shared" si="1041"/>
        <v>337.02741661913376</v>
      </c>
      <c r="AE148" s="31">
        <f t="shared" si="1041"/>
        <v>341.0937355794789</v>
      </c>
      <c r="AF148" s="31">
        <f t="shared" si="1041"/>
        <v>347.05212351675374</v>
      </c>
      <c r="AG148" s="30">
        <f t="shared" si="1041"/>
        <v>347.05212351675374</v>
      </c>
      <c r="AH148" s="31">
        <f t="shared" si="1041"/>
        <v>351.03512922947544</v>
      </c>
      <c r="AI148" s="31">
        <f t="shared" si="1041"/>
        <v>357.01910468297643</v>
      </c>
      <c r="AJ148" s="30">
        <f t="shared" si="1041"/>
        <v>357.01910468297649</v>
      </c>
      <c r="AK148" s="31">
        <f t="shared" ref="AK148:AM148" si="1042">+AK146+AK138</f>
        <v>360.84373446086192</v>
      </c>
      <c r="AL148" s="31">
        <f t="shared" si="1042"/>
        <v>366.78055309420546</v>
      </c>
      <c r="AM148" s="30">
        <f t="shared" si="1042"/>
        <v>366.78055309420546</v>
      </c>
      <c r="AN148" s="31">
        <f t="shared" ref="AN148:AP148" si="1043">+AN146+AN138</f>
        <v>370.3539189530328</v>
      </c>
      <c r="AO148" s="31">
        <f t="shared" si="1043"/>
        <v>376.15214838352364</v>
      </c>
      <c r="AP148" s="30">
        <f t="shared" si="1043"/>
        <v>376.15214838352364</v>
      </c>
      <c r="AQ148" s="31">
        <f t="shared" ref="AQ148:AS148" si="1044">+AQ146+AQ138</f>
        <v>379.36003878037957</v>
      </c>
      <c r="AR148" s="31">
        <f t="shared" si="1044"/>
        <v>384.90581189515603</v>
      </c>
      <c r="AS148" s="30">
        <f t="shared" si="1044"/>
        <v>384.90581189515603</v>
      </c>
      <c r="AT148" s="31">
        <f t="shared" ref="AT148:AV148" si="1045">+AT146+AT138</f>
        <v>387.60854804931989</v>
      </c>
      <c r="AU148" s="31">
        <f t="shared" si="1045"/>
        <v>392.76111971333967</v>
      </c>
      <c r="AV148" s="30">
        <f t="shared" si="1045"/>
        <v>392.76111971333967</v>
      </c>
      <c r="AW148" s="31">
        <f t="shared" ref="AW148:AY148" si="1046">+AW146+AW138</f>
        <v>394.78865021777983</v>
      </c>
      <c r="AX148" s="31">
        <f t="shared" si="1046"/>
        <v>399.37513147210575</v>
      </c>
      <c r="AY148" s="30">
        <f t="shared" si="1046"/>
        <v>399.37513147210575</v>
      </c>
    </row>
    <row r="149" spans="1:51" x14ac:dyDescent="0.2">
      <c r="A149" s="24"/>
      <c r="B149" s="6"/>
      <c r="D149" s="6"/>
      <c r="E149" s="6"/>
      <c r="F149" s="13"/>
      <c r="G149" s="6"/>
      <c r="H149" s="6"/>
      <c r="I149" s="13"/>
      <c r="J149" s="6"/>
      <c r="K149" s="6"/>
      <c r="L149" s="13"/>
      <c r="M149" s="6"/>
      <c r="N149" s="6"/>
      <c r="O149" s="13"/>
      <c r="P149" s="6"/>
      <c r="Q149" s="6"/>
      <c r="R149" s="13"/>
      <c r="S149" s="6"/>
      <c r="T149" s="6"/>
      <c r="U149" s="13"/>
      <c r="V149" s="6"/>
      <c r="W149" s="6"/>
      <c r="X149" s="13"/>
      <c r="Y149" s="6"/>
      <c r="Z149" s="6"/>
      <c r="AA149" s="13"/>
      <c r="AB149" s="6"/>
      <c r="AC149" s="6"/>
      <c r="AD149" s="13"/>
      <c r="AE149" s="6"/>
      <c r="AF149" s="6"/>
      <c r="AG149" s="13"/>
      <c r="AH149" s="6"/>
      <c r="AI149" s="6"/>
      <c r="AJ149" s="13"/>
      <c r="AK149" s="6"/>
      <c r="AL149" s="6"/>
      <c r="AM149" s="13"/>
      <c r="AN149" s="6"/>
      <c r="AO149" s="6"/>
      <c r="AP149" s="13"/>
      <c r="AQ149" s="6"/>
      <c r="AR149" s="6"/>
      <c r="AS149" s="13"/>
      <c r="AT149" s="6"/>
      <c r="AU149" s="6"/>
      <c r="AV149" s="13"/>
      <c r="AW149" s="6"/>
      <c r="AX149" s="6"/>
      <c r="AY149" s="13"/>
    </row>
    <row r="150" spans="1:51" x14ac:dyDescent="0.2">
      <c r="A150" s="14"/>
      <c r="B150" s="12" t="s">
        <v>198</v>
      </c>
      <c r="D150" s="6"/>
      <c r="E150" s="6"/>
      <c r="F150" s="13"/>
      <c r="G150" s="6"/>
      <c r="H150" s="6"/>
      <c r="I150" s="13"/>
      <c r="J150" s="6"/>
      <c r="K150" s="6"/>
      <c r="L150" s="13"/>
      <c r="M150" s="6"/>
      <c r="N150" s="6"/>
      <c r="O150" s="13"/>
      <c r="P150" s="6"/>
      <c r="Q150" s="6"/>
      <c r="R150" s="13"/>
      <c r="S150" s="6"/>
      <c r="T150" s="6"/>
      <c r="U150" s="13"/>
      <c r="V150" s="6"/>
      <c r="W150" s="6"/>
      <c r="X150" s="13"/>
      <c r="Y150" s="6"/>
      <c r="Z150" s="6"/>
      <c r="AA150" s="13"/>
      <c r="AB150" s="6"/>
      <c r="AC150" s="6"/>
      <c r="AD150" s="13"/>
      <c r="AE150" s="6"/>
      <c r="AF150" s="6"/>
      <c r="AG150" s="13"/>
      <c r="AH150" s="6"/>
      <c r="AI150" s="6"/>
      <c r="AJ150" s="13"/>
      <c r="AK150" s="6"/>
      <c r="AL150" s="6"/>
      <c r="AM150" s="13"/>
      <c r="AN150" s="6"/>
      <c r="AO150" s="6"/>
      <c r="AP150" s="13"/>
      <c r="AQ150" s="6"/>
      <c r="AR150" s="6"/>
      <c r="AS150" s="13"/>
      <c r="AT150" s="6"/>
      <c r="AU150" s="6"/>
      <c r="AV150" s="13"/>
      <c r="AW150" s="6"/>
      <c r="AX150" s="6"/>
      <c r="AY150" s="13"/>
    </row>
    <row r="151" spans="1:51" s="24" customFormat="1" ht="12" customHeight="1" x14ac:dyDescent="0.2">
      <c r="B151" s="23" t="s">
        <v>199</v>
      </c>
      <c r="C151" s="23"/>
      <c r="D151" s="26"/>
      <c r="E151" s="26"/>
      <c r="F151" s="27"/>
      <c r="G151" s="26"/>
      <c r="H151" s="26"/>
      <c r="I151" s="27">
        <f>+'Income &amp; Cash Flow'!I31</f>
        <v>-5.1559999999999997</v>
      </c>
      <c r="J151" s="26">
        <f>+'Income &amp; Cash Flow'!J30</f>
        <v>0</v>
      </c>
      <c r="K151" s="26">
        <f>+'Income &amp; Cash Flow'!K30</f>
        <v>0</v>
      </c>
      <c r="L151" s="27">
        <f>+'Income &amp; Cash Flow'!L30</f>
        <v>-0.20900000000000002</v>
      </c>
      <c r="M151" s="26">
        <f>+'Income &amp; Cash Flow'!M30</f>
        <v>-0.124</v>
      </c>
      <c r="N151" s="26">
        <f>+'Income &amp; Cash Flow'!N30</f>
        <v>-0.18</v>
      </c>
      <c r="O151" s="27">
        <f>+'Income &amp; Cash Flow'!O30</f>
        <v>-0.30399999999999999</v>
      </c>
      <c r="P151" s="26">
        <f>+'Income &amp; Cash Flow'!P30</f>
        <v>-0.14899999999999999</v>
      </c>
      <c r="Q151" s="26">
        <f>+'Income &amp; Cash Flow'!Q30</f>
        <v>-0.18100000000000002</v>
      </c>
      <c r="R151" s="27">
        <f>+'Income &amp; Cash Flow'!R30</f>
        <v>-0.33</v>
      </c>
      <c r="S151" s="26">
        <f>+'Income &amp; Cash Flow'!S30</f>
        <v>-6.6000000000000003E-2</v>
      </c>
      <c r="T151" s="26">
        <f>+'Income &amp; Cash Flow'!T30</f>
        <v>-6.5000000000000224E-2</v>
      </c>
      <c r="U151" s="27">
        <f>+'Income &amp; Cash Flow'!U30</f>
        <v>-0.13100000000000023</v>
      </c>
      <c r="V151" s="26">
        <f t="shared" ref="V151:W151" si="1047">-AVERAGE(V146,U146)*V152/2</f>
        <v>0</v>
      </c>
      <c r="W151" s="26">
        <f t="shared" si="1047"/>
        <v>0</v>
      </c>
      <c r="X151" s="27">
        <f t="shared" ref="X151" si="1048">+W151+V151</f>
        <v>0</v>
      </c>
      <c r="Y151" s="26">
        <f t="shared" ref="Y151:Z151" si="1049">-AVERAGE(Y146,X146)*Y152/2</f>
        <v>0</v>
      </c>
      <c r="Z151" s="26">
        <f t="shared" si="1049"/>
        <v>0</v>
      </c>
      <c r="AA151" s="27">
        <f t="shared" ref="AA151" si="1050">+Z151+Y151</f>
        <v>0</v>
      </c>
      <c r="AB151" s="26">
        <f t="shared" ref="AB151:AC151" si="1051">-AVERAGE(AB146,AA146)*AB152/2</f>
        <v>0</v>
      </c>
      <c r="AC151" s="26">
        <f t="shared" si="1051"/>
        <v>0</v>
      </c>
      <c r="AD151" s="27">
        <f t="shared" ref="AD151" si="1052">+AC151+AB151</f>
        <v>0</v>
      </c>
      <c r="AE151" s="26">
        <f t="shared" ref="AE151:AF151" si="1053">-AVERAGE(AE146,AD146)*AE152/2</f>
        <v>0</v>
      </c>
      <c r="AF151" s="26">
        <f t="shared" si="1053"/>
        <v>0</v>
      </c>
      <c r="AG151" s="27">
        <f t="shared" ref="AG151" si="1054">+AF151+AE151</f>
        <v>0</v>
      </c>
      <c r="AH151" s="26">
        <f t="shared" ref="AH151:AI151" si="1055">-AVERAGE(AH146,AG146)*AH152/2</f>
        <v>0</v>
      </c>
      <c r="AI151" s="26">
        <f t="shared" si="1055"/>
        <v>0</v>
      </c>
      <c r="AJ151" s="27">
        <f t="shared" ref="AJ151" si="1056">+AI151+AH151</f>
        <v>0</v>
      </c>
      <c r="AK151" s="26">
        <f t="shared" ref="AK151" si="1057">-AVERAGE(AK146,AJ146)*AK152/2</f>
        <v>0</v>
      </c>
      <c r="AL151" s="26">
        <f t="shared" ref="AL151" si="1058">-AVERAGE(AL146,AK146)*AL152/2</f>
        <v>0</v>
      </c>
      <c r="AM151" s="27">
        <f t="shared" ref="AM151" si="1059">+AL151+AK151</f>
        <v>0</v>
      </c>
      <c r="AN151" s="26">
        <f t="shared" ref="AN151" si="1060">-AVERAGE(AN146,AM146)*AN152/2</f>
        <v>0</v>
      </c>
      <c r="AO151" s="26">
        <f t="shared" ref="AO151" si="1061">-AVERAGE(AO146,AN146)*AO152/2</f>
        <v>0</v>
      </c>
      <c r="AP151" s="27">
        <f t="shared" ref="AP151" si="1062">+AO151+AN151</f>
        <v>0</v>
      </c>
      <c r="AQ151" s="26">
        <f t="shared" ref="AQ151" si="1063">-AVERAGE(AQ146,AP146)*AQ152/2</f>
        <v>0</v>
      </c>
      <c r="AR151" s="26">
        <f t="shared" ref="AR151" si="1064">-AVERAGE(AR146,AQ146)*AR152/2</f>
        <v>0</v>
      </c>
      <c r="AS151" s="27">
        <f t="shared" ref="AS151" si="1065">+AR151+AQ151</f>
        <v>0</v>
      </c>
      <c r="AT151" s="26">
        <f t="shared" ref="AT151" si="1066">-AVERAGE(AT146,AS146)*AT152/2</f>
        <v>0</v>
      </c>
      <c r="AU151" s="26">
        <f t="shared" ref="AU151" si="1067">-AVERAGE(AU146,AT146)*AU152/2</f>
        <v>0</v>
      </c>
      <c r="AV151" s="27">
        <f t="shared" ref="AV151" si="1068">+AU151+AT151</f>
        <v>0</v>
      </c>
      <c r="AW151" s="26">
        <f t="shared" ref="AW151" si="1069">-AVERAGE(AW146,AV146)*AW152/2</f>
        <v>0</v>
      </c>
      <c r="AX151" s="26">
        <f t="shared" ref="AX151" si="1070">-AVERAGE(AX146,AW146)*AX152/2</f>
        <v>0</v>
      </c>
      <c r="AY151" s="27">
        <f t="shared" ref="AY151" si="1071">+AX151+AW151</f>
        <v>0</v>
      </c>
    </row>
    <row r="152" spans="1:51" ht="12" customHeight="1" x14ac:dyDescent="0.2">
      <c r="A152" s="24"/>
      <c r="B152" s="8" t="s">
        <v>200</v>
      </c>
      <c r="C152" s="6"/>
      <c r="D152" s="40"/>
      <c r="E152" s="40"/>
      <c r="F152" s="41"/>
      <c r="G152" s="40"/>
      <c r="H152" s="40"/>
      <c r="I152" s="41">
        <f>-I151/AVERAGE(I148,F148)</f>
        <v>0.76817640047675806</v>
      </c>
      <c r="J152" s="40"/>
      <c r="K152" s="40"/>
      <c r="L152" s="41">
        <f t="shared" ref="L152" si="1072">-L151/AVERAGE(L148,I148)</f>
        <v>3.5887529512770981E-3</v>
      </c>
      <c r="M152" s="40"/>
      <c r="N152" s="40"/>
      <c r="O152" s="41">
        <f>-O151/AVERAGE(O146,L146)</f>
        <v>0.20266666666666666</v>
      </c>
      <c r="P152" s="40">
        <f>-P151/AVERAGE(P146,O146)*2</f>
        <v>9.9333333333333329E-2</v>
      </c>
      <c r="Q152" s="40">
        <f>-Q151/AVERAGE(Q146,P146)*2</f>
        <v>0.24133333333333337</v>
      </c>
      <c r="R152" s="41">
        <f>-R151/AVERAGE(R146,O146)</f>
        <v>0.22</v>
      </c>
      <c r="S152" s="40" t="e">
        <f>-S151/AVERAGE(S146,R146)*2</f>
        <v>#DIV/0!</v>
      </c>
      <c r="T152" s="40" t="e">
        <f>-T151/AVERAGE(T146,S146)*2</f>
        <v>#DIV/0!</v>
      </c>
      <c r="U152" s="41" t="e">
        <f>-U151/AVERAGE(U146,R146)</f>
        <v>#DIV/0!</v>
      </c>
      <c r="V152" s="42">
        <v>0.05</v>
      </c>
      <c r="W152" s="42">
        <v>0.05</v>
      </c>
      <c r="X152" s="41">
        <f t="shared" ref="X152" si="1073">-X151/AVERAGE(X148,U148)</f>
        <v>0</v>
      </c>
      <c r="Y152" s="42">
        <v>0.05</v>
      </c>
      <c r="Z152" s="42">
        <v>0.05</v>
      </c>
      <c r="AA152" s="41">
        <f t="shared" ref="AA152" si="1074">-AA151/AVERAGE(AA148,X148)</f>
        <v>0</v>
      </c>
      <c r="AB152" s="42">
        <v>0.05</v>
      </c>
      <c r="AC152" s="42">
        <v>0.05</v>
      </c>
      <c r="AD152" s="41">
        <f t="shared" ref="AD152" si="1075">-AD151/AVERAGE(AD148,AA148)</f>
        <v>0</v>
      </c>
      <c r="AE152" s="42">
        <v>0.05</v>
      </c>
      <c r="AF152" s="42">
        <v>0.05</v>
      </c>
      <c r="AG152" s="41">
        <f t="shared" ref="AG152" si="1076">-AG151/AVERAGE(AG148,AD148)</f>
        <v>0</v>
      </c>
      <c r="AH152" s="42">
        <v>0.05</v>
      </c>
      <c r="AI152" s="42">
        <v>0.05</v>
      </c>
      <c r="AJ152" s="41">
        <f t="shared" ref="AJ152" si="1077">-AJ151/AVERAGE(AJ148,AG148)</f>
        <v>0</v>
      </c>
      <c r="AK152" s="42">
        <v>0.05</v>
      </c>
      <c r="AL152" s="42">
        <v>0.05</v>
      </c>
      <c r="AM152" s="41">
        <f t="shared" ref="AM152" si="1078">-AM151/AVERAGE(AM148,AJ148)</f>
        <v>0</v>
      </c>
      <c r="AN152" s="42">
        <v>0.05</v>
      </c>
      <c r="AO152" s="42">
        <v>0.05</v>
      </c>
      <c r="AP152" s="41">
        <f t="shared" ref="AP152" si="1079">-AP151/AVERAGE(AP148,AM148)</f>
        <v>0</v>
      </c>
      <c r="AQ152" s="42">
        <v>0.05</v>
      </c>
      <c r="AR152" s="42">
        <v>0.05</v>
      </c>
      <c r="AS152" s="41">
        <f t="shared" ref="AS152" si="1080">-AS151/AVERAGE(AS148,AP148)</f>
        <v>0</v>
      </c>
      <c r="AT152" s="42">
        <v>0.05</v>
      </c>
      <c r="AU152" s="42">
        <v>0.05</v>
      </c>
      <c r="AV152" s="41">
        <f t="shared" ref="AV152" si="1081">-AV151/AVERAGE(AV148,AS148)</f>
        <v>0</v>
      </c>
      <c r="AW152" s="42">
        <v>0.05</v>
      </c>
      <c r="AX152" s="42">
        <v>0.05</v>
      </c>
      <c r="AY152" s="41">
        <f t="shared" ref="AY152" si="1082">-AY151/AVERAGE(AY148,AV148)</f>
        <v>0</v>
      </c>
    </row>
    <row r="153" spans="1:51" x14ac:dyDescent="0.2">
      <c r="A153" s="24"/>
      <c r="B153" s="6"/>
      <c r="D153" s="6"/>
      <c r="E153" s="6"/>
      <c r="F153" s="13"/>
      <c r="G153" s="6"/>
      <c r="H153" s="6"/>
      <c r="I153" s="13"/>
      <c r="J153" s="6"/>
      <c r="K153" s="6"/>
      <c r="L153" s="13"/>
      <c r="M153" s="6"/>
      <c r="N153" s="6"/>
      <c r="O153" s="13"/>
      <c r="P153" s="6"/>
      <c r="Q153" s="6"/>
      <c r="R153" s="13"/>
      <c r="S153" s="6"/>
      <c r="T153" s="6"/>
      <c r="U153" s="13"/>
      <c r="V153" s="6"/>
      <c r="W153" s="6"/>
      <c r="X153" s="13"/>
      <c r="Y153" s="6"/>
      <c r="Z153" s="6"/>
      <c r="AA153" s="13"/>
      <c r="AB153" s="6"/>
      <c r="AC153" s="6"/>
      <c r="AD153" s="13"/>
      <c r="AE153" s="6"/>
      <c r="AF153" s="6"/>
      <c r="AG153" s="13"/>
      <c r="AH153" s="6"/>
      <c r="AI153" s="6"/>
      <c r="AJ153" s="13"/>
      <c r="AK153" s="6"/>
      <c r="AL153" s="6"/>
      <c r="AM153" s="13"/>
      <c r="AN153" s="6"/>
      <c r="AO153" s="6"/>
      <c r="AP153" s="13"/>
      <c r="AQ153" s="6"/>
      <c r="AR153" s="6"/>
      <c r="AS153" s="13"/>
      <c r="AT153" s="6"/>
      <c r="AU153" s="6"/>
      <c r="AV153" s="13"/>
      <c r="AW153" s="6"/>
      <c r="AX153" s="6"/>
      <c r="AY153" s="13"/>
    </row>
    <row r="154" spans="1:51" s="24" customFormat="1" ht="12" customHeight="1" x14ac:dyDescent="0.2">
      <c r="B154" s="23" t="s">
        <v>201</v>
      </c>
      <c r="C154" s="23"/>
      <c r="D154" s="26"/>
      <c r="E154" s="26"/>
      <c r="F154" s="27"/>
      <c r="G154" s="26"/>
      <c r="H154" s="26"/>
      <c r="I154" s="27">
        <f>+'Income &amp; Cash Flow'!I29</f>
        <v>2.9350000000000001</v>
      </c>
      <c r="J154" s="26">
        <f>+'Income &amp; Cash Flow'!J29</f>
        <v>0</v>
      </c>
      <c r="K154" s="26">
        <f>+'Income &amp; Cash Flow'!K29</f>
        <v>0</v>
      </c>
      <c r="L154" s="27">
        <f>+'Income &amp; Cash Flow'!L29</f>
        <v>3.173</v>
      </c>
      <c r="M154" s="26">
        <f>+'Income &amp; Cash Flow'!M29</f>
        <v>2.1379999999999999</v>
      </c>
      <c r="N154" s="26">
        <f>+'Income &amp; Cash Flow'!N29</f>
        <v>2.4550000000000001</v>
      </c>
      <c r="O154" s="27">
        <f>+'Income &amp; Cash Flow'!O29</f>
        <v>4.593</v>
      </c>
      <c r="P154" s="26">
        <f>+'Income &amp; Cash Flow'!P29</f>
        <v>2.327</v>
      </c>
      <c r="Q154" s="26">
        <f>+'Income &amp; Cash Flow'!Q29</f>
        <v>3.6849999999999996</v>
      </c>
      <c r="R154" s="27">
        <f>+'Income &amp; Cash Flow'!R29</f>
        <v>6.0119999999999996</v>
      </c>
      <c r="S154" s="26">
        <f>+'Income &amp; Cash Flow'!S29</f>
        <v>11.445</v>
      </c>
      <c r="T154" s="26">
        <f>+'Income &amp; Cash Flow'!T29</f>
        <v>11.228999999999999</v>
      </c>
      <c r="U154" s="27">
        <f>+'Income &amp; Cash Flow'!U29</f>
        <v>22.673999999999999</v>
      </c>
      <c r="V154" s="140">
        <v>7.5</v>
      </c>
      <c r="W154" s="140">
        <v>7.5</v>
      </c>
      <c r="X154" s="27">
        <f t="shared" ref="X154" si="1083">+W154+V154</f>
        <v>15</v>
      </c>
      <c r="Y154" s="140">
        <v>7.5</v>
      </c>
      <c r="Z154" s="140">
        <f>(Z155*(Y10+Y6))/2</f>
        <v>5.0858899336419867</v>
      </c>
      <c r="AA154" s="27">
        <f t="shared" ref="AA154" si="1084">+Z154+Y154</f>
        <v>12.585889933641987</v>
      </c>
      <c r="AB154" s="140">
        <f>(AB155*(AA10+AA6))/2</f>
        <v>5.191781798897952</v>
      </c>
      <c r="AC154" s="140">
        <f>(AC155*(AB10+AB6))/2</f>
        <v>5.478488503781759</v>
      </c>
      <c r="AD154" s="27">
        <f t="shared" ref="AD154" si="1085">+AC154+AB154</f>
        <v>10.670270302679711</v>
      </c>
      <c r="AE154" s="140">
        <f>(AE155*(AD10+AD6))/2</f>
        <v>5.7681770425134831</v>
      </c>
      <c r="AF154" s="140">
        <f>(AF155*(AE10+AE6))/2</f>
        <v>6.2444804363833191</v>
      </c>
      <c r="AG154" s="27">
        <f t="shared" ref="AG154" si="1086">+AF154+AE154</f>
        <v>12.012657478896802</v>
      </c>
      <c r="AH154" s="140">
        <f>(AH155*(AG10+AG6))/2</f>
        <v>6.7243346354955209</v>
      </c>
      <c r="AI154" s="140">
        <f>(AI155*(AH10+AH6))/2</f>
        <v>7.4203883460182718</v>
      </c>
      <c r="AJ154" s="27">
        <f t="shared" ref="AJ154" si="1087">+AI154+AH154</f>
        <v>14.144722981513793</v>
      </c>
      <c r="AK154" s="140">
        <f>(AK155*(AJ10+AJ6))/2</f>
        <v>8.1006884999847877</v>
      </c>
      <c r="AL154" s="140">
        <f>(AL155*(AK10+AK6))/2</f>
        <v>8.9495724499815275</v>
      </c>
      <c r="AM154" s="27">
        <f t="shared" ref="AM154" si="1088">+AL154+AK154</f>
        <v>17.050260949966315</v>
      </c>
      <c r="AN154" s="140">
        <f>(AN155*(AM10+AM6))/2</f>
        <v>9.7641801236141159</v>
      </c>
      <c r="AO154" s="140">
        <f>(AO155*(AN10+AN6))/2</f>
        <v>10.784463970659335</v>
      </c>
      <c r="AP154" s="27">
        <f t="shared" ref="AP154" si="1089">+AO154+AN154</f>
        <v>20.548644094273449</v>
      </c>
      <c r="AQ154" s="140">
        <f>(AQ155*(AP10+AP6))/2</f>
        <v>11.775775111453289</v>
      </c>
      <c r="AR154" s="140">
        <f>(AR155*(AQ10+AQ6))/2</f>
        <v>12.99490421717219</v>
      </c>
      <c r="AS154" s="27">
        <f t="shared" ref="AS154" si="1090">+AR154+AQ154</f>
        <v>24.770679328625477</v>
      </c>
      <c r="AT154" s="140">
        <f>(AT155*(AS10+AS6))/2</f>
        <v>14.178976155571052</v>
      </c>
      <c r="AU154" s="140">
        <f>(AU155*(AT10+AT6))/2</f>
        <v>15.614541181935916</v>
      </c>
      <c r="AV154" s="27">
        <f t="shared" ref="AV154" si="1091">+AU154+AT154</f>
        <v>29.79351733750697</v>
      </c>
      <c r="AW154" s="140">
        <f>(AW155*(AV10+AV6))/2</f>
        <v>17.00867513584495</v>
      </c>
      <c r="AX154" s="140">
        <f>(AX155*(AW10+AW6))/2</f>
        <v>18.679585603190649</v>
      </c>
      <c r="AY154" s="27">
        <f t="shared" ref="AY154" si="1092">+AX154+AW154</f>
        <v>35.688260739035599</v>
      </c>
    </row>
    <row r="155" spans="1:51" ht="12" customHeight="1" x14ac:dyDescent="0.2">
      <c r="A155" s="24"/>
      <c r="B155" s="8" t="s">
        <v>202</v>
      </c>
      <c r="C155" s="6"/>
      <c r="D155" s="40"/>
      <c r="E155" s="40"/>
      <c r="F155" s="41"/>
      <c r="G155" s="40"/>
      <c r="H155" s="40"/>
      <c r="I155" s="41">
        <f>+I154/AVERAGE(I10+I6,F10+F6)</f>
        <v>9.453866099756808E-2</v>
      </c>
      <c r="J155" s="40"/>
      <c r="K155" s="40"/>
      <c r="L155" s="41">
        <f>+L154/AVERAGE(L10+L6,I10+I6)</f>
        <v>5.4463688013869103E-2</v>
      </c>
      <c r="M155" s="40"/>
      <c r="N155" s="40"/>
      <c r="O155" s="41">
        <f>+O154/AVERAGE(O10+O6,L10+L6)</f>
        <v>0.10102165378143868</v>
      </c>
      <c r="P155" s="40">
        <f>+P154/AVERAGE(P10+P6,O10+O6)*2</f>
        <v>0.18570317020130481</v>
      </c>
      <c r="Q155" s="40">
        <f>+Q154/AVERAGE(Q10+Q6,P10+P6)*2</f>
        <v>4.7841765146917049E-2</v>
      </c>
      <c r="R155" s="41">
        <f>+R154/AVERAGE(R10+R6,O10+O6)</f>
        <v>3.6328040026103972E-2</v>
      </c>
      <c r="S155" s="40">
        <f>+S154/AVERAGE(S10+S6,R10+R6)*2</f>
        <v>8.0460760000913942E-2</v>
      </c>
      <c r="T155" s="40">
        <f>+T154/AVERAGE(T10+T6,S10+S6)*2</f>
        <v>8.0749897525510747E-2</v>
      </c>
      <c r="U155" s="41">
        <f>+U154/AVERAGE(U10+U6,R10+R6)</f>
        <v>7.8698698247032836E-2</v>
      </c>
      <c r="V155" s="42">
        <v>3.5000000000000003E-2</v>
      </c>
      <c r="W155" s="42">
        <v>3.5000000000000003E-2</v>
      </c>
      <c r="X155" s="41">
        <f>+X154/AVERAGE(X10+X6,U10+U6)</f>
        <v>5.3158433540635291E-2</v>
      </c>
      <c r="Y155" s="42">
        <v>3.5000000000000003E-2</v>
      </c>
      <c r="Z155" s="42">
        <v>3.5000000000000003E-2</v>
      </c>
      <c r="AA155" s="41">
        <f>+AA154/AVERAGE(AA10+AA6,X10+X6)</f>
        <v>4.3453490720858759E-2</v>
      </c>
      <c r="AB155" s="42">
        <v>3.5000000000000003E-2</v>
      </c>
      <c r="AC155" s="42">
        <v>3.5000000000000003E-2</v>
      </c>
      <c r="AD155" s="41">
        <f>+AD154/AVERAGE(AD10+AD6,AA10+AA6)</f>
        <v>3.4074896265367305E-2</v>
      </c>
      <c r="AE155" s="42">
        <v>3.5000000000000003E-2</v>
      </c>
      <c r="AF155" s="42">
        <v>3.5000000000000003E-2</v>
      </c>
      <c r="AG155" s="41">
        <f>+AG154/AVERAGE(AG10+AG6,AD10+AD6)</f>
        <v>3.3655602860192507E-2</v>
      </c>
      <c r="AH155" s="42">
        <v>3.5000000000000003E-2</v>
      </c>
      <c r="AI155" s="42">
        <v>3.5000000000000003E-2</v>
      </c>
      <c r="AJ155" s="41">
        <f>+AJ154/AVERAGE(AJ10+AJ6,AG10+AG6)</f>
        <v>3.339389758982278E-2</v>
      </c>
      <c r="AK155" s="42">
        <v>3.5000000000000003E-2</v>
      </c>
      <c r="AL155" s="42">
        <v>3.5000000000000003E-2</v>
      </c>
      <c r="AM155" s="41">
        <f>+AM154/AVERAGE(AM10+AM6,AJ10+AJ6)</f>
        <v>3.3404059432070039E-2</v>
      </c>
      <c r="AN155" s="42">
        <v>3.5000000000000003E-2</v>
      </c>
      <c r="AO155" s="42">
        <v>3.5000000000000003E-2</v>
      </c>
      <c r="AP155" s="41">
        <f>+AP154/AVERAGE(AP10+AP6,AM10+AM6)</f>
        <v>3.3389231103354247E-2</v>
      </c>
      <c r="AQ155" s="42">
        <v>3.5000000000000003E-2</v>
      </c>
      <c r="AR155" s="42">
        <v>3.5000000000000003E-2</v>
      </c>
      <c r="AS155" s="41">
        <f>+AS154/AVERAGE(AS10+AS6,AP10+AP6)</f>
        <v>3.3403278173710992E-2</v>
      </c>
      <c r="AT155" s="42">
        <v>3.5000000000000003E-2</v>
      </c>
      <c r="AU155" s="42">
        <v>3.5000000000000003E-2</v>
      </c>
      <c r="AV155" s="41">
        <f>+AV154/AVERAGE(AV10+AV6,AS10+AS6)</f>
        <v>3.3435448443010968E-2</v>
      </c>
      <c r="AW155" s="42">
        <v>3.5000000000000003E-2</v>
      </c>
      <c r="AX155" s="42">
        <v>3.5000000000000003E-2</v>
      </c>
      <c r="AY155" s="41">
        <f>+AY154/AVERAGE(AY10+AY6,AV10+AV6)</f>
        <v>3.3477719821519501E-2</v>
      </c>
    </row>
    <row r="156" spans="1:51" x14ac:dyDescent="0.2">
      <c r="A156" s="24"/>
      <c r="B156" s="6"/>
      <c r="D156" s="6"/>
      <c r="E156" s="6"/>
      <c r="F156" s="13"/>
      <c r="G156" s="6"/>
      <c r="H156" s="6"/>
      <c r="I156" s="13"/>
      <c r="J156" s="6"/>
      <c r="K156" s="6"/>
      <c r="L156" s="13"/>
      <c r="M156" s="6"/>
      <c r="N156" s="6"/>
      <c r="O156" s="13"/>
      <c r="P156" s="6"/>
      <c r="Q156" s="6"/>
      <c r="R156" s="13"/>
      <c r="S156" s="6"/>
      <c r="T156" s="6"/>
      <c r="U156" s="13"/>
      <c r="V156" s="6"/>
      <c r="W156" s="6"/>
      <c r="X156" s="13"/>
      <c r="Y156" s="6"/>
      <c r="Z156" s="6"/>
      <c r="AA156" s="13"/>
      <c r="AB156" s="6"/>
      <c r="AC156" s="6"/>
      <c r="AD156" s="13"/>
      <c r="AE156" s="6"/>
      <c r="AF156" s="6"/>
      <c r="AG156" s="13"/>
      <c r="AH156" s="6"/>
      <c r="AI156" s="6"/>
      <c r="AJ156" s="13"/>
      <c r="AK156" s="6"/>
      <c r="AL156" s="6"/>
      <c r="AM156" s="13"/>
      <c r="AN156" s="6"/>
      <c r="AO156" s="6"/>
      <c r="AP156" s="13"/>
      <c r="AQ156" s="6"/>
      <c r="AR156" s="6"/>
      <c r="AS156" s="13"/>
      <c r="AT156" s="6"/>
      <c r="AU156" s="6"/>
      <c r="AV156" s="13"/>
      <c r="AW156" s="6"/>
      <c r="AX156" s="6"/>
      <c r="AY156" s="13"/>
    </row>
    <row r="157" spans="1:51" s="24" customFormat="1" ht="12" customHeight="1" x14ac:dyDescent="0.2">
      <c r="B157" s="28" t="s">
        <v>203</v>
      </c>
      <c r="C157" s="29"/>
      <c r="D157" s="31"/>
      <c r="E157" s="31"/>
      <c r="F157" s="30"/>
      <c r="G157" s="31"/>
      <c r="H157" s="31"/>
      <c r="I157" s="30">
        <f t="shared" ref="I157:AJ157" si="1093">+I154+I151</f>
        <v>-2.2209999999999996</v>
      </c>
      <c r="J157" s="31"/>
      <c r="K157" s="31"/>
      <c r="L157" s="30">
        <f t="shared" si="1093"/>
        <v>2.964</v>
      </c>
      <c r="M157" s="31"/>
      <c r="N157" s="31"/>
      <c r="O157" s="30">
        <f t="shared" si="1093"/>
        <v>4.2889999999999997</v>
      </c>
      <c r="P157" s="31">
        <f t="shared" ref="P157:R157" si="1094">+P154+P151</f>
        <v>2.1779999999999999</v>
      </c>
      <c r="Q157" s="31">
        <f t="shared" si="1094"/>
        <v>3.5039999999999996</v>
      </c>
      <c r="R157" s="30">
        <f t="shared" si="1094"/>
        <v>5.6819999999999995</v>
      </c>
      <c r="S157" s="31">
        <f t="shared" ref="S157:U157" si="1095">+S154+S151</f>
        <v>11.379</v>
      </c>
      <c r="T157" s="31">
        <f t="shared" si="1095"/>
        <v>11.164</v>
      </c>
      <c r="U157" s="30">
        <f t="shared" si="1095"/>
        <v>22.542999999999999</v>
      </c>
      <c r="V157" s="31">
        <f t="shared" si="1093"/>
        <v>7.5</v>
      </c>
      <c r="W157" s="31">
        <f t="shared" si="1093"/>
        <v>7.5</v>
      </c>
      <c r="X157" s="30">
        <f t="shared" si="1093"/>
        <v>15</v>
      </c>
      <c r="Y157" s="31">
        <f t="shared" si="1093"/>
        <v>7.5</v>
      </c>
      <c r="Z157" s="31">
        <f t="shared" si="1093"/>
        <v>5.0858899336419867</v>
      </c>
      <c r="AA157" s="30">
        <f t="shared" si="1093"/>
        <v>12.585889933641987</v>
      </c>
      <c r="AB157" s="31">
        <f t="shared" si="1093"/>
        <v>5.191781798897952</v>
      </c>
      <c r="AC157" s="31">
        <f t="shared" si="1093"/>
        <v>5.478488503781759</v>
      </c>
      <c r="AD157" s="30">
        <f t="shared" si="1093"/>
        <v>10.670270302679711</v>
      </c>
      <c r="AE157" s="31">
        <f t="shared" si="1093"/>
        <v>5.7681770425134831</v>
      </c>
      <c r="AF157" s="31">
        <f t="shared" si="1093"/>
        <v>6.2444804363833191</v>
      </c>
      <c r="AG157" s="30">
        <f t="shared" si="1093"/>
        <v>12.012657478896802</v>
      </c>
      <c r="AH157" s="31">
        <f t="shared" si="1093"/>
        <v>6.7243346354955209</v>
      </c>
      <c r="AI157" s="31">
        <f t="shared" si="1093"/>
        <v>7.4203883460182718</v>
      </c>
      <c r="AJ157" s="30">
        <f t="shared" si="1093"/>
        <v>14.144722981513793</v>
      </c>
      <c r="AK157" s="31">
        <f t="shared" ref="AK157:AM157" si="1096">+AK154+AK151</f>
        <v>8.1006884999847877</v>
      </c>
      <c r="AL157" s="31">
        <f t="shared" si="1096"/>
        <v>8.9495724499815275</v>
      </c>
      <c r="AM157" s="30">
        <f t="shared" si="1096"/>
        <v>17.050260949966315</v>
      </c>
      <c r="AN157" s="31">
        <f t="shared" ref="AN157:AP157" si="1097">+AN154+AN151</f>
        <v>9.7641801236141159</v>
      </c>
      <c r="AO157" s="31">
        <f t="shared" si="1097"/>
        <v>10.784463970659335</v>
      </c>
      <c r="AP157" s="30">
        <f t="shared" si="1097"/>
        <v>20.548644094273449</v>
      </c>
      <c r="AQ157" s="31">
        <f t="shared" ref="AQ157:AS157" si="1098">+AQ154+AQ151</f>
        <v>11.775775111453289</v>
      </c>
      <c r="AR157" s="31">
        <f t="shared" si="1098"/>
        <v>12.99490421717219</v>
      </c>
      <c r="AS157" s="30">
        <f t="shared" si="1098"/>
        <v>24.770679328625477</v>
      </c>
      <c r="AT157" s="31">
        <f t="shared" ref="AT157:AV157" si="1099">+AT154+AT151</f>
        <v>14.178976155571052</v>
      </c>
      <c r="AU157" s="31">
        <f t="shared" si="1099"/>
        <v>15.614541181935916</v>
      </c>
      <c r="AV157" s="30">
        <f t="shared" si="1099"/>
        <v>29.79351733750697</v>
      </c>
      <c r="AW157" s="31">
        <f t="shared" ref="AW157:AY157" si="1100">+AW154+AW151</f>
        <v>17.00867513584495</v>
      </c>
      <c r="AX157" s="31">
        <f t="shared" si="1100"/>
        <v>18.679585603190649</v>
      </c>
      <c r="AY157" s="30">
        <f t="shared" si="1100"/>
        <v>35.688260739035599</v>
      </c>
    </row>
    <row r="158" spans="1:51" x14ac:dyDescent="0.2">
      <c r="A158" s="24"/>
      <c r="B158" s="6"/>
      <c r="D158" s="6"/>
      <c r="E158" s="6"/>
      <c r="F158" s="13"/>
      <c r="G158" s="6"/>
      <c r="H158" s="6"/>
      <c r="I158" s="13"/>
      <c r="J158" s="6"/>
      <c r="K158" s="6"/>
      <c r="L158" s="13"/>
      <c r="M158" s="6"/>
      <c r="N158" s="6"/>
      <c r="O158" s="13"/>
      <c r="P158" s="6"/>
      <c r="Q158" s="6"/>
      <c r="R158" s="13"/>
      <c r="S158" s="6"/>
      <c r="T158" s="6"/>
      <c r="U158" s="13"/>
      <c r="V158" s="6"/>
      <c r="W158" s="6"/>
      <c r="X158" s="13"/>
      <c r="Y158" s="6"/>
      <c r="Z158" s="6"/>
      <c r="AA158" s="13"/>
      <c r="AB158" s="6"/>
      <c r="AC158" s="6"/>
      <c r="AD158" s="13"/>
      <c r="AE158" s="6"/>
      <c r="AF158" s="6"/>
      <c r="AG158" s="13"/>
      <c r="AH158" s="6"/>
      <c r="AI158" s="6"/>
      <c r="AJ158" s="13"/>
      <c r="AK158" s="6"/>
      <c r="AL158" s="6"/>
      <c r="AM158" s="13"/>
      <c r="AN158" s="6"/>
      <c r="AO158" s="6"/>
      <c r="AP158" s="13"/>
      <c r="AQ158" s="6"/>
      <c r="AR158" s="6"/>
      <c r="AS158" s="13"/>
      <c r="AT158" s="6"/>
      <c r="AU158" s="6"/>
      <c r="AV158" s="13"/>
      <c r="AW158" s="6"/>
      <c r="AX158" s="6"/>
      <c r="AY158" s="13"/>
    </row>
    <row r="159" spans="1:51" x14ac:dyDescent="0.2">
      <c r="A159" s="14"/>
      <c r="B159" s="12" t="s">
        <v>204</v>
      </c>
      <c r="D159" s="6"/>
      <c r="E159" s="6"/>
      <c r="F159" s="13"/>
      <c r="G159" s="6"/>
      <c r="H159" s="6"/>
      <c r="I159" s="13"/>
      <c r="J159" s="6"/>
      <c r="K159" s="6"/>
      <c r="L159" s="13"/>
      <c r="M159" s="6"/>
      <c r="N159" s="6"/>
      <c r="O159" s="13"/>
      <c r="P159" s="6"/>
      <c r="Q159" s="6"/>
      <c r="R159" s="13"/>
      <c r="S159" s="6"/>
      <c r="T159" s="6"/>
      <c r="U159" s="13"/>
      <c r="V159" s="6"/>
      <c r="W159" s="6"/>
      <c r="X159" s="13"/>
      <c r="Y159" s="6"/>
      <c r="Z159" s="6"/>
      <c r="AA159" s="13"/>
      <c r="AB159" s="6"/>
      <c r="AC159" s="6"/>
      <c r="AD159" s="13"/>
      <c r="AE159" s="6"/>
      <c r="AF159" s="6"/>
      <c r="AG159" s="13"/>
      <c r="AH159" s="6"/>
      <c r="AI159" s="6"/>
      <c r="AJ159" s="13"/>
      <c r="AK159" s="6"/>
      <c r="AL159" s="6"/>
      <c r="AM159" s="13"/>
      <c r="AN159" s="6"/>
      <c r="AO159" s="6"/>
      <c r="AP159" s="13"/>
      <c r="AQ159" s="6"/>
      <c r="AR159" s="6"/>
      <c r="AS159" s="13"/>
      <c r="AT159" s="6"/>
      <c r="AU159" s="6"/>
      <c r="AV159" s="13"/>
      <c r="AW159" s="6"/>
      <c r="AX159" s="6"/>
      <c r="AY159" s="13"/>
    </row>
    <row r="160" spans="1:51" s="24" customFormat="1" ht="12" customHeight="1" x14ac:dyDescent="0.2">
      <c r="B160" s="23" t="s">
        <v>205</v>
      </c>
      <c r="C160" s="23"/>
      <c r="D160" s="26"/>
      <c r="E160" s="26"/>
      <c r="F160" s="27"/>
      <c r="G160" s="26"/>
      <c r="H160" s="26"/>
      <c r="I160" s="27">
        <f>+F164</f>
        <v>0</v>
      </c>
      <c r="J160" s="26"/>
      <c r="K160" s="26"/>
      <c r="L160" s="27">
        <f>+I164</f>
        <v>-28.501000000000001</v>
      </c>
      <c r="M160" s="26"/>
      <c r="N160" s="26"/>
      <c r="O160" s="27">
        <f>+L164</f>
        <v>-24.59</v>
      </c>
      <c r="P160" s="26">
        <f>+O164</f>
        <v>-26.856999999999999</v>
      </c>
      <c r="Q160" s="26">
        <f>+P164</f>
        <v>-30.817</v>
      </c>
      <c r="R160" s="27">
        <f>+O164</f>
        <v>-26.856999999999999</v>
      </c>
      <c r="S160" s="26">
        <f>+R164</f>
        <v>-36.146999999999998</v>
      </c>
      <c r="T160" s="26">
        <f>+S164</f>
        <v>-28.846</v>
      </c>
      <c r="U160" s="27">
        <f>+R164</f>
        <v>-36.146999999999998</v>
      </c>
      <c r="V160" s="26">
        <f t="shared" ref="V160:W160" si="1101">+U164</f>
        <v>-21.670999999999999</v>
      </c>
      <c r="W160" s="26">
        <f t="shared" si="1101"/>
        <v>-10.766942296756902</v>
      </c>
      <c r="X160" s="27">
        <f t="shared" ref="X160" si="1102">+U164</f>
        <v>-21.670999999999999</v>
      </c>
      <c r="Y160" s="26">
        <f t="shared" ref="Y160:Z160" si="1103">+X164</f>
        <v>-0.88408477173805977</v>
      </c>
      <c r="Z160" s="26">
        <f t="shared" si="1103"/>
        <v>16.100314618361775</v>
      </c>
      <c r="AA160" s="27">
        <f t="shared" ref="AA160" si="1104">+X164</f>
        <v>-0.88408477173805977</v>
      </c>
      <c r="AB160" s="26">
        <f t="shared" ref="AB160:AC160" si="1105">+AA164</f>
        <v>31.064228260317339</v>
      </c>
      <c r="AC160" s="26">
        <f t="shared" si="1105"/>
        <v>55.806343710699295</v>
      </c>
      <c r="AD160" s="27">
        <f t="shared" ref="AD160" si="1106">+AA164</f>
        <v>31.064228260317339</v>
      </c>
      <c r="AE160" s="26">
        <f t="shared" ref="AE160:AF160" si="1107">+AD164</f>
        <v>80.349823120217195</v>
      </c>
      <c r="AF160" s="26">
        <f t="shared" si="1107"/>
        <v>115.31691467883655</v>
      </c>
      <c r="AG160" s="27">
        <f t="shared" ref="AG160" si="1108">+AD164</f>
        <v>80.349823120217195</v>
      </c>
      <c r="AH160" s="26">
        <f t="shared" ref="AH160:AI160" si="1109">+AG164</f>
        <v>150.01850942502281</v>
      </c>
      <c r="AI160" s="26">
        <f t="shared" si="1109"/>
        <v>197.17323665008121</v>
      </c>
      <c r="AJ160" s="27">
        <f t="shared" ref="AJ160" si="1110">+AG164</f>
        <v>150.01850942502281</v>
      </c>
      <c r="AK160" s="26">
        <f t="shared" ref="AK160" si="1111">+AJ164</f>
        <v>242.71024732868912</v>
      </c>
      <c r="AL160" s="26">
        <f t="shared" ref="AL160" si="1112">+AK164</f>
        <v>296.29172100609071</v>
      </c>
      <c r="AM160" s="27">
        <f t="shared" ref="AM160" si="1113">+AJ164</f>
        <v>242.71024732868912</v>
      </c>
      <c r="AN160" s="26">
        <f t="shared" ref="AN160" si="1114">+AM164</f>
        <v>349.39191112596916</v>
      </c>
      <c r="AO160" s="26">
        <f t="shared" ref="AO160" si="1115">+AN164</f>
        <v>413.13411782931018</v>
      </c>
      <c r="AP160" s="27">
        <f t="shared" ref="AP160" si="1116">+AM164</f>
        <v>349.39191112596916</v>
      </c>
      <c r="AQ160" s="26">
        <f t="shared" ref="AQ160" si="1117">+AP164</f>
        <v>476.15837062062462</v>
      </c>
      <c r="AR160" s="26">
        <f t="shared" ref="AR160" si="1118">+AQ164</f>
        <v>551.12403271062067</v>
      </c>
      <c r="AS160" s="27">
        <f t="shared" ref="AS160" si="1119">+AP164</f>
        <v>476.15837062062462</v>
      </c>
      <c r="AT160" s="26">
        <f t="shared" ref="AT160" si="1120">+AS164</f>
        <v>625.1167540815004</v>
      </c>
      <c r="AU160" s="26">
        <f t="shared" ref="AU160" si="1121">+AT164</f>
        <v>712.4297377129576</v>
      </c>
      <c r="AV160" s="27">
        <f t="shared" ref="AV160" si="1122">+AS164</f>
        <v>625.1167540815004</v>
      </c>
      <c r="AW160" s="26">
        <f t="shared" ref="AW160" si="1123">+AV164</f>
        <v>798.48954555671037</v>
      </c>
      <c r="AX160" s="26">
        <f t="shared" ref="AX160" si="1124">+AW164</f>
        <v>899.33423855661226</v>
      </c>
      <c r="AY160" s="27">
        <f t="shared" ref="AY160" si="1125">+AV164</f>
        <v>798.48954555671037</v>
      </c>
    </row>
    <row r="161" spans="1:51" s="24" customFormat="1" ht="12" customHeight="1" x14ac:dyDescent="0.2">
      <c r="B161" s="23" t="s">
        <v>206</v>
      </c>
      <c r="C161" s="23"/>
      <c r="D161" s="26"/>
      <c r="E161" s="26"/>
      <c r="F161" s="27"/>
      <c r="G161" s="26"/>
      <c r="H161" s="26"/>
      <c r="I161" s="27">
        <f>+'Income &amp; Cash Flow'!I40</f>
        <v>3.9880000000000053</v>
      </c>
      <c r="J161" s="26"/>
      <c r="K161" s="26"/>
      <c r="L161" s="27">
        <f>+'Income &amp; Cash Flow'!L40</f>
        <v>3.911000000000004</v>
      </c>
      <c r="M161" s="26"/>
      <c r="N161" s="26"/>
      <c r="O161" s="27">
        <f>+'Income &amp; Cash Flow'!O40</f>
        <v>-2.267000000000019</v>
      </c>
      <c r="P161" s="26">
        <f>+'Income &amp; Cash Flow'!P40</f>
        <v>-3.9600000000000022</v>
      </c>
      <c r="Q161" s="26">
        <f>+'Income &amp; Cash Flow'!Q40</f>
        <v>-9.7880000000000003</v>
      </c>
      <c r="R161" s="27">
        <f>+'Income &amp; Cash Flow'!R40</f>
        <v>-13.747999999999999</v>
      </c>
      <c r="S161" s="26">
        <f>+'Income &amp; Cash Flow'!S40</f>
        <v>7.3010000000000046</v>
      </c>
      <c r="T161" s="26">
        <f>+'Income &amp; Cash Flow'!T40</f>
        <v>7.1750000000000247</v>
      </c>
      <c r="U161" s="27">
        <f>+'Income &amp; Cash Flow'!U40</f>
        <v>14.476000000000079</v>
      </c>
      <c r="V161" s="26">
        <f>+'Income &amp; Cash Flow'!V40</f>
        <v>10.904057703243097</v>
      </c>
      <c r="W161" s="26">
        <f>+'Income &amp; Cash Flow'!W40</f>
        <v>9.882857525018844</v>
      </c>
      <c r="X161" s="27">
        <f t="shared" ref="X161:X162" si="1126">+W161+V161</f>
        <v>20.78691522826194</v>
      </c>
      <c r="Y161" s="26">
        <f>+'Income &amp; Cash Flow'!Y40</f>
        <v>16.984399390099835</v>
      </c>
      <c r="Z161" s="26">
        <f>+'Income &amp; Cash Flow'!Z40</f>
        <v>14.963913641955564</v>
      </c>
      <c r="AA161" s="27">
        <f t="shared" ref="AA161:AA162" si="1127">+Z161+Y161</f>
        <v>31.948313032055399</v>
      </c>
      <c r="AB161" s="26">
        <f>+'Income &amp; Cash Flow'!AB40</f>
        <v>24.742115450381959</v>
      </c>
      <c r="AC161" s="26">
        <f>+'Income &amp; Cash Flow'!AC40</f>
        <v>24.5434794095179</v>
      </c>
      <c r="AD161" s="27">
        <f t="shared" ref="AD161:AD162" si="1128">+AC161+AB161</f>
        <v>49.285594859899859</v>
      </c>
      <c r="AE161" s="26">
        <f>+'Income &amp; Cash Flow'!AE40</f>
        <v>34.967091558619366</v>
      </c>
      <c r="AF161" s="26">
        <f>+'Income &amp; Cash Flow'!AF40</f>
        <v>34.701594746186245</v>
      </c>
      <c r="AG161" s="27">
        <f t="shared" ref="AG161:AG162" si="1129">+AF161+AE161</f>
        <v>69.668686304805618</v>
      </c>
      <c r="AH161" s="26">
        <f>+'Income &amp; Cash Flow'!AH40</f>
        <v>47.154727225058409</v>
      </c>
      <c r="AI161" s="26">
        <f>+'Income &amp; Cash Flow'!AI40</f>
        <v>45.537010678607892</v>
      </c>
      <c r="AJ161" s="27">
        <f t="shared" ref="AJ161:AJ162" si="1130">+AI161+AH161</f>
        <v>92.691737903666308</v>
      </c>
      <c r="AK161" s="26">
        <f>+'Income &amp; Cash Flow'!AK40</f>
        <v>53.581473677401561</v>
      </c>
      <c r="AL161" s="26">
        <f>+'Income &amp; Cash Flow'!AL40</f>
        <v>53.100190119878462</v>
      </c>
      <c r="AM161" s="27">
        <f t="shared" ref="AM161:AM163" si="1131">+AL161+AK161</f>
        <v>106.68166379728002</v>
      </c>
      <c r="AN161" s="26">
        <f>+'Income &amp; Cash Flow'!AN40</f>
        <v>63.742206703341054</v>
      </c>
      <c r="AO161" s="26">
        <f>+'Income &amp; Cash Flow'!AO40</f>
        <v>63.024252791314396</v>
      </c>
      <c r="AP161" s="27">
        <f t="shared" ref="AP161:AP163" si="1132">+AO161+AN161</f>
        <v>126.76645949465545</v>
      </c>
      <c r="AQ161" s="26">
        <f>+'Income &amp; Cash Flow'!AQ40</f>
        <v>74.965662089995988</v>
      </c>
      <c r="AR161" s="26">
        <f>+'Income &amp; Cash Flow'!AR40</f>
        <v>73.992721370879778</v>
      </c>
      <c r="AS161" s="27">
        <f t="shared" ref="AS161:AS163" si="1133">+AR161+AQ161</f>
        <v>148.95838346087578</v>
      </c>
      <c r="AT161" s="26">
        <f>+'Income &amp; Cash Flow'!AT40</f>
        <v>87.312983631457243</v>
      </c>
      <c r="AU161" s="26">
        <f>+'Income &amp; Cash Flow'!AU40</f>
        <v>86.059807843752708</v>
      </c>
      <c r="AV161" s="27">
        <f t="shared" ref="AV161:AV163" si="1134">+AU161+AT161</f>
        <v>173.37279147520997</v>
      </c>
      <c r="AW161" s="26">
        <f>+'Income &amp; Cash Flow'!AW40</f>
        <v>100.84469299990187</v>
      </c>
      <c r="AX161" s="26">
        <f>+'Income &amp; Cash Flow'!AX40</f>
        <v>99.28663186809068</v>
      </c>
      <c r="AY161" s="27">
        <f t="shared" ref="AY161:AY163" si="1135">+AX161+AW161</f>
        <v>200.13132486799253</v>
      </c>
    </row>
    <row r="162" spans="1:51" s="24" customFormat="1" ht="12" customHeight="1" x14ac:dyDescent="0.2">
      <c r="B162" s="23" t="s">
        <v>207</v>
      </c>
      <c r="C162" s="23"/>
      <c r="D162" s="26"/>
      <c r="E162" s="26"/>
      <c r="F162" s="27"/>
      <c r="G162" s="26"/>
      <c r="H162" s="26"/>
      <c r="I162" s="27"/>
      <c r="J162" s="26"/>
      <c r="K162" s="26"/>
      <c r="L162" s="27">
        <f>-'Income &amp; Cash Flow'!L113</f>
        <v>0</v>
      </c>
      <c r="M162" s="26">
        <f>-'Income &amp; Cash Flow'!M113</f>
        <v>0</v>
      </c>
      <c r="N162" s="26">
        <f>-'Income &amp; Cash Flow'!N113</f>
        <v>0</v>
      </c>
      <c r="O162" s="27">
        <f>-'Income &amp; Cash Flow'!O113</f>
        <v>0</v>
      </c>
      <c r="P162" s="26">
        <f>-'Income &amp; Cash Flow'!P113</f>
        <v>0</v>
      </c>
      <c r="Q162" s="26">
        <f>-'Income &amp; Cash Flow'!Q113</f>
        <v>0</v>
      </c>
      <c r="R162" s="27">
        <f>-'Income &amp; Cash Flow'!R113</f>
        <v>0</v>
      </c>
      <c r="S162" s="26">
        <f>-'Income &amp; Cash Flow'!S113</f>
        <v>0</v>
      </c>
      <c r="T162" s="26">
        <f>-'Income &amp; Cash Flow'!T113</f>
        <v>0</v>
      </c>
      <c r="U162" s="27">
        <f>-'Income &amp; Cash Flow'!U113</f>
        <v>0</v>
      </c>
      <c r="V162" s="26">
        <f>-'Income &amp; Cash Flow'!V113</f>
        <v>0</v>
      </c>
      <c r="W162" s="26">
        <f>-'Income &amp; Cash Flow'!W113</f>
        <v>0</v>
      </c>
      <c r="X162" s="27">
        <f t="shared" si="1126"/>
        <v>0</v>
      </c>
      <c r="Y162" s="26">
        <f>-'Income &amp; Cash Flow'!Y113</f>
        <v>0</v>
      </c>
      <c r="Z162" s="26">
        <f>-'Income &amp; Cash Flow'!Z113</f>
        <v>0</v>
      </c>
      <c r="AA162" s="27">
        <f t="shared" si="1127"/>
        <v>0</v>
      </c>
      <c r="AB162" s="26">
        <f>-'Income &amp; Cash Flow'!AB113</f>
        <v>0</v>
      </c>
      <c r="AC162" s="26">
        <f>-'Income &amp; Cash Flow'!AC113</f>
        <v>0</v>
      </c>
      <c r="AD162" s="27">
        <f t="shared" si="1128"/>
        <v>0</v>
      </c>
      <c r="AE162" s="26">
        <f>-'Income &amp; Cash Flow'!AE113</f>
        <v>0</v>
      </c>
      <c r="AF162" s="26">
        <f>-'Income &amp; Cash Flow'!AF113</f>
        <v>0</v>
      </c>
      <c r="AG162" s="27">
        <f t="shared" si="1129"/>
        <v>0</v>
      </c>
      <c r="AH162" s="26">
        <f>-'Income &amp; Cash Flow'!AH113</f>
        <v>0</v>
      </c>
      <c r="AI162" s="26">
        <f>-'Income &amp; Cash Flow'!AI113</f>
        <v>0</v>
      </c>
      <c r="AJ162" s="27">
        <f t="shared" si="1130"/>
        <v>0</v>
      </c>
      <c r="AK162" s="26">
        <f>-'Income &amp; Cash Flow'!AK113</f>
        <v>0</v>
      </c>
      <c r="AL162" s="26">
        <f>-'Income &amp; Cash Flow'!AL113</f>
        <v>0</v>
      </c>
      <c r="AM162" s="27">
        <f t="shared" si="1131"/>
        <v>0</v>
      </c>
      <c r="AN162" s="26">
        <f>-'Income &amp; Cash Flow'!AN113</f>
        <v>0</v>
      </c>
      <c r="AO162" s="26">
        <f>-'Income &amp; Cash Flow'!AO113</f>
        <v>0</v>
      </c>
      <c r="AP162" s="27">
        <f t="shared" si="1132"/>
        <v>0</v>
      </c>
      <c r="AQ162" s="26">
        <f>-'Income &amp; Cash Flow'!AQ113</f>
        <v>0</v>
      </c>
      <c r="AR162" s="26">
        <f>-'Income &amp; Cash Flow'!AR113</f>
        <v>0</v>
      </c>
      <c r="AS162" s="27">
        <f t="shared" si="1133"/>
        <v>0</v>
      </c>
      <c r="AT162" s="26">
        <f>-'Income &amp; Cash Flow'!AT113</f>
        <v>0</v>
      </c>
      <c r="AU162" s="26">
        <f>-'Income &amp; Cash Flow'!AU113</f>
        <v>0</v>
      </c>
      <c r="AV162" s="27">
        <f t="shared" si="1134"/>
        <v>0</v>
      </c>
      <c r="AW162" s="26">
        <f>-'Income &amp; Cash Flow'!AW113</f>
        <v>0</v>
      </c>
      <c r="AX162" s="26">
        <f>-'Income &amp; Cash Flow'!AX113</f>
        <v>0</v>
      </c>
      <c r="AY162" s="27">
        <f t="shared" si="1135"/>
        <v>0</v>
      </c>
    </row>
    <row r="163" spans="1:51" s="24" customFormat="1" ht="12" customHeight="1" x14ac:dyDescent="0.2">
      <c r="B163" s="23" t="s">
        <v>208</v>
      </c>
      <c r="C163" s="23"/>
      <c r="D163" s="26"/>
      <c r="E163" s="26"/>
      <c r="F163" s="27"/>
      <c r="G163" s="26"/>
      <c r="H163" s="26"/>
      <c r="I163" s="27">
        <f t="shared" ref="I163" si="1136">I164-(I160+I161-I162)</f>
        <v>-32.489000000000004</v>
      </c>
      <c r="J163" s="26"/>
      <c r="K163" s="26"/>
      <c r="L163" s="27">
        <f>L164-(L160+L161-L162)</f>
        <v>0</v>
      </c>
      <c r="M163" s="26"/>
      <c r="N163" s="26"/>
      <c r="O163" s="27">
        <f>O164-(O160+O161-O162)</f>
        <v>0</v>
      </c>
      <c r="P163" s="26">
        <f t="shared" ref="P163:Q163" si="1137">P164-(P160+P161-P162)</f>
        <v>0</v>
      </c>
      <c r="Q163" s="26">
        <f t="shared" si="1137"/>
        <v>4.4580000000000055</v>
      </c>
      <c r="R163" s="27">
        <f>R164-(R160+R161-R162)</f>
        <v>4.4579999999999984</v>
      </c>
      <c r="S163" s="26">
        <f t="shared" ref="S163:T163" si="1138">S164-(S160+S161-S162)</f>
        <v>0</v>
      </c>
      <c r="T163" s="26">
        <f t="shared" si="1138"/>
        <v>0</v>
      </c>
      <c r="U163" s="27">
        <f>U164-(U160+U161-U162)</f>
        <v>-7.815970093361102E-14</v>
      </c>
      <c r="V163" s="140">
        <v>0</v>
      </c>
      <c r="W163" s="140">
        <v>0</v>
      </c>
      <c r="X163" s="27">
        <f t="shared" ref="X163" si="1139">+W163+V163</f>
        <v>0</v>
      </c>
      <c r="Y163" s="140">
        <v>0</v>
      </c>
      <c r="Z163" s="140">
        <v>0</v>
      </c>
      <c r="AA163" s="27">
        <f t="shared" ref="AA163" si="1140">+Z163+Y163</f>
        <v>0</v>
      </c>
      <c r="AB163" s="140">
        <v>0</v>
      </c>
      <c r="AC163" s="140">
        <v>0</v>
      </c>
      <c r="AD163" s="27">
        <f t="shared" ref="AD163" si="1141">+AC163+AB163</f>
        <v>0</v>
      </c>
      <c r="AE163" s="140">
        <v>0</v>
      </c>
      <c r="AF163" s="140">
        <v>0</v>
      </c>
      <c r="AG163" s="27">
        <f t="shared" ref="AG163" si="1142">+AF163+AE163</f>
        <v>0</v>
      </c>
      <c r="AH163" s="140">
        <v>0</v>
      </c>
      <c r="AI163" s="140">
        <v>0</v>
      </c>
      <c r="AJ163" s="27">
        <f t="shared" ref="AJ163" si="1143">+AI163+AH163</f>
        <v>0</v>
      </c>
      <c r="AK163" s="140">
        <v>0</v>
      </c>
      <c r="AL163" s="140">
        <v>0</v>
      </c>
      <c r="AM163" s="27">
        <f t="shared" si="1131"/>
        <v>0</v>
      </c>
      <c r="AN163" s="140">
        <v>0</v>
      </c>
      <c r="AO163" s="140">
        <v>0</v>
      </c>
      <c r="AP163" s="27">
        <f t="shared" si="1132"/>
        <v>0</v>
      </c>
      <c r="AQ163" s="140">
        <v>0</v>
      </c>
      <c r="AR163" s="140">
        <v>0</v>
      </c>
      <c r="AS163" s="27">
        <f t="shared" si="1133"/>
        <v>0</v>
      </c>
      <c r="AT163" s="140">
        <v>0</v>
      </c>
      <c r="AU163" s="140">
        <v>0</v>
      </c>
      <c r="AV163" s="27">
        <f t="shared" si="1134"/>
        <v>0</v>
      </c>
      <c r="AW163" s="140">
        <v>0</v>
      </c>
      <c r="AX163" s="140">
        <v>0</v>
      </c>
      <c r="AY163" s="27">
        <f t="shared" si="1135"/>
        <v>0</v>
      </c>
    </row>
    <row r="164" spans="1:51" s="24" customFormat="1" ht="12" customHeight="1" x14ac:dyDescent="0.2">
      <c r="B164" s="28" t="s">
        <v>158</v>
      </c>
      <c r="C164" s="29"/>
      <c r="D164" s="31"/>
      <c r="E164" s="31"/>
      <c r="F164" s="30"/>
      <c r="G164" s="31"/>
      <c r="H164" s="31"/>
      <c r="I164" s="30">
        <f t="shared" ref="I164:R164" si="1144">+I45</f>
        <v>-28.501000000000001</v>
      </c>
      <c r="J164" s="31"/>
      <c r="K164" s="31"/>
      <c r="L164" s="30">
        <f t="shared" si="1144"/>
        <v>-24.59</v>
      </c>
      <c r="M164" s="31"/>
      <c r="N164" s="31"/>
      <c r="O164" s="30">
        <f t="shared" si="1144"/>
        <v>-26.856999999999999</v>
      </c>
      <c r="P164" s="31">
        <f t="shared" si="1144"/>
        <v>-30.817</v>
      </c>
      <c r="Q164" s="31">
        <f t="shared" si="1144"/>
        <v>-36.146999999999998</v>
      </c>
      <c r="R164" s="30">
        <f t="shared" si="1144"/>
        <v>-36.146999999999998</v>
      </c>
      <c r="S164" s="31">
        <f t="shared" ref="S164:U164" si="1145">+S45</f>
        <v>-28.846</v>
      </c>
      <c r="T164" s="31">
        <f t="shared" si="1145"/>
        <v>-21.670999999999999</v>
      </c>
      <c r="U164" s="30">
        <f t="shared" si="1145"/>
        <v>-21.670999999999999</v>
      </c>
      <c r="V164" s="31">
        <f t="shared" ref="V164:AJ164" si="1146">+V160+V161-V162+V163</f>
        <v>-10.766942296756902</v>
      </c>
      <c r="W164" s="31">
        <f t="shared" si="1146"/>
        <v>-0.884084771738058</v>
      </c>
      <c r="X164" s="30">
        <f t="shared" si="1146"/>
        <v>-0.88408477173805977</v>
      </c>
      <c r="Y164" s="31">
        <f t="shared" si="1146"/>
        <v>16.100314618361775</v>
      </c>
      <c r="Z164" s="31">
        <f t="shared" si="1146"/>
        <v>31.064228260317339</v>
      </c>
      <c r="AA164" s="30">
        <f t="shared" si="1146"/>
        <v>31.064228260317339</v>
      </c>
      <c r="AB164" s="31">
        <f t="shared" si="1146"/>
        <v>55.806343710699295</v>
      </c>
      <c r="AC164" s="31">
        <f t="shared" si="1146"/>
        <v>80.349823120217195</v>
      </c>
      <c r="AD164" s="30">
        <f t="shared" si="1146"/>
        <v>80.349823120217195</v>
      </c>
      <c r="AE164" s="31">
        <f t="shared" si="1146"/>
        <v>115.31691467883655</v>
      </c>
      <c r="AF164" s="31">
        <f t="shared" si="1146"/>
        <v>150.01850942502278</v>
      </c>
      <c r="AG164" s="30">
        <f t="shared" si="1146"/>
        <v>150.01850942502281</v>
      </c>
      <c r="AH164" s="31">
        <f t="shared" si="1146"/>
        <v>197.17323665008121</v>
      </c>
      <c r="AI164" s="31">
        <f t="shared" si="1146"/>
        <v>242.71024732868909</v>
      </c>
      <c r="AJ164" s="30">
        <f t="shared" si="1146"/>
        <v>242.71024732868912</v>
      </c>
      <c r="AK164" s="31">
        <f t="shared" ref="AK164:AM164" si="1147">+AK160+AK161-AK162+AK163</f>
        <v>296.29172100609071</v>
      </c>
      <c r="AL164" s="31">
        <f t="shared" si="1147"/>
        <v>349.39191112596916</v>
      </c>
      <c r="AM164" s="30">
        <f t="shared" si="1147"/>
        <v>349.39191112596916</v>
      </c>
      <c r="AN164" s="31">
        <f t="shared" ref="AN164:AP164" si="1148">+AN160+AN161-AN162+AN163</f>
        <v>413.13411782931018</v>
      </c>
      <c r="AO164" s="31">
        <f t="shared" si="1148"/>
        <v>476.15837062062457</v>
      </c>
      <c r="AP164" s="30">
        <f t="shared" si="1148"/>
        <v>476.15837062062462</v>
      </c>
      <c r="AQ164" s="31">
        <f t="shared" ref="AQ164:AS164" si="1149">+AQ160+AQ161-AQ162+AQ163</f>
        <v>551.12403271062067</v>
      </c>
      <c r="AR164" s="31">
        <f t="shared" si="1149"/>
        <v>625.1167540815004</v>
      </c>
      <c r="AS164" s="30">
        <f t="shared" si="1149"/>
        <v>625.1167540815004</v>
      </c>
      <c r="AT164" s="31">
        <f t="shared" ref="AT164:AV164" si="1150">+AT160+AT161-AT162+AT163</f>
        <v>712.4297377129576</v>
      </c>
      <c r="AU164" s="31">
        <f t="shared" si="1150"/>
        <v>798.48954555671025</v>
      </c>
      <c r="AV164" s="30">
        <f t="shared" si="1150"/>
        <v>798.48954555671037</v>
      </c>
      <c r="AW164" s="31">
        <f t="shared" ref="AW164:AY164" si="1151">+AW160+AW161-AW162+AW163</f>
        <v>899.33423855661226</v>
      </c>
      <c r="AX164" s="31">
        <f t="shared" si="1151"/>
        <v>998.62087042470296</v>
      </c>
      <c r="AY164" s="30">
        <f t="shared" si="1151"/>
        <v>998.62087042470284</v>
      </c>
    </row>
    <row r="165" spans="1:51" x14ac:dyDescent="0.2">
      <c r="A165" s="24"/>
      <c r="B165" s="6"/>
      <c r="D165" s="6"/>
      <c r="E165" s="6"/>
      <c r="F165" s="13"/>
      <c r="G165" s="6"/>
      <c r="H165" s="6"/>
      <c r="I165" s="13"/>
      <c r="J165" s="6"/>
      <c r="K165" s="6"/>
      <c r="L165" s="13"/>
      <c r="M165" s="6"/>
      <c r="N165" s="6"/>
      <c r="O165" s="13"/>
      <c r="P165" s="6"/>
      <c r="Q165" s="6"/>
      <c r="R165" s="13"/>
      <c r="S165" s="6"/>
      <c r="T165" s="6"/>
      <c r="U165" s="13"/>
      <c r="V165" s="6"/>
      <c r="W165" s="6"/>
      <c r="X165" s="13"/>
      <c r="Y165" s="6"/>
      <c r="Z165" s="6"/>
      <c r="AA165" s="13"/>
      <c r="AB165" s="6"/>
      <c r="AC165" s="6"/>
      <c r="AD165" s="13"/>
      <c r="AE165" s="6"/>
      <c r="AF165" s="6"/>
      <c r="AG165" s="13"/>
      <c r="AH165" s="6"/>
      <c r="AI165" s="6"/>
      <c r="AJ165" s="13"/>
      <c r="AK165" s="6"/>
      <c r="AL165" s="6"/>
      <c r="AM165" s="13"/>
      <c r="AN165" s="6"/>
      <c r="AO165" s="6"/>
      <c r="AP165" s="13"/>
      <c r="AQ165" s="6"/>
      <c r="AR165" s="6"/>
      <c r="AS165" s="13"/>
      <c r="AT165" s="6"/>
      <c r="AU165" s="6"/>
      <c r="AV165" s="13"/>
      <c r="AW165" s="6"/>
      <c r="AX165" s="6"/>
      <c r="AY165" s="13"/>
    </row>
    <row r="166" spans="1:51" x14ac:dyDescent="0.2">
      <c r="A166" s="14"/>
      <c r="B166" s="12" t="s">
        <v>209</v>
      </c>
      <c r="D166" s="6"/>
      <c r="E166" s="6"/>
      <c r="F166" s="13"/>
      <c r="G166" s="6"/>
      <c r="H166" s="6"/>
      <c r="I166" s="13"/>
      <c r="J166" s="6"/>
      <c r="K166" s="6"/>
      <c r="L166" s="13"/>
      <c r="M166" s="6"/>
      <c r="N166" s="6"/>
      <c r="O166" s="13"/>
      <c r="P166" s="6"/>
      <c r="Q166" s="6"/>
      <c r="R166" s="13"/>
      <c r="S166" s="6"/>
      <c r="T166" s="6"/>
      <c r="U166" s="13"/>
      <c r="V166" s="6"/>
      <c r="W166" s="6"/>
      <c r="X166" s="13"/>
      <c r="Y166" s="6"/>
      <c r="Z166" s="6"/>
      <c r="AA166" s="13"/>
      <c r="AB166" s="6"/>
      <c r="AC166" s="6"/>
      <c r="AD166" s="13"/>
      <c r="AE166" s="6"/>
      <c r="AF166" s="6"/>
      <c r="AG166" s="13"/>
      <c r="AH166" s="6"/>
      <c r="AI166" s="6"/>
      <c r="AJ166" s="13"/>
      <c r="AK166" s="6"/>
      <c r="AL166" s="6"/>
      <c r="AM166" s="13"/>
      <c r="AN166" s="6"/>
      <c r="AO166" s="6"/>
      <c r="AP166" s="13"/>
      <c r="AQ166" s="6"/>
      <c r="AR166" s="6"/>
      <c r="AS166" s="13"/>
      <c r="AT166" s="6"/>
      <c r="AU166" s="6"/>
      <c r="AV166" s="13"/>
      <c r="AW166" s="6"/>
      <c r="AX166" s="6"/>
      <c r="AY166" s="13"/>
    </row>
    <row r="167" spans="1:51" s="24" customFormat="1" ht="12" customHeight="1" x14ac:dyDescent="0.2">
      <c r="B167" s="23" t="s">
        <v>210</v>
      </c>
      <c r="C167" s="23"/>
      <c r="D167" s="26"/>
      <c r="E167" s="26"/>
      <c r="F167" s="27"/>
      <c r="G167" s="26"/>
      <c r="H167" s="26"/>
      <c r="I167" s="27">
        <f>+F170</f>
        <v>0</v>
      </c>
      <c r="J167" s="26"/>
      <c r="K167" s="26"/>
      <c r="L167" s="27"/>
      <c r="M167" s="26"/>
      <c r="N167" s="26"/>
      <c r="O167" s="27"/>
      <c r="P167" s="26"/>
      <c r="Q167" s="26">
        <f t="shared" ref="Q167" si="1152">+P170</f>
        <v>0</v>
      </c>
      <c r="R167" s="27">
        <f t="shared" ref="R167" si="1153">+O170</f>
        <v>84.916250000000005</v>
      </c>
      <c r="S167" s="26">
        <f>R170</f>
        <v>101.352914</v>
      </c>
      <c r="T167" s="26">
        <f t="shared" ref="T167" si="1154">+S170</f>
        <v>101.46366399999999</v>
      </c>
      <c r="U167" s="27">
        <f t="shared" ref="U167" si="1155">+R170</f>
        <v>101.352914</v>
      </c>
      <c r="V167" s="26">
        <f t="shared" ref="V167:W167" si="1156">+U170</f>
        <v>102.86054799999999</v>
      </c>
      <c r="W167" s="26">
        <f t="shared" si="1156"/>
        <v>102.86054799999999</v>
      </c>
      <c r="X167" s="27">
        <f t="shared" ref="X167" si="1157">+U170</f>
        <v>102.86054799999999</v>
      </c>
      <c r="Y167" s="26">
        <f t="shared" ref="Y167:Z167" si="1158">+X170</f>
        <v>102.86054799999999</v>
      </c>
      <c r="Z167" s="26">
        <f t="shared" si="1158"/>
        <v>102.86054799999999</v>
      </c>
      <c r="AA167" s="27">
        <f t="shared" ref="AA167" si="1159">+X170</f>
        <v>102.86054799999999</v>
      </c>
      <c r="AB167" s="26">
        <f t="shared" ref="AB167:AC167" si="1160">+AA170</f>
        <v>102.86054799999999</v>
      </c>
      <c r="AC167" s="26">
        <f t="shared" si="1160"/>
        <v>102.86054799999999</v>
      </c>
      <c r="AD167" s="27">
        <f t="shared" ref="AD167" si="1161">+AA170</f>
        <v>102.86054799999999</v>
      </c>
      <c r="AE167" s="26">
        <f t="shared" ref="AE167:AF167" si="1162">+AD170</f>
        <v>102.86054799999999</v>
      </c>
      <c r="AF167" s="26">
        <f t="shared" si="1162"/>
        <v>102.86054799999999</v>
      </c>
      <c r="AG167" s="27">
        <f t="shared" ref="AG167" si="1163">+AD170</f>
        <v>102.86054799999999</v>
      </c>
      <c r="AH167" s="26">
        <f t="shared" ref="AH167:AI167" si="1164">+AG170</f>
        <v>102.86054799999999</v>
      </c>
      <c r="AI167" s="26">
        <f t="shared" si="1164"/>
        <v>102.86054799999999</v>
      </c>
      <c r="AJ167" s="27">
        <f t="shared" ref="AJ167" si="1165">+AG170</f>
        <v>102.86054799999999</v>
      </c>
      <c r="AK167" s="26">
        <f t="shared" ref="AK167" si="1166">+AJ170</f>
        <v>102.86054799999999</v>
      </c>
      <c r="AL167" s="26">
        <f t="shared" ref="AL167" si="1167">+AK170</f>
        <v>102.86054799999999</v>
      </c>
      <c r="AM167" s="27">
        <f t="shared" ref="AM167" si="1168">+AJ170</f>
        <v>102.86054799999999</v>
      </c>
      <c r="AN167" s="26">
        <f t="shared" ref="AN167" si="1169">+AM170</f>
        <v>102.86054799999999</v>
      </c>
      <c r="AO167" s="26">
        <f t="shared" ref="AO167" si="1170">+AN170</f>
        <v>102.86054799999999</v>
      </c>
      <c r="AP167" s="27">
        <f t="shared" ref="AP167" si="1171">+AM170</f>
        <v>102.86054799999999</v>
      </c>
      <c r="AQ167" s="26">
        <f t="shared" ref="AQ167" si="1172">+AP170</f>
        <v>102.86054799999999</v>
      </c>
      <c r="AR167" s="26">
        <f t="shared" ref="AR167" si="1173">+AQ170</f>
        <v>102.86054799999999</v>
      </c>
      <c r="AS167" s="27">
        <f t="shared" ref="AS167" si="1174">+AP170</f>
        <v>102.86054799999999</v>
      </c>
      <c r="AT167" s="26">
        <f t="shared" ref="AT167" si="1175">+AS170</f>
        <v>102.86054799999999</v>
      </c>
      <c r="AU167" s="26">
        <f t="shared" ref="AU167" si="1176">+AT170</f>
        <v>102.86054799999999</v>
      </c>
      <c r="AV167" s="27">
        <f t="shared" ref="AV167" si="1177">+AS170</f>
        <v>102.86054799999999</v>
      </c>
      <c r="AW167" s="26">
        <f t="shared" ref="AW167" si="1178">+AV170</f>
        <v>102.86054799999999</v>
      </c>
      <c r="AX167" s="26">
        <f t="shared" ref="AX167" si="1179">+AW170</f>
        <v>102.86054799999999</v>
      </c>
      <c r="AY167" s="27">
        <f t="shared" ref="AY167" si="1180">+AV170</f>
        <v>102.86054799999999</v>
      </c>
    </row>
    <row r="168" spans="1:51" s="24" customFormat="1" ht="12" customHeight="1" x14ac:dyDescent="0.2">
      <c r="B168" s="23" t="s">
        <v>211</v>
      </c>
      <c r="C168" s="23"/>
      <c r="D168" s="26"/>
      <c r="E168" s="26"/>
      <c r="F168" s="27"/>
      <c r="G168" s="26"/>
      <c r="H168" s="26"/>
      <c r="I168" s="27">
        <v>0</v>
      </c>
      <c r="J168" s="26"/>
      <c r="K168" s="26"/>
      <c r="L168" s="27"/>
      <c r="M168" s="26"/>
      <c r="N168" s="26"/>
      <c r="O168" s="27"/>
      <c r="P168" s="26"/>
      <c r="Q168" s="26"/>
      <c r="R168" s="27">
        <v>0</v>
      </c>
      <c r="S168" s="26"/>
      <c r="T168" s="26"/>
      <c r="U168" s="27">
        <v>0</v>
      </c>
      <c r="V168" s="140">
        <v>0</v>
      </c>
      <c r="W168" s="140">
        <v>0</v>
      </c>
      <c r="X168" s="27">
        <f t="shared" ref="X168" si="1181">+W168+V168</f>
        <v>0</v>
      </c>
      <c r="Y168" s="140">
        <v>0</v>
      </c>
      <c r="Z168" s="140">
        <v>0</v>
      </c>
      <c r="AA168" s="27">
        <f t="shared" ref="AA168" si="1182">+Z168+Y168</f>
        <v>0</v>
      </c>
      <c r="AB168" s="140">
        <v>0</v>
      </c>
      <c r="AC168" s="140">
        <v>0</v>
      </c>
      <c r="AD168" s="27">
        <f t="shared" ref="AD168" si="1183">+AC168+AB168</f>
        <v>0</v>
      </c>
      <c r="AE168" s="140">
        <v>0</v>
      </c>
      <c r="AF168" s="140">
        <v>0</v>
      </c>
      <c r="AG168" s="27">
        <f t="shared" ref="AG168" si="1184">+AF168+AE168</f>
        <v>0</v>
      </c>
      <c r="AH168" s="140">
        <v>0</v>
      </c>
      <c r="AI168" s="140">
        <v>0</v>
      </c>
      <c r="AJ168" s="27">
        <f t="shared" ref="AJ168" si="1185">+AI168+AH168</f>
        <v>0</v>
      </c>
      <c r="AK168" s="140">
        <v>0</v>
      </c>
      <c r="AL168" s="140">
        <v>0</v>
      </c>
      <c r="AM168" s="27">
        <f t="shared" ref="AM168:AM169" si="1186">+AL168+AK168</f>
        <v>0</v>
      </c>
      <c r="AN168" s="140">
        <v>0</v>
      </c>
      <c r="AO168" s="140">
        <v>0</v>
      </c>
      <c r="AP168" s="27">
        <f t="shared" ref="AP168:AP169" si="1187">+AO168+AN168</f>
        <v>0</v>
      </c>
      <c r="AQ168" s="140">
        <v>0</v>
      </c>
      <c r="AR168" s="140">
        <v>0</v>
      </c>
      <c r="AS168" s="27">
        <f t="shared" ref="AS168:AS169" si="1188">+AR168+AQ168</f>
        <v>0</v>
      </c>
      <c r="AT168" s="140">
        <v>0</v>
      </c>
      <c r="AU168" s="140">
        <v>0</v>
      </c>
      <c r="AV168" s="27">
        <f t="shared" ref="AV168:AV169" si="1189">+AU168+AT168</f>
        <v>0</v>
      </c>
      <c r="AW168" s="140">
        <v>0</v>
      </c>
      <c r="AX168" s="140">
        <v>0</v>
      </c>
      <c r="AY168" s="27">
        <f t="shared" ref="AY168:AY169" si="1190">+AX168+AW168</f>
        <v>0</v>
      </c>
    </row>
    <row r="169" spans="1:51" s="24" customFormat="1" ht="12" customHeight="1" x14ac:dyDescent="0.2">
      <c r="B169" s="23" t="s">
        <v>212</v>
      </c>
      <c r="C169" s="23"/>
      <c r="D169" s="26"/>
      <c r="E169" s="26"/>
      <c r="F169" s="27"/>
      <c r="G169" s="26"/>
      <c r="H169" s="26"/>
      <c r="I169" s="27">
        <f t="shared" ref="I169" si="1191">+H169+G169</f>
        <v>0</v>
      </c>
      <c r="J169" s="26"/>
      <c r="K169" s="26"/>
      <c r="L169" s="27"/>
      <c r="M169" s="26"/>
      <c r="N169" s="26"/>
      <c r="O169" s="27"/>
      <c r="P169" s="26"/>
      <c r="Q169" s="26">
        <f t="shared" ref="Q169:S169" si="1192">+Q170-Q167</f>
        <v>85.568408000000005</v>
      </c>
      <c r="R169" s="27">
        <f t="shared" ref="R169" si="1193">+Q169+P169</f>
        <v>85.568408000000005</v>
      </c>
      <c r="S169" s="26">
        <f t="shared" si="1192"/>
        <v>0.11074999999999591</v>
      </c>
      <c r="T169" s="26">
        <f t="shared" ref="T169" si="1194">+T170-T167</f>
        <v>4.5943000000008283E-2</v>
      </c>
      <c r="U169" s="27">
        <f t="shared" ref="U169" si="1195">+T169+S169</f>
        <v>0.15669300000000419</v>
      </c>
      <c r="V169" s="140">
        <v>0</v>
      </c>
      <c r="W169" s="140">
        <v>0</v>
      </c>
      <c r="X169" s="27">
        <f t="shared" ref="X169" si="1196">+W169+V169</f>
        <v>0</v>
      </c>
      <c r="Y169" s="140">
        <v>0</v>
      </c>
      <c r="Z169" s="140">
        <v>0</v>
      </c>
      <c r="AA169" s="27">
        <f t="shared" ref="AA169" si="1197">+Z169+Y169</f>
        <v>0</v>
      </c>
      <c r="AB169" s="140">
        <v>0</v>
      </c>
      <c r="AC169" s="140">
        <v>0</v>
      </c>
      <c r="AD169" s="27">
        <f t="shared" ref="AD169" si="1198">+AC169+AB169</f>
        <v>0</v>
      </c>
      <c r="AE169" s="140">
        <v>0</v>
      </c>
      <c r="AF169" s="140">
        <v>0</v>
      </c>
      <c r="AG169" s="27">
        <f t="shared" ref="AG169" si="1199">+AF169+AE169</f>
        <v>0</v>
      </c>
      <c r="AH169" s="140">
        <v>0</v>
      </c>
      <c r="AI169" s="140">
        <v>0</v>
      </c>
      <c r="AJ169" s="27">
        <f t="shared" ref="AJ169" si="1200">+AI169+AH169</f>
        <v>0</v>
      </c>
      <c r="AK169" s="140">
        <v>0</v>
      </c>
      <c r="AL169" s="140">
        <v>0</v>
      </c>
      <c r="AM169" s="27">
        <f t="shared" si="1186"/>
        <v>0</v>
      </c>
      <c r="AN169" s="140">
        <v>0</v>
      </c>
      <c r="AO169" s="140">
        <v>0</v>
      </c>
      <c r="AP169" s="27">
        <f t="shared" si="1187"/>
        <v>0</v>
      </c>
      <c r="AQ169" s="140">
        <v>0</v>
      </c>
      <c r="AR169" s="140">
        <v>0</v>
      </c>
      <c r="AS169" s="27">
        <f t="shared" si="1188"/>
        <v>0</v>
      </c>
      <c r="AT169" s="140">
        <v>0</v>
      </c>
      <c r="AU169" s="140">
        <v>0</v>
      </c>
      <c r="AV169" s="27">
        <f t="shared" si="1189"/>
        <v>0</v>
      </c>
      <c r="AW169" s="140">
        <v>0</v>
      </c>
      <c r="AX169" s="140">
        <v>0</v>
      </c>
      <c r="AY169" s="27">
        <f t="shared" si="1190"/>
        <v>0</v>
      </c>
    </row>
    <row r="170" spans="1:51" s="24" customFormat="1" ht="12" customHeight="1" x14ac:dyDescent="0.2">
      <c r="A170" s="6"/>
      <c r="B170" s="46" t="s">
        <v>213</v>
      </c>
      <c r="C170" s="46"/>
      <c r="D170" s="168"/>
      <c r="E170" s="168"/>
      <c r="F170" s="169"/>
      <c r="G170" s="168"/>
      <c r="H170" s="168"/>
      <c r="I170" s="169">
        <f t="shared" ref="I170" si="1201">+I172</f>
        <v>0</v>
      </c>
      <c r="J170" s="168"/>
      <c r="K170" s="168"/>
      <c r="L170" s="169"/>
      <c r="M170" s="168"/>
      <c r="N170" s="168"/>
      <c r="O170" s="169">
        <v>84.916250000000005</v>
      </c>
      <c r="P170" s="168"/>
      <c r="Q170" s="168">
        <f t="shared" ref="Q170" si="1202">+Q172</f>
        <v>85.568408000000005</v>
      </c>
      <c r="R170" s="154">
        <v>101.352914</v>
      </c>
      <c r="S170" s="406">
        <v>101.46366399999999</v>
      </c>
      <c r="T170" s="168">
        <f t="shared" ref="T170" si="1203">+T172</f>
        <v>101.509607</v>
      </c>
      <c r="U170" s="154">
        <v>102.86054799999999</v>
      </c>
      <c r="V170" s="47">
        <f t="shared" ref="V170:AJ170" si="1204">+V169+V168+V167</f>
        <v>102.86054799999999</v>
      </c>
      <c r="W170" s="47">
        <f t="shared" si="1204"/>
        <v>102.86054799999999</v>
      </c>
      <c r="X170" s="48">
        <f t="shared" si="1204"/>
        <v>102.86054799999999</v>
      </c>
      <c r="Y170" s="47">
        <f t="shared" si="1204"/>
        <v>102.86054799999999</v>
      </c>
      <c r="Z170" s="47">
        <f t="shared" si="1204"/>
        <v>102.86054799999999</v>
      </c>
      <c r="AA170" s="48">
        <f t="shared" si="1204"/>
        <v>102.86054799999999</v>
      </c>
      <c r="AB170" s="47">
        <f t="shared" si="1204"/>
        <v>102.86054799999999</v>
      </c>
      <c r="AC170" s="47">
        <f t="shared" si="1204"/>
        <v>102.86054799999999</v>
      </c>
      <c r="AD170" s="48">
        <f t="shared" si="1204"/>
        <v>102.86054799999999</v>
      </c>
      <c r="AE170" s="47">
        <f t="shared" si="1204"/>
        <v>102.86054799999999</v>
      </c>
      <c r="AF170" s="47">
        <f t="shared" si="1204"/>
        <v>102.86054799999999</v>
      </c>
      <c r="AG170" s="48">
        <f t="shared" si="1204"/>
        <v>102.86054799999999</v>
      </c>
      <c r="AH170" s="47">
        <f t="shared" si="1204"/>
        <v>102.86054799999999</v>
      </c>
      <c r="AI170" s="47">
        <f t="shared" si="1204"/>
        <v>102.86054799999999</v>
      </c>
      <c r="AJ170" s="48">
        <f t="shared" si="1204"/>
        <v>102.86054799999999</v>
      </c>
      <c r="AK170" s="47">
        <f t="shared" ref="AK170:AM170" si="1205">+AK169+AK168+AK167</f>
        <v>102.86054799999999</v>
      </c>
      <c r="AL170" s="47">
        <f t="shared" si="1205"/>
        <v>102.86054799999999</v>
      </c>
      <c r="AM170" s="48">
        <f t="shared" si="1205"/>
        <v>102.86054799999999</v>
      </c>
      <c r="AN170" s="47">
        <f t="shared" ref="AN170:AP170" si="1206">+AN169+AN168+AN167</f>
        <v>102.86054799999999</v>
      </c>
      <c r="AO170" s="47">
        <f t="shared" si="1206"/>
        <v>102.86054799999999</v>
      </c>
      <c r="AP170" s="48">
        <f t="shared" si="1206"/>
        <v>102.86054799999999</v>
      </c>
      <c r="AQ170" s="47">
        <f t="shared" ref="AQ170:AS170" si="1207">+AQ169+AQ168+AQ167</f>
        <v>102.86054799999999</v>
      </c>
      <c r="AR170" s="47">
        <f t="shared" si="1207"/>
        <v>102.86054799999999</v>
      </c>
      <c r="AS170" s="48">
        <f t="shared" si="1207"/>
        <v>102.86054799999999</v>
      </c>
      <c r="AT170" s="47">
        <f t="shared" ref="AT170:AV170" si="1208">+AT169+AT168+AT167</f>
        <v>102.86054799999999</v>
      </c>
      <c r="AU170" s="47">
        <f t="shared" si="1208"/>
        <v>102.86054799999999</v>
      </c>
      <c r="AV170" s="48">
        <f t="shared" si="1208"/>
        <v>102.86054799999999</v>
      </c>
      <c r="AW170" s="47">
        <f t="shared" ref="AW170:AY170" si="1209">+AW169+AW168+AW167</f>
        <v>102.86054799999999</v>
      </c>
      <c r="AX170" s="47">
        <f t="shared" si="1209"/>
        <v>102.86054799999999</v>
      </c>
      <c r="AY170" s="48">
        <f t="shared" si="1209"/>
        <v>102.86054799999999</v>
      </c>
    </row>
    <row r="171" spans="1:51" x14ac:dyDescent="0.2">
      <c r="A171" s="24"/>
      <c r="B171" s="6"/>
      <c r="D171" s="6"/>
      <c r="E171" s="6"/>
      <c r="F171" s="13"/>
      <c r="G171" s="6"/>
      <c r="H171" s="6"/>
      <c r="I171" s="13"/>
      <c r="J171" s="6"/>
      <c r="K171" s="6"/>
      <c r="L171" s="13"/>
      <c r="M171" s="6"/>
      <c r="N171" s="6"/>
      <c r="O171" s="13"/>
      <c r="P171" s="6"/>
      <c r="Q171" s="6"/>
      <c r="R171" s="13"/>
      <c r="S171" s="6"/>
      <c r="T171" s="6"/>
      <c r="U171" s="13"/>
      <c r="V171" s="6"/>
      <c r="W171" s="6"/>
      <c r="X171" s="13"/>
      <c r="Y171" s="6"/>
      <c r="Z171" s="6"/>
      <c r="AA171" s="13"/>
      <c r="AB171" s="6"/>
      <c r="AC171" s="6"/>
      <c r="AD171" s="13"/>
      <c r="AE171" s="6"/>
      <c r="AF171" s="6"/>
      <c r="AG171" s="13"/>
      <c r="AH171" s="6"/>
      <c r="AI171" s="6"/>
      <c r="AJ171" s="13"/>
      <c r="AK171" s="6"/>
      <c r="AL171" s="6"/>
      <c r="AM171" s="13"/>
      <c r="AN171" s="6"/>
      <c r="AO171" s="6"/>
      <c r="AP171" s="13"/>
      <c r="AQ171" s="6"/>
      <c r="AR171" s="6"/>
      <c r="AS171" s="13"/>
      <c r="AT171" s="6"/>
      <c r="AU171" s="6"/>
      <c r="AV171" s="13"/>
      <c r="AW171" s="6"/>
      <c r="AX171" s="6"/>
      <c r="AY171" s="13"/>
    </row>
    <row r="172" spans="1:51" s="24" customFormat="1" ht="12" customHeight="1" x14ac:dyDescent="0.2">
      <c r="B172" s="28" t="s">
        <v>214</v>
      </c>
      <c r="C172" s="29"/>
      <c r="D172" s="171"/>
      <c r="E172" s="39"/>
      <c r="F172" s="172"/>
      <c r="G172" s="171"/>
      <c r="H172" s="39"/>
      <c r="I172" s="172">
        <v>0</v>
      </c>
      <c r="J172" s="171"/>
      <c r="K172" s="39"/>
      <c r="L172" s="172"/>
      <c r="M172" s="171"/>
      <c r="N172" s="39"/>
      <c r="O172" s="172">
        <v>83.992294999999999</v>
      </c>
      <c r="P172" s="171"/>
      <c r="Q172" s="39">
        <f>+R172</f>
        <v>85.568408000000005</v>
      </c>
      <c r="R172" s="172">
        <v>85.568408000000005</v>
      </c>
      <c r="S172" s="171">
        <v>101.438248</v>
      </c>
      <c r="T172" s="39">
        <f>+U172</f>
        <v>101.509607</v>
      </c>
      <c r="U172" s="172">
        <v>101.509607</v>
      </c>
      <c r="V172" s="39">
        <f t="shared" ref="V172:W172" si="1210">AVERAGE(V170,U170)</f>
        <v>102.86054799999999</v>
      </c>
      <c r="W172" s="39">
        <f t="shared" si="1210"/>
        <v>102.86054799999999</v>
      </c>
      <c r="X172" s="30">
        <f t="shared" ref="X172" si="1211">AVERAGE(X170,U170)</f>
        <v>102.86054799999999</v>
      </c>
      <c r="Y172" s="39">
        <f t="shared" ref="Y172:Z172" si="1212">AVERAGE(Y170,X170)</f>
        <v>102.86054799999999</v>
      </c>
      <c r="Z172" s="39">
        <f t="shared" si="1212"/>
        <v>102.86054799999999</v>
      </c>
      <c r="AA172" s="30">
        <f t="shared" ref="AA172" si="1213">AVERAGE(AA170,X170)</f>
        <v>102.86054799999999</v>
      </c>
      <c r="AB172" s="39">
        <f t="shared" ref="AB172:AC172" si="1214">AVERAGE(AB170,AA170)</f>
        <v>102.86054799999999</v>
      </c>
      <c r="AC172" s="39">
        <f t="shared" si="1214"/>
        <v>102.86054799999999</v>
      </c>
      <c r="AD172" s="30">
        <f t="shared" ref="AD172" si="1215">AVERAGE(AD170,AA170)</f>
        <v>102.86054799999999</v>
      </c>
      <c r="AE172" s="39">
        <f t="shared" ref="AE172:AF172" si="1216">AVERAGE(AE170,AD170)</f>
        <v>102.86054799999999</v>
      </c>
      <c r="AF172" s="39">
        <f t="shared" si="1216"/>
        <v>102.86054799999999</v>
      </c>
      <c r="AG172" s="30">
        <f t="shared" ref="AG172" si="1217">AVERAGE(AG170,AD170)</f>
        <v>102.86054799999999</v>
      </c>
      <c r="AH172" s="39">
        <f t="shared" ref="AH172:AI172" si="1218">AVERAGE(AH170,AG170)</f>
        <v>102.86054799999999</v>
      </c>
      <c r="AI172" s="39">
        <f t="shared" si="1218"/>
        <v>102.86054799999999</v>
      </c>
      <c r="AJ172" s="30">
        <f t="shared" ref="AJ172" si="1219">AVERAGE(AJ170,AG170)</f>
        <v>102.86054799999999</v>
      </c>
      <c r="AK172" s="39">
        <f t="shared" ref="AK172" si="1220">AVERAGE(AK170,AJ170)</f>
        <v>102.86054799999999</v>
      </c>
      <c r="AL172" s="39">
        <f t="shared" ref="AL172" si="1221">AVERAGE(AL170,AK170)</f>
        <v>102.86054799999999</v>
      </c>
      <c r="AM172" s="30">
        <f t="shared" ref="AM172" si="1222">AVERAGE(AM170,AJ170)</f>
        <v>102.86054799999999</v>
      </c>
      <c r="AN172" s="39">
        <f t="shared" ref="AN172" si="1223">AVERAGE(AN170,AM170)</f>
        <v>102.86054799999999</v>
      </c>
      <c r="AO172" s="39">
        <f t="shared" ref="AO172" si="1224">AVERAGE(AO170,AN170)</f>
        <v>102.86054799999999</v>
      </c>
      <c r="AP172" s="30">
        <f t="shared" ref="AP172" si="1225">AVERAGE(AP170,AM170)</f>
        <v>102.86054799999999</v>
      </c>
      <c r="AQ172" s="39">
        <f t="shared" ref="AQ172" si="1226">AVERAGE(AQ170,AP170)</f>
        <v>102.86054799999999</v>
      </c>
      <c r="AR172" s="39">
        <f t="shared" ref="AR172" si="1227">AVERAGE(AR170,AQ170)</f>
        <v>102.86054799999999</v>
      </c>
      <c r="AS172" s="30">
        <f t="shared" ref="AS172" si="1228">AVERAGE(AS170,AP170)</f>
        <v>102.86054799999999</v>
      </c>
      <c r="AT172" s="39">
        <f t="shared" ref="AT172" si="1229">AVERAGE(AT170,AS170)</f>
        <v>102.86054799999999</v>
      </c>
      <c r="AU172" s="39">
        <f t="shared" ref="AU172" si="1230">AVERAGE(AU170,AT170)</f>
        <v>102.86054799999999</v>
      </c>
      <c r="AV172" s="30">
        <f t="shared" ref="AV172" si="1231">AVERAGE(AV170,AS170)</f>
        <v>102.86054799999999</v>
      </c>
      <c r="AW172" s="39">
        <f t="shared" ref="AW172" si="1232">AVERAGE(AW170,AV170)</f>
        <v>102.86054799999999</v>
      </c>
      <c r="AX172" s="39">
        <f t="shared" ref="AX172" si="1233">AVERAGE(AX170,AW170)</f>
        <v>102.86054799999999</v>
      </c>
      <c r="AY172" s="30">
        <f t="shared" ref="AY172" si="1234">AVERAGE(AY170,AV170)</f>
        <v>102.86054799999999</v>
      </c>
    </row>
    <row r="173" spans="1:51" s="24" customFormat="1" ht="12" customHeight="1" x14ac:dyDescent="0.2">
      <c r="B173" s="23" t="s">
        <v>215</v>
      </c>
      <c r="C173" s="23"/>
      <c r="D173" s="26"/>
      <c r="E173" s="26"/>
      <c r="F173" s="27"/>
      <c r="G173" s="26"/>
      <c r="H173" s="26"/>
      <c r="I173" s="27">
        <f t="shared" ref="I173" si="1235">+I174-I172</f>
        <v>0</v>
      </c>
      <c r="J173" s="26"/>
      <c r="K173" s="26"/>
      <c r="L173" s="27"/>
      <c r="M173" s="26"/>
      <c r="N173" s="26"/>
      <c r="O173" s="27"/>
      <c r="P173" s="26"/>
      <c r="Q173" s="26">
        <f t="shared" ref="Q173:S173" si="1236">+Q174-Q172</f>
        <v>0</v>
      </c>
      <c r="R173" s="27">
        <f>+R174-R172</f>
        <v>0</v>
      </c>
      <c r="S173" s="26">
        <f t="shared" si="1236"/>
        <v>4.6963829999999973</v>
      </c>
      <c r="T173" s="26">
        <f t="shared" ref="T173" si="1237">+T174-T172</f>
        <v>4.3953789999999913</v>
      </c>
      <c r="U173" s="27">
        <f>+U174-U172</f>
        <v>4.3953789999999913</v>
      </c>
      <c r="V173" s="140">
        <v>0</v>
      </c>
      <c r="W173" s="140">
        <v>0</v>
      </c>
      <c r="X173" s="27">
        <f t="shared" ref="X173" si="1238">+W173</f>
        <v>0</v>
      </c>
      <c r="Y173" s="140">
        <v>0</v>
      </c>
      <c r="Z173" s="140">
        <v>0</v>
      </c>
      <c r="AA173" s="27">
        <f t="shared" ref="AA173" si="1239">+Z173</f>
        <v>0</v>
      </c>
      <c r="AB173" s="140">
        <v>0</v>
      </c>
      <c r="AC173" s="140">
        <v>0</v>
      </c>
      <c r="AD173" s="27">
        <f t="shared" ref="AD173" si="1240">+AC173</f>
        <v>0</v>
      </c>
      <c r="AE173" s="140">
        <v>0</v>
      </c>
      <c r="AF173" s="140">
        <v>0</v>
      </c>
      <c r="AG173" s="27">
        <f t="shared" ref="AG173" si="1241">+AF173</f>
        <v>0</v>
      </c>
      <c r="AH173" s="140">
        <v>0</v>
      </c>
      <c r="AI173" s="140">
        <v>0</v>
      </c>
      <c r="AJ173" s="27">
        <f t="shared" ref="AJ173" si="1242">+AI173</f>
        <v>0</v>
      </c>
      <c r="AK173" s="140">
        <v>0</v>
      </c>
      <c r="AL173" s="140">
        <v>0</v>
      </c>
      <c r="AM173" s="27">
        <f t="shared" ref="AM173" si="1243">+AL173</f>
        <v>0</v>
      </c>
      <c r="AN173" s="140">
        <v>0</v>
      </c>
      <c r="AO173" s="140">
        <v>0</v>
      </c>
      <c r="AP173" s="27">
        <f t="shared" ref="AP173" si="1244">+AO173</f>
        <v>0</v>
      </c>
      <c r="AQ173" s="140">
        <v>0</v>
      </c>
      <c r="AR173" s="140">
        <v>0</v>
      </c>
      <c r="AS173" s="27">
        <f t="shared" ref="AS173" si="1245">+AR173</f>
        <v>0</v>
      </c>
      <c r="AT173" s="140">
        <v>0</v>
      </c>
      <c r="AU173" s="140">
        <v>0</v>
      </c>
      <c r="AV173" s="27">
        <f t="shared" ref="AV173" si="1246">+AU173</f>
        <v>0</v>
      </c>
      <c r="AW173" s="140">
        <v>0</v>
      </c>
      <c r="AX173" s="140">
        <v>0</v>
      </c>
      <c r="AY173" s="27">
        <f t="shared" ref="AY173" si="1247">+AX173</f>
        <v>0</v>
      </c>
    </row>
    <row r="174" spans="1:51" s="135" customFormat="1" ht="12" customHeight="1" x14ac:dyDescent="0.2">
      <c r="A174" s="24"/>
      <c r="B174" s="28" t="s">
        <v>216</v>
      </c>
      <c r="C174" s="28"/>
      <c r="D174" s="171"/>
      <c r="E174" s="39"/>
      <c r="F174" s="172"/>
      <c r="G174" s="171"/>
      <c r="H174" s="39"/>
      <c r="I174" s="172">
        <v>0</v>
      </c>
      <c r="J174" s="171"/>
      <c r="K174" s="39"/>
      <c r="L174" s="172"/>
      <c r="M174" s="171"/>
      <c r="N174" s="39"/>
      <c r="O174" s="172">
        <v>83.992294999999999</v>
      </c>
      <c r="P174" s="171"/>
      <c r="Q174" s="39">
        <f>+R174</f>
        <v>85.568408000000005</v>
      </c>
      <c r="R174" s="172">
        <v>85.568408000000005</v>
      </c>
      <c r="S174" s="171">
        <v>106.134631</v>
      </c>
      <c r="T174" s="39">
        <f>+U174</f>
        <v>105.90498599999999</v>
      </c>
      <c r="U174" s="172">
        <v>105.90498599999999</v>
      </c>
      <c r="V174" s="31">
        <f t="shared" ref="V174:AJ174" si="1248">+V173+V172</f>
        <v>102.86054799999999</v>
      </c>
      <c r="W174" s="31">
        <f t="shared" si="1248"/>
        <v>102.86054799999999</v>
      </c>
      <c r="X174" s="30">
        <f t="shared" si="1248"/>
        <v>102.86054799999999</v>
      </c>
      <c r="Y174" s="31">
        <f t="shared" si="1248"/>
        <v>102.86054799999999</v>
      </c>
      <c r="Z174" s="31">
        <f t="shared" si="1248"/>
        <v>102.86054799999999</v>
      </c>
      <c r="AA174" s="30">
        <f t="shared" si="1248"/>
        <v>102.86054799999999</v>
      </c>
      <c r="AB174" s="31">
        <f t="shared" si="1248"/>
        <v>102.86054799999999</v>
      </c>
      <c r="AC174" s="31">
        <f t="shared" si="1248"/>
        <v>102.86054799999999</v>
      </c>
      <c r="AD174" s="30">
        <f t="shared" si="1248"/>
        <v>102.86054799999999</v>
      </c>
      <c r="AE174" s="31">
        <f t="shared" si="1248"/>
        <v>102.86054799999999</v>
      </c>
      <c r="AF174" s="31">
        <f t="shared" si="1248"/>
        <v>102.86054799999999</v>
      </c>
      <c r="AG174" s="30">
        <f t="shared" si="1248"/>
        <v>102.86054799999999</v>
      </c>
      <c r="AH174" s="31">
        <f t="shared" si="1248"/>
        <v>102.86054799999999</v>
      </c>
      <c r="AI174" s="31">
        <f t="shared" si="1248"/>
        <v>102.86054799999999</v>
      </c>
      <c r="AJ174" s="30">
        <f t="shared" si="1248"/>
        <v>102.86054799999999</v>
      </c>
      <c r="AK174" s="31">
        <f t="shared" ref="AK174:AM174" si="1249">+AK173+AK172</f>
        <v>102.86054799999999</v>
      </c>
      <c r="AL174" s="31">
        <f t="shared" si="1249"/>
        <v>102.86054799999999</v>
      </c>
      <c r="AM174" s="30">
        <f t="shared" si="1249"/>
        <v>102.86054799999999</v>
      </c>
      <c r="AN174" s="31">
        <f t="shared" ref="AN174:AP174" si="1250">+AN173+AN172</f>
        <v>102.86054799999999</v>
      </c>
      <c r="AO174" s="31">
        <f t="shared" si="1250"/>
        <v>102.86054799999999</v>
      </c>
      <c r="AP174" s="30">
        <f t="shared" si="1250"/>
        <v>102.86054799999999</v>
      </c>
      <c r="AQ174" s="31">
        <f t="shared" ref="AQ174:AS174" si="1251">+AQ173+AQ172</f>
        <v>102.86054799999999</v>
      </c>
      <c r="AR174" s="31">
        <f t="shared" si="1251"/>
        <v>102.86054799999999</v>
      </c>
      <c r="AS174" s="30">
        <f t="shared" si="1251"/>
        <v>102.86054799999999</v>
      </c>
      <c r="AT174" s="31">
        <f t="shared" ref="AT174:AV174" si="1252">+AT173+AT172</f>
        <v>102.86054799999999</v>
      </c>
      <c r="AU174" s="31">
        <f t="shared" si="1252"/>
        <v>102.86054799999999</v>
      </c>
      <c r="AV174" s="30">
        <f t="shared" si="1252"/>
        <v>102.86054799999999</v>
      </c>
      <c r="AW174" s="31">
        <f t="shared" ref="AW174:AY174" si="1253">+AW173+AW172</f>
        <v>102.86054799999999</v>
      </c>
      <c r="AX174" s="31">
        <f t="shared" si="1253"/>
        <v>102.86054799999999</v>
      </c>
      <c r="AY174" s="30">
        <f t="shared" si="1253"/>
        <v>102.86054799999999</v>
      </c>
    </row>
    <row r="175" spans="1:51" x14ac:dyDescent="0.2">
      <c r="A175" s="24"/>
      <c r="B175" s="6"/>
      <c r="D175" s="6"/>
      <c r="E175" s="6"/>
      <c r="F175" s="13"/>
      <c r="G175" s="6"/>
      <c r="H175" s="6"/>
      <c r="I175" s="13"/>
      <c r="J175" s="6"/>
      <c r="K175" s="6"/>
      <c r="L175" s="13"/>
      <c r="M175" s="6"/>
      <c r="N175" s="6"/>
      <c r="O175" s="13"/>
      <c r="P175" s="6"/>
      <c r="Q175" s="6"/>
      <c r="R175" s="13"/>
      <c r="S175" s="6"/>
      <c r="T175" s="6"/>
      <c r="U175" s="13"/>
      <c r="V175" s="6"/>
      <c r="W175" s="6"/>
      <c r="X175" s="13"/>
      <c r="Y175" s="6"/>
      <c r="Z175" s="6"/>
      <c r="AA175" s="13"/>
      <c r="AB175" s="6"/>
      <c r="AC175" s="6"/>
      <c r="AD175" s="13"/>
      <c r="AE175" s="6"/>
      <c r="AF175" s="6"/>
      <c r="AG175" s="13"/>
      <c r="AH175" s="6"/>
      <c r="AI175" s="6"/>
      <c r="AJ175" s="13"/>
      <c r="AK175" s="6"/>
      <c r="AL175" s="6"/>
      <c r="AM175" s="13"/>
      <c r="AN175" s="6"/>
      <c r="AO175" s="6"/>
      <c r="AP175" s="13"/>
      <c r="AQ175" s="6"/>
      <c r="AR175" s="6"/>
      <c r="AS175" s="13"/>
      <c r="AT175" s="6"/>
      <c r="AU175" s="6"/>
      <c r="AV175" s="13"/>
      <c r="AW175" s="6"/>
      <c r="AX175" s="6"/>
      <c r="AY175" s="13"/>
    </row>
    <row r="176" spans="1:51" x14ac:dyDescent="0.2">
      <c r="A176" s="14"/>
      <c r="B176" s="12" t="s">
        <v>46</v>
      </c>
      <c r="D176" s="6"/>
      <c r="E176" s="6"/>
      <c r="F176" s="13"/>
      <c r="G176" s="6"/>
      <c r="H176" s="6"/>
      <c r="I176" s="13"/>
      <c r="J176" s="6"/>
      <c r="K176" s="6"/>
      <c r="L176" s="13"/>
      <c r="M176" s="6"/>
      <c r="N176" s="6"/>
      <c r="O176" s="13"/>
      <c r="P176" s="6"/>
      <c r="Q176" s="6"/>
      <c r="R176" s="13"/>
      <c r="S176" s="6"/>
      <c r="T176" s="6"/>
      <c r="U176" s="13"/>
      <c r="V176" s="6"/>
      <c r="W176" s="6"/>
      <c r="X176" s="13"/>
      <c r="Y176" s="6"/>
      <c r="Z176" s="6"/>
      <c r="AA176" s="13"/>
      <c r="AB176" s="6"/>
      <c r="AC176" s="6"/>
      <c r="AD176" s="13"/>
      <c r="AE176" s="6"/>
      <c r="AF176" s="6"/>
      <c r="AG176" s="13"/>
      <c r="AH176" s="6"/>
      <c r="AI176" s="6"/>
      <c r="AJ176" s="13"/>
      <c r="AK176" s="6"/>
      <c r="AL176" s="6"/>
      <c r="AM176" s="13"/>
      <c r="AN176" s="6"/>
      <c r="AO176" s="6"/>
      <c r="AP176" s="13"/>
      <c r="AQ176" s="6"/>
      <c r="AR176" s="6"/>
      <c r="AS176" s="13"/>
      <c r="AT176" s="6"/>
      <c r="AU176" s="6"/>
      <c r="AV176" s="13"/>
      <c r="AW176" s="6"/>
      <c r="AX176" s="6"/>
      <c r="AY176" s="13"/>
    </row>
    <row r="177" spans="1:51" s="24" customFormat="1" ht="12" customHeight="1" x14ac:dyDescent="0.2">
      <c r="B177" s="23" t="s">
        <v>217</v>
      </c>
      <c r="C177" s="23"/>
      <c r="D177" s="25"/>
      <c r="E177" s="25"/>
      <c r="F177" s="143"/>
      <c r="G177" s="25"/>
      <c r="H177" s="25"/>
      <c r="I177" s="143"/>
      <c r="J177" s="25"/>
      <c r="K177" s="25"/>
      <c r="L177" s="143"/>
      <c r="M177" s="25"/>
      <c r="N177" s="25"/>
      <c r="O177" s="143"/>
      <c r="P177" s="25"/>
      <c r="Q177" s="25"/>
      <c r="R177" s="143">
        <v>0</v>
      </c>
      <c r="S177" s="26"/>
      <c r="T177" s="25"/>
      <c r="U177" s="143">
        <v>0</v>
      </c>
      <c r="V177" s="26"/>
      <c r="W177" s="26"/>
      <c r="X177" s="27"/>
      <c r="Y177" s="26"/>
      <c r="Z177" s="26"/>
      <c r="AA177" s="27"/>
      <c r="AB177" s="26"/>
      <c r="AC177" s="26"/>
      <c r="AD177" s="27"/>
      <c r="AE177" s="26"/>
      <c r="AF177" s="26"/>
      <c r="AG177" s="27"/>
      <c r="AH177" s="26"/>
      <c r="AI177" s="26"/>
      <c r="AJ177" s="27"/>
      <c r="AK177" s="26"/>
      <c r="AL177" s="26"/>
      <c r="AM177" s="27"/>
      <c r="AN177" s="26"/>
      <c r="AO177" s="26"/>
      <c r="AP177" s="27"/>
      <c r="AQ177" s="26"/>
      <c r="AR177" s="26"/>
      <c r="AS177" s="27"/>
      <c r="AT177" s="26"/>
      <c r="AU177" s="26"/>
      <c r="AV177" s="27"/>
      <c r="AW177" s="26"/>
      <c r="AX177" s="26"/>
      <c r="AY177" s="27"/>
    </row>
    <row r="178" spans="1:51" s="24" customFormat="1" ht="12" customHeight="1" x14ac:dyDescent="0.2">
      <c r="B178" s="23" t="s">
        <v>218</v>
      </c>
      <c r="C178" s="23"/>
      <c r="D178" s="25"/>
      <c r="E178" s="25"/>
      <c r="F178" s="143"/>
      <c r="G178" s="25"/>
      <c r="H178" s="25"/>
      <c r="I178" s="143"/>
      <c r="J178" s="25"/>
      <c r="K178" s="25"/>
      <c r="L178" s="143"/>
      <c r="M178" s="25"/>
      <c r="N178" s="25"/>
      <c r="O178" s="143"/>
      <c r="P178" s="25"/>
      <c r="Q178" s="25"/>
      <c r="R178" s="143">
        <v>0</v>
      </c>
      <c r="S178" s="25">
        <v>0</v>
      </c>
      <c r="T178" s="25"/>
      <c r="U178" s="143">
        <v>0</v>
      </c>
      <c r="V178" s="25"/>
      <c r="W178" s="26"/>
      <c r="X178" s="27">
        <f t="shared" ref="X178" si="1254">+X179</f>
        <v>0</v>
      </c>
      <c r="Y178" s="25"/>
      <c r="Z178" s="26"/>
      <c r="AA178" s="27">
        <f t="shared" ref="AA178" si="1255">+AA179</f>
        <v>0</v>
      </c>
      <c r="AB178" s="25"/>
      <c r="AC178" s="26"/>
      <c r="AD178" s="27">
        <f t="shared" ref="AD178" si="1256">+AD179</f>
        <v>0</v>
      </c>
      <c r="AE178" s="25"/>
      <c r="AF178" s="26"/>
      <c r="AG178" s="27">
        <f t="shared" ref="AG178" si="1257">+AG179</f>
        <v>0</v>
      </c>
      <c r="AH178" s="25"/>
      <c r="AI178" s="26"/>
      <c r="AJ178" s="27">
        <f t="shared" ref="AJ178" si="1258">+AJ179</f>
        <v>0</v>
      </c>
      <c r="AK178" s="25"/>
      <c r="AL178" s="26"/>
      <c r="AM178" s="27">
        <f t="shared" ref="AM178" si="1259">+AM179</f>
        <v>0</v>
      </c>
      <c r="AN178" s="25"/>
      <c r="AO178" s="26"/>
      <c r="AP178" s="27">
        <f t="shared" ref="AP178" si="1260">+AP179</f>
        <v>0</v>
      </c>
      <c r="AQ178" s="25"/>
      <c r="AR178" s="26"/>
      <c r="AS178" s="27">
        <f t="shared" ref="AS178" si="1261">+AS179</f>
        <v>0</v>
      </c>
      <c r="AT178" s="25"/>
      <c r="AU178" s="26"/>
      <c r="AV178" s="27">
        <f t="shared" ref="AV178" si="1262">+AV179</f>
        <v>0</v>
      </c>
      <c r="AW178" s="25"/>
      <c r="AX178" s="26"/>
      <c r="AY178" s="27">
        <f t="shared" ref="AY178" si="1263">+AY179</f>
        <v>0</v>
      </c>
    </row>
    <row r="179" spans="1:51" s="135" customFormat="1" ht="12" customHeight="1" x14ac:dyDescent="0.2">
      <c r="A179" s="24"/>
      <c r="B179" s="28" t="s">
        <v>219</v>
      </c>
      <c r="C179" s="28"/>
      <c r="D179" s="31"/>
      <c r="E179" s="31"/>
      <c r="F179" s="30"/>
      <c r="G179" s="31"/>
      <c r="H179" s="31"/>
      <c r="I179" s="30"/>
      <c r="J179" s="31"/>
      <c r="K179" s="31"/>
      <c r="L179" s="30"/>
      <c r="M179" s="31"/>
      <c r="N179" s="31"/>
      <c r="O179" s="30"/>
      <c r="P179" s="31"/>
      <c r="Q179" s="31"/>
      <c r="R179" s="30">
        <f t="shared" ref="R179" si="1264">+R178+R177</f>
        <v>0</v>
      </c>
      <c r="S179" s="31">
        <f t="shared" ref="S179" si="1265">S183/S174*100</f>
        <v>0</v>
      </c>
      <c r="T179" s="31"/>
      <c r="U179" s="30">
        <f t="shared" ref="U179" si="1266">+U178+U177</f>
        <v>0</v>
      </c>
      <c r="V179" s="31">
        <f t="shared" ref="V179:W179" si="1267">V183/V174*100</f>
        <v>0</v>
      </c>
      <c r="W179" s="31">
        <f t="shared" si="1267"/>
        <v>0</v>
      </c>
      <c r="X179" s="30">
        <f t="shared" ref="X179" si="1268">+W179+V179</f>
        <v>0</v>
      </c>
      <c r="Y179" s="31">
        <f t="shared" ref="Y179:Z179" si="1269">Y183/Y174*100</f>
        <v>0</v>
      </c>
      <c r="Z179" s="31">
        <f t="shared" si="1269"/>
        <v>0</v>
      </c>
      <c r="AA179" s="30">
        <f t="shared" ref="AA179" si="1270">+Z179+Y179</f>
        <v>0</v>
      </c>
      <c r="AB179" s="31">
        <f t="shared" ref="AB179:AC179" si="1271">AB183/AB174*100</f>
        <v>0</v>
      </c>
      <c r="AC179" s="31">
        <f t="shared" si="1271"/>
        <v>0</v>
      </c>
      <c r="AD179" s="30">
        <f t="shared" ref="AD179" si="1272">+AC179+AB179</f>
        <v>0</v>
      </c>
      <c r="AE179" s="31">
        <f t="shared" ref="AE179:AF179" si="1273">AE183/AE174*100</f>
        <v>0</v>
      </c>
      <c r="AF179" s="31">
        <f t="shared" si="1273"/>
        <v>0</v>
      </c>
      <c r="AG179" s="30">
        <f t="shared" ref="AG179" si="1274">+AF179+AE179</f>
        <v>0</v>
      </c>
      <c r="AH179" s="31">
        <f t="shared" ref="AH179:AI179" si="1275">AH183/AH174*100</f>
        <v>0</v>
      </c>
      <c r="AI179" s="31">
        <f t="shared" si="1275"/>
        <v>0</v>
      </c>
      <c r="AJ179" s="30">
        <f t="shared" ref="AJ179" si="1276">+AI179+AH179</f>
        <v>0</v>
      </c>
      <c r="AK179" s="31">
        <f t="shared" ref="AK179:AL179" si="1277">AK183/AK174*100</f>
        <v>0</v>
      </c>
      <c r="AL179" s="31">
        <f t="shared" si="1277"/>
        <v>0</v>
      </c>
      <c r="AM179" s="30">
        <f t="shared" ref="AM179" si="1278">+AL179+AK179</f>
        <v>0</v>
      </c>
      <c r="AN179" s="31">
        <f t="shared" ref="AN179:AO179" si="1279">AN183/AN174*100</f>
        <v>0</v>
      </c>
      <c r="AO179" s="31">
        <f t="shared" si="1279"/>
        <v>0</v>
      </c>
      <c r="AP179" s="30">
        <f t="shared" ref="AP179" si="1280">+AO179+AN179</f>
        <v>0</v>
      </c>
      <c r="AQ179" s="31">
        <f t="shared" ref="AQ179:AR179" si="1281">AQ183/AQ174*100</f>
        <v>0</v>
      </c>
      <c r="AR179" s="31">
        <f t="shared" si="1281"/>
        <v>0</v>
      </c>
      <c r="AS179" s="30">
        <f t="shared" ref="AS179" si="1282">+AR179+AQ179</f>
        <v>0</v>
      </c>
      <c r="AT179" s="31">
        <f t="shared" ref="AT179:AU179" si="1283">AT183/AT174*100</f>
        <v>0</v>
      </c>
      <c r="AU179" s="31">
        <f t="shared" si="1283"/>
        <v>0</v>
      </c>
      <c r="AV179" s="30">
        <f t="shared" ref="AV179" si="1284">+AU179+AT179</f>
        <v>0</v>
      </c>
      <c r="AW179" s="31">
        <f t="shared" ref="AW179:AX179" si="1285">AW183/AW174*100</f>
        <v>0</v>
      </c>
      <c r="AX179" s="31">
        <f t="shared" si="1285"/>
        <v>0</v>
      </c>
      <c r="AY179" s="30">
        <f t="shared" ref="AY179" si="1286">+AX179+AW179</f>
        <v>0</v>
      </c>
    </row>
    <row r="180" spans="1:51" ht="12" customHeight="1" x14ac:dyDescent="0.2">
      <c r="A180" s="24"/>
      <c r="B180" s="8" t="s">
        <v>220</v>
      </c>
      <c r="C180" s="6"/>
      <c r="D180" s="137"/>
      <c r="E180" s="137"/>
      <c r="F180" s="136"/>
      <c r="G180" s="137"/>
      <c r="H180" s="137"/>
      <c r="I180" s="136"/>
      <c r="J180" s="137"/>
      <c r="K180" s="137"/>
      <c r="L180" s="136"/>
      <c r="M180" s="137"/>
      <c r="N180" s="137"/>
      <c r="O180" s="136"/>
      <c r="P180" s="137"/>
      <c r="Q180" s="137"/>
      <c r="R180" s="136">
        <v>1</v>
      </c>
      <c r="S180" s="137">
        <v>1</v>
      </c>
      <c r="T180" s="137"/>
      <c r="U180" s="136">
        <v>1</v>
      </c>
      <c r="V180" s="137">
        <v>1</v>
      </c>
      <c r="W180" s="137">
        <v>1</v>
      </c>
      <c r="X180" s="136">
        <v>1</v>
      </c>
      <c r="Y180" s="137">
        <v>1</v>
      </c>
      <c r="Z180" s="137">
        <v>1</v>
      </c>
      <c r="AA180" s="136">
        <v>1</v>
      </c>
      <c r="AB180" s="137">
        <v>1</v>
      </c>
      <c r="AC180" s="137">
        <v>1</v>
      </c>
      <c r="AD180" s="136">
        <v>1</v>
      </c>
      <c r="AE180" s="137">
        <v>1</v>
      </c>
      <c r="AF180" s="137">
        <v>1</v>
      </c>
      <c r="AG180" s="136">
        <v>1</v>
      </c>
      <c r="AH180" s="137">
        <v>1</v>
      </c>
      <c r="AI180" s="137">
        <v>1</v>
      </c>
      <c r="AJ180" s="136">
        <v>1</v>
      </c>
      <c r="AK180" s="137">
        <v>1</v>
      </c>
      <c r="AL180" s="137">
        <v>1</v>
      </c>
      <c r="AM180" s="136">
        <v>1</v>
      </c>
      <c r="AN180" s="137">
        <v>1</v>
      </c>
      <c r="AO180" s="137">
        <v>1</v>
      </c>
      <c r="AP180" s="136">
        <v>1</v>
      </c>
      <c r="AQ180" s="137">
        <v>1</v>
      </c>
      <c r="AR180" s="137">
        <v>1</v>
      </c>
      <c r="AS180" s="136">
        <v>1</v>
      </c>
      <c r="AT180" s="137">
        <v>1</v>
      </c>
      <c r="AU180" s="137">
        <v>1</v>
      </c>
      <c r="AV180" s="136">
        <v>1</v>
      </c>
      <c r="AW180" s="137">
        <v>1</v>
      </c>
      <c r="AX180" s="137">
        <v>1</v>
      </c>
      <c r="AY180" s="136">
        <v>1</v>
      </c>
    </row>
    <row r="181" spans="1:51" x14ac:dyDescent="0.2">
      <c r="A181" s="24"/>
      <c r="B181" s="6"/>
      <c r="D181" s="6"/>
      <c r="E181" s="6"/>
      <c r="F181" s="13"/>
      <c r="G181" s="6"/>
      <c r="H181" s="6"/>
      <c r="I181" s="13"/>
      <c r="J181" s="6"/>
      <c r="K181" s="6"/>
      <c r="L181" s="13"/>
      <c r="M181" s="6"/>
      <c r="N181" s="6"/>
      <c r="O181" s="13"/>
      <c r="P181" s="6"/>
      <c r="Q181" s="6"/>
      <c r="R181" s="13"/>
      <c r="S181" s="6"/>
      <c r="T181" s="6"/>
      <c r="U181" s="13"/>
      <c r="V181" s="6"/>
      <c r="W181" s="6"/>
      <c r="X181" s="13"/>
      <c r="Y181" s="6"/>
      <c r="Z181" s="6"/>
      <c r="AA181" s="13"/>
      <c r="AB181" s="6"/>
      <c r="AC181" s="6"/>
      <c r="AD181" s="13"/>
      <c r="AE181" s="6"/>
      <c r="AF181" s="6"/>
      <c r="AG181" s="13"/>
      <c r="AH181" s="6"/>
      <c r="AI181" s="6"/>
      <c r="AJ181" s="13"/>
      <c r="AK181" s="6"/>
      <c r="AL181" s="6"/>
      <c r="AM181" s="13"/>
      <c r="AN181" s="6"/>
      <c r="AO181" s="6"/>
      <c r="AP181" s="13"/>
      <c r="AQ181" s="6"/>
      <c r="AR181" s="6"/>
      <c r="AS181" s="13"/>
      <c r="AT181" s="6"/>
      <c r="AU181" s="6"/>
      <c r="AV181" s="13"/>
      <c r="AW181" s="6"/>
      <c r="AX181" s="6"/>
      <c r="AY181" s="13"/>
    </row>
    <row r="182" spans="1:51" x14ac:dyDescent="0.2">
      <c r="A182" s="24"/>
      <c r="B182" s="6"/>
      <c r="D182" s="6"/>
      <c r="E182" s="6"/>
      <c r="F182" s="13"/>
      <c r="G182" s="6"/>
      <c r="H182" s="6"/>
      <c r="I182" s="13"/>
      <c r="J182" s="6"/>
      <c r="K182" s="6"/>
      <c r="L182" s="13"/>
      <c r="M182" s="6"/>
      <c r="N182" s="6"/>
      <c r="O182" s="13"/>
      <c r="P182" s="6"/>
      <c r="Q182" s="6"/>
      <c r="R182" s="13"/>
      <c r="S182" s="6"/>
      <c r="T182" s="6"/>
      <c r="U182" s="13"/>
      <c r="V182" s="6"/>
      <c r="W182" s="6"/>
      <c r="X182" s="13"/>
      <c r="Y182" s="6"/>
      <c r="Z182" s="6"/>
      <c r="AA182" s="13"/>
      <c r="AB182" s="6"/>
      <c r="AC182" s="6"/>
      <c r="AD182" s="13"/>
      <c r="AE182" s="6"/>
      <c r="AF182" s="6"/>
      <c r="AG182" s="13"/>
      <c r="AH182" s="6"/>
      <c r="AI182" s="6"/>
      <c r="AJ182" s="13"/>
      <c r="AK182" s="6"/>
      <c r="AL182" s="6"/>
      <c r="AM182" s="13"/>
      <c r="AN182" s="6"/>
      <c r="AO182" s="6"/>
      <c r="AP182" s="13"/>
      <c r="AQ182" s="6"/>
      <c r="AR182" s="6"/>
      <c r="AS182" s="13"/>
      <c r="AT182" s="6"/>
      <c r="AU182" s="6"/>
      <c r="AV182" s="13"/>
      <c r="AW182" s="6"/>
      <c r="AX182" s="6"/>
      <c r="AY182" s="13"/>
    </row>
    <row r="183" spans="1:51" s="24" customFormat="1" ht="12" customHeight="1" x14ac:dyDescent="0.2">
      <c r="B183" s="23" t="s">
        <v>221</v>
      </c>
      <c r="C183" s="23"/>
      <c r="D183" s="26"/>
      <c r="E183" s="26"/>
      <c r="F183" s="27"/>
      <c r="G183" s="26"/>
      <c r="H183" s="26"/>
      <c r="I183" s="27"/>
      <c r="J183" s="26"/>
      <c r="K183" s="26"/>
      <c r="L183" s="27"/>
      <c r="M183" s="26"/>
      <c r="N183" s="26"/>
      <c r="O183" s="27"/>
      <c r="P183" s="26"/>
      <c r="Q183" s="26"/>
      <c r="R183" s="27">
        <f>+Q183+P183</f>
        <v>0</v>
      </c>
      <c r="S183" s="26">
        <f t="shared" ref="S183" si="1287">S187*S188</f>
        <v>0</v>
      </c>
      <c r="T183" s="26"/>
      <c r="U183" s="27">
        <f>+T183+S183</f>
        <v>0</v>
      </c>
      <c r="V183" s="26">
        <f t="shared" ref="V183:W183" si="1288">V187*V188</f>
        <v>0</v>
      </c>
      <c r="W183" s="26">
        <f t="shared" si="1288"/>
        <v>0</v>
      </c>
      <c r="X183" s="27">
        <f t="shared" ref="X183" si="1289">+W183+V183</f>
        <v>0</v>
      </c>
      <c r="Y183" s="26">
        <f t="shared" ref="Y183:Z183" si="1290">Y187*Y188</f>
        <v>0</v>
      </c>
      <c r="Z183" s="26">
        <f t="shared" si="1290"/>
        <v>0</v>
      </c>
      <c r="AA183" s="27">
        <f t="shared" ref="AA183" si="1291">+Z183+Y183</f>
        <v>0</v>
      </c>
      <c r="AB183" s="26">
        <f t="shared" ref="AB183:AC183" si="1292">AB187*AB188</f>
        <v>0</v>
      </c>
      <c r="AC183" s="26">
        <f t="shared" si="1292"/>
        <v>0</v>
      </c>
      <c r="AD183" s="27">
        <f t="shared" ref="AD183" si="1293">+AC183+AB183</f>
        <v>0</v>
      </c>
      <c r="AE183" s="26">
        <f t="shared" ref="AE183:AF183" si="1294">AE187*AE188</f>
        <v>0</v>
      </c>
      <c r="AF183" s="26">
        <f t="shared" si="1294"/>
        <v>0</v>
      </c>
      <c r="AG183" s="27">
        <f t="shared" ref="AG183" si="1295">+AF183+AE183</f>
        <v>0</v>
      </c>
      <c r="AH183" s="26">
        <f t="shared" ref="AH183:AI183" si="1296">AH187*AH188</f>
        <v>0</v>
      </c>
      <c r="AI183" s="26">
        <f t="shared" si="1296"/>
        <v>0</v>
      </c>
      <c r="AJ183" s="27">
        <f t="shared" ref="AJ183" si="1297">+AI183+AH183</f>
        <v>0</v>
      </c>
      <c r="AK183" s="26">
        <f t="shared" ref="AK183:AL183" si="1298">AK187*AK188</f>
        <v>0</v>
      </c>
      <c r="AL183" s="26">
        <f t="shared" si="1298"/>
        <v>0</v>
      </c>
      <c r="AM183" s="27">
        <f t="shared" ref="AM183" si="1299">+AL183+AK183</f>
        <v>0</v>
      </c>
      <c r="AN183" s="26">
        <f t="shared" ref="AN183:AO183" si="1300">AN187*AN188</f>
        <v>0</v>
      </c>
      <c r="AO183" s="26">
        <f t="shared" si="1300"/>
        <v>0</v>
      </c>
      <c r="AP183" s="27">
        <f t="shared" ref="AP183" si="1301">+AO183+AN183</f>
        <v>0</v>
      </c>
      <c r="AQ183" s="26">
        <f t="shared" ref="AQ183:AR183" si="1302">AQ187*AQ188</f>
        <v>0</v>
      </c>
      <c r="AR183" s="26">
        <f t="shared" si="1302"/>
        <v>0</v>
      </c>
      <c r="AS183" s="27">
        <f t="shared" ref="AS183" si="1303">+AR183+AQ183</f>
        <v>0</v>
      </c>
      <c r="AT183" s="26">
        <f t="shared" ref="AT183:AU183" si="1304">AT187*AT188</f>
        <v>0</v>
      </c>
      <c r="AU183" s="26">
        <f t="shared" si="1304"/>
        <v>0</v>
      </c>
      <c r="AV183" s="27">
        <f t="shared" ref="AV183" si="1305">+AU183+AT183</f>
        <v>0</v>
      </c>
      <c r="AW183" s="26">
        <f t="shared" ref="AW183:AX183" si="1306">AW187*AW188</f>
        <v>0</v>
      </c>
      <c r="AX183" s="26">
        <f t="shared" si="1306"/>
        <v>0</v>
      </c>
      <c r="AY183" s="27">
        <f t="shared" ref="AY183" si="1307">+AX183+AW183</f>
        <v>0</v>
      </c>
    </row>
    <row r="184" spans="1:51" s="24" customFormat="1" ht="12" customHeight="1" x14ac:dyDescent="0.2">
      <c r="B184" s="23" t="s">
        <v>222</v>
      </c>
      <c r="C184" s="23"/>
      <c r="D184" s="159"/>
      <c r="E184" s="159"/>
      <c r="F184" s="160"/>
      <c r="G184" s="159"/>
      <c r="H184" s="158"/>
      <c r="I184" s="160"/>
      <c r="J184" s="159"/>
      <c r="K184" s="158"/>
      <c r="L184" s="160"/>
      <c r="M184" s="159"/>
      <c r="N184" s="158"/>
      <c r="O184" s="160"/>
      <c r="P184" s="159"/>
      <c r="Q184" s="158"/>
      <c r="R184" s="160"/>
      <c r="S184" s="26"/>
      <c r="T184" s="158"/>
      <c r="U184" s="160"/>
      <c r="V184" s="26"/>
      <c r="W184" s="26"/>
      <c r="X184" s="27"/>
      <c r="Y184" s="26"/>
      <c r="Z184" s="26"/>
      <c r="AA184" s="27"/>
      <c r="AB184" s="26"/>
      <c r="AC184" s="26"/>
      <c r="AD184" s="27"/>
      <c r="AE184" s="26"/>
      <c r="AF184" s="26"/>
      <c r="AG184" s="27"/>
      <c r="AH184" s="26"/>
      <c r="AI184" s="26"/>
      <c r="AJ184" s="27"/>
      <c r="AK184" s="26"/>
      <c r="AL184" s="26"/>
      <c r="AM184" s="27"/>
      <c r="AN184" s="26"/>
      <c r="AO184" s="26"/>
      <c r="AP184" s="27"/>
      <c r="AQ184" s="26"/>
      <c r="AR184" s="26"/>
      <c r="AS184" s="27"/>
      <c r="AT184" s="26"/>
      <c r="AU184" s="26"/>
      <c r="AV184" s="27"/>
      <c r="AW184" s="26"/>
      <c r="AX184" s="26"/>
      <c r="AY184" s="27"/>
    </row>
    <row r="185" spans="1:51" s="24" customFormat="1" ht="12" customHeight="1" x14ac:dyDescent="0.2">
      <c r="B185" s="23" t="s">
        <v>223</v>
      </c>
      <c r="C185" s="23"/>
      <c r="D185" s="26"/>
      <c r="E185" s="26"/>
      <c r="F185" s="27"/>
      <c r="G185" s="26"/>
      <c r="H185" s="26"/>
      <c r="I185" s="27"/>
      <c r="J185" s="26"/>
      <c r="K185" s="26"/>
      <c r="L185" s="27"/>
      <c r="M185" s="26"/>
      <c r="N185" s="26"/>
      <c r="O185" s="27"/>
      <c r="P185" s="26"/>
      <c r="Q185" s="26"/>
      <c r="R185" s="27">
        <f>+Q185+P185</f>
        <v>0</v>
      </c>
      <c r="S185" s="26">
        <f t="shared" ref="S185" si="1308">+S183-S184</f>
        <v>0</v>
      </c>
      <c r="T185" s="26"/>
      <c r="U185" s="27">
        <f>+T185+S185</f>
        <v>0</v>
      </c>
      <c r="V185" s="26">
        <f t="shared" ref="V185:W185" si="1309">+V183-V184</f>
        <v>0</v>
      </c>
      <c r="W185" s="26">
        <f t="shared" si="1309"/>
        <v>0</v>
      </c>
      <c r="X185" s="27">
        <f t="shared" ref="X185" si="1310">+W185+V185</f>
        <v>0</v>
      </c>
      <c r="Y185" s="26">
        <f t="shared" ref="Y185:Z185" si="1311">+Y183-Y184</f>
        <v>0</v>
      </c>
      <c r="Z185" s="26">
        <f t="shared" si="1311"/>
        <v>0</v>
      </c>
      <c r="AA185" s="27">
        <f t="shared" ref="AA185" si="1312">+Z185+Y185</f>
        <v>0</v>
      </c>
      <c r="AB185" s="26">
        <f t="shared" ref="AB185:AC185" si="1313">+AB183-AB184</f>
        <v>0</v>
      </c>
      <c r="AC185" s="26">
        <f t="shared" si="1313"/>
        <v>0</v>
      </c>
      <c r="AD185" s="27">
        <f t="shared" ref="AD185" si="1314">+AC185+AB185</f>
        <v>0</v>
      </c>
      <c r="AE185" s="26">
        <f t="shared" ref="AE185:AF185" si="1315">+AE183-AE184</f>
        <v>0</v>
      </c>
      <c r="AF185" s="26">
        <f t="shared" si="1315"/>
        <v>0</v>
      </c>
      <c r="AG185" s="27">
        <f t="shared" ref="AG185" si="1316">+AF185+AE185</f>
        <v>0</v>
      </c>
      <c r="AH185" s="26">
        <f t="shared" ref="AH185:AI185" si="1317">+AH183-AH184</f>
        <v>0</v>
      </c>
      <c r="AI185" s="26">
        <f t="shared" si="1317"/>
        <v>0</v>
      </c>
      <c r="AJ185" s="27">
        <f t="shared" ref="AJ185" si="1318">+AI185+AH185</f>
        <v>0</v>
      </c>
      <c r="AK185" s="26">
        <f t="shared" ref="AK185:AL185" si="1319">+AK183-AK184</f>
        <v>0</v>
      </c>
      <c r="AL185" s="26">
        <f t="shared" si="1319"/>
        <v>0</v>
      </c>
      <c r="AM185" s="27">
        <f t="shared" ref="AM185" si="1320">+AL185+AK185</f>
        <v>0</v>
      </c>
      <c r="AN185" s="26">
        <f t="shared" ref="AN185:AO185" si="1321">+AN183-AN184</f>
        <v>0</v>
      </c>
      <c r="AO185" s="26">
        <f t="shared" si="1321"/>
        <v>0</v>
      </c>
      <c r="AP185" s="27">
        <f t="shared" ref="AP185" si="1322">+AO185+AN185</f>
        <v>0</v>
      </c>
      <c r="AQ185" s="26">
        <f t="shared" ref="AQ185:AR185" si="1323">+AQ183-AQ184</f>
        <v>0</v>
      </c>
      <c r="AR185" s="26">
        <f t="shared" si="1323"/>
        <v>0</v>
      </c>
      <c r="AS185" s="27">
        <f t="shared" ref="AS185" si="1324">+AR185+AQ185</f>
        <v>0</v>
      </c>
      <c r="AT185" s="26">
        <f t="shared" ref="AT185:AU185" si="1325">+AT183-AT184</f>
        <v>0</v>
      </c>
      <c r="AU185" s="26">
        <f t="shared" si="1325"/>
        <v>0</v>
      </c>
      <c r="AV185" s="27">
        <f t="shared" ref="AV185" si="1326">+AU185+AT185</f>
        <v>0</v>
      </c>
      <c r="AW185" s="26">
        <f t="shared" ref="AW185:AX185" si="1327">+AW183-AW184</f>
        <v>0</v>
      </c>
      <c r="AX185" s="26">
        <f t="shared" si="1327"/>
        <v>0</v>
      </c>
      <c r="AY185" s="27">
        <f t="shared" ref="AY185" si="1328">+AX185+AW185</f>
        <v>0</v>
      </c>
    </row>
    <row r="186" spans="1:51" s="24" customFormat="1" ht="12" customHeight="1" x14ac:dyDescent="0.2">
      <c r="B186" s="23"/>
      <c r="C186" s="23"/>
      <c r="D186" s="26"/>
      <c r="E186" s="26"/>
      <c r="F186" s="27"/>
      <c r="G186" s="26"/>
      <c r="H186" s="26"/>
      <c r="I186" s="27"/>
      <c r="J186" s="26"/>
      <c r="K186" s="26"/>
      <c r="L186" s="27"/>
      <c r="M186" s="26"/>
      <c r="N186" s="26"/>
      <c r="O186" s="27"/>
      <c r="P186" s="26"/>
      <c r="Q186" s="26"/>
      <c r="R186" s="27"/>
      <c r="S186" s="26"/>
      <c r="T186" s="26"/>
      <c r="U186" s="27"/>
      <c r="V186" s="26"/>
      <c r="W186" s="26"/>
      <c r="X186" s="27"/>
      <c r="Y186" s="26"/>
      <c r="Z186" s="26"/>
      <c r="AA186" s="27"/>
      <c r="AB186" s="26"/>
      <c r="AC186" s="26"/>
      <c r="AD186" s="27"/>
      <c r="AE186" s="26"/>
      <c r="AF186" s="26"/>
      <c r="AG186" s="27"/>
      <c r="AH186" s="26"/>
      <c r="AI186" s="26"/>
      <c r="AJ186" s="27"/>
      <c r="AK186" s="26"/>
      <c r="AL186" s="26"/>
      <c r="AM186" s="27"/>
      <c r="AN186" s="26"/>
      <c r="AO186" s="26"/>
      <c r="AP186" s="27"/>
      <c r="AQ186" s="26"/>
      <c r="AR186" s="26"/>
      <c r="AS186" s="27"/>
      <c r="AT186" s="26"/>
      <c r="AU186" s="26"/>
      <c r="AV186" s="27"/>
      <c r="AW186" s="26"/>
      <c r="AX186" s="26"/>
      <c r="AY186" s="27"/>
    </row>
    <row r="187" spans="1:51" s="24" customFormat="1" ht="12" customHeight="1" x14ac:dyDescent="0.2">
      <c r="B187" s="23" t="s">
        <v>16</v>
      </c>
      <c r="C187" s="23"/>
      <c r="D187" s="26"/>
      <c r="E187" s="26"/>
      <c r="F187" s="27"/>
      <c r="G187" s="26"/>
      <c r="H187" s="26"/>
      <c r="I187" s="27"/>
      <c r="J187" s="26"/>
      <c r="K187" s="26"/>
      <c r="L187" s="27"/>
      <c r="M187" s="26"/>
      <c r="N187" s="26"/>
      <c r="O187" s="27"/>
      <c r="P187" s="26"/>
      <c r="Q187" s="26"/>
      <c r="R187" s="27">
        <f>+'Income &amp; Cash Flow'!R45</f>
        <v>-13.677999999999999</v>
      </c>
      <c r="S187" s="26">
        <f>+'Income &amp; Cash Flow'!S45</f>
        <v>8.1190000000000051</v>
      </c>
      <c r="T187" s="26"/>
      <c r="U187" s="27">
        <f>+'Income &amp; Cash Flow'!U45</f>
        <v>14.07100000000008</v>
      </c>
      <c r="V187" s="26">
        <f>+'Income &amp; Cash Flow'!V45</f>
        <v>10.904057703243097</v>
      </c>
      <c r="W187" s="26">
        <f>+'Income &amp; Cash Flow'!W45</f>
        <v>9.882857525018844</v>
      </c>
      <c r="X187" s="27">
        <f>+'Income &amp; Cash Flow'!X45</f>
        <v>20.78691522826195</v>
      </c>
      <c r="Y187" s="26">
        <f>+'Income &amp; Cash Flow'!Y45</f>
        <v>16.984399390099835</v>
      </c>
      <c r="Z187" s="26">
        <f>+'Income &amp; Cash Flow'!Z45</f>
        <v>14.963913641955564</v>
      </c>
      <c r="AA187" s="27">
        <f>+'Income &amp; Cash Flow'!AA45</f>
        <v>31.948313032055406</v>
      </c>
      <c r="AB187" s="26">
        <f>+'Income &amp; Cash Flow'!AB45</f>
        <v>24.742115450381959</v>
      </c>
      <c r="AC187" s="26">
        <f>+'Income &amp; Cash Flow'!AC45</f>
        <v>24.5434794095179</v>
      </c>
      <c r="AD187" s="27">
        <f>+'Income &amp; Cash Flow'!AD45</f>
        <v>49.285594859899852</v>
      </c>
      <c r="AE187" s="26">
        <f>+'Income &amp; Cash Flow'!AE45</f>
        <v>34.967091558619366</v>
      </c>
      <c r="AF187" s="26">
        <f>+'Income &amp; Cash Flow'!AF45</f>
        <v>34.701594746186245</v>
      </c>
      <c r="AG187" s="27">
        <f>+'Income &amp; Cash Flow'!AG45</f>
        <v>69.668686304805618</v>
      </c>
      <c r="AH187" s="26">
        <f>+'Income &amp; Cash Flow'!AH45</f>
        <v>47.154727225058409</v>
      </c>
      <c r="AI187" s="26">
        <f>+'Income &amp; Cash Flow'!AI45</f>
        <v>45.537010678607892</v>
      </c>
      <c r="AJ187" s="27">
        <f>+'Income &amp; Cash Flow'!AJ45</f>
        <v>92.691737903666336</v>
      </c>
      <c r="AK187" s="26">
        <f>+'Income &amp; Cash Flow'!AK45</f>
        <v>53.581473677401561</v>
      </c>
      <c r="AL187" s="26">
        <f>+'Income &amp; Cash Flow'!AL45</f>
        <v>53.100190119878462</v>
      </c>
      <c r="AM187" s="27">
        <f>+'Income &amp; Cash Flow'!AM45</f>
        <v>106.68166379728004</v>
      </c>
      <c r="AN187" s="26">
        <f>+'Income &amp; Cash Flow'!AN45</f>
        <v>63.742206703341054</v>
      </c>
      <c r="AO187" s="26">
        <f>+'Income &amp; Cash Flow'!AO45</f>
        <v>63.024252791314396</v>
      </c>
      <c r="AP187" s="27">
        <f>+'Income &amp; Cash Flow'!AP45</f>
        <v>126.76645949465544</v>
      </c>
      <c r="AQ187" s="26">
        <f>+'Income &amp; Cash Flow'!AQ45</f>
        <v>74.965662089995988</v>
      </c>
      <c r="AR187" s="26">
        <f>+'Income &amp; Cash Flow'!AR45</f>
        <v>73.992721370879778</v>
      </c>
      <c r="AS187" s="27">
        <f>+'Income &amp; Cash Flow'!AS45</f>
        <v>148.95838346087578</v>
      </c>
      <c r="AT187" s="26">
        <f>+'Income &amp; Cash Flow'!AT45</f>
        <v>87.312983631457243</v>
      </c>
      <c r="AU187" s="26">
        <f>+'Income &amp; Cash Flow'!AU45</f>
        <v>86.059807843752708</v>
      </c>
      <c r="AV187" s="27">
        <f>+'Income &amp; Cash Flow'!AV45</f>
        <v>173.37279147520994</v>
      </c>
      <c r="AW187" s="26">
        <f>+'Income &amp; Cash Flow'!AW45</f>
        <v>100.84469299990187</v>
      </c>
      <c r="AX187" s="26">
        <f>+'Income &amp; Cash Flow'!AX45</f>
        <v>99.28663186809068</v>
      </c>
      <c r="AY187" s="27">
        <f>+'Income &amp; Cash Flow'!AY45</f>
        <v>200.13132486799253</v>
      </c>
    </row>
    <row r="188" spans="1:51" ht="12" customHeight="1" x14ac:dyDescent="0.2">
      <c r="A188" s="24"/>
      <c r="B188" s="37" t="s">
        <v>224</v>
      </c>
      <c r="C188" s="22"/>
      <c r="D188" s="176"/>
      <c r="E188" s="176"/>
      <c r="F188" s="175"/>
      <c r="G188" s="176"/>
      <c r="H188" s="176"/>
      <c r="I188" s="175"/>
      <c r="J188" s="176"/>
      <c r="K188" s="176"/>
      <c r="L188" s="175"/>
      <c r="M188" s="176"/>
      <c r="N188" s="176"/>
      <c r="O188" s="175"/>
      <c r="P188" s="176"/>
      <c r="Q188" s="176"/>
      <c r="R188" s="175">
        <f t="shared" ref="R188" si="1329">+R183/R187</f>
        <v>0</v>
      </c>
      <c r="S188" s="177">
        <v>0</v>
      </c>
      <c r="T188" s="176"/>
      <c r="U188" s="175">
        <f t="shared" ref="U188" si="1330">+U183/U187</f>
        <v>0</v>
      </c>
      <c r="V188" s="177">
        <v>0</v>
      </c>
      <c r="W188" s="177">
        <v>0</v>
      </c>
      <c r="X188" s="175">
        <f t="shared" ref="X188:AY188" si="1331">+X183/X187</f>
        <v>0</v>
      </c>
      <c r="Y188" s="177">
        <v>0</v>
      </c>
      <c r="Z188" s="177">
        <v>0</v>
      </c>
      <c r="AA188" s="175">
        <f t="shared" si="1331"/>
        <v>0</v>
      </c>
      <c r="AB188" s="177">
        <v>0</v>
      </c>
      <c r="AC188" s="177">
        <v>0</v>
      </c>
      <c r="AD188" s="175">
        <f t="shared" si="1331"/>
        <v>0</v>
      </c>
      <c r="AE188" s="177">
        <v>0</v>
      </c>
      <c r="AF188" s="177">
        <v>0</v>
      </c>
      <c r="AG188" s="175">
        <f t="shared" si="1331"/>
        <v>0</v>
      </c>
      <c r="AH188" s="177">
        <v>0</v>
      </c>
      <c r="AI188" s="177">
        <v>0</v>
      </c>
      <c r="AJ188" s="175">
        <f t="shared" si="1331"/>
        <v>0</v>
      </c>
      <c r="AK188" s="177">
        <v>0</v>
      </c>
      <c r="AL188" s="177">
        <v>0</v>
      </c>
      <c r="AM188" s="175">
        <f t="shared" si="1331"/>
        <v>0</v>
      </c>
      <c r="AN188" s="177">
        <v>0</v>
      </c>
      <c r="AO188" s="177">
        <v>0</v>
      </c>
      <c r="AP188" s="175">
        <f t="shared" si="1331"/>
        <v>0</v>
      </c>
      <c r="AQ188" s="177">
        <v>0</v>
      </c>
      <c r="AR188" s="177">
        <v>0</v>
      </c>
      <c r="AS188" s="175">
        <f t="shared" si="1331"/>
        <v>0</v>
      </c>
      <c r="AT188" s="177">
        <v>0</v>
      </c>
      <c r="AU188" s="177">
        <v>0</v>
      </c>
      <c r="AV188" s="175">
        <f t="shared" si="1331"/>
        <v>0</v>
      </c>
      <c r="AW188" s="177">
        <v>0</v>
      </c>
      <c r="AX188" s="177">
        <v>0</v>
      </c>
      <c r="AY188" s="175">
        <f t="shared" si="1331"/>
        <v>0</v>
      </c>
    </row>
    <row r="189" spans="1:51" s="24" customFormat="1" ht="12" customHeight="1" x14ac:dyDescent="0.2">
      <c r="B189" s="23" t="s">
        <v>225</v>
      </c>
      <c r="C189" s="23"/>
      <c r="D189" s="26"/>
      <c r="E189" s="26"/>
      <c r="F189" s="27"/>
      <c r="G189" s="26"/>
      <c r="H189" s="26"/>
      <c r="I189" s="27"/>
      <c r="J189" s="26"/>
      <c r="K189" s="26"/>
      <c r="L189" s="27"/>
      <c r="M189" s="26"/>
      <c r="N189" s="26"/>
      <c r="O189" s="27"/>
      <c r="P189" s="26"/>
      <c r="Q189" s="26"/>
      <c r="R189" s="27">
        <f t="shared" ref="R189" si="1332">+R183/R170*100</f>
        <v>0</v>
      </c>
      <c r="S189" s="26">
        <f t="shared" ref="S189:AJ189" si="1333">+S183/S170*100</f>
        <v>0</v>
      </c>
      <c r="T189" s="26"/>
      <c r="U189" s="27">
        <f t="shared" ref="U189" si="1334">+U183/U170*100</f>
        <v>0</v>
      </c>
      <c r="V189" s="26">
        <f t="shared" si="1333"/>
        <v>0</v>
      </c>
      <c r="W189" s="26">
        <f t="shared" si="1333"/>
        <v>0</v>
      </c>
      <c r="X189" s="27">
        <f t="shared" si="1333"/>
        <v>0</v>
      </c>
      <c r="Y189" s="26">
        <f t="shared" si="1333"/>
        <v>0</v>
      </c>
      <c r="Z189" s="26">
        <f t="shared" si="1333"/>
        <v>0</v>
      </c>
      <c r="AA189" s="27">
        <f t="shared" si="1333"/>
        <v>0</v>
      </c>
      <c r="AB189" s="26">
        <f t="shared" si="1333"/>
        <v>0</v>
      </c>
      <c r="AC189" s="26">
        <f t="shared" si="1333"/>
        <v>0</v>
      </c>
      <c r="AD189" s="27">
        <f t="shared" si="1333"/>
        <v>0</v>
      </c>
      <c r="AE189" s="26">
        <f t="shared" si="1333"/>
        <v>0</v>
      </c>
      <c r="AF189" s="26">
        <f t="shared" si="1333"/>
        <v>0</v>
      </c>
      <c r="AG189" s="27">
        <f t="shared" si="1333"/>
        <v>0</v>
      </c>
      <c r="AH189" s="26">
        <f t="shared" si="1333"/>
        <v>0</v>
      </c>
      <c r="AI189" s="26">
        <f t="shared" si="1333"/>
        <v>0</v>
      </c>
      <c r="AJ189" s="27">
        <f t="shared" si="1333"/>
        <v>0</v>
      </c>
      <c r="AK189" s="26">
        <f t="shared" ref="AK189:AM189" si="1335">+AK183/AK170*100</f>
        <v>0</v>
      </c>
      <c r="AL189" s="26">
        <f t="shared" si="1335"/>
        <v>0</v>
      </c>
      <c r="AM189" s="27">
        <f t="shared" si="1335"/>
        <v>0</v>
      </c>
      <c r="AN189" s="26">
        <f t="shared" ref="AN189:AP189" si="1336">+AN183/AN170*100</f>
        <v>0</v>
      </c>
      <c r="AO189" s="26">
        <f t="shared" si="1336"/>
        <v>0</v>
      </c>
      <c r="AP189" s="27">
        <f t="shared" si="1336"/>
        <v>0</v>
      </c>
      <c r="AQ189" s="26">
        <f t="shared" ref="AQ189:AS189" si="1337">+AQ183/AQ170*100</f>
        <v>0</v>
      </c>
      <c r="AR189" s="26">
        <f t="shared" si="1337"/>
        <v>0</v>
      </c>
      <c r="AS189" s="27">
        <f t="shared" si="1337"/>
        <v>0</v>
      </c>
      <c r="AT189" s="26">
        <f t="shared" ref="AT189:AV189" si="1338">+AT183/AT170*100</f>
        <v>0</v>
      </c>
      <c r="AU189" s="26">
        <f t="shared" si="1338"/>
        <v>0</v>
      </c>
      <c r="AV189" s="27">
        <f t="shared" si="1338"/>
        <v>0</v>
      </c>
      <c r="AW189" s="26">
        <f t="shared" ref="AW189:AY189" si="1339">+AW183/AW170*100</f>
        <v>0</v>
      </c>
      <c r="AX189" s="26">
        <f t="shared" si="1339"/>
        <v>0</v>
      </c>
      <c r="AY189" s="27">
        <f t="shared" si="1339"/>
        <v>0</v>
      </c>
    </row>
    <row r="190" spans="1:51" ht="12" customHeight="1" x14ac:dyDescent="0.2">
      <c r="A190" s="24"/>
      <c r="B190" s="8" t="s">
        <v>108</v>
      </c>
      <c r="C190" s="6"/>
      <c r="D190" s="40"/>
      <c r="E190" s="40"/>
      <c r="F190" s="41"/>
      <c r="G190" s="40"/>
      <c r="H190" s="40"/>
      <c r="I190" s="41"/>
      <c r="J190" s="40"/>
      <c r="K190" s="40"/>
      <c r="L190" s="41"/>
      <c r="M190" s="40"/>
      <c r="N190" s="40"/>
      <c r="O190" s="41"/>
      <c r="P190" s="40"/>
      <c r="Q190" s="40"/>
      <c r="R190" s="41" t="e">
        <f t="shared" ref="R190" si="1340">+R189/O189-1</f>
        <v>#DIV/0!</v>
      </c>
      <c r="S190" s="40" t="e">
        <f t="shared" ref="S190:AJ190" si="1341">+S189/P189-1</f>
        <v>#DIV/0!</v>
      </c>
      <c r="T190" s="40"/>
      <c r="U190" s="41" t="e">
        <f t="shared" ref="U190" si="1342">+U189/R189-1</f>
        <v>#DIV/0!</v>
      </c>
      <c r="V190" s="40" t="e">
        <f t="shared" si="1341"/>
        <v>#DIV/0!</v>
      </c>
      <c r="W190" s="40" t="e">
        <f t="shared" si="1341"/>
        <v>#DIV/0!</v>
      </c>
      <c r="X190" s="41" t="e">
        <f t="shared" si="1341"/>
        <v>#DIV/0!</v>
      </c>
      <c r="Y190" s="40" t="e">
        <f t="shared" si="1341"/>
        <v>#DIV/0!</v>
      </c>
      <c r="Z190" s="40" t="e">
        <f t="shared" si="1341"/>
        <v>#DIV/0!</v>
      </c>
      <c r="AA190" s="41" t="e">
        <f t="shared" si="1341"/>
        <v>#DIV/0!</v>
      </c>
      <c r="AB190" s="40" t="e">
        <f t="shared" si="1341"/>
        <v>#DIV/0!</v>
      </c>
      <c r="AC190" s="40" t="e">
        <f t="shared" si="1341"/>
        <v>#DIV/0!</v>
      </c>
      <c r="AD190" s="41" t="e">
        <f t="shared" si="1341"/>
        <v>#DIV/0!</v>
      </c>
      <c r="AE190" s="40" t="e">
        <f t="shared" si="1341"/>
        <v>#DIV/0!</v>
      </c>
      <c r="AF190" s="40" t="e">
        <f t="shared" si="1341"/>
        <v>#DIV/0!</v>
      </c>
      <c r="AG190" s="41" t="e">
        <f t="shared" si="1341"/>
        <v>#DIV/0!</v>
      </c>
      <c r="AH190" s="40" t="e">
        <f t="shared" si="1341"/>
        <v>#DIV/0!</v>
      </c>
      <c r="AI190" s="40" t="e">
        <f t="shared" si="1341"/>
        <v>#DIV/0!</v>
      </c>
      <c r="AJ190" s="41" t="e">
        <f t="shared" si="1341"/>
        <v>#DIV/0!</v>
      </c>
      <c r="AK190" s="40" t="e">
        <f t="shared" ref="AK190" si="1343">+AK189/AH189-1</f>
        <v>#DIV/0!</v>
      </c>
      <c r="AL190" s="40" t="e">
        <f t="shared" ref="AL190" si="1344">+AL189/AI189-1</f>
        <v>#DIV/0!</v>
      </c>
      <c r="AM190" s="41" t="e">
        <f t="shared" ref="AM190" si="1345">+AM189/AJ189-1</f>
        <v>#DIV/0!</v>
      </c>
      <c r="AN190" s="40" t="e">
        <f t="shared" ref="AN190" si="1346">+AN189/AK189-1</f>
        <v>#DIV/0!</v>
      </c>
      <c r="AO190" s="40" t="e">
        <f t="shared" ref="AO190" si="1347">+AO189/AL189-1</f>
        <v>#DIV/0!</v>
      </c>
      <c r="AP190" s="41" t="e">
        <f t="shared" ref="AP190" si="1348">+AP189/AM189-1</f>
        <v>#DIV/0!</v>
      </c>
      <c r="AQ190" s="40" t="e">
        <f t="shared" ref="AQ190" si="1349">+AQ189/AN189-1</f>
        <v>#DIV/0!</v>
      </c>
      <c r="AR190" s="40" t="e">
        <f t="shared" ref="AR190" si="1350">+AR189/AO189-1</f>
        <v>#DIV/0!</v>
      </c>
      <c r="AS190" s="41" t="e">
        <f t="shared" ref="AS190" si="1351">+AS189/AP189-1</f>
        <v>#DIV/0!</v>
      </c>
      <c r="AT190" s="40" t="e">
        <f t="shared" ref="AT190" si="1352">+AT189/AQ189-1</f>
        <v>#DIV/0!</v>
      </c>
      <c r="AU190" s="40" t="e">
        <f t="shared" ref="AU190" si="1353">+AU189/AR189-1</f>
        <v>#DIV/0!</v>
      </c>
      <c r="AV190" s="41" t="e">
        <f t="shared" ref="AV190" si="1354">+AV189/AS189-1</f>
        <v>#DIV/0!</v>
      </c>
      <c r="AW190" s="40" t="e">
        <f t="shared" ref="AW190" si="1355">+AW189/AT189-1</f>
        <v>#DIV/0!</v>
      </c>
      <c r="AX190" s="40" t="e">
        <f t="shared" ref="AX190" si="1356">+AX189/AU189-1</f>
        <v>#DIV/0!</v>
      </c>
      <c r="AY190" s="41" t="e">
        <f t="shared" ref="AY190" si="1357">+AY189/AV189-1</f>
        <v>#DIV/0!</v>
      </c>
    </row>
    <row r="191" spans="1:51" s="144" customFormat="1" ht="12" customHeight="1" x14ac:dyDescent="0.2">
      <c r="A191" s="24"/>
      <c r="B191" s="32" t="s">
        <v>11</v>
      </c>
      <c r="C191" s="145"/>
      <c r="D191" s="33"/>
      <c r="E191" s="33"/>
      <c r="F191" s="36"/>
      <c r="G191" s="33"/>
      <c r="H191" s="33"/>
      <c r="I191" s="36"/>
      <c r="J191" s="33"/>
      <c r="K191" s="33"/>
      <c r="L191" s="36"/>
      <c r="M191" s="33"/>
      <c r="N191" s="33"/>
      <c r="O191" s="36"/>
      <c r="P191" s="33"/>
      <c r="Q191" s="33"/>
      <c r="R191" s="36">
        <f t="shared" ref="R191:AI191" si="1358">ROUND(R189-R179,1)</f>
        <v>0</v>
      </c>
      <c r="S191" s="140">
        <f t="shared" si="1358"/>
        <v>0</v>
      </c>
      <c r="T191" s="33"/>
      <c r="U191" s="36">
        <f t="shared" ref="U191" si="1359">ROUND(U189-U179,1)</f>
        <v>0</v>
      </c>
      <c r="V191" s="140">
        <f t="shared" si="1358"/>
        <v>0</v>
      </c>
      <c r="W191" s="140">
        <f t="shared" si="1358"/>
        <v>0</v>
      </c>
      <c r="X191" s="152">
        <f t="shared" si="1358"/>
        <v>0</v>
      </c>
      <c r="Y191" s="140">
        <f t="shared" si="1358"/>
        <v>0</v>
      </c>
      <c r="Z191" s="140">
        <f t="shared" si="1358"/>
        <v>0</v>
      </c>
      <c r="AA191" s="152">
        <f t="shared" si="1358"/>
        <v>0</v>
      </c>
      <c r="AB191" s="140">
        <f t="shared" si="1358"/>
        <v>0</v>
      </c>
      <c r="AC191" s="140">
        <f t="shared" si="1358"/>
        <v>0</v>
      </c>
      <c r="AD191" s="152">
        <f t="shared" si="1358"/>
        <v>0</v>
      </c>
      <c r="AE191" s="140">
        <f t="shared" si="1358"/>
        <v>0</v>
      </c>
      <c r="AF191" s="140">
        <f t="shared" si="1358"/>
        <v>0</v>
      </c>
      <c r="AG191" s="152">
        <f t="shared" si="1358"/>
        <v>0</v>
      </c>
      <c r="AH191" s="140">
        <f t="shared" si="1358"/>
        <v>0</v>
      </c>
      <c r="AI191" s="140">
        <f t="shared" si="1358"/>
        <v>0</v>
      </c>
      <c r="AJ191" s="152">
        <f>ROUND(AJ189-AJ179,1)</f>
        <v>0</v>
      </c>
      <c r="AK191" s="140">
        <f t="shared" ref="AK191:AL191" si="1360">ROUND(AK189-AK179,1)</f>
        <v>0</v>
      </c>
      <c r="AL191" s="140">
        <f t="shared" si="1360"/>
        <v>0</v>
      </c>
      <c r="AM191" s="152">
        <f>ROUND(AM189-AM179,1)</f>
        <v>0</v>
      </c>
      <c r="AN191" s="140">
        <f t="shared" ref="AN191:AO191" si="1361">ROUND(AN189-AN179,1)</f>
        <v>0</v>
      </c>
      <c r="AO191" s="140">
        <f t="shared" si="1361"/>
        <v>0</v>
      </c>
      <c r="AP191" s="152">
        <f>ROUND(AP189-AP179,1)</f>
        <v>0</v>
      </c>
      <c r="AQ191" s="140">
        <f t="shared" ref="AQ191:AR191" si="1362">ROUND(AQ189-AQ179,1)</f>
        <v>0</v>
      </c>
      <c r="AR191" s="140">
        <f t="shared" si="1362"/>
        <v>0</v>
      </c>
      <c r="AS191" s="152">
        <f>ROUND(AS189-AS179,1)</f>
        <v>0</v>
      </c>
      <c r="AT191" s="140">
        <f t="shared" ref="AT191:AU191" si="1363">ROUND(AT189-AT179,1)</f>
        <v>0</v>
      </c>
      <c r="AU191" s="140">
        <f t="shared" si="1363"/>
        <v>0</v>
      </c>
      <c r="AV191" s="152">
        <f>ROUND(AV189-AV179,1)</f>
        <v>0</v>
      </c>
      <c r="AW191" s="140">
        <f t="shared" ref="AW191:AX191" si="1364">ROUND(AW189-AW179,1)</f>
        <v>0</v>
      </c>
      <c r="AX191" s="140">
        <f t="shared" si="1364"/>
        <v>0</v>
      </c>
      <c r="AY191" s="152">
        <f>ROUND(AY189-AY179,1)</f>
        <v>0</v>
      </c>
    </row>
    <row r="192" spans="1:51" x14ac:dyDescent="0.2">
      <c r="A192" s="24"/>
      <c r="B192" s="6"/>
      <c r="D192" s="6"/>
      <c r="E192" s="6"/>
      <c r="F192" s="13"/>
      <c r="G192" s="6"/>
      <c r="H192" s="6"/>
      <c r="I192" s="13"/>
      <c r="J192" s="6"/>
      <c r="K192" s="6"/>
      <c r="L192" s="13"/>
      <c r="M192" s="6"/>
      <c r="N192" s="6"/>
      <c r="O192" s="13"/>
      <c r="P192" s="6"/>
      <c r="Q192" s="6"/>
      <c r="R192" s="13"/>
      <c r="S192" s="6"/>
      <c r="T192" s="6"/>
      <c r="U192" s="13"/>
      <c r="V192" s="6"/>
      <c r="W192" s="6"/>
      <c r="X192" s="13"/>
      <c r="Y192" s="6"/>
      <c r="Z192" s="6"/>
      <c r="AA192" s="13"/>
      <c r="AB192" s="6"/>
      <c r="AC192" s="6"/>
      <c r="AD192" s="13"/>
      <c r="AE192" s="6"/>
      <c r="AF192" s="6"/>
      <c r="AG192" s="13"/>
      <c r="AH192" s="6"/>
      <c r="AI192" s="6"/>
      <c r="AJ192" s="13"/>
      <c r="AK192" s="6"/>
      <c r="AL192" s="6"/>
      <c r="AM192" s="13"/>
      <c r="AN192" s="6"/>
      <c r="AO192" s="6"/>
      <c r="AP192" s="13"/>
      <c r="AQ192" s="6"/>
      <c r="AR192" s="6"/>
      <c r="AS192" s="13"/>
      <c r="AT192" s="6"/>
      <c r="AU192" s="6"/>
      <c r="AV192" s="13"/>
      <c r="AW192" s="6"/>
      <c r="AX192" s="6"/>
      <c r="AY192" s="13"/>
    </row>
    <row r="193" spans="1:51" s="50" customFormat="1" ht="12" customHeight="1" x14ac:dyDescent="0.2">
      <c r="A193" s="24"/>
      <c r="B193" s="52" t="s">
        <v>226</v>
      </c>
      <c r="C193" s="52"/>
      <c r="D193" s="55"/>
      <c r="E193" s="53"/>
      <c r="F193" s="54"/>
      <c r="G193" s="55"/>
      <c r="H193" s="53"/>
      <c r="I193" s="54"/>
      <c r="J193" s="55"/>
      <c r="K193" s="53"/>
      <c r="L193" s="54"/>
      <c r="M193" s="55"/>
      <c r="N193" s="53"/>
      <c r="O193" s="54"/>
      <c r="P193" s="55"/>
      <c r="Q193" s="53"/>
      <c r="R193" s="54"/>
      <c r="S193" s="53"/>
      <c r="T193" s="53"/>
      <c r="U193" s="54"/>
      <c r="V193" s="53"/>
      <c r="W193" s="53"/>
      <c r="X193" s="56"/>
      <c r="Y193" s="53"/>
      <c r="Z193" s="53"/>
      <c r="AA193" s="56"/>
      <c r="AB193" s="53"/>
      <c r="AC193" s="53"/>
      <c r="AD193" s="56"/>
      <c r="AE193" s="53"/>
      <c r="AF193" s="53"/>
      <c r="AG193" s="56"/>
      <c r="AH193" s="53"/>
      <c r="AI193" s="53"/>
      <c r="AJ193" s="56"/>
      <c r="AK193" s="53"/>
      <c r="AL193" s="53"/>
      <c r="AM193" s="56"/>
      <c r="AN193" s="53"/>
      <c r="AO193" s="53"/>
      <c r="AP193" s="56"/>
      <c r="AQ193" s="53"/>
      <c r="AR193" s="53"/>
      <c r="AS193" s="56"/>
      <c r="AT193" s="53"/>
      <c r="AU193" s="53"/>
      <c r="AV193" s="56"/>
      <c r="AW193" s="53"/>
      <c r="AX193" s="53"/>
      <c r="AY193" s="56"/>
    </row>
    <row r="194" spans="1:51" x14ac:dyDescent="0.2">
      <c r="A194" s="24"/>
      <c r="B194" s="6"/>
      <c r="D194" s="6"/>
      <c r="E194" s="6"/>
      <c r="F194" s="13"/>
      <c r="G194" s="6"/>
      <c r="H194" s="6"/>
      <c r="I194" s="13"/>
      <c r="J194" s="6"/>
      <c r="K194" s="6"/>
      <c r="L194" s="13"/>
      <c r="M194" s="6"/>
      <c r="N194" s="6"/>
      <c r="O194" s="13"/>
      <c r="P194" s="6"/>
      <c r="Q194" s="6"/>
      <c r="R194" s="13"/>
      <c r="S194" s="6"/>
      <c r="T194" s="6"/>
      <c r="U194" s="13"/>
      <c r="V194" s="6"/>
      <c r="W194" s="6"/>
      <c r="X194" s="13"/>
      <c r="Y194" s="6"/>
      <c r="Z194" s="6"/>
      <c r="AA194" s="13"/>
      <c r="AB194" s="6"/>
      <c r="AC194" s="6"/>
      <c r="AD194" s="13"/>
      <c r="AE194" s="6"/>
      <c r="AF194" s="6"/>
      <c r="AG194" s="13"/>
      <c r="AH194" s="6"/>
      <c r="AI194" s="6"/>
      <c r="AJ194" s="13"/>
      <c r="AK194" s="6"/>
      <c r="AL194" s="6"/>
      <c r="AM194" s="13"/>
      <c r="AN194" s="6"/>
      <c r="AO194" s="6"/>
      <c r="AP194" s="13"/>
      <c r="AQ194" s="6"/>
      <c r="AR194" s="6"/>
      <c r="AS194" s="13"/>
      <c r="AT194" s="6"/>
      <c r="AU194" s="6"/>
      <c r="AV194" s="13"/>
      <c r="AW194" s="6"/>
      <c r="AX194" s="6"/>
      <c r="AY194" s="13"/>
    </row>
    <row r="195" spans="1:51" s="64" customFormat="1" ht="12" customHeight="1" x14ac:dyDescent="0.2">
      <c r="A195" s="24"/>
      <c r="B195" s="8" t="s">
        <v>227</v>
      </c>
      <c r="C195" s="8"/>
      <c r="D195" s="40"/>
      <c r="E195" s="40"/>
      <c r="F195" s="41"/>
      <c r="G195" s="40"/>
      <c r="H195" s="40"/>
      <c r="I195" s="41"/>
      <c r="J195" s="40"/>
      <c r="K195" s="40"/>
      <c r="L195" s="41"/>
      <c r="M195" s="40"/>
      <c r="N195" s="40"/>
      <c r="O195" s="41"/>
      <c r="P195" s="40"/>
      <c r="Q195" s="40"/>
      <c r="R195" s="41">
        <v>0</v>
      </c>
      <c r="S195" s="40">
        <v>0</v>
      </c>
      <c r="T195" s="40"/>
      <c r="U195" s="41">
        <v>0</v>
      </c>
      <c r="V195" s="40">
        <v>0</v>
      </c>
      <c r="W195" s="40">
        <v>0</v>
      </c>
      <c r="X195" s="41">
        <v>0</v>
      </c>
      <c r="Y195" s="40">
        <v>0</v>
      </c>
      <c r="Z195" s="40">
        <v>0</v>
      </c>
      <c r="AA195" s="41">
        <v>0</v>
      </c>
      <c r="AB195" s="40">
        <v>0</v>
      </c>
      <c r="AC195" s="40">
        <v>0</v>
      </c>
      <c r="AD195" s="41">
        <v>0</v>
      </c>
      <c r="AE195" s="40">
        <v>0</v>
      </c>
      <c r="AF195" s="40">
        <v>0</v>
      </c>
      <c r="AG195" s="41">
        <v>0</v>
      </c>
      <c r="AH195" s="40">
        <v>0</v>
      </c>
      <c r="AI195" s="40">
        <v>0</v>
      </c>
      <c r="AJ195" s="41">
        <v>0</v>
      </c>
      <c r="AK195" s="40">
        <v>0</v>
      </c>
      <c r="AL195" s="40">
        <v>0</v>
      </c>
      <c r="AM195" s="41">
        <v>0</v>
      </c>
      <c r="AN195" s="40">
        <v>0</v>
      </c>
      <c r="AO195" s="40">
        <v>0</v>
      </c>
      <c r="AP195" s="41">
        <v>0</v>
      </c>
      <c r="AQ195" s="40">
        <v>0</v>
      </c>
      <c r="AR195" s="40">
        <v>0</v>
      </c>
      <c r="AS195" s="41">
        <v>0</v>
      </c>
      <c r="AT195" s="40">
        <v>0</v>
      </c>
      <c r="AU195" s="40">
        <v>0</v>
      </c>
      <c r="AV195" s="41">
        <v>0</v>
      </c>
      <c r="AW195" s="40">
        <v>0</v>
      </c>
      <c r="AX195" s="40">
        <v>0</v>
      </c>
      <c r="AY195" s="41">
        <v>0</v>
      </c>
    </row>
    <row r="196" spans="1:51" s="64" customFormat="1" ht="12" customHeight="1" x14ac:dyDescent="0.2">
      <c r="A196" s="24"/>
      <c r="B196" s="8" t="s">
        <v>228</v>
      </c>
      <c r="C196" s="8"/>
      <c r="D196" s="65"/>
      <c r="E196" s="60"/>
      <c r="F196" s="66"/>
      <c r="G196" s="65"/>
      <c r="H196" s="60"/>
      <c r="I196" s="66"/>
      <c r="J196" s="65"/>
      <c r="K196" s="60"/>
      <c r="L196" s="66"/>
      <c r="M196" s="65"/>
      <c r="N196" s="60"/>
      <c r="O196" s="66"/>
      <c r="P196" s="65"/>
      <c r="Q196" s="60"/>
      <c r="R196" s="41">
        <v>0</v>
      </c>
      <c r="S196" s="42">
        <v>0</v>
      </c>
      <c r="T196" s="60"/>
      <c r="U196" s="41">
        <v>0</v>
      </c>
      <c r="V196" s="42">
        <v>0</v>
      </c>
      <c r="W196" s="42">
        <v>0</v>
      </c>
      <c r="X196" s="41">
        <v>0</v>
      </c>
      <c r="Y196" s="42">
        <v>0</v>
      </c>
      <c r="Z196" s="42">
        <v>0</v>
      </c>
      <c r="AA196" s="41">
        <v>0</v>
      </c>
      <c r="AB196" s="42">
        <v>0</v>
      </c>
      <c r="AC196" s="42">
        <v>0</v>
      </c>
      <c r="AD196" s="41">
        <v>0</v>
      </c>
      <c r="AE196" s="42">
        <v>0</v>
      </c>
      <c r="AF196" s="42">
        <v>0</v>
      </c>
      <c r="AG196" s="41">
        <v>0</v>
      </c>
      <c r="AH196" s="42">
        <v>0</v>
      </c>
      <c r="AI196" s="42">
        <v>0</v>
      </c>
      <c r="AJ196" s="41">
        <v>0</v>
      </c>
      <c r="AK196" s="42">
        <v>0</v>
      </c>
      <c r="AL196" s="42">
        <v>0</v>
      </c>
      <c r="AM196" s="41">
        <v>0</v>
      </c>
      <c r="AN196" s="42">
        <v>0</v>
      </c>
      <c r="AO196" s="42">
        <v>0</v>
      </c>
      <c r="AP196" s="41">
        <v>0</v>
      </c>
      <c r="AQ196" s="42">
        <v>0</v>
      </c>
      <c r="AR196" s="42">
        <v>0</v>
      </c>
      <c r="AS196" s="41">
        <v>0</v>
      </c>
      <c r="AT196" s="42">
        <v>0</v>
      </c>
      <c r="AU196" s="42">
        <v>0</v>
      </c>
      <c r="AV196" s="41">
        <v>0</v>
      </c>
      <c r="AW196" s="42">
        <v>0</v>
      </c>
      <c r="AX196" s="42">
        <v>0</v>
      </c>
      <c r="AY196" s="41">
        <v>0</v>
      </c>
    </row>
    <row r="197" spans="1:51" s="64" customFormat="1" x14ac:dyDescent="0.2">
      <c r="A197" s="24"/>
      <c r="B197" s="8" t="s">
        <v>229</v>
      </c>
      <c r="D197" s="8"/>
      <c r="E197" s="8"/>
      <c r="F197" s="67"/>
      <c r="G197" s="8"/>
      <c r="H197" s="8"/>
      <c r="I197" s="67"/>
      <c r="J197" s="8"/>
      <c r="K197" s="8"/>
      <c r="L197" s="67"/>
      <c r="M197" s="8"/>
      <c r="N197" s="8"/>
      <c r="O197" s="67"/>
      <c r="P197" s="8"/>
      <c r="Q197" s="8"/>
      <c r="R197" s="67"/>
      <c r="S197" s="8"/>
      <c r="T197" s="8"/>
      <c r="U197" s="67"/>
      <c r="V197" s="8"/>
      <c r="W197" s="8"/>
      <c r="X197" s="67"/>
      <c r="Y197" s="8"/>
      <c r="Z197" s="8"/>
      <c r="AA197" s="67"/>
      <c r="AB197" s="8"/>
      <c r="AC197" s="8"/>
      <c r="AD197" s="67"/>
      <c r="AE197" s="8"/>
      <c r="AF197" s="8"/>
      <c r="AG197" s="67"/>
      <c r="AH197" s="8"/>
      <c r="AI197" s="8"/>
      <c r="AJ197" s="67"/>
      <c r="AK197" s="8"/>
      <c r="AL197" s="8"/>
      <c r="AM197" s="67"/>
      <c r="AN197" s="8"/>
      <c r="AO197" s="8"/>
      <c r="AP197" s="67"/>
      <c r="AQ197" s="8"/>
      <c r="AR197" s="8"/>
      <c r="AS197" s="67"/>
      <c r="AT197" s="8"/>
      <c r="AU197" s="8"/>
      <c r="AV197" s="67"/>
      <c r="AW197" s="8"/>
      <c r="AX197" s="8"/>
      <c r="AY197" s="67"/>
    </row>
    <row r="198" spans="1:51" x14ac:dyDescent="0.2">
      <c r="A198" s="24"/>
      <c r="B198" s="6"/>
      <c r="D198" s="6"/>
      <c r="E198" s="6"/>
      <c r="F198" s="13"/>
      <c r="G198" s="6"/>
      <c r="H198" s="6"/>
      <c r="I198" s="13"/>
      <c r="J198" s="6"/>
      <c r="K198" s="6"/>
      <c r="L198" s="13"/>
      <c r="M198" s="6"/>
      <c r="N198" s="6"/>
      <c r="O198" s="13"/>
      <c r="P198" s="6"/>
      <c r="Q198" s="6"/>
      <c r="R198" s="13"/>
      <c r="S198" s="6"/>
      <c r="T198" s="6"/>
      <c r="U198" s="13"/>
      <c r="V198" s="6"/>
      <c r="W198" s="6"/>
      <c r="X198" s="13"/>
      <c r="Y198" s="6"/>
      <c r="Z198" s="6"/>
      <c r="AA198" s="13"/>
      <c r="AB198" s="6"/>
      <c r="AC198" s="6"/>
      <c r="AD198" s="13"/>
      <c r="AE198" s="6"/>
      <c r="AF198" s="6"/>
      <c r="AG198" s="13"/>
      <c r="AH198" s="6"/>
      <c r="AI198" s="6"/>
      <c r="AJ198" s="13"/>
      <c r="AK198" s="6"/>
      <c r="AL198" s="6"/>
      <c r="AM198" s="13"/>
      <c r="AN198" s="6"/>
      <c r="AO198" s="6"/>
      <c r="AP198" s="13"/>
      <c r="AQ198" s="6"/>
      <c r="AR198" s="6"/>
      <c r="AS198" s="13"/>
      <c r="AT198" s="6"/>
      <c r="AU198" s="6"/>
      <c r="AV198" s="13"/>
      <c r="AW198" s="6"/>
      <c r="AX198" s="6"/>
      <c r="AY198" s="13"/>
    </row>
    <row r="199" spans="1:51" x14ac:dyDescent="0.2">
      <c r="A199" s="24"/>
      <c r="B199" s="6"/>
      <c r="D199" s="6"/>
      <c r="E199" s="6"/>
      <c r="F199" s="13"/>
      <c r="G199" s="6"/>
      <c r="H199" s="6"/>
      <c r="I199" s="13"/>
      <c r="J199" s="6"/>
      <c r="K199" s="6"/>
      <c r="L199" s="13"/>
      <c r="M199" s="6"/>
      <c r="N199" s="6"/>
      <c r="O199" s="13"/>
      <c r="P199" s="6"/>
      <c r="Q199" s="6"/>
      <c r="R199" s="13"/>
      <c r="S199" s="6"/>
      <c r="T199" s="6"/>
      <c r="U199" s="13"/>
      <c r="V199" s="6"/>
      <c r="W199" s="6"/>
      <c r="X199" s="13"/>
      <c r="Y199" s="6"/>
      <c r="Z199" s="6"/>
      <c r="AA199" s="13"/>
      <c r="AB199" s="6"/>
      <c r="AC199" s="6"/>
      <c r="AD199" s="13"/>
      <c r="AE199" s="6"/>
      <c r="AF199" s="6"/>
      <c r="AG199" s="13"/>
      <c r="AH199" s="6"/>
      <c r="AI199" s="6"/>
      <c r="AJ199" s="13"/>
      <c r="AK199" s="6"/>
      <c r="AL199" s="6"/>
      <c r="AM199" s="13"/>
      <c r="AN199" s="6"/>
      <c r="AO199" s="6"/>
      <c r="AP199" s="13"/>
      <c r="AQ199" s="6"/>
      <c r="AR199" s="6"/>
      <c r="AS199" s="13"/>
      <c r="AT199" s="6"/>
      <c r="AU199" s="6"/>
      <c r="AV199" s="13"/>
      <c r="AW199" s="6"/>
      <c r="AX199" s="6"/>
      <c r="AY199" s="13"/>
    </row>
    <row r="200" spans="1:51" s="14" customFormat="1" ht="12" customHeight="1" x14ac:dyDescent="0.2">
      <c r="B200" s="16"/>
    </row>
  </sheetData>
  <pageMargins left="0.7" right="0.7" top="0.75" bottom="0.75" header="0.3" footer="0.3"/>
  <pageSetup paperSize="0" orientation="portrait" r:id="rId1"/>
  <customProperties>
    <customPr name="Qube.Worksheet.Visibility" r:id="rId2"/>
    <customPr name="QXL_SHEET_ID" r:id="rId3"/>
  </customPropertie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7F2DD-E1F5-4D5D-9FFD-3EE537E27C06}">
  <sheetPr>
    <tabColor theme="7" tint="0.79998168889431442"/>
    <pageSetUpPr autoPageBreaks="0"/>
  </sheetPr>
  <dimension ref="A1:AY304"/>
  <sheetViews>
    <sheetView zoomScale="85" zoomScaleNormal="85" workbookViewId="0">
      <pane xSplit="3" ySplit="4" topLeftCell="F5" activePane="bottomRight" state="frozen"/>
      <selection activeCell="K11" sqref="K11"/>
      <selection pane="topRight" activeCell="K11" sqref="K11"/>
      <selection pane="bottomLeft" activeCell="K11" sqref="K11"/>
      <selection pane="bottomRight"/>
    </sheetView>
  </sheetViews>
  <sheetFormatPr defaultRowHeight="12" customHeight="1" outlineLevelCol="1" x14ac:dyDescent="0.2"/>
  <cols>
    <col min="1" max="1" width="3.42578125" style="15" customWidth="1"/>
    <col min="2" max="2" width="60.7109375" style="15" customWidth="1"/>
    <col min="3" max="3" width="3.7109375" style="15" customWidth="1"/>
    <col min="4" max="5" width="9.85546875" style="15" hidden="1" customWidth="1" outlineLevel="1"/>
    <col min="6" max="6" width="9.85546875" style="15" customWidth="1" collapsed="1"/>
    <col min="7" max="8" width="9.85546875" style="15" hidden="1" customWidth="1" outlineLevel="1"/>
    <col min="9" max="9" width="9.85546875" style="15" customWidth="1" collapsed="1"/>
    <col min="10" max="11" width="9.85546875" style="15" hidden="1" customWidth="1" outlineLevel="1"/>
    <col min="12" max="12" width="9.85546875" style="15" customWidth="1" collapsed="1"/>
    <col min="13" max="14" width="9.85546875" style="15" hidden="1" customWidth="1" outlineLevel="1"/>
    <col min="15" max="15" width="9.85546875" style="15" customWidth="1" collapsed="1"/>
    <col min="16" max="17" width="9.85546875" style="15" hidden="1" customWidth="1" outlineLevel="1"/>
    <col min="18" max="18" width="9.85546875" style="15" customWidth="1" collapsed="1"/>
    <col min="19" max="20" width="9.85546875" style="15" hidden="1" customWidth="1" outlineLevel="1"/>
    <col min="21" max="21" width="9.85546875" style="15" customWidth="1" collapsed="1"/>
    <col min="22" max="23" width="9.85546875" style="15" hidden="1" customWidth="1" outlineLevel="1"/>
    <col min="24" max="24" width="9.85546875" style="15" customWidth="1" collapsed="1"/>
    <col min="25" max="26" width="9.85546875" style="15" hidden="1" customWidth="1" outlineLevel="1"/>
    <col min="27" max="27" width="9.85546875" style="15" customWidth="1" collapsed="1"/>
    <col min="28" max="29" width="9.85546875" style="15" hidden="1" customWidth="1" outlineLevel="1"/>
    <col min="30" max="30" width="9.85546875" style="15" customWidth="1" collapsed="1"/>
    <col min="31" max="32" width="9.85546875" style="15" hidden="1" customWidth="1" outlineLevel="1"/>
    <col min="33" max="33" width="9.85546875" style="15" customWidth="1" collapsed="1"/>
    <col min="34" max="35" width="9.85546875" style="15" hidden="1" customWidth="1" outlineLevel="1"/>
    <col min="36" max="36" width="9.85546875" style="15" customWidth="1" collapsed="1"/>
    <col min="37" max="38" width="9.85546875" style="15" hidden="1" customWidth="1" outlineLevel="1"/>
    <col min="39" max="39" width="9.85546875" style="15" customWidth="1" collapsed="1"/>
    <col min="40" max="41" width="9.85546875" style="15" hidden="1" customWidth="1" outlineLevel="1"/>
    <col min="42" max="42" width="9.85546875" style="15" customWidth="1" collapsed="1"/>
    <col min="43" max="44" width="9.85546875" style="15" hidden="1" customWidth="1" outlineLevel="1"/>
    <col min="45" max="45" width="9.85546875" style="15" customWidth="1" collapsed="1"/>
    <col min="46" max="47" width="9.85546875" style="15" hidden="1" customWidth="1" outlineLevel="1"/>
    <col min="48" max="48" width="9.85546875" style="15" customWidth="1" collapsed="1"/>
    <col min="49" max="50" width="9.85546875" style="15" hidden="1" customWidth="1" outlineLevel="1"/>
    <col min="51" max="51" width="9.85546875" style="15" customWidth="1" collapsed="1"/>
    <col min="52" max="52" width="9.85546875" style="15" customWidth="1"/>
    <col min="53" max="16384" width="9.140625" style="15"/>
  </cols>
  <sheetData>
    <row r="1" spans="1:51" s="11" customFormat="1" ht="12" customHeight="1" x14ac:dyDescent="0.2">
      <c r="B1" s="11" t="str">
        <f>+'GYG model -&gt;'!D2</f>
        <v>Guzman y Gomez (GYG.ASX)</v>
      </c>
    </row>
    <row r="2" spans="1:51" s="11" customFormat="1" ht="12" customHeight="1" x14ac:dyDescent="0.2">
      <c r="B2" s="11" t="s">
        <v>7</v>
      </c>
    </row>
    <row r="3" spans="1:51" s="11" customFormat="1" ht="12" customHeight="1" x14ac:dyDescent="0.2"/>
    <row r="4" spans="1:51" s="14" customFormat="1" ht="12" customHeight="1" x14ac:dyDescent="0.2">
      <c r="B4" s="16" t="s">
        <v>8</v>
      </c>
      <c r="D4" s="14" t="str">
        <f>+'Income &amp; Cash Flow'!D4</f>
        <v>1H20A</v>
      </c>
      <c r="E4" s="14" t="str">
        <f>+'Income &amp; Cash Flow'!E4</f>
        <v>2H20A</v>
      </c>
      <c r="F4" s="14" t="str">
        <f>+'Income &amp; Cash Flow'!F4</f>
        <v>FY20A</v>
      </c>
      <c r="G4" s="14" t="str">
        <f>+'Income &amp; Cash Flow'!G4</f>
        <v>1H21A</v>
      </c>
      <c r="H4" s="14" t="str">
        <f>+'Income &amp; Cash Flow'!H4</f>
        <v>2H21A</v>
      </c>
      <c r="I4" s="14" t="str">
        <f>+'Income &amp; Cash Flow'!I4</f>
        <v>FY21A</v>
      </c>
      <c r="J4" s="14" t="str">
        <f>+'Income &amp; Cash Flow'!J4</f>
        <v>1H22A</v>
      </c>
      <c r="K4" s="14" t="str">
        <f>+'Income &amp; Cash Flow'!K4</f>
        <v>2H22A</v>
      </c>
      <c r="L4" s="14" t="str">
        <f>+'Income &amp; Cash Flow'!L4</f>
        <v>FY22A</v>
      </c>
      <c r="M4" s="14" t="str">
        <f>+'Income &amp; Cash Flow'!M4</f>
        <v>1H23A</v>
      </c>
      <c r="N4" s="14" t="str">
        <f>+'Income &amp; Cash Flow'!N4</f>
        <v>2H23A</v>
      </c>
      <c r="O4" s="14" t="str">
        <f>+'Income &amp; Cash Flow'!O4</f>
        <v>FY23A</v>
      </c>
      <c r="P4" s="14" t="str">
        <f>+'Income &amp; Cash Flow'!P4</f>
        <v>1H24A</v>
      </c>
      <c r="Q4" s="14" t="str">
        <f>+'Income &amp; Cash Flow'!Q4</f>
        <v>2H24A</v>
      </c>
      <c r="R4" s="14" t="str">
        <f>+'Income &amp; Cash Flow'!R4</f>
        <v>FY24A</v>
      </c>
      <c r="S4" s="14" t="str">
        <f>+'Income &amp; Cash Flow'!S4</f>
        <v>1H25A</v>
      </c>
      <c r="T4" s="14" t="str">
        <f>+'Income &amp; Cash Flow'!T4</f>
        <v>2H25A</v>
      </c>
      <c r="U4" s="14" t="str">
        <f>+'Income &amp; Cash Flow'!U4</f>
        <v>FY25A</v>
      </c>
      <c r="V4" s="14" t="str">
        <f>+'Income &amp; Cash Flow'!V4</f>
        <v>1H26E</v>
      </c>
      <c r="W4" s="14" t="str">
        <f>+'Income &amp; Cash Flow'!W4</f>
        <v>2H26E</v>
      </c>
      <c r="X4" s="14" t="str">
        <f>+'Income &amp; Cash Flow'!X4</f>
        <v>FY26E</v>
      </c>
      <c r="Y4" s="14" t="str">
        <f>+'Income &amp; Cash Flow'!Y4</f>
        <v>1H27E</v>
      </c>
      <c r="Z4" s="14" t="str">
        <f>+'Income &amp; Cash Flow'!Z4</f>
        <v>2H27E</v>
      </c>
      <c r="AA4" s="14" t="str">
        <f>+'Income &amp; Cash Flow'!AA4</f>
        <v>FY27E</v>
      </c>
      <c r="AB4" s="14" t="str">
        <f>+'Income &amp; Cash Flow'!AB4</f>
        <v>1H28E</v>
      </c>
      <c r="AC4" s="14" t="str">
        <f>+'Income &amp; Cash Flow'!AC4</f>
        <v>2H28E</v>
      </c>
      <c r="AD4" s="14" t="str">
        <f>+'Income &amp; Cash Flow'!AD4</f>
        <v>FY28E</v>
      </c>
      <c r="AE4" s="14" t="str">
        <f>+'Income &amp; Cash Flow'!AE4</f>
        <v>1H29E</v>
      </c>
      <c r="AF4" s="14" t="str">
        <f>+'Income &amp; Cash Flow'!AF4</f>
        <v>2H29E</v>
      </c>
      <c r="AG4" s="14" t="str">
        <f>+'Income &amp; Cash Flow'!AG4</f>
        <v>FY29E</v>
      </c>
      <c r="AH4" s="14" t="str">
        <f>+'Income &amp; Cash Flow'!AH4</f>
        <v>1H30E</v>
      </c>
      <c r="AI4" s="14" t="str">
        <f>+'Income &amp; Cash Flow'!AI4</f>
        <v>2H30E</v>
      </c>
      <c r="AJ4" s="14" t="str">
        <f>+'Income &amp; Cash Flow'!AJ4</f>
        <v>FY30E</v>
      </c>
      <c r="AK4" s="14" t="str">
        <f>+'Income &amp; Cash Flow'!AK4</f>
        <v>1H31E</v>
      </c>
      <c r="AL4" s="14" t="str">
        <f>+'Income &amp; Cash Flow'!AL4</f>
        <v>2H31E</v>
      </c>
      <c r="AM4" s="14" t="str">
        <f>+'Income &amp; Cash Flow'!AM4</f>
        <v>FY31E</v>
      </c>
      <c r="AN4" s="14" t="str">
        <f>+'Income &amp; Cash Flow'!AN4</f>
        <v>1H32E</v>
      </c>
      <c r="AO4" s="14" t="str">
        <f>+'Income &amp; Cash Flow'!AO4</f>
        <v>2H32E</v>
      </c>
      <c r="AP4" s="14" t="str">
        <f>+'Income &amp; Cash Flow'!AP4</f>
        <v>FY32E</v>
      </c>
      <c r="AQ4" s="14" t="str">
        <f>+'Income &amp; Cash Flow'!AQ4</f>
        <v>1H33E</v>
      </c>
      <c r="AR4" s="14" t="str">
        <f>+'Income &amp; Cash Flow'!AR4</f>
        <v>2H33E</v>
      </c>
      <c r="AS4" s="14" t="str">
        <f>+'Income &amp; Cash Flow'!AS4</f>
        <v>FY33E</v>
      </c>
      <c r="AT4" s="14" t="str">
        <f>+'Income &amp; Cash Flow'!AT4</f>
        <v>1H34E</v>
      </c>
      <c r="AU4" s="14" t="str">
        <f>+'Income &amp; Cash Flow'!AU4</f>
        <v>2H34E</v>
      </c>
      <c r="AV4" s="14" t="str">
        <f>+'Income &amp; Cash Flow'!AV4</f>
        <v>FY34E</v>
      </c>
      <c r="AW4" s="14" t="str">
        <f>+'Income &amp; Cash Flow'!AW4</f>
        <v>1H35E</v>
      </c>
      <c r="AX4" s="14" t="str">
        <f>+'Income &amp; Cash Flow'!AX4</f>
        <v>2H35E</v>
      </c>
      <c r="AY4" s="14" t="str">
        <f>+'Income &amp; Cash Flow'!AY4</f>
        <v>FY35E</v>
      </c>
    </row>
    <row r="5" spans="1:51" s="17" customFormat="1" ht="12" customHeight="1" x14ac:dyDescent="0.2">
      <c r="A5" s="138"/>
      <c r="B5" s="195"/>
      <c r="C5" s="130"/>
      <c r="D5" s="142"/>
      <c r="E5" s="142"/>
      <c r="F5" s="143"/>
      <c r="G5" s="142"/>
      <c r="H5" s="142"/>
      <c r="I5" s="143"/>
      <c r="J5" s="142"/>
      <c r="K5" s="142"/>
      <c r="L5" s="143"/>
      <c r="M5" s="142"/>
      <c r="N5" s="142"/>
      <c r="O5" s="143"/>
      <c r="P5" s="142"/>
      <c r="Q5" s="142"/>
      <c r="R5" s="143"/>
      <c r="S5" s="411"/>
      <c r="T5" s="142"/>
      <c r="U5" s="143"/>
      <c r="V5" s="142"/>
      <c r="W5" s="142"/>
      <c r="X5" s="143"/>
      <c r="Y5" s="142"/>
      <c r="Z5" s="142"/>
      <c r="AA5" s="143"/>
      <c r="AB5" s="142"/>
      <c r="AC5" s="142"/>
      <c r="AD5" s="143"/>
      <c r="AE5" s="142"/>
      <c r="AF5" s="142"/>
      <c r="AG5" s="143"/>
      <c r="AH5" s="142"/>
      <c r="AI5" s="142"/>
      <c r="AJ5" s="143"/>
      <c r="AK5" s="142"/>
      <c r="AL5" s="142"/>
      <c r="AM5" s="143"/>
      <c r="AN5" s="142"/>
      <c r="AO5" s="142"/>
      <c r="AP5" s="143"/>
      <c r="AQ5" s="142"/>
      <c r="AR5" s="142"/>
      <c r="AS5" s="143"/>
      <c r="AT5" s="142"/>
      <c r="AU5" s="142"/>
      <c r="AV5" s="143"/>
      <c r="AW5" s="142"/>
      <c r="AX5" s="142"/>
      <c r="AY5" s="143"/>
    </row>
    <row r="6" spans="1:51" s="17" customFormat="1" ht="12" customHeight="1" x14ac:dyDescent="0.2">
      <c r="A6" s="14"/>
      <c r="B6" s="16" t="s">
        <v>364</v>
      </c>
      <c r="C6" s="130"/>
      <c r="D6" s="142"/>
      <c r="E6" s="142"/>
      <c r="F6" s="143"/>
      <c r="G6" s="142"/>
      <c r="H6" s="142"/>
      <c r="I6" s="143"/>
      <c r="J6" s="142"/>
      <c r="K6" s="142"/>
      <c r="L6" s="143"/>
      <c r="M6" s="142"/>
      <c r="N6" s="142"/>
      <c r="O6" s="143"/>
      <c r="P6" s="411"/>
      <c r="Q6" s="142"/>
      <c r="R6" s="143"/>
      <c r="S6" s="142"/>
      <c r="T6" s="142"/>
      <c r="U6" s="300"/>
      <c r="V6" s="142"/>
      <c r="W6" s="358"/>
      <c r="X6" s="143"/>
      <c r="Y6" s="142"/>
      <c r="Z6" s="142"/>
      <c r="AA6" s="143"/>
      <c r="AB6" s="142"/>
      <c r="AC6" s="142"/>
      <c r="AD6" s="143"/>
      <c r="AE6" s="142"/>
      <c r="AF6" s="142"/>
      <c r="AG6" s="143"/>
      <c r="AH6" s="142"/>
      <c r="AI6" s="142"/>
      <c r="AJ6" s="305"/>
      <c r="AK6" s="142"/>
      <c r="AL6" s="142"/>
      <c r="AM6" s="297"/>
      <c r="AN6" s="142"/>
      <c r="AO6" s="142"/>
      <c r="AP6" s="143"/>
      <c r="AQ6" s="142"/>
      <c r="AR6" s="142"/>
      <c r="AS6" s="143"/>
      <c r="AT6" s="142"/>
      <c r="AU6" s="142"/>
      <c r="AV6" s="143"/>
      <c r="AW6" s="142"/>
      <c r="AX6" s="142"/>
      <c r="AY6" s="143"/>
    </row>
    <row r="7" spans="1:51" s="17" customFormat="1" ht="12" customHeight="1" x14ac:dyDescent="0.2">
      <c r="A7" s="14"/>
      <c r="B7" s="10" t="s">
        <v>377</v>
      </c>
      <c r="C7" s="130"/>
      <c r="D7" s="142"/>
      <c r="E7" s="142"/>
      <c r="F7" s="143"/>
      <c r="G7" s="142"/>
      <c r="H7" s="142"/>
      <c r="I7" s="143"/>
      <c r="J7" s="142"/>
      <c r="K7" s="142"/>
      <c r="L7" s="143"/>
      <c r="M7" s="142"/>
      <c r="N7" s="358"/>
      <c r="O7" s="143"/>
      <c r="P7" s="142"/>
      <c r="Q7" s="142"/>
      <c r="R7" s="143"/>
      <c r="S7" s="142"/>
      <c r="T7" s="142"/>
      <c r="U7" s="143"/>
      <c r="V7" s="142"/>
      <c r="W7" s="142"/>
      <c r="X7" s="143"/>
      <c r="Y7" s="142"/>
      <c r="Z7" s="142"/>
      <c r="AA7" s="143"/>
      <c r="AB7" s="142"/>
      <c r="AC7" s="142"/>
      <c r="AD7" s="143"/>
      <c r="AE7" s="142"/>
      <c r="AF7" s="142"/>
      <c r="AG7" s="143"/>
      <c r="AH7" s="142"/>
      <c r="AI7" s="142"/>
      <c r="AJ7" s="143"/>
      <c r="AK7" s="142"/>
      <c r="AL7" s="142"/>
      <c r="AM7" s="143"/>
      <c r="AN7" s="142"/>
      <c r="AO7" s="142"/>
      <c r="AP7" s="143"/>
      <c r="AQ7" s="142"/>
      <c r="AR7" s="142"/>
      <c r="AS7" s="143"/>
      <c r="AT7" s="142"/>
      <c r="AU7" s="142"/>
      <c r="AV7" s="143"/>
      <c r="AW7" s="142"/>
      <c r="AX7" s="142"/>
      <c r="AY7" s="143"/>
    </row>
    <row r="8" spans="1:51" s="17" customFormat="1" ht="12" customHeight="1" x14ac:dyDescent="0.2">
      <c r="A8" s="138"/>
      <c r="B8" s="6" t="s">
        <v>378</v>
      </c>
      <c r="C8" s="269"/>
      <c r="D8" s="270"/>
      <c r="E8" s="270"/>
      <c r="F8" s="143"/>
      <c r="G8" s="270"/>
      <c r="H8" s="270"/>
      <c r="I8" s="143"/>
      <c r="J8" s="130"/>
      <c r="K8" s="130"/>
      <c r="L8" s="143">
        <f>+L61</f>
        <v>139.21700000000001</v>
      </c>
      <c r="M8" s="142">
        <f t="shared" ref="M8:R8" si="0">+M61</f>
        <v>100.639</v>
      </c>
      <c r="N8" s="142">
        <f t="shared" si="0"/>
        <v>111.336</v>
      </c>
      <c r="O8" s="143">
        <f t="shared" si="0"/>
        <v>211.97499999999999</v>
      </c>
      <c r="P8" s="142">
        <f t="shared" si="0"/>
        <v>136.57400000000001</v>
      </c>
      <c r="Q8" s="142">
        <f t="shared" si="0"/>
        <v>142.303</v>
      </c>
      <c r="R8" s="319">
        <f t="shared" si="0"/>
        <v>278.87700000000001</v>
      </c>
      <c r="S8" s="142">
        <f t="shared" ref="S8:U8" si="1">+S61</f>
        <v>176.05099999999999</v>
      </c>
      <c r="T8" s="142">
        <f t="shared" si="1"/>
        <v>183.67099999999999</v>
      </c>
      <c r="U8" s="319">
        <f t="shared" si="1"/>
        <v>359.72199999999998</v>
      </c>
      <c r="V8" s="142">
        <f t="shared" ref="V8:AJ8" si="2">+V61</f>
        <v>218.79367526598926</v>
      </c>
      <c r="W8" s="142">
        <f t="shared" si="2"/>
        <v>225.78059027066922</v>
      </c>
      <c r="X8" s="319">
        <f t="shared" si="2"/>
        <v>444.57426553665846</v>
      </c>
      <c r="Y8" s="142">
        <f t="shared" si="2"/>
        <v>260.03239856138055</v>
      </c>
      <c r="Z8" s="142">
        <f t="shared" si="2"/>
        <v>266.31287365581153</v>
      </c>
      <c r="AA8" s="319">
        <f t="shared" si="2"/>
        <v>526.34527221719213</v>
      </c>
      <c r="AB8" s="142">
        <f t="shared" si="2"/>
        <v>304.66641820498876</v>
      </c>
      <c r="AC8" s="142">
        <f t="shared" si="2"/>
        <v>310.16847317740269</v>
      </c>
      <c r="AD8" s="319">
        <f t="shared" si="2"/>
        <v>614.83489138239145</v>
      </c>
      <c r="AE8" s="142">
        <f t="shared" si="2"/>
        <v>348.34198734036119</v>
      </c>
      <c r="AF8" s="142">
        <f t="shared" si="2"/>
        <v>352.90610991425058</v>
      </c>
      <c r="AG8" s="319">
        <f t="shared" si="2"/>
        <v>701.24809725461182</v>
      </c>
      <c r="AH8" s="142">
        <f t="shared" si="2"/>
        <v>394.5897761243038</v>
      </c>
      <c r="AI8" s="142">
        <f t="shared" si="2"/>
        <v>398.15235104781573</v>
      </c>
      <c r="AJ8" s="319">
        <f t="shared" si="2"/>
        <v>792.74212717211958</v>
      </c>
      <c r="AK8" s="142">
        <f t="shared" ref="AK8:AM8" si="3">+AK61</f>
        <v>443.54291511102241</v>
      </c>
      <c r="AL8" s="142">
        <f t="shared" si="3"/>
        <v>446.03610538367434</v>
      </c>
      <c r="AM8" s="319">
        <f t="shared" si="3"/>
        <v>889.57902049469681</v>
      </c>
      <c r="AN8" s="142">
        <f t="shared" ref="AN8:AP8" si="4">+AN61</f>
        <v>495.33952879548053</v>
      </c>
      <c r="AO8" s="142">
        <f t="shared" si="4"/>
        <v>496.6912494201315</v>
      </c>
      <c r="AP8" s="319">
        <f t="shared" si="4"/>
        <v>992.03077821561203</v>
      </c>
      <c r="AQ8" s="142">
        <f t="shared" ref="AQ8:AS8" si="5">+AQ61</f>
        <v>550.12318146323162</v>
      </c>
      <c r="AR8" s="142">
        <f t="shared" si="5"/>
        <v>550.25702620565573</v>
      </c>
      <c r="AS8" s="319">
        <f t="shared" si="5"/>
        <v>1100.3802076688874</v>
      </c>
      <c r="AT8" s="142">
        <f t="shared" ref="AT8:AV8" si="6">+AT61</f>
        <v>608.04327629830198</v>
      </c>
      <c r="AU8" s="142">
        <f t="shared" si="6"/>
        <v>606.87841001248705</v>
      </c>
      <c r="AV8" s="319">
        <f t="shared" si="6"/>
        <v>1214.921686310789</v>
      </c>
      <c r="AW8" s="142">
        <f t="shared" ref="AW8:AY8" si="7">+AW61</f>
        <v>669.25542708600904</v>
      </c>
      <c r="AX8" s="142">
        <f t="shared" si="7"/>
        <v>666.70645144884156</v>
      </c>
      <c r="AY8" s="319">
        <f t="shared" si="7"/>
        <v>1335.9618785348507</v>
      </c>
    </row>
    <row r="9" spans="1:51" s="17" customFormat="1" ht="12" customHeight="1" x14ac:dyDescent="0.2">
      <c r="A9" s="138"/>
      <c r="B9" s="6" t="s">
        <v>466</v>
      </c>
      <c r="C9" s="269"/>
      <c r="D9" s="270"/>
      <c r="E9" s="270"/>
      <c r="F9" s="143"/>
      <c r="G9" s="270"/>
      <c r="H9" s="270"/>
      <c r="I9" s="143"/>
      <c r="J9" s="130"/>
      <c r="K9" s="130"/>
      <c r="L9" s="143">
        <f>+L62</f>
        <v>396.18299999999999</v>
      </c>
      <c r="M9" s="142">
        <f t="shared" ref="M9:R9" si="8">+M62</f>
        <v>234.26099999999997</v>
      </c>
      <c r="N9" s="142">
        <f t="shared" si="8"/>
        <v>256.66399999999999</v>
      </c>
      <c r="O9" s="143">
        <f t="shared" si="8"/>
        <v>490.92499999999995</v>
      </c>
      <c r="P9" s="142">
        <f t="shared" si="8"/>
        <v>302.02600000000001</v>
      </c>
      <c r="Q9" s="142">
        <f t="shared" si="8"/>
        <v>313.697</v>
      </c>
      <c r="R9" s="319">
        <f t="shared" si="8"/>
        <v>615.72299999999996</v>
      </c>
      <c r="S9" s="142">
        <f t="shared" ref="S9:U9" si="9">+S62</f>
        <v>362.18900000000002</v>
      </c>
      <c r="T9" s="142">
        <f t="shared" si="9"/>
        <v>372.68899999999991</v>
      </c>
      <c r="U9" s="319">
        <f t="shared" si="9"/>
        <v>734.87799999999993</v>
      </c>
      <c r="V9" s="142">
        <f t="shared" ref="V9:AJ9" si="10">+V62</f>
        <v>413.89462949591564</v>
      </c>
      <c r="W9" s="142">
        <f t="shared" si="10"/>
        <v>423.32263472933062</v>
      </c>
      <c r="X9" s="319">
        <f t="shared" si="10"/>
        <v>837.21726422524625</v>
      </c>
      <c r="Y9" s="142">
        <f t="shared" si="10"/>
        <v>483.70726345894241</v>
      </c>
      <c r="Z9" s="142">
        <f t="shared" si="10"/>
        <v>491.91124783040874</v>
      </c>
      <c r="AA9" s="319">
        <f t="shared" si="10"/>
        <v>975.61851128935109</v>
      </c>
      <c r="AB9" s="142">
        <f t="shared" si="10"/>
        <v>559.20517063608895</v>
      </c>
      <c r="AC9" s="142">
        <f t="shared" si="10"/>
        <v>566.06095172322216</v>
      </c>
      <c r="AD9" s="319">
        <f t="shared" si="10"/>
        <v>1125.2661223593111</v>
      </c>
      <c r="AE9" s="142">
        <f t="shared" si="10"/>
        <v>632.44118625808846</v>
      </c>
      <c r="AF9" s="142">
        <f t="shared" si="10"/>
        <v>637.70753195031239</v>
      </c>
      <c r="AG9" s="319">
        <f t="shared" si="10"/>
        <v>1270.1487182084009</v>
      </c>
      <c r="AH9" s="142">
        <f t="shared" si="10"/>
        <v>709.95392468368891</v>
      </c>
      <c r="AI9" s="142">
        <f t="shared" si="10"/>
        <v>713.52349286321896</v>
      </c>
      <c r="AJ9" s="319">
        <f t="shared" si="10"/>
        <v>1423.4774175469079</v>
      </c>
      <c r="AK9" s="142">
        <f t="shared" ref="AK9:AM9" si="11">+AK62</f>
        <v>791.96151724263109</v>
      </c>
      <c r="AL9" s="142">
        <f t="shared" si="11"/>
        <v>793.72025220149544</v>
      </c>
      <c r="AM9" s="319">
        <f t="shared" si="11"/>
        <v>1585.6817694441265</v>
      </c>
      <c r="AN9" s="142">
        <f t="shared" ref="AN9:AP9" si="12">+AN62</f>
        <v>878.69067686692517</v>
      </c>
      <c r="AO9" s="142">
        <f t="shared" si="12"/>
        <v>878.51769634278435</v>
      </c>
      <c r="AP9" s="319">
        <f t="shared" si="12"/>
        <v>1757.2083732097094</v>
      </c>
      <c r="AQ9" s="142">
        <f t="shared" ref="AQ9:AS9" si="13">+AQ62</f>
        <v>970.37733239943998</v>
      </c>
      <c r="AR9" s="142">
        <f t="shared" si="13"/>
        <v>968.14475886377193</v>
      </c>
      <c r="AS9" s="319">
        <f t="shared" si="13"/>
        <v>1938.5220912632119</v>
      </c>
      <c r="AT9" s="142">
        <f t="shared" ref="AT9:AV9" si="14">+AT62</f>
        <v>1067.2672175002986</v>
      </c>
      <c r="AU9" s="142">
        <f t="shared" si="14"/>
        <v>1062.8399667414456</v>
      </c>
      <c r="AV9" s="319">
        <f t="shared" si="14"/>
        <v>2130.1071842417441</v>
      </c>
      <c r="AW9" s="142">
        <f t="shared" ref="AW9:AY9" si="15">+AW62</f>
        <v>1169.6164346509872</v>
      </c>
      <c r="AX9" s="142">
        <f t="shared" si="15"/>
        <v>1162.8519699137823</v>
      </c>
      <c r="AY9" s="319">
        <f t="shared" si="15"/>
        <v>2332.4684045647696</v>
      </c>
    </row>
    <row r="10" spans="1:51" s="17" customFormat="1" ht="12" customHeight="1" x14ac:dyDescent="0.2">
      <c r="A10" s="138"/>
      <c r="B10" s="161" t="s">
        <v>467</v>
      </c>
      <c r="C10" s="268"/>
      <c r="D10" s="233"/>
      <c r="E10" s="233"/>
      <c r="F10" s="169"/>
      <c r="G10" s="233"/>
      <c r="H10" s="233"/>
      <c r="I10" s="169"/>
      <c r="J10" s="265"/>
      <c r="K10" s="265"/>
      <c r="L10" s="169">
        <f>+L63</f>
        <v>535.4</v>
      </c>
      <c r="M10" s="168">
        <f t="shared" ref="M10:R10" si="16">+M63</f>
        <v>334.9</v>
      </c>
      <c r="N10" s="168">
        <f t="shared" si="16"/>
        <v>368</v>
      </c>
      <c r="O10" s="169">
        <f t="shared" si="16"/>
        <v>702.9</v>
      </c>
      <c r="P10" s="168">
        <f t="shared" si="16"/>
        <v>438.6</v>
      </c>
      <c r="Q10" s="168">
        <f t="shared" si="16"/>
        <v>456</v>
      </c>
      <c r="R10" s="338">
        <f t="shared" si="16"/>
        <v>894.6</v>
      </c>
      <c r="S10" s="168">
        <f t="shared" ref="S10:U10" si="17">+S63</f>
        <v>538.24</v>
      </c>
      <c r="T10" s="168">
        <f t="shared" si="17"/>
        <v>556.3599999999999</v>
      </c>
      <c r="U10" s="338">
        <f t="shared" si="17"/>
        <v>1094.5999999999999</v>
      </c>
      <c r="V10" s="168">
        <f t="shared" ref="V10:AJ10" si="18">+V63</f>
        <v>632.68830476190487</v>
      </c>
      <c r="W10" s="168">
        <f t="shared" si="18"/>
        <v>649.10322499999984</v>
      </c>
      <c r="X10" s="338">
        <f t="shared" si="18"/>
        <v>1281.7915297619047</v>
      </c>
      <c r="Y10" s="168">
        <f t="shared" si="18"/>
        <v>743.73966202032295</v>
      </c>
      <c r="Z10" s="168">
        <f t="shared" si="18"/>
        <v>758.22412148622027</v>
      </c>
      <c r="AA10" s="338">
        <f t="shared" si="18"/>
        <v>1501.9637835065432</v>
      </c>
      <c r="AB10" s="168">
        <f t="shared" si="18"/>
        <v>863.87158884107771</v>
      </c>
      <c r="AC10" s="168">
        <f t="shared" si="18"/>
        <v>876.22942490062485</v>
      </c>
      <c r="AD10" s="338">
        <f t="shared" si="18"/>
        <v>1740.1010137417024</v>
      </c>
      <c r="AE10" s="168">
        <f t="shared" si="18"/>
        <v>980.78317359844971</v>
      </c>
      <c r="AF10" s="168">
        <f t="shared" si="18"/>
        <v>990.61364186456296</v>
      </c>
      <c r="AG10" s="338">
        <f t="shared" si="18"/>
        <v>1971.3968154630127</v>
      </c>
      <c r="AH10" s="168">
        <f t="shared" si="18"/>
        <v>1104.5437008079928</v>
      </c>
      <c r="AI10" s="168">
        <f t="shared" si="18"/>
        <v>1111.6758439110347</v>
      </c>
      <c r="AJ10" s="338">
        <f t="shared" si="18"/>
        <v>2216.2195447190275</v>
      </c>
      <c r="AK10" s="168">
        <f t="shared" ref="AK10:AM10" si="19">+AK63</f>
        <v>1235.5044323536536</v>
      </c>
      <c r="AL10" s="168">
        <f t="shared" si="19"/>
        <v>1239.7563575851698</v>
      </c>
      <c r="AM10" s="338">
        <f t="shared" si="19"/>
        <v>2475.2607899388231</v>
      </c>
      <c r="AN10" s="168">
        <f t="shared" ref="AN10:AP10" si="20">+AN63</f>
        <v>1374.0302056624057</v>
      </c>
      <c r="AO10" s="168">
        <f t="shared" si="20"/>
        <v>1375.2089457629158</v>
      </c>
      <c r="AP10" s="338">
        <f t="shared" si="20"/>
        <v>2749.2391514253213</v>
      </c>
      <c r="AQ10" s="168">
        <f t="shared" ref="AQ10:AS10" si="21">+AQ63</f>
        <v>1520.5005138626716</v>
      </c>
      <c r="AR10" s="168">
        <f t="shared" si="21"/>
        <v>1518.4017850694277</v>
      </c>
      <c r="AS10" s="338">
        <f t="shared" si="21"/>
        <v>3038.9022989320993</v>
      </c>
      <c r="AT10" s="168">
        <f t="shared" ref="AT10:AV10" si="22">+AT63</f>
        <v>1675.3104937986004</v>
      </c>
      <c r="AU10" s="168">
        <f t="shared" si="22"/>
        <v>1669.7183767539327</v>
      </c>
      <c r="AV10" s="338">
        <f t="shared" si="22"/>
        <v>3345.0288705525331</v>
      </c>
      <c r="AW10" s="168">
        <f t="shared" ref="AW10:AY10" si="23">+AW63</f>
        <v>1838.8718617369964</v>
      </c>
      <c r="AX10" s="168">
        <f t="shared" si="23"/>
        <v>1829.5584213626239</v>
      </c>
      <c r="AY10" s="338">
        <f t="shared" si="23"/>
        <v>3668.4302830996203</v>
      </c>
    </row>
    <row r="11" spans="1:51" s="17" customFormat="1" ht="12" customHeight="1" x14ac:dyDescent="0.2">
      <c r="A11" s="138"/>
      <c r="B11" s="6" t="s">
        <v>468</v>
      </c>
      <c r="C11" s="269"/>
      <c r="D11" s="270"/>
      <c r="E11" s="270"/>
      <c r="F11" s="143"/>
      <c r="G11" s="270"/>
      <c r="H11" s="270"/>
      <c r="I11" s="143"/>
      <c r="J11" s="130"/>
      <c r="K11" s="130"/>
      <c r="L11" s="143">
        <f>+L64</f>
        <v>31.4</v>
      </c>
      <c r="M11" s="142">
        <f t="shared" ref="M11:R11" si="24">+M64</f>
        <v>21.5</v>
      </c>
      <c r="N11" s="142">
        <f t="shared" si="24"/>
        <v>21.6</v>
      </c>
      <c r="O11" s="143">
        <f t="shared" si="24"/>
        <v>43.1</v>
      </c>
      <c r="P11" s="142">
        <f t="shared" si="24"/>
        <v>22.2</v>
      </c>
      <c r="Q11" s="142">
        <f t="shared" si="24"/>
        <v>24.2</v>
      </c>
      <c r="R11" s="319">
        <f t="shared" si="24"/>
        <v>46.4</v>
      </c>
      <c r="S11" s="142">
        <f t="shared" ref="S11:U11" si="25">+S64</f>
        <v>30.193999999999999</v>
      </c>
      <c r="T11" s="142">
        <f t="shared" si="25"/>
        <v>34.506</v>
      </c>
      <c r="U11" s="319">
        <f t="shared" si="25"/>
        <v>64.7</v>
      </c>
      <c r="V11" s="142">
        <f t="shared" ref="V11:AJ11" si="26">+V64</f>
        <v>34.723099999999995</v>
      </c>
      <c r="W11" s="142">
        <f t="shared" si="26"/>
        <v>39.681899999999999</v>
      </c>
      <c r="X11" s="319">
        <f t="shared" si="26"/>
        <v>74.405000000000001</v>
      </c>
      <c r="Y11" s="142">
        <f t="shared" si="26"/>
        <v>39.931564999999992</v>
      </c>
      <c r="Z11" s="142">
        <f t="shared" si="26"/>
        <v>45.634184999999995</v>
      </c>
      <c r="AA11" s="319">
        <f t="shared" si="26"/>
        <v>85.56574999999998</v>
      </c>
      <c r="AB11" s="142">
        <f t="shared" si="26"/>
        <v>45.921299749999989</v>
      </c>
      <c r="AC11" s="142">
        <f t="shared" si="26"/>
        <v>52.479312749999991</v>
      </c>
      <c r="AD11" s="319">
        <f t="shared" si="26"/>
        <v>98.40061249999998</v>
      </c>
      <c r="AE11" s="142">
        <f t="shared" si="26"/>
        <v>52.809494712499983</v>
      </c>
      <c r="AF11" s="142">
        <f t="shared" si="26"/>
        <v>60.351209662499983</v>
      </c>
      <c r="AG11" s="319">
        <f t="shared" si="26"/>
        <v>113.16070437499997</v>
      </c>
      <c r="AH11" s="142">
        <f t="shared" si="26"/>
        <v>60.730918919374979</v>
      </c>
      <c r="AI11" s="142">
        <f t="shared" si="26"/>
        <v>69.40389111187497</v>
      </c>
      <c r="AJ11" s="319">
        <f t="shared" si="26"/>
        <v>130.13481003124994</v>
      </c>
      <c r="AK11" s="142">
        <f t="shared" ref="AK11:AM11" si="27">+AK64</f>
        <v>69.84055675728122</v>
      </c>
      <c r="AL11" s="142">
        <f t="shared" si="27"/>
        <v>79.814474778656205</v>
      </c>
      <c r="AM11" s="319">
        <f t="shared" si="27"/>
        <v>149.65503153593744</v>
      </c>
      <c r="AN11" s="142">
        <f t="shared" ref="AN11:AP11" si="28">+AN64</f>
        <v>80.316640270873393</v>
      </c>
      <c r="AO11" s="142">
        <f t="shared" si="28"/>
        <v>91.786645995454634</v>
      </c>
      <c r="AP11" s="319">
        <f t="shared" si="28"/>
        <v>172.10328626632804</v>
      </c>
      <c r="AQ11" s="142">
        <f t="shared" ref="AQ11:AS11" si="29">+AQ64</f>
        <v>92.364136311504396</v>
      </c>
      <c r="AR11" s="142">
        <f t="shared" si="29"/>
        <v>105.55464289477283</v>
      </c>
      <c r="AS11" s="319">
        <f t="shared" si="29"/>
        <v>197.91877920627724</v>
      </c>
      <c r="AT11" s="142">
        <f t="shared" ref="AT11:AV11" si="30">+AT64</f>
        <v>106.21875675823004</v>
      </c>
      <c r="AU11" s="142">
        <f t="shared" si="30"/>
        <v>121.38783932898875</v>
      </c>
      <c r="AV11" s="319">
        <f t="shared" si="30"/>
        <v>227.6065960872188</v>
      </c>
      <c r="AW11" s="142">
        <f t="shared" ref="AW11:AY11" si="31">+AW64</f>
        <v>122.15157027196454</v>
      </c>
      <c r="AX11" s="142">
        <f t="shared" si="31"/>
        <v>139.59601522833705</v>
      </c>
      <c r="AY11" s="319">
        <f t="shared" si="31"/>
        <v>261.74758550030162</v>
      </c>
    </row>
    <row r="12" spans="1:51" s="17" customFormat="1" ht="12" customHeight="1" x14ac:dyDescent="0.2">
      <c r="A12" s="138"/>
      <c r="B12" s="6" t="s">
        <v>469</v>
      </c>
      <c r="C12" s="269"/>
      <c r="D12" s="270"/>
      <c r="E12" s="270"/>
      <c r="F12" s="143"/>
      <c r="G12" s="270"/>
      <c r="H12" s="270"/>
      <c r="I12" s="143"/>
      <c r="J12" s="130"/>
      <c r="K12" s="130"/>
      <c r="L12" s="143">
        <f>+L65</f>
        <v>5.8</v>
      </c>
      <c r="M12" s="142">
        <f t="shared" ref="M12:R12" si="32">+M65</f>
        <v>3.2</v>
      </c>
      <c r="N12" s="142">
        <f t="shared" si="32"/>
        <v>3.8</v>
      </c>
      <c r="O12" s="143">
        <f t="shared" si="32"/>
        <v>7</v>
      </c>
      <c r="P12" s="142">
        <f t="shared" si="32"/>
        <v>4.2</v>
      </c>
      <c r="Q12" s="142">
        <f t="shared" si="32"/>
        <v>3.7</v>
      </c>
      <c r="R12" s="319">
        <f t="shared" si="32"/>
        <v>7.9</v>
      </c>
      <c r="S12" s="142">
        <f t="shared" ref="S12:U12" si="33">+S65</f>
        <v>4.6059999999999999</v>
      </c>
      <c r="T12" s="142">
        <f t="shared" si="33"/>
        <v>4.4939999999999998</v>
      </c>
      <c r="U12" s="319">
        <f t="shared" si="33"/>
        <v>9.1</v>
      </c>
      <c r="V12" s="142">
        <f t="shared" ref="V12:AJ12" si="34">+V65</f>
        <v>5.0666000000000002</v>
      </c>
      <c r="W12" s="142">
        <f t="shared" si="34"/>
        <v>5.8422000000000001</v>
      </c>
      <c r="X12" s="319">
        <f t="shared" si="34"/>
        <v>10.908799999999999</v>
      </c>
      <c r="Y12" s="142">
        <f t="shared" si="34"/>
        <v>6.755466666666667</v>
      </c>
      <c r="Z12" s="142">
        <f t="shared" si="34"/>
        <v>7.5113999999999992</v>
      </c>
      <c r="AA12" s="319">
        <f t="shared" si="34"/>
        <v>14.266866666666665</v>
      </c>
      <c r="AB12" s="142">
        <f t="shared" si="34"/>
        <v>8.4443333333333328</v>
      </c>
      <c r="AC12" s="142">
        <f t="shared" si="34"/>
        <v>9.1806000000000001</v>
      </c>
      <c r="AD12" s="319">
        <f t="shared" si="34"/>
        <v>17.624933333333331</v>
      </c>
      <c r="AE12" s="142">
        <f t="shared" si="34"/>
        <v>10.133199999999999</v>
      </c>
      <c r="AF12" s="142">
        <f t="shared" si="34"/>
        <v>10.8498</v>
      </c>
      <c r="AG12" s="319">
        <f t="shared" si="34"/>
        <v>20.982999999999997</v>
      </c>
      <c r="AH12" s="142">
        <f t="shared" si="34"/>
        <v>11.822066666666666</v>
      </c>
      <c r="AI12" s="142">
        <f t="shared" si="34"/>
        <v>12.518999999999998</v>
      </c>
      <c r="AJ12" s="319">
        <f t="shared" si="34"/>
        <v>24.341066666666663</v>
      </c>
      <c r="AK12" s="142">
        <f t="shared" ref="AK12:AM12" si="35">+AK65</f>
        <v>13.510933333333332</v>
      </c>
      <c r="AL12" s="142">
        <f t="shared" si="35"/>
        <v>14.188199999999998</v>
      </c>
      <c r="AM12" s="319">
        <f t="shared" si="35"/>
        <v>27.699133333333329</v>
      </c>
      <c r="AN12" s="142">
        <f t="shared" ref="AN12:AP12" si="36">+AN65</f>
        <v>15.199799999999998</v>
      </c>
      <c r="AO12" s="142">
        <f t="shared" si="36"/>
        <v>15.857399999999998</v>
      </c>
      <c r="AP12" s="319">
        <f t="shared" si="36"/>
        <v>31.057199999999995</v>
      </c>
      <c r="AQ12" s="142">
        <f t="shared" ref="AQ12:AS12" si="37">+AQ65</f>
        <v>16.888666666666666</v>
      </c>
      <c r="AR12" s="142">
        <f t="shared" si="37"/>
        <v>17.526599999999995</v>
      </c>
      <c r="AS12" s="319">
        <f t="shared" si="37"/>
        <v>34.41526666666666</v>
      </c>
      <c r="AT12" s="142">
        <f t="shared" ref="AT12:AV12" si="38">+AT65</f>
        <v>18.577533333333335</v>
      </c>
      <c r="AU12" s="142">
        <f t="shared" si="38"/>
        <v>19.195799999999995</v>
      </c>
      <c r="AV12" s="319">
        <f t="shared" si="38"/>
        <v>37.773333333333326</v>
      </c>
      <c r="AW12" s="142">
        <f t="shared" ref="AW12:AY12" si="39">+AW65</f>
        <v>20.266400000000001</v>
      </c>
      <c r="AX12" s="142">
        <f t="shared" si="39"/>
        <v>20.864999999999995</v>
      </c>
      <c r="AY12" s="319">
        <f t="shared" si="39"/>
        <v>41.131399999999999</v>
      </c>
    </row>
    <row r="13" spans="1:51" s="17" customFormat="1" ht="12" customHeight="1" x14ac:dyDescent="0.2">
      <c r="A13" s="138"/>
      <c r="B13" s="6" t="s">
        <v>445</v>
      </c>
      <c r="C13" s="269"/>
      <c r="D13" s="270"/>
      <c r="E13" s="270"/>
      <c r="F13" s="143"/>
      <c r="G13" s="270"/>
      <c r="H13" s="270"/>
      <c r="I13" s="143"/>
      <c r="J13" s="130"/>
      <c r="K13" s="130"/>
      <c r="L13" s="143">
        <f>+L210</f>
        <v>2.5</v>
      </c>
      <c r="M13" s="142">
        <f t="shared" ref="M13:R13" si="40">+M210</f>
        <v>1.5</v>
      </c>
      <c r="N13" s="142">
        <f t="shared" si="40"/>
        <v>4.5</v>
      </c>
      <c r="O13" s="143">
        <f t="shared" si="40"/>
        <v>6</v>
      </c>
      <c r="P13" s="142">
        <f t="shared" si="40"/>
        <v>5.6</v>
      </c>
      <c r="Q13" s="142">
        <f t="shared" si="40"/>
        <v>5.234</v>
      </c>
      <c r="R13" s="319">
        <f t="shared" si="40"/>
        <v>10.834</v>
      </c>
      <c r="S13" s="142">
        <f t="shared" ref="S13:U13" si="41">+S210</f>
        <v>4.907</v>
      </c>
      <c r="T13" s="142">
        <f t="shared" si="41"/>
        <v>7.39900000000004</v>
      </c>
      <c r="U13" s="319">
        <f t="shared" si="41"/>
        <v>12.30600000000004</v>
      </c>
      <c r="V13" s="142">
        <f t="shared" ref="V13:AJ13" si="42">+V210</f>
        <v>7.6058500000000002</v>
      </c>
      <c r="W13" s="142">
        <f t="shared" si="42"/>
        <v>7.768950000000042</v>
      </c>
      <c r="X13" s="319">
        <f t="shared" si="42"/>
        <v>15.374800000000043</v>
      </c>
      <c r="Y13" s="142">
        <f t="shared" si="42"/>
        <v>9.77895</v>
      </c>
      <c r="Z13" s="142">
        <f t="shared" si="42"/>
        <v>9.7111875000000527</v>
      </c>
      <c r="AA13" s="319">
        <f t="shared" si="42"/>
        <v>19.490137500000053</v>
      </c>
      <c r="AB13" s="142">
        <f t="shared" si="42"/>
        <v>11.408775</v>
      </c>
      <c r="AC13" s="142">
        <f t="shared" si="42"/>
        <v>10.682306250000059</v>
      </c>
      <c r="AD13" s="319">
        <f t="shared" si="42"/>
        <v>22.091081250000059</v>
      </c>
      <c r="AE13" s="142">
        <f t="shared" si="42"/>
        <v>12.549652500000001</v>
      </c>
      <c r="AF13" s="142">
        <f t="shared" si="42"/>
        <v>11.750536875000066</v>
      </c>
      <c r="AG13" s="319">
        <f t="shared" si="42"/>
        <v>24.300189375000066</v>
      </c>
      <c r="AH13" s="142">
        <f t="shared" si="42"/>
        <v>13.804617750000002</v>
      </c>
      <c r="AI13" s="142">
        <f t="shared" si="42"/>
        <v>12.925590562500073</v>
      </c>
      <c r="AJ13" s="319">
        <f t="shared" si="42"/>
        <v>26.730208312500075</v>
      </c>
      <c r="AK13" s="142">
        <f t="shared" ref="AK13:AM13" si="43">+AK210</f>
        <v>15.185079525000003</v>
      </c>
      <c r="AL13" s="142">
        <f t="shared" si="43"/>
        <v>14.218149618750081</v>
      </c>
      <c r="AM13" s="319">
        <f t="shared" si="43"/>
        <v>29.403229143750082</v>
      </c>
      <c r="AN13" s="142">
        <f t="shared" ref="AN13:AP13" si="44">+AN210</f>
        <v>16.703587477500005</v>
      </c>
      <c r="AO13" s="142">
        <f t="shared" si="44"/>
        <v>15.63996458062509</v>
      </c>
      <c r="AP13" s="319">
        <f t="shared" si="44"/>
        <v>32.343552058125098</v>
      </c>
      <c r="AQ13" s="142">
        <f t="shared" ref="AQ13:AS13" si="45">+AQ210</f>
        <v>18.373946225250005</v>
      </c>
      <c r="AR13" s="142">
        <f t="shared" si="45"/>
        <v>17.203961038687602</v>
      </c>
      <c r="AS13" s="319">
        <f t="shared" si="45"/>
        <v>35.577907263937604</v>
      </c>
      <c r="AT13" s="142">
        <f t="shared" ref="AT13:AV13" si="46">+AT210</f>
        <v>20.211340847775009</v>
      </c>
      <c r="AU13" s="142">
        <f t="shared" si="46"/>
        <v>18.924357142556364</v>
      </c>
      <c r="AV13" s="319">
        <f t="shared" si="46"/>
        <v>39.135697990331373</v>
      </c>
      <c r="AW13" s="142">
        <f t="shared" ref="AW13:AY13" si="47">+AW210</f>
        <v>22.232474932552513</v>
      </c>
      <c r="AX13" s="142">
        <f t="shared" si="47"/>
        <v>20.816792856812</v>
      </c>
      <c r="AY13" s="319">
        <f t="shared" si="47"/>
        <v>43.049267789364514</v>
      </c>
    </row>
    <row r="14" spans="1:51" s="17" customFormat="1" ht="12" customHeight="1" x14ac:dyDescent="0.2">
      <c r="A14" s="138"/>
      <c r="B14" s="161" t="s">
        <v>471</v>
      </c>
      <c r="C14" s="268"/>
      <c r="D14" s="233"/>
      <c r="E14" s="233"/>
      <c r="F14" s="355">
        <v>306</v>
      </c>
      <c r="G14" s="233"/>
      <c r="H14" s="233"/>
      <c r="I14" s="355">
        <v>448</v>
      </c>
      <c r="J14" s="233"/>
      <c r="K14" s="233"/>
      <c r="L14" s="169">
        <f>+SUM(L10:L13)</f>
        <v>575.09999999999991</v>
      </c>
      <c r="M14" s="233">
        <f t="shared" ref="M14:R14" si="48">+SUM(M10:M13)</f>
        <v>361.09999999999997</v>
      </c>
      <c r="N14" s="233">
        <f t="shared" si="48"/>
        <v>397.90000000000003</v>
      </c>
      <c r="O14" s="169">
        <f t="shared" si="48"/>
        <v>759</v>
      </c>
      <c r="P14" s="233">
        <f t="shared" si="48"/>
        <v>470.6</v>
      </c>
      <c r="Q14" s="233">
        <f t="shared" si="48"/>
        <v>489.13399999999996</v>
      </c>
      <c r="R14" s="169">
        <f t="shared" si="48"/>
        <v>959.73399999999992</v>
      </c>
      <c r="S14" s="233">
        <f t="shared" ref="S14" si="49">+SUM(S10:S13)</f>
        <v>577.947</v>
      </c>
      <c r="T14" s="233">
        <f t="shared" ref="T14:U14" si="50">+SUM(T10:T13)</f>
        <v>602.7589999999999</v>
      </c>
      <c r="U14" s="169">
        <f t="shared" si="50"/>
        <v>1180.7059999999999</v>
      </c>
      <c r="V14" s="233">
        <f t="shared" ref="V14" si="51">+SUM(V10:V13)</f>
        <v>680.08385476190495</v>
      </c>
      <c r="W14" s="233">
        <f t="shared" ref="W14" si="52">+SUM(W10:W13)</f>
        <v>702.39627499999995</v>
      </c>
      <c r="X14" s="169">
        <f t="shared" ref="X14" si="53">+SUM(X10:X13)</f>
        <v>1382.4801297619047</v>
      </c>
      <c r="Y14" s="233">
        <f t="shared" ref="Y14" si="54">+SUM(Y10:Y13)</f>
        <v>800.20564368698956</v>
      </c>
      <c r="Z14" s="233">
        <f t="shared" ref="Z14" si="55">+SUM(Z10:Z13)</f>
        <v>821.0808939862203</v>
      </c>
      <c r="AA14" s="169">
        <f t="shared" ref="AA14" si="56">+SUM(AA10:AA13)</f>
        <v>1621.2865376732098</v>
      </c>
      <c r="AB14" s="233">
        <f t="shared" ref="AB14" si="57">+SUM(AB10:AB13)</f>
        <v>929.64599692441107</v>
      </c>
      <c r="AC14" s="233">
        <f t="shared" ref="AC14" si="58">+SUM(AC10:AC13)</f>
        <v>948.57164390062485</v>
      </c>
      <c r="AD14" s="169">
        <f t="shared" ref="AD14" si="59">+SUM(AD10:AD13)</f>
        <v>1878.2176408250359</v>
      </c>
      <c r="AE14" s="233">
        <f t="shared" ref="AE14" si="60">+SUM(AE10:AE13)</f>
        <v>1056.2755208109497</v>
      </c>
      <c r="AF14" s="233">
        <f t="shared" ref="AF14" si="61">+SUM(AF10:AF13)</f>
        <v>1073.5651884020631</v>
      </c>
      <c r="AG14" s="169">
        <f t="shared" ref="AG14" si="62">+SUM(AG10:AG13)</f>
        <v>2129.8407092130128</v>
      </c>
      <c r="AH14" s="233">
        <f t="shared" ref="AH14" si="63">+SUM(AH10:AH13)</f>
        <v>1190.9013041440344</v>
      </c>
      <c r="AI14" s="233">
        <f t="shared" ref="AI14" si="64">+SUM(AI10:AI13)</f>
        <v>1206.5243255854098</v>
      </c>
      <c r="AJ14" s="169">
        <f t="shared" ref="AJ14:AL14" si="65">+SUM(AJ10:AJ13)</f>
        <v>2397.4256297294442</v>
      </c>
      <c r="AK14" s="233">
        <f t="shared" si="65"/>
        <v>1334.0410019692681</v>
      </c>
      <c r="AL14" s="233">
        <f t="shared" si="65"/>
        <v>1347.977181982576</v>
      </c>
      <c r="AM14" s="169">
        <f t="shared" ref="AM14:AO14" si="66">+SUM(AM10:AM13)</f>
        <v>2682.0181839518441</v>
      </c>
      <c r="AN14" s="233">
        <f t="shared" si="66"/>
        <v>1486.2502334107792</v>
      </c>
      <c r="AO14" s="233">
        <f t="shared" si="66"/>
        <v>1498.4929563389956</v>
      </c>
      <c r="AP14" s="169">
        <f t="shared" ref="AP14:AR14" si="67">+SUM(AP10:AP13)</f>
        <v>2984.7431897497745</v>
      </c>
      <c r="AQ14" s="233">
        <f t="shared" si="67"/>
        <v>1648.1272630660926</v>
      </c>
      <c r="AR14" s="233">
        <f t="shared" si="67"/>
        <v>1658.6869890028879</v>
      </c>
      <c r="AS14" s="169">
        <f t="shared" ref="AS14:AU14" si="68">+SUM(AS10:AS13)</f>
        <v>3306.8142520689807</v>
      </c>
      <c r="AT14" s="233">
        <f t="shared" si="68"/>
        <v>1820.3181247379389</v>
      </c>
      <c r="AU14" s="233">
        <f t="shared" si="68"/>
        <v>1829.2263732254778</v>
      </c>
      <c r="AV14" s="169">
        <f t="shared" ref="AV14:AX14" si="69">+SUM(AV10:AV13)</f>
        <v>3649.5444979634167</v>
      </c>
      <c r="AW14" s="233">
        <f t="shared" si="69"/>
        <v>2003.5223069415135</v>
      </c>
      <c r="AX14" s="233">
        <f t="shared" si="69"/>
        <v>2010.8362294477731</v>
      </c>
      <c r="AY14" s="169">
        <f t="shared" ref="AY14" si="70">+SUM(AY10:AY13)</f>
        <v>4014.3585363892867</v>
      </c>
    </row>
    <row r="15" spans="1:51" s="17" customFormat="1" ht="12" customHeight="1" x14ac:dyDescent="0.2">
      <c r="A15" s="138"/>
      <c r="B15" s="6"/>
      <c r="C15" s="130"/>
      <c r="D15" s="142"/>
      <c r="E15" s="142"/>
      <c r="F15" s="143"/>
      <c r="G15" s="142"/>
      <c r="H15" s="142"/>
      <c r="I15" s="143"/>
      <c r="J15" s="142"/>
      <c r="K15" s="142"/>
      <c r="L15" s="143"/>
      <c r="M15" s="142"/>
      <c r="N15" s="142"/>
      <c r="O15" s="143"/>
      <c r="P15" s="142"/>
      <c r="Q15" s="142"/>
      <c r="R15" s="143"/>
      <c r="S15" s="142"/>
      <c r="T15" s="142"/>
      <c r="U15" s="143"/>
      <c r="V15" s="142"/>
      <c r="W15" s="142"/>
      <c r="X15" s="143"/>
      <c r="Y15" s="142"/>
      <c r="Z15" s="142"/>
      <c r="AA15" s="143"/>
      <c r="AB15" s="142"/>
      <c r="AC15" s="142"/>
      <c r="AD15" s="143"/>
      <c r="AE15" s="142"/>
      <c r="AF15" s="142"/>
      <c r="AG15" s="143"/>
      <c r="AH15" s="142"/>
      <c r="AI15" s="142"/>
      <c r="AJ15" s="143"/>
      <c r="AK15" s="142"/>
      <c r="AL15" s="142"/>
      <c r="AM15" s="143"/>
      <c r="AN15" s="142"/>
      <c r="AO15" s="142"/>
      <c r="AP15" s="143"/>
      <c r="AQ15" s="142"/>
      <c r="AR15" s="142"/>
      <c r="AS15" s="143"/>
      <c r="AT15" s="142"/>
      <c r="AU15" s="142"/>
      <c r="AV15" s="143"/>
      <c r="AW15" s="142"/>
      <c r="AX15" s="142"/>
      <c r="AY15" s="143"/>
    </row>
    <row r="16" spans="1:51" s="17" customFormat="1" ht="12" customHeight="1" x14ac:dyDescent="0.2">
      <c r="A16" s="138"/>
      <c r="B16" s="6" t="s">
        <v>396</v>
      </c>
      <c r="C16" s="130"/>
      <c r="D16" s="142"/>
      <c r="E16" s="142"/>
      <c r="F16" s="143"/>
      <c r="G16" s="142"/>
      <c r="H16" s="142"/>
      <c r="I16" s="143"/>
      <c r="J16" s="142"/>
      <c r="K16" s="142"/>
      <c r="L16" s="143">
        <f t="shared" ref="L16:N16" si="71">+L61</f>
        <v>139.21700000000001</v>
      </c>
      <c r="M16" s="142">
        <f t="shared" si="71"/>
        <v>100.639</v>
      </c>
      <c r="N16" s="142">
        <f t="shared" si="71"/>
        <v>111.336</v>
      </c>
      <c r="O16" s="143">
        <f>+O61</f>
        <v>211.97499999999999</v>
      </c>
      <c r="P16" s="142">
        <f t="shared" ref="P16:AJ16" si="72">+P61</f>
        <v>136.57400000000001</v>
      </c>
      <c r="Q16" s="142">
        <f t="shared" si="72"/>
        <v>142.303</v>
      </c>
      <c r="R16" s="143">
        <f t="shared" si="72"/>
        <v>278.87700000000001</v>
      </c>
      <c r="S16" s="142">
        <f t="shared" ref="S16:U16" si="73">+S61</f>
        <v>176.05099999999999</v>
      </c>
      <c r="T16" s="142">
        <f t="shared" si="73"/>
        <v>183.67099999999999</v>
      </c>
      <c r="U16" s="143">
        <f t="shared" si="73"/>
        <v>359.72199999999998</v>
      </c>
      <c r="V16" s="142">
        <f t="shared" si="72"/>
        <v>218.79367526598926</v>
      </c>
      <c r="W16" s="142">
        <f t="shared" si="72"/>
        <v>225.78059027066922</v>
      </c>
      <c r="X16" s="143">
        <f t="shared" si="72"/>
        <v>444.57426553665846</v>
      </c>
      <c r="Y16" s="142">
        <f t="shared" si="72"/>
        <v>260.03239856138055</v>
      </c>
      <c r="Z16" s="142">
        <f t="shared" si="72"/>
        <v>266.31287365581153</v>
      </c>
      <c r="AA16" s="143">
        <f t="shared" si="72"/>
        <v>526.34527221719213</v>
      </c>
      <c r="AB16" s="142">
        <f t="shared" si="72"/>
        <v>304.66641820498876</v>
      </c>
      <c r="AC16" s="142">
        <f t="shared" si="72"/>
        <v>310.16847317740269</v>
      </c>
      <c r="AD16" s="143">
        <f t="shared" si="72"/>
        <v>614.83489138239145</v>
      </c>
      <c r="AE16" s="142">
        <f t="shared" si="72"/>
        <v>348.34198734036119</v>
      </c>
      <c r="AF16" s="142">
        <f t="shared" si="72"/>
        <v>352.90610991425058</v>
      </c>
      <c r="AG16" s="143">
        <f t="shared" si="72"/>
        <v>701.24809725461182</v>
      </c>
      <c r="AH16" s="142">
        <f t="shared" si="72"/>
        <v>394.5897761243038</v>
      </c>
      <c r="AI16" s="142">
        <f t="shared" si="72"/>
        <v>398.15235104781573</v>
      </c>
      <c r="AJ16" s="143">
        <f t="shared" si="72"/>
        <v>792.74212717211958</v>
      </c>
      <c r="AK16" s="142">
        <f t="shared" ref="AK16:AM16" si="74">+AK61</f>
        <v>443.54291511102241</v>
      </c>
      <c r="AL16" s="142">
        <f t="shared" si="74"/>
        <v>446.03610538367434</v>
      </c>
      <c r="AM16" s="143">
        <f t="shared" si="74"/>
        <v>889.57902049469681</v>
      </c>
      <c r="AN16" s="142">
        <f t="shared" ref="AN16:AP16" si="75">+AN61</f>
        <v>495.33952879548053</v>
      </c>
      <c r="AO16" s="142">
        <f t="shared" si="75"/>
        <v>496.6912494201315</v>
      </c>
      <c r="AP16" s="143">
        <f t="shared" si="75"/>
        <v>992.03077821561203</v>
      </c>
      <c r="AQ16" s="142">
        <f t="shared" ref="AQ16:AS16" si="76">+AQ61</f>
        <v>550.12318146323162</v>
      </c>
      <c r="AR16" s="142">
        <f t="shared" si="76"/>
        <v>550.25702620565573</v>
      </c>
      <c r="AS16" s="143">
        <f t="shared" si="76"/>
        <v>1100.3802076688874</v>
      </c>
      <c r="AT16" s="142">
        <f t="shared" ref="AT16:AV16" si="77">+AT61</f>
        <v>608.04327629830198</v>
      </c>
      <c r="AU16" s="142">
        <f t="shared" si="77"/>
        <v>606.87841001248705</v>
      </c>
      <c r="AV16" s="143">
        <f t="shared" si="77"/>
        <v>1214.921686310789</v>
      </c>
      <c r="AW16" s="142">
        <f t="shared" ref="AW16:AY16" si="78">+AW61</f>
        <v>669.25542708600904</v>
      </c>
      <c r="AX16" s="142">
        <f t="shared" si="78"/>
        <v>666.70645144884156</v>
      </c>
      <c r="AY16" s="143">
        <f t="shared" si="78"/>
        <v>1335.9618785348507</v>
      </c>
    </row>
    <row r="17" spans="1:51" s="17" customFormat="1" ht="12" customHeight="1" x14ac:dyDescent="0.2">
      <c r="A17" s="138"/>
      <c r="B17" s="6" t="s">
        <v>416</v>
      </c>
      <c r="C17" s="130"/>
      <c r="D17" s="142"/>
      <c r="E17" s="142"/>
      <c r="F17" s="143"/>
      <c r="G17" s="142"/>
      <c r="H17" s="142"/>
      <c r="I17" s="143"/>
      <c r="J17" s="142"/>
      <c r="K17" s="142"/>
      <c r="L17" s="143">
        <f t="shared" ref="L17:N19" si="79">+L72</f>
        <v>27.557000000000002</v>
      </c>
      <c r="M17" s="142">
        <f t="shared" si="79"/>
        <v>17.451499999999999</v>
      </c>
      <c r="N17" s="142">
        <f t="shared" si="79"/>
        <v>20.219000000000001</v>
      </c>
      <c r="O17" s="143">
        <f>+O72</f>
        <v>37.670500000000004</v>
      </c>
      <c r="P17" s="142">
        <f t="shared" ref="P17:AJ19" si="80">+P72</f>
        <v>23.495999999999995</v>
      </c>
      <c r="Q17" s="142">
        <f t="shared" si="80"/>
        <v>26.500999999999998</v>
      </c>
      <c r="R17" s="143">
        <f t="shared" si="80"/>
        <v>49.996999999999993</v>
      </c>
      <c r="S17" s="142">
        <f t="shared" ref="S17:U17" si="81">+S72</f>
        <v>30.99203</v>
      </c>
      <c r="T17" s="142">
        <f t="shared" si="81"/>
        <v>33.231470000000002</v>
      </c>
      <c r="U17" s="143">
        <f t="shared" si="81"/>
        <v>64.223500000000001</v>
      </c>
      <c r="V17" s="142">
        <f t="shared" si="80"/>
        <v>38.285253228372198</v>
      </c>
      <c r="W17" s="142">
        <f t="shared" si="80"/>
        <v>39.157343712463081</v>
      </c>
      <c r="X17" s="143">
        <f t="shared" si="80"/>
        <v>77.442596940835273</v>
      </c>
      <c r="Y17" s="142">
        <f t="shared" si="80"/>
        <v>45.952190028599532</v>
      </c>
      <c r="Z17" s="142">
        <f t="shared" si="80"/>
        <v>47.961346663464852</v>
      </c>
      <c r="AA17" s="143">
        <f t="shared" si="80"/>
        <v>93.913536692064383</v>
      </c>
      <c r="AB17" s="142">
        <f t="shared" si="80"/>
        <v>55.920517063608898</v>
      </c>
      <c r="AC17" s="142">
        <f t="shared" si="80"/>
        <v>58.021247551630267</v>
      </c>
      <c r="AD17" s="143">
        <f t="shared" si="80"/>
        <v>113.94176461523917</v>
      </c>
      <c r="AE17" s="142">
        <f t="shared" si="80"/>
        <v>66.406324557099282</v>
      </c>
      <c r="AF17" s="142">
        <f t="shared" si="80"/>
        <v>68.55355968465858</v>
      </c>
      <c r="AG17" s="143">
        <f t="shared" si="80"/>
        <v>134.95988424175786</v>
      </c>
      <c r="AH17" s="142">
        <f t="shared" si="80"/>
        <v>78.094931715205774</v>
      </c>
      <c r="AI17" s="142">
        <f t="shared" si="80"/>
        <v>78.487584214954083</v>
      </c>
      <c r="AJ17" s="143">
        <f t="shared" si="80"/>
        <v>156.58251593015984</v>
      </c>
      <c r="AK17" s="142">
        <f t="shared" ref="AK17:AM17" si="82">+AK72</f>
        <v>89.095670689795995</v>
      </c>
      <c r="AL17" s="142">
        <f t="shared" si="82"/>
        <v>89.293528372668234</v>
      </c>
      <c r="AM17" s="143">
        <f t="shared" si="82"/>
        <v>178.38919906246423</v>
      </c>
      <c r="AN17" s="142">
        <f t="shared" ref="AN17:AP17" si="83">+AN72</f>
        <v>101.04942783969641</v>
      </c>
      <c r="AO17" s="142">
        <f t="shared" si="83"/>
        <v>101.0295350794202</v>
      </c>
      <c r="AP17" s="143">
        <f t="shared" si="83"/>
        <v>202.07896291911661</v>
      </c>
      <c r="AQ17" s="142">
        <f t="shared" ref="AQ17:AS17" si="84">+AQ72</f>
        <v>114.01933655693421</v>
      </c>
      <c r="AR17" s="142">
        <f t="shared" si="84"/>
        <v>113.75700916649321</v>
      </c>
      <c r="AS17" s="143">
        <f t="shared" si="84"/>
        <v>227.77634572342743</v>
      </c>
      <c r="AT17" s="142">
        <f t="shared" ref="AT17:AV17" si="85">+AT72</f>
        <v>128.07206610003584</v>
      </c>
      <c r="AU17" s="142">
        <f t="shared" si="85"/>
        <v>127.54079600897347</v>
      </c>
      <c r="AV17" s="143">
        <f t="shared" si="85"/>
        <v>255.61286210900931</v>
      </c>
      <c r="AW17" s="142">
        <f t="shared" ref="AW17:AY17" si="86">+AW72</f>
        <v>143.27801324474595</v>
      </c>
      <c r="AX17" s="142">
        <f t="shared" si="86"/>
        <v>142.44936631443835</v>
      </c>
      <c r="AY17" s="143">
        <f t="shared" si="86"/>
        <v>285.72737955918433</v>
      </c>
    </row>
    <row r="18" spans="1:51" s="17" customFormat="1" ht="12" customHeight="1" x14ac:dyDescent="0.2">
      <c r="A18" s="138"/>
      <c r="B18" s="6" t="s">
        <v>417</v>
      </c>
      <c r="C18" s="130"/>
      <c r="D18" s="142"/>
      <c r="E18" s="142"/>
      <c r="F18" s="143"/>
      <c r="G18" s="142"/>
      <c r="H18" s="142"/>
      <c r="I18" s="143"/>
      <c r="J18" s="142"/>
      <c r="K18" s="142"/>
      <c r="L18" s="143">
        <f t="shared" si="79"/>
        <v>1.099</v>
      </c>
      <c r="M18" s="142">
        <f t="shared" si="79"/>
        <v>0.75250000000000006</v>
      </c>
      <c r="N18" s="142">
        <f t="shared" si="79"/>
        <v>0.75600000000000012</v>
      </c>
      <c r="O18" s="143">
        <f t="shared" ref="O18:AD19" si="87">+O73</f>
        <v>1.5085000000000002</v>
      </c>
      <c r="P18" s="142">
        <f t="shared" si="87"/>
        <v>0.77700000000000002</v>
      </c>
      <c r="Q18" s="142">
        <f t="shared" si="87"/>
        <v>0.84700000000000009</v>
      </c>
      <c r="R18" s="143">
        <f t="shared" si="87"/>
        <v>1.6240000000000001</v>
      </c>
      <c r="S18" s="142">
        <f t="shared" ref="S18:U18" si="88">+S73</f>
        <v>1.0567900000000001</v>
      </c>
      <c r="T18" s="142">
        <f t="shared" si="88"/>
        <v>1.2077100000000001</v>
      </c>
      <c r="U18" s="143">
        <f t="shared" si="88"/>
        <v>2.2645000000000004</v>
      </c>
      <c r="V18" s="142">
        <f t="shared" si="87"/>
        <v>1.2153084999999999</v>
      </c>
      <c r="W18" s="142">
        <f t="shared" si="87"/>
        <v>1.3888665</v>
      </c>
      <c r="X18" s="143">
        <f t="shared" si="87"/>
        <v>2.6041749999999997</v>
      </c>
      <c r="Y18" s="142">
        <f t="shared" si="87"/>
        <v>1.3976047749999998</v>
      </c>
      <c r="Z18" s="142">
        <f t="shared" si="87"/>
        <v>1.5971964750000001</v>
      </c>
      <c r="AA18" s="143">
        <f t="shared" si="87"/>
        <v>2.9948012500000001</v>
      </c>
      <c r="AB18" s="142">
        <f t="shared" si="87"/>
        <v>1.6072454912499998</v>
      </c>
      <c r="AC18" s="142">
        <f t="shared" si="87"/>
        <v>1.83677594625</v>
      </c>
      <c r="AD18" s="143">
        <f t="shared" si="87"/>
        <v>3.4440214375</v>
      </c>
      <c r="AE18" s="142">
        <f t="shared" si="80"/>
        <v>1.8483323149374995</v>
      </c>
      <c r="AF18" s="142">
        <f t="shared" si="80"/>
        <v>2.1122923381874994</v>
      </c>
      <c r="AG18" s="143">
        <f t="shared" si="80"/>
        <v>3.9606246531249987</v>
      </c>
      <c r="AH18" s="142">
        <f t="shared" si="80"/>
        <v>2.1255821621781243</v>
      </c>
      <c r="AI18" s="142">
        <f t="shared" si="80"/>
        <v>2.4291361889156242</v>
      </c>
      <c r="AJ18" s="143">
        <f t="shared" si="80"/>
        <v>4.554718351093749</v>
      </c>
      <c r="AK18" s="142">
        <f t="shared" ref="AK18:AM18" si="89">+AK73</f>
        <v>2.444419486504843</v>
      </c>
      <c r="AL18" s="142">
        <f t="shared" si="89"/>
        <v>2.7935066172529672</v>
      </c>
      <c r="AM18" s="143">
        <f t="shared" si="89"/>
        <v>5.2379261037578102</v>
      </c>
      <c r="AN18" s="142">
        <f t="shared" ref="AN18:AP18" si="90">+AN73</f>
        <v>2.8110824094805689</v>
      </c>
      <c r="AO18" s="142">
        <f t="shared" si="90"/>
        <v>3.2125326098409124</v>
      </c>
      <c r="AP18" s="143">
        <f t="shared" si="90"/>
        <v>6.0236150193214808</v>
      </c>
      <c r="AQ18" s="142">
        <f t="shared" ref="AQ18:AS18" si="91">+AQ73</f>
        <v>3.232744770902654</v>
      </c>
      <c r="AR18" s="142">
        <f t="shared" si="91"/>
        <v>3.6944125013170495</v>
      </c>
      <c r="AS18" s="143">
        <f t="shared" si="91"/>
        <v>6.9271572722197039</v>
      </c>
      <c r="AT18" s="142">
        <f t="shared" ref="AT18:AV18" si="92">+AT73</f>
        <v>3.7176564865380519</v>
      </c>
      <c r="AU18" s="142">
        <f t="shared" si="92"/>
        <v>4.2485743765146067</v>
      </c>
      <c r="AV18" s="143">
        <f t="shared" si="92"/>
        <v>7.9662308630526582</v>
      </c>
      <c r="AW18" s="142">
        <f t="shared" ref="AW18:AY18" si="93">+AW73</f>
        <v>4.2753049595187598</v>
      </c>
      <c r="AX18" s="142">
        <f t="shared" si="93"/>
        <v>4.8858605329917975</v>
      </c>
      <c r="AY18" s="143">
        <f t="shared" si="93"/>
        <v>9.1611654925105572</v>
      </c>
    </row>
    <row r="19" spans="1:51" s="17" customFormat="1" ht="12" customHeight="1" x14ac:dyDescent="0.2">
      <c r="B19" s="6" t="s">
        <v>418</v>
      </c>
      <c r="C19" s="130"/>
      <c r="D19" s="142"/>
      <c r="E19" s="142"/>
      <c r="F19" s="143"/>
      <c r="G19" s="142"/>
      <c r="H19" s="142"/>
      <c r="I19" s="143"/>
      <c r="J19" s="142"/>
      <c r="K19" s="142"/>
      <c r="L19" s="143">
        <f t="shared" si="79"/>
        <v>0.17399999999999999</v>
      </c>
      <c r="M19" s="142">
        <f t="shared" si="79"/>
        <v>9.6000000000000002E-2</v>
      </c>
      <c r="N19" s="142">
        <f t="shared" si="79"/>
        <v>0.11399999999999999</v>
      </c>
      <c r="O19" s="143">
        <f t="shared" si="87"/>
        <v>0.21</v>
      </c>
      <c r="P19" s="142">
        <f t="shared" si="80"/>
        <v>0.126</v>
      </c>
      <c r="Q19" s="142">
        <f t="shared" si="80"/>
        <v>0.111</v>
      </c>
      <c r="R19" s="143">
        <f t="shared" si="80"/>
        <v>0.23699999999999999</v>
      </c>
      <c r="S19" s="142">
        <f t="shared" ref="S19:U19" si="94">+S74</f>
        <v>0.13818</v>
      </c>
      <c r="T19" s="142">
        <f t="shared" si="94"/>
        <v>0.13482</v>
      </c>
      <c r="U19" s="143">
        <f t="shared" si="94"/>
        <v>0.27299999999999996</v>
      </c>
      <c r="V19" s="142">
        <f t="shared" si="80"/>
        <v>0.15199799999999999</v>
      </c>
      <c r="W19" s="142">
        <f t="shared" si="80"/>
        <v>0.17526600000000001</v>
      </c>
      <c r="X19" s="143">
        <f t="shared" si="80"/>
        <v>0.327264</v>
      </c>
      <c r="Y19" s="142">
        <f t="shared" si="80"/>
        <v>0.20266400000000001</v>
      </c>
      <c r="Z19" s="142">
        <f t="shared" si="80"/>
        <v>0.22534199999999996</v>
      </c>
      <c r="AA19" s="143">
        <f t="shared" si="80"/>
        <v>0.428006</v>
      </c>
      <c r="AB19" s="142">
        <f t="shared" si="80"/>
        <v>0.25333</v>
      </c>
      <c r="AC19" s="142">
        <f t="shared" si="80"/>
        <v>0.275418</v>
      </c>
      <c r="AD19" s="143">
        <f t="shared" si="80"/>
        <v>0.528748</v>
      </c>
      <c r="AE19" s="142">
        <f t="shared" si="80"/>
        <v>0.30399599999999993</v>
      </c>
      <c r="AF19" s="142">
        <f t="shared" si="80"/>
        <v>0.32549400000000001</v>
      </c>
      <c r="AG19" s="143">
        <f t="shared" si="80"/>
        <v>0.62948999999999988</v>
      </c>
      <c r="AH19" s="142">
        <f t="shared" si="80"/>
        <v>0.35466199999999998</v>
      </c>
      <c r="AI19" s="142">
        <f t="shared" si="80"/>
        <v>0.37556999999999996</v>
      </c>
      <c r="AJ19" s="143">
        <f t="shared" si="80"/>
        <v>0.73023199999999999</v>
      </c>
      <c r="AK19" s="142">
        <f t="shared" ref="AK19:AM19" si="95">+AK74</f>
        <v>0.40532799999999997</v>
      </c>
      <c r="AL19" s="142">
        <f t="shared" si="95"/>
        <v>0.42564599999999991</v>
      </c>
      <c r="AM19" s="143">
        <f t="shared" si="95"/>
        <v>0.83097399999999988</v>
      </c>
      <c r="AN19" s="142">
        <f t="shared" ref="AN19:AP19" si="96">+AN74</f>
        <v>0.4559939999999999</v>
      </c>
      <c r="AO19" s="142">
        <f t="shared" si="96"/>
        <v>0.47572199999999992</v>
      </c>
      <c r="AP19" s="143">
        <f t="shared" si="96"/>
        <v>0.93171599999999977</v>
      </c>
      <c r="AQ19" s="142">
        <f t="shared" ref="AQ19:AS19" si="97">+AQ74</f>
        <v>0.50666</v>
      </c>
      <c r="AR19" s="142">
        <f t="shared" si="97"/>
        <v>0.52579799999999988</v>
      </c>
      <c r="AS19" s="143">
        <f t="shared" si="97"/>
        <v>1.0324579999999999</v>
      </c>
      <c r="AT19" s="142">
        <f t="shared" ref="AT19:AV19" si="98">+AT74</f>
        <v>0.55732599999999999</v>
      </c>
      <c r="AU19" s="142">
        <f t="shared" si="98"/>
        <v>0.57587399999999977</v>
      </c>
      <c r="AV19" s="143">
        <f t="shared" si="98"/>
        <v>1.1331999999999998</v>
      </c>
      <c r="AW19" s="142">
        <f t="shared" ref="AW19:AY19" si="99">+AW74</f>
        <v>0.60799199999999998</v>
      </c>
      <c r="AX19" s="142">
        <f t="shared" si="99"/>
        <v>0.62594999999999978</v>
      </c>
      <c r="AY19" s="143">
        <f t="shared" si="99"/>
        <v>1.2339419999999999</v>
      </c>
    </row>
    <row r="20" spans="1:51" s="17" customFormat="1" ht="12" customHeight="1" x14ac:dyDescent="0.2">
      <c r="A20" s="138"/>
      <c r="B20" s="6" t="s">
        <v>523</v>
      </c>
      <c r="C20" s="130"/>
      <c r="D20" s="142"/>
      <c r="E20" s="142"/>
      <c r="F20" s="143"/>
      <c r="G20" s="142"/>
      <c r="H20" s="142"/>
      <c r="I20" s="143"/>
      <c r="J20" s="142"/>
      <c r="K20" s="142"/>
      <c r="L20" s="143">
        <f>+L76</f>
        <v>0.59599999999999997</v>
      </c>
      <c r="M20" s="142">
        <f t="shared" ref="M20:AY20" si="100">+M76</f>
        <v>0.26700000000000002</v>
      </c>
      <c r="N20" s="142">
        <f t="shared" si="100"/>
        <v>0.33299999999999996</v>
      </c>
      <c r="O20" s="143">
        <f t="shared" si="100"/>
        <v>0.6</v>
      </c>
      <c r="P20" s="142">
        <f t="shared" si="100"/>
        <v>0.30099999999999999</v>
      </c>
      <c r="Q20" s="142">
        <f t="shared" si="100"/>
        <v>0.34400000000000003</v>
      </c>
      <c r="R20" s="143">
        <f t="shared" si="100"/>
        <v>0.64500000000000002</v>
      </c>
      <c r="S20" s="142">
        <f t="shared" ref="S20:U20" si="101">+S76</f>
        <v>0.94899999999999995</v>
      </c>
      <c r="T20" s="142">
        <f t="shared" si="101"/>
        <v>-0.31899999999999995</v>
      </c>
      <c r="U20" s="143">
        <f t="shared" si="101"/>
        <v>0.63</v>
      </c>
      <c r="V20" s="142">
        <f t="shared" si="100"/>
        <v>0.35482572152442565</v>
      </c>
      <c r="W20" s="142">
        <f t="shared" si="100"/>
        <v>0.36290821045054872</v>
      </c>
      <c r="X20" s="143">
        <f t="shared" si="100"/>
        <v>0.71773393197497437</v>
      </c>
      <c r="Y20" s="142">
        <f t="shared" si="100"/>
        <v>0.41467505623944895</v>
      </c>
      <c r="Z20" s="142">
        <f t="shared" si="100"/>
        <v>0.42170821025143979</v>
      </c>
      <c r="AA20" s="143">
        <f t="shared" si="100"/>
        <v>0.83638326649088879</v>
      </c>
      <c r="AB20" s="142">
        <f t="shared" si="100"/>
        <v>0.47939829128200345</v>
      </c>
      <c r="AC20" s="142">
        <f t="shared" si="100"/>
        <v>0.48527565063266292</v>
      </c>
      <c r="AD20" s="143">
        <f t="shared" si="100"/>
        <v>0.96467394191466638</v>
      </c>
      <c r="AE20" s="142">
        <f t="shared" si="100"/>
        <v>0.54218244027252938</v>
      </c>
      <c r="AF20" s="142">
        <f t="shared" si="100"/>
        <v>0.54669720025459589</v>
      </c>
      <c r="AG20" s="143">
        <f t="shared" si="100"/>
        <v>1.0888796405271253</v>
      </c>
      <c r="AH20" s="142">
        <f t="shared" si="100"/>
        <v>0.60863296023384039</v>
      </c>
      <c r="AI20" s="142">
        <f t="shared" si="100"/>
        <v>0.61169309804325078</v>
      </c>
      <c r="AJ20" s="143">
        <f t="shared" si="100"/>
        <v>1.2203260582770912</v>
      </c>
      <c r="AK20" s="142">
        <f t="shared" si="100"/>
        <v>0.67893685191672326</v>
      </c>
      <c r="AL20" s="142">
        <f t="shared" si="100"/>
        <v>0.6804445892882115</v>
      </c>
      <c r="AM20" s="143">
        <f t="shared" si="100"/>
        <v>1.3593814412049348</v>
      </c>
      <c r="AN20" s="142">
        <f t="shared" si="100"/>
        <v>0.75328847295219481</v>
      </c>
      <c r="AO20" s="142">
        <f t="shared" si="100"/>
        <v>0.75314017931677679</v>
      </c>
      <c r="AP20" s="143">
        <f t="shared" si="100"/>
        <v>1.5064286522689716</v>
      </c>
      <c r="AQ20" s="142">
        <f t="shared" si="100"/>
        <v>0.83189008163483924</v>
      </c>
      <c r="AR20" s="142">
        <f t="shared" si="100"/>
        <v>0.82997612948567856</v>
      </c>
      <c r="AS20" s="143">
        <f t="shared" si="100"/>
        <v>1.6618662111205178</v>
      </c>
      <c r="AT20" s="142">
        <f t="shared" si="100"/>
        <v>0.91495234178351814</v>
      </c>
      <c r="AU20" s="142">
        <f t="shared" si="100"/>
        <v>0.91115692543131088</v>
      </c>
      <c r="AV20" s="143">
        <f t="shared" si="100"/>
        <v>1.8261092672148291</v>
      </c>
      <c r="AW20" s="142">
        <f t="shared" si="100"/>
        <v>1.0026948062537213</v>
      </c>
      <c r="AX20" s="142">
        <f t="shared" si="100"/>
        <v>0.99689573105424722</v>
      </c>
      <c r="AY20" s="143">
        <f t="shared" si="100"/>
        <v>1.9995905373079685</v>
      </c>
    </row>
    <row r="21" spans="1:51" s="17" customFormat="1" ht="12" customHeight="1" x14ac:dyDescent="0.2">
      <c r="A21" s="138"/>
      <c r="B21" s="6" t="s">
        <v>436</v>
      </c>
      <c r="C21" s="130"/>
      <c r="D21" s="142"/>
      <c r="E21" s="142"/>
      <c r="F21" s="143"/>
      <c r="G21" s="142"/>
      <c r="H21" s="142"/>
      <c r="I21" s="143"/>
      <c r="J21" s="142"/>
      <c r="K21" s="142"/>
      <c r="L21" s="143">
        <f t="shared" ref="L21:N21" si="102">+L210</f>
        <v>2.5</v>
      </c>
      <c r="M21" s="142">
        <f t="shared" si="102"/>
        <v>1.5</v>
      </c>
      <c r="N21" s="142">
        <f t="shared" si="102"/>
        <v>4.5</v>
      </c>
      <c r="O21" s="143">
        <f>+O210</f>
        <v>6</v>
      </c>
      <c r="P21" s="142">
        <f t="shared" ref="P21:R21" si="103">+P210</f>
        <v>5.6</v>
      </c>
      <c r="Q21" s="142">
        <f t="shared" si="103"/>
        <v>5.234</v>
      </c>
      <c r="R21" s="143">
        <f t="shared" si="103"/>
        <v>10.834</v>
      </c>
      <c r="S21" s="142">
        <f>+S216</f>
        <v>3.2320000000000002</v>
      </c>
      <c r="T21" s="142">
        <f t="shared" ref="T21:U21" si="104">+T210</f>
        <v>7.39900000000004</v>
      </c>
      <c r="U21" s="143">
        <f t="shared" si="104"/>
        <v>12.30600000000004</v>
      </c>
      <c r="V21" s="142">
        <f t="shared" ref="V21:W21" si="105">+V216</f>
        <v>6.435719230769231</v>
      </c>
      <c r="W21" s="142">
        <f t="shared" si="105"/>
        <v>6.7330900000000362</v>
      </c>
      <c r="X21" s="143">
        <f t="shared" ref="X21" si="106">+W21+V21</f>
        <v>13.168809230769266</v>
      </c>
      <c r="Y21" s="142">
        <f t="shared" ref="Y21:Z21" si="107">+Y216</f>
        <v>8.6284852941176471</v>
      </c>
      <c r="Z21" s="142">
        <f t="shared" si="107"/>
        <v>8.6889572368421533</v>
      </c>
      <c r="AA21" s="143">
        <f t="shared" ref="AA21" si="108">+Z21+Y21</f>
        <v>17.317442530959802</v>
      </c>
      <c r="AB21" s="142">
        <f t="shared" ref="AB21:AC21" si="109">+AB216</f>
        <v>10.2678975</v>
      </c>
      <c r="AC21" s="142">
        <f t="shared" si="109"/>
        <v>9.6140756250000532</v>
      </c>
      <c r="AD21" s="143">
        <f t="shared" ref="AD21" si="110">+AC21+AB21</f>
        <v>19.881973125000052</v>
      </c>
      <c r="AE21" s="142">
        <f t="shared" ref="AE21:AF21" si="111">+AE216</f>
        <v>11.294687250000001</v>
      </c>
      <c r="AF21" s="142">
        <f t="shared" si="111"/>
        <v>10.575483187500058</v>
      </c>
      <c r="AG21" s="143">
        <f t="shared" ref="AG21" si="112">+AF21+AE21</f>
        <v>21.870170437500057</v>
      </c>
      <c r="AH21" s="142">
        <f t="shared" ref="AH21:AI21" si="113">+AH216</f>
        <v>12.424155975000001</v>
      </c>
      <c r="AI21" s="142">
        <f t="shared" si="113"/>
        <v>11.633031506250065</v>
      </c>
      <c r="AJ21" s="143">
        <f t="shared" ref="AJ21" si="114">+AI21+AH21</f>
        <v>24.057187481250068</v>
      </c>
      <c r="AK21" s="142">
        <f t="shared" ref="AK21:AL21" si="115">+AK216</f>
        <v>13.666571572500002</v>
      </c>
      <c r="AL21" s="142">
        <f t="shared" si="115"/>
        <v>12.796334656875073</v>
      </c>
      <c r="AM21" s="143">
        <f t="shared" ref="AM21" si="116">+AL21+AK21</f>
        <v>26.462906229375076</v>
      </c>
      <c r="AN21" s="142">
        <f t="shared" ref="AN21:AO21" si="117">+AN216</f>
        <v>15.033228729750004</v>
      </c>
      <c r="AO21" s="142">
        <f t="shared" si="117"/>
        <v>14.075968122562582</v>
      </c>
      <c r="AP21" s="143">
        <f t="shared" ref="AP21" si="118">+AO21+AN21</f>
        <v>29.109196852312586</v>
      </c>
      <c r="AQ21" s="142">
        <f t="shared" ref="AQ21:AR21" si="119">+AQ216</f>
        <v>16.536551602725005</v>
      </c>
      <c r="AR21" s="142">
        <f t="shared" si="119"/>
        <v>15.483564934818842</v>
      </c>
      <c r="AS21" s="143">
        <f t="shared" ref="AS21" si="120">+AR21+AQ21</f>
        <v>32.020116537543849</v>
      </c>
      <c r="AT21" s="142">
        <f t="shared" ref="AT21:AU21" si="121">+AT216</f>
        <v>18.190206762997509</v>
      </c>
      <c r="AU21" s="142">
        <f t="shared" si="121"/>
        <v>17.031921428300727</v>
      </c>
      <c r="AV21" s="143">
        <f t="shared" ref="AV21" si="122">+AU21+AT21</f>
        <v>35.222128191298239</v>
      </c>
      <c r="AW21" s="142">
        <f t="shared" ref="AW21:AX21" si="123">+AW216</f>
        <v>20.009227439297263</v>
      </c>
      <c r="AX21" s="142">
        <f t="shared" si="123"/>
        <v>18.7351135711308</v>
      </c>
      <c r="AY21" s="143">
        <f t="shared" ref="AY21" si="124">+AX21+AW21</f>
        <v>38.744341010428059</v>
      </c>
    </row>
    <row r="22" spans="1:51" s="17" customFormat="1" ht="12" customHeight="1" x14ac:dyDescent="0.2">
      <c r="A22" s="138"/>
      <c r="B22" s="161" t="s">
        <v>478</v>
      </c>
      <c r="C22" s="265"/>
      <c r="D22" s="168"/>
      <c r="E22" s="168"/>
      <c r="F22" s="169"/>
      <c r="G22" s="168"/>
      <c r="H22" s="168"/>
      <c r="I22" s="169"/>
      <c r="J22" s="168"/>
      <c r="K22" s="168"/>
      <c r="L22" s="169">
        <f t="shared" ref="L22:N22" si="125">+SUM(L16:L21)</f>
        <v>171.143</v>
      </c>
      <c r="M22" s="168">
        <f t="shared" si="125"/>
        <v>120.70599999999999</v>
      </c>
      <c r="N22" s="168">
        <f t="shared" si="125"/>
        <v>137.25800000000001</v>
      </c>
      <c r="O22" s="169">
        <f>+SUM(O16:O21)</f>
        <v>257.964</v>
      </c>
      <c r="P22" s="168">
        <f t="shared" ref="P22:AJ22" si="126">+SUM(P16:P21)</f>
        <v>166.87399999999997</v>
      </c>
      <c r="Q22" s="168">
        <f t="shared" si="126"/>
        <v>175.34</v>
      </c>
      <c r="R22" s="169">
        <f t="shared" si="126"/>
        <v>342.21400000000006</v>
      </c>
      <c r="S22" s="168">
        <f t="shared" ref="S22:U22" si="127">+SUM(S16:S21)</f>
        <v>212.41900000000001</v>
      </c>
      <c r="T22" s="168">
        <f t="shared" si="127"/>
        <v>225.32500000000002</v>
      </c>
      <c r="U22" s="169">
        <f t="shared" si="127"/>
        <v>439.41900000000004</v>
      </c>
      <c r="V22" s="168">
        <f t="shared" si="126"/>
        <v>265.23677994665508</v>
      </c>
      <c r="W22" s="168">
        <f t="shared" si="126"/>
        <v>273.59806469358296</v>
      </c>
      <c r="X22" s="169">
        <f t="shared" si="126"/>
        <v>538.83484464023809</v>
      </c>
      <c r="Y22" s="168">
        <f t="shared" si="126"/>
        <v>316.62801771533719</v>
      </c>
      <c r="Z22" s="168">
        <f t="shared" si="126"/>
        <v>325.20742424136995</v>
      </c>
      <c r="AA22" s="169">
        <f t="shared" si="126"/>
        <v>641.8354419567072</v>
      </c>
      <c r="AB22" s="168">
        <f t="shared" si="126"/>
        <v>373.19480655112966</v>
      </c>
      <c r="AC22" s="168">
        <f t="shared" si="126"/>
        <v>380.40126595091567</v>
      </c>
      <c r="AD22" s="169">
        <f t="shared" si="126"/>
        <v>753.59607250204533</v>
      </c>
      <c r="AE22" s="168">
        <f t="shared" si="126"/>
        <v>428.73750990267047</v>
      </c>
      <c r="AF22" s="168">
        <f t="shared" si="126"/>
        <v>435.01963632485132</v>
      </c>
      <c r="AG22" s="169">
        <f t="shared" si="126"/>
        <v>863.75714622752196</v>
      </c>
      <c r="AH22" s="168">
        <f t="shared" si="126"/>
        <v>488.19774093692155</v>
      </c>
      <c r="AI22" s="168">
        <f t="shared" si="126"/>
        <v>491.68936605597872</v>
      </c>
      <c r="AJ22" s="169">
        <f t="shared" si="126"/>
        <v>979.88710699290027</v>
      </c>
      <c r="AK22" s="168">
        <f t="shared" ref="AK22:AM22" si="128">+SUM(AK16:AK21)</f>
        <v>549.83384171174009</v>
      </c>
      <c r="AL22" s="168">
        <f t="shared" si="128"/>
        <v>552.02556561975882</v>
      </c>
      <c r="AM22" s="169">
        <f t="shared" si="128"/>
        <v>1101.8594073314989</v>
      </c>
      <c r="AN22" s="168">
        <f t="shared" ref="AN22:AP22" si="129">+SUM(AN16:AN21)</f>
        <v>615.4425502473598</v>
      </c>
      <c r="AO22" s="168">
        <f t="shared" si="129"/>
        <v>616.23814741127194</v>
      </c>
      <c r="AP22" s="169">
        <f t="shared" si="129"/>
        <v>1231.6806976586317</v>
      </c>
      <c r="AQ22" s="168">
        <f t="shared" ref="AQ22:AS22" si="130">+SUM(AQ16:AQ21)</f>
        <v>685.25036447542834</v>
      </c>
      <c r="AR22" s="168">
        <f t="shared" si="130"/>
        <v>684.54778693777041</v>
      </c>
      <c r="AS22" s="169">
        <f t="shared" si="130"/>
        <v>1369.7981514131989</v>
      </c>
      <c r="AT22" s="168">
        <f t="shared" ref="AT22:AV22" si="131">+SUM(AT16:AT21)</f>
        <v>759.49548398965692</v>
      </c>
      <c r="AU22" s="168">
        <f t="shared" si="131"/>
        <v>757.18673275170715</v>
      </c>
      <c r="AV22" s="169">
        <f t="shared" si="131"/>
        <v>1516.6822167413641</v>
      </c>
      <c r="AW22" s="168">
        <f t="shared" ref="AW22:AY22" si="132">+SUM(AW16:AW21)</f>
        <v>838.42865953582464</v>
      </c>
      <c r="AX22" s="168">
        <f t="shared" si="132"/>
        <v>834.39963759845671</v>
      </c>
      <c r="AY22" s="169">
        <f t="shared" si="132"/>
        <v>1672.8282971342817</v>
      </c>
    </row>
    <row r="23" spans="1:51" s="17" customFormat="1" ht="12" customHeight="1" x14ac:dyDescent="0.2">
      <c r="A23" s="138"/>
      <c r="B23" s="6"/>
      <c r="C23" s="130"/>
      <c r="D23" s="142"/>
      <c r="E23" s="142"/>
      <c r="F23" s="143"/>
      <c r="G23" s="142"/>
      <c r="H23" s="142"/>
      <c r="I23" s="143"/>
      <c r="J23" s="142"/>
      <c r="K23" s="142"/>
      <c r="L23" s="143"/>
      <c r="M23" s="142"/>
      <c r="N23" s="142"/>
      <c r="O23" s="143"/>
      <c r="P23" s="142"/>
      <c r="Q23" s="142"/>
      <c r="R23" s="143"/>
      <c r="S23" s="142"/>
      <c r="T23" s="142"/>
      <c r="U23" s="143"/>
      <c r="V23" s="142"/>
      <c r="W23" s="142"/>
      <c r="X23" s="143"/>
      <c r="Y23" s="142"/>
      <c r="Z23" s="142"/>
      <c r="AA23" s="143"/>
      <c r="AB23" s="142"/>
      <c r="AC23" s="142"/>
      <c r="AD23" s="143"/>
      <c r="AE23" s="142"/>
      <c r="AF23" s="142"/>
      <c r="AG23" s="143"/>
      <c r="AH23" s="142"/>
      <c r="AI23" s="142"/>
      <c r="AJ23" s="143"/>
      <c r="AK23" s="142"/>
      <c r="AL23" s="142"/>
      <c r="AM23" s="143"/>
      <c r="AN23" s="142"/>
      <c r="AO23" s="142"/>
      <c r="AP23" s="143"/>
      <c r="AQ23" s="142"/>
      <c r="AR23" s="142"/>
      <c r="AS23" s="143"/>
      <c r="AT23" s="142"/>
      <c r="AU23" s="142"/>
      <c r="AV23" s="143"/>
      <c r="AW23" s="142"/>
      <c r="AX23" s="142"/>
      <c r="AY23" s="143"/>
    </row>
    <row r="24" spans="1:51" s="17" customFormat="1" ht="12" customHeight="1" x14ac:dyDescent="0.2">
      <c r="A24" s="138"/>
      <c r="B24" s="6" t="s">
        <v>424</v>
      </c>
      <c r="C24" s="130"/>
      <c r="D24" s="142"/>
      <c r="E24" s="142"/>
      <c r="F24" s="143"/>
      <c r="G24" s="142"/>
      <c r="H24" s="142"/>
      <c r="I24" s="143"/>
      <c r="J24" s="142"/>
      <c r="K24" s="142"/>
      <c r="L24" s="143">
        <f>+L82</f>
        <v>18.3</v>
      </c>
      <c r="M24" s="142">
        <f t="shared" ref="M24:R24" si="133">+M82</f>
        <v>13.4</v>
      </c>
      <c r="N24" s="142">
        <f t="shared" si="133"/>
        <v>17.299999999999997</v>
      </c>
      <c r="O24" s="143">
        <f t="shared" si="133"/>
        <v>30.7</v>
      </c>
      <c r="P24" s="142">
        <f t="shared" si="133"/>
        <v>23.1</v>
      </c>
      <c r="Q24" s="142">
        <f t="shared" ref="Q24" si="134">+Q82</f>
        <v>22.5</v>
      </c>
      <c r="R24" s="143">
        <f t="shared" si="133"/>
        <v>45.6</v>
      </c>
      <c r="S24" s="142">
        <f t="shared" ref="S24:U24" si="135">+S82</f>
        <v>31.780999999999999</v>
      </c>
      <c r="T24" s="142">
        <f t="shared" si="135"/>
        <v>34.219000000000001</v>
      </c>
      <c r="U24" s="143">
        <f t="shared" si="135"/>
        <v>66</v>
      </c>
      <c r="V24" s="142">
        <f>+V82</f>
        <v>42.152969102676053</v>
      </c>
      <c r="W24" s="142">
        <f t="shared" ref="W24:AJ24" si="136">+W82</f>
        <v>42.131133146634092</v>
      </c>
      <c r="X24" s="143">
        <f t="shared" si="136"/>
        <v>84.284102249310152</v>
      </c>
      <c r="Y24" s="142">
        <f t="shared" si="136"/>
        <v>53.109394740029863</v>
      </c>
      <c r="Z24" s="142">
        <f t="shared" si="136"/>
        <v>54.036771411813085</v>
      </c>
      <c r="AA24" s="143">
        <f t="shared" si="136"/>
        <v>107.14616615184295</v>
      </c>
      <c r="AB24" s="142">
        <f t="shared" si="136"/>
        <v>68.085632412195508</v>
      </c>
      <c r="AC24" s="142">
        <f t="shared" si="136"/>
        <v>68.904702819085713</v>
      </c>
      <c r="AD24" s="143">
        <f t="shared" si="136"/>
        <v>136.99033523128119</v>
      </c>
      <c r="AE24" s="142">
        <f t="shared" si="136"/>
        <v>84.495487628212175</v>
      </c>
      <c r="AF24" s="142">
        <f t="shared" si="136"/>
        <v>85.140372776972271</v>
      </c>
      <c r="AG24" s="143">
        <f t="shared" si="136"/>
        <v>169.63586040518445</v>
      </c>
      <c r="AH24" s="142">
        <f t="shared" si="136"/>
        <v>103.21987862339829</v>
      </c>
      <c r="AI24" s="142">
        <f t="shared" si="136"/>
        <v>101.85451696033061</v>
      </c>
      <c r="AJ24" s="143">
        <f t="shared" si="136"/>
        <v>205.07439558372891</v>
      </c>
      <c r="AK24" s="142">
        <f t="shared" ref="AK24:AM24" si="137">+AK82</f>
        <v>113.23129146709751</v>
      </c>
      <c r="AL24" s="142">
        <f t="shared" si="137"/>
        <v>113.5039609297706</v>
      </c>
      <c r="AM24" s="143">
        <f t="shared" si="137"/>
        <v>226.73525239686811</v>
      </c>
      <c r="AN24" s="142">
        <f t="shared" ref="AN24:AP24" si="138">+AN82</f>
        <v>128.2660282428497</v>
      </c>
      <c r="AO24" s="142">
        <f t="shared" si="138"/>
        <v>128.21917770009512</v>
      </c>
      <c r="AP24" s="143">
        <f t="shared" si="138"/>
        <v>256.48520594294484</v>
      </c>
      <c r="AQ24" s="142">
        <f t="shared" ref="AQ24:AS24" si="139">+AQ82</f>
        <v>144.48006709050401</v>
      </c>
      <c r="AR24" s="142">
        <f t="shared" si="139"/>
        <v>144.07960476245262</v>
      </c>
      <c r="AS24" s="143">
        <f t="shared" si="139"/>
        <v>288.55967185295663</v>
      </c>
      <c r="AT24" s="142">
        <f t="shared" ref="AT24:AV24" si="140">+AT82</f>
        <v>161.94521583704179</v>
      </c>
      <c r="AU24" s="142">
        <f t="shared" si="140"/>
        <v>161.15425652898097</v>
      </c>
      <c r="AV24" s="143">
        <f t="shared" si="140"/>
        <v>323.09947236602272</v>
      </c>
      <c r="AW24" s="142">
        <f t="shared" ref="AW24:AY24" si="141">+AW82</f>
        <v>180.73670393808746</v>
      </c>
      <c r="AX24" s="142">
        <f t="shared" si="141"/>
        <v>179.51535837023823</v>
      </c>
      <c r="AY24" s="143">
        <f t="shared" si="141"/>
        <v>360.25206230832583</v>
      </c>
    </row>
    <row r="25" spans="1:51" s="17" customFormat="1" ht="12" customHeight="1" x14ac:dyDescent="0.2">
      <c r="A25" s="138"/>
      <c r="B25" s="6" t="s">
        <v>440</v>
      </c>
      <c r="C25" s="130"/>
      <c r="D25" s="142"/>
      <c r="E25" s="142"/>
      <c r="F25" s="143"/>
      <c r="G25" s="142"/>
      <c r="H25" s="142"/>
      <c r="I25" s="143"/>
      <c r="J25" s="142"/>
      <c r="K25" s="142"/>
      <c r="L25" s="143">
        <f>+L214</f>
        <v>-2.9</v>
      </c>
      <c r="M25" s="142">
        <f t="shared" ref="M25:R25" si="142">+M214</f>
        <v>-1.7</v>
      </c>
      <c r="N25" s="142">
        <f t="shared" si="142"/>
        <v>-2.5960000000000001</v>
      </c>
      <c r="O25" s="143">
        <f t="shared" si="142"/>
        <v>-4.2960000000000003</v>
      </c>
      <c r="P25" s="142">
        <f t="shared" si="142"/>
        <v>-3.1</v>
      </c>
      <c r="Q25" s="142">
        <f t="shared" ref="Q25" si="143">+Q214</f>
        <v>-3.4439999999999995</v>
      </c>
      <c r="R25" s="143">
        <f t="shared" si="142"/>
        <v>-6.5439999999999996</v>
      </c>
      <c r="S25" s="142">
        <f t="shared" ref="S25:U25" si="144">+S214</f>
        <v>-5.0140000000000002</v>
      </c>
      <c r="T25" s="142">
        <f t="shared" si="144"/>
        <v>-8.2100000000000009</v>
      </c>
      <c r="U25" s="143">
        <f t="shared" si="144"/>
        <v>-13.224</v>
      </c>
      <c r="V25" s="142">
        <f t="shared" ref="V25:AJ25" si="145">+V214</f>
        <v>-7.7750500000000002</v>
      </c>
      <c r="W25" s="142">
        <f t="shared" si="145"/>
        <v>-8.6435000000000208</v>
      </c>
      <c r="X25" s="143">
        <f t="shared" si="145"/>
        <v>-16.418550000000018</v>
      </c>
      <c r="Y25" s="142">
        <f t="shared" si="145"/>
        <v>-8.5712587500000001</v>
      </c>
      <c r="Z25" s="142">
        <f t="shared" si="145"/>
        <v>-9.3670106250000238</v>
      </c>
      <c r="AA25" s="143">
        <f t="shared" si="145"/>
        <v>-17.938269375000026</v>
      </c>
      <c r="AB25" s="142">
        <f t="shared" si="145"/>
        <v>-8.942777812500001</v>
      </c>
      <c r="AC25" s="142">
        <f t="shared" si="145"/>
        <v>-9.5197475625000259</v>
      </c>
      <c r="AD25" s="143">
        <f t="shared" si="145"/>
        <v>-18.462525375000023</v>
      </c>
      <c r="AE25" s="142">
        <f t="shared" si="145"/>
        <v>-9.618092203125002</v>
      </c>
      <c r="AF25" s="142">
        <f t="shared" si="145"/>
        <v>-10.209381065625028</v>
      </c>
      <c r="AG25" s="143">
        <f t="shared" si="145"/>
        <v>-19.82747326875003</v>
      </c>
      <c r="AH25" s="142">
        <f t="shared" si="145"/>
        <v>-10.349989863281252</v>
      </c>
      <c r="AI25" s="142">
        <f t="shared" si="145"/>
        <v>-10.954860856406281</v>
      </c>
      <c r="AJ25" s="143">
        <f t="shared" si="145"/>
        <v>-21.304850719687536</v>
      </c>
      <c r="AK25" s="142">
        <f t="shared" ref="AK25:AM25" si="146">+AK214</f>
        <v>-11.143581711445314</v>
      </c>
      <c r="AL25" s="142">
        <f t="shared" si="146"/>
        <v>-11.761115710476599</v>
      </c>
      <c r="AM25" s="143">
        <f t="shared" si="146"/>
        <v>-22.904697421921917</v>
      </c>
      <c r="AN25" s="142">
        <f t="shared" ref="AN25:AP25" si="147">+AN214</f>
        <v>-12.004462387517581</v>
      </c>
      <c r="AO25" s="142">
        <f t="shared" si="147"/>
        <v>-12.63353448837543</v>
      </c>
      <c r="AP25" s="143">
        <f t="shared" si="147"/>
        <v>-24.637996875893009</v>
      </c>
      <c r="AQ25" s="142">
        <f t="shared" ref="AQ25:AS25" si="148">+AQ214</f>
        <v>-12.938757256443461</v>
      </c>
      <c r="AR25" s="142">
        <f t="shared" si="148"/>
        <v>-13.578010504406704</v>
      </c>
      <c r="AS25" s="143">
        <f t="shared" si="148"/>
        <v>-26.516767760850168</v>
      </c>
      <c r="AT25" s="142">
        <f t="shared" ref="AT25:AV25" si="149">+AT214</f>
        <v>-13.953174043770636</v>
      </c>
      <c r="AU25" s="142">
        <f t="shared" si="149"/>
        <v>-14.600990250400791</v>
      </c>
      <c r="AV25" s="143">
        <f t="shared" si="149"/>
        <v>-28.554164294171436</v>
      </c>
      <c r="AW25" s="142">
        <f t="shared" ref="AW25:AY25" si="150">+AW214</f>
        <v>-15.05505956291467</v>
      </c>
      <c r="AX25" s="142">
        <f t="shared" si="150"/>
        <v>-15.709526905771959</v>
      </c>
      <c r="AY25" s="143">
        <f t="shared" si="150"/>
        <v>-30.764586468686634</v>
      </c>
    </row>
    <row r="26" spans="1:51" s="17" customFormat="1" ht="12" customHeight="1" x14ac:dyDescent="0.2">
      <c r="A26" s="138"/>
      <c r="B26" s="161" t="s">
        <v>526</v>
      </c>
      <c r="C26" s="265"/>
      <c r="D26" s="168"/>
      <c r="E26" s="168"/>
      <c r="F26" s="169"/>
      <c r="G26" s="168"/>
      <c r="H26" s="168"/>
      <c r="I26" s="169"/>
      <c r="J26" s="168"/>
      <c r="K26" s="168"/>
      <c r="L26" s="169">
        <f>+L25+L24</f>
        <v>15.4</v>
      </c>
      <c r="M26" s="168">
        <f t="shared" ref="M26:R26" si="151">+M25+M24</f>
        <v>11.700000000000001</v>
      </c>
      <c r="N26" s="168">
        <f t="shared" si="151"/>
        <v>14.703999999999997</v>
      </c>
      <c r="O26" s="169">
        <f t="shared" si="151"/>
        <v>26.404</v>
      </c>
      <c r="P26" s="168">
        <f t="shared" si="151"/>
        <v>20</v>
      </c>
      <c r="Q26" s="168">
        <f t="shared" ref="Q26" si="152">+Q25+Q24</f>
        <v>19.056000000000001</v>
      </c>
      <c r="R26" s="169">
        <f t="shared" si="151"/>
        <v>39.056000000000004</v>
      </c>
      <c r="S26" s="168">
        <f t="shared" ref="S26:U26" si="153">+S25+S24</f>
        <v>26.766999999999999</v>
      </c>
      <c r="T26" s="168">
        <f t="shared" si="153"/>
        <v>26.009</v>
      </c>
      <c r="U26" s="169">
        <f t="shared" si="153"/>
        <v>52.775999999999996</v>
      </c>
      <c r="V26" s="168">
        <f t="shared" ref="V26" si="154">+V25+V24</f>
        <v>34.377919102676053</v>
      </c>
      <c r="W26" s="168">
        <f t="shared" ref="W26" si="155">+W25+W24</f>
        <v>33.487633146634067</v>
      </c>
      <c r="X26" s="169">
        <f t="shared" ref="X26" si="156">+X25+X24</f>
        <v>67.865552249310127</v>
      </c>
      <c r="Y26" s="168">
        <f t="shared" ref="Y26" si="157">+Y25+Y24</f>
        <v>44.538135990029865</v>
      </c>
      <c r="Z26" s="168">
        <f t="shared" ref="Z26" si="158">+Z25+Z24</f>
        <v>44.669760786813058</v>
      </c>
      <c r="AA26" s="169">
        <f t="shared" ref="AA26" si="159">+AA25+AA24</f>
        <v>89.207896776842915</v>
      </c>
      <c r="AB26" s="168">
        <f t="shared" ref="AB26" si="160">+AB25+AB24</f>
        <v>59.142854599695511</v>
      </c>
      <c r="AC26" s="168">
        <f t="shared" ref="AC26" si="161">+AC25+AC24</f>
        <v>59.384955256585684</v>
      </c>
      <c r="AD26" s="169">
        <f t="shared" ref="AD26" si="162">+AD25+AD24</f>
        <v>118.52780985628117</v>
      </c>
      <c r="AE26" s="168">
        <f t="shared" ref="AE26" si="163">+AE25+AE24</f>
        <v>74.877395425087172</v>
      </c>
      <c r="AF26" s="168">
        <f t="shared" ref="AF26" si="164">+AF25+AF24</f>
        <v>74.930991711347247</v>
      </c>
      <c r="AG26" s="169">
        <f t="shared" ref="AG26" si="165">+AG25+AG24</f>
        <v>149.80838713643442</v>
      </c>
      <c r="AH26" s="168">
        <f t="shared" ref="AH26" si="166">+AH25+AH24</f>
        <v>92.869888760117036</v>
      </c>
      <c r="AI26" s="168">
        <f t="shared" ref="AI26" si="167">+AI25+AI24</f>
        <v>90.899656103924329</v>
      </c>
      <c r="AJ26" s="169">
        <f t="shared" ref="AJ26:AL26" si="168">+AJ25+AJ24</f>
        <v>183.76954486404139</v>
      </c>
      <c r="AK26" s="168">
        <f t="shared" si="168"/>
        <v>102.08770975565218</v>
      </c>
      <c r="AL26" s="168">
        <f t="shared" si="168"/>
        <v>101.742845219294</v>
      </c>
      <c r="AM26" s="169">
        <f t="shared" ref="AM26:AO26" si="169">+AM25+AM24</f>
        <v>203.83055497494618</v>
      </c>
      <c r="AN26" s="168">
        <f t="shared" si="169"/>
        <v>116.26156585533212</v>
      </c>
      <c r="AO26" s="168">
        <f t="shared" si="169"/>
        <v>115.58564321171968</v>
      </c>
      <c r="AP26" s="169">
        <f t="shared" ref="AP26:AR26" si="170">+AP25+AP24</f>
        <v>231.84720906705184</v>
      </c>
      <c r="AQ26" s="168">
        <f t="shared" si="170"/>
        <v>131.54130983406054</v>
      </c>
      <c r="AR26" s="168">
        <f t="shared" si="170"/>
        <v>130.50159425804591</v>
      </c>
      <c r="AS26" s="169">
        <f t="shared" ref="AS26:AU26" si="171">+AS25+AS24</f>
        <v>262.04290409210648</v>
      </c>
      <c r="AT26" s="168">
        <f t="shared" si="171"/>
        <v>147.99204179327114</v>
      </c>
      <c r="AU26" s="168">
        <f t="shared" si="171"/>
        <v>146.55326627858017</v>
      </c>
      <c r="AV26" s="169">
        <f t="shared" ref="AV26:AX26" si="172">+AV25+AV24</f>
        <v>294.54530807185131</v>
      </c>
      <c r="AW26" s="168">
        <f t="shared" si="172"/>
        <v>165.68164437517279</v>
      </c>
      <c r="AX26" s="168">
        <f t="shared" si="172"/>
        <v>163.80583146446628</v>
      </c>
      <c r="AY26" s="169">
        <f t="shared" ref="AY26" si="173">+AY25+AY24</f>
        <v>329.48747583963922</v>
      </c>
    </row>
    <row r="27" spans="1:51" s="17" customFormat="1" ht="12" customHeight="1" x14ac:dyDescent="0.2">
      <c r="A27" s="138"/>
      <c r="B27" s="6"/>
      <c r="C27" s="130"/>
      <c r="D27" s="142"/>
      <c r="E27" s="142"/>
      <c r="F27" s="143"/>
      <c r="G27" s="142"/>
      <c r="H27" s="142"/>
      <c r="I27" s="143"/>
      <c r="J27" s="142"/>
      <c r="K27" s="142"/>
      <c r="L27" s="143"/>
      <c r="M27" s="142"/>
      <c r="N27" s="142"/>
      <c r="O27" s="143"/>
      <c r="P27" s="142"/>
      <c r="Q27" s="142"/>
      <c r="R27" s="143"/>
      <c r="S27" s="142"/>
      <c r="T27" s="142"/>
      <c r="U27" s="143"/>
      <c r="V27" s="142"/>
      <c r="W27" s="142"/>
      <c r="X27" s="143"/>
      <c r="Y27" s="142"/>
      <c r="Z27" s="142"/>
      <c r="AA27" s="143"/>
      <c r="AB27" s="142"/>
      <c r="AC27" s="142"/>
      <c r="AD27" s="143"/>
      <c r="AE27" s="142"/>
      <c r="AF27" s="142"/>
      <c r="AG27" s="143"/>
      <c r="AH27" s="142"/>
      <c r="AI27" s="142"/>
      <c r="AJ27" s="143"/>
      <c r="AK27" s="142"/>
      <c r="AL27" s="142"/>
      <c r="AM27" s="143"/>
      <c r="AN27" s="142"/>
      <c r="AO27" s="142"/>
      <c r="AP27" s="143"/>
      <c r="AQ27" s="142"/>
      <c r="AR27" s="142"/>
      <c r="AS27" s="143"/>
      <c r="AT27" s="142"/>
      <c r="AU27" s="142"/>
      <c r="AV27" s="143"/>
      <c r="AW27" s="142"/>
      <c r="AX27" s="142"/>
      <c r="AY27" s="143"/>
    </row>
    <row r="28" spans="1:51" s="17" customFormat="1" ht="12" customHeight="1" x14ac:dyDescent="0.2">
      <c r="A28" s="138"/>
      <c r="B28" s="6" t="s">
        <v>474</v>
      </c>
      <c r="C28" s="269"/>
      <c r="D28" s="270"/>
      <c r="E28" s="270"/>
      <c r="F28" s="143"/>
      <c r="G28" s="270"/>
      <c r="H28" s="270"/>
      <c r="I28" s="249">
        <v>2.1190000000000002</v>
      </c>
      <c r="J28" s="6"/>
      <c r="K28" s="6"/>
      <c r="L28" s="132">
        <v>-1.4359999999999999</v>
      </c>
      <c r="M28" s="25">
        <v>-2.8</v>
      </c>
      <c r="N28" s="353">
        <f>+O28-M28</f>
        <v>-1.4400000000000004</v>
      </c>
      <c r="O28" s="132">
        <v>-4.24</v>
      </c>
      <c r="P28" s="25">
        <v>-3.6</v>
      </c>
      <c r="Q28" s="353">
        <f>+R28-P28</f>
        <v>-7.5</v>
      </c>
      <c r="R28" s="261">
        <v>-11.1</v>
      </c>
      <c r="S28" s="25">
        <v>-4.5869999999999997</v>
      </c>
      <c r="T28" s="353">
        <f>+U28-S28</f>
        <v>-4.4310000000000009</v>
      </c>
      <c r="U28" s="261">
        <v>-9.0180000000000007</v>
      </c>
      <c r="V28" s="140">
        <v>-4</v>
      </c>
      <c r="W28" s="140">
        <v>-4</v>
      </c>
      <c r="X28" s="143">
        <f t="shared" ref="X28:X30" si="174">+W28+V28</f>
        <v>-8</v>
      </c>
      <c r="Y28" s="140">
        <v>-3.5</v>
      </c>
      <c r="Z28" s="140">
        <v>-3.5</v>
      </c>
      <c r="AA28" s="143">
        <f t="shared" ref="AA28:AA30" si="175">+Z28+Y28</f>
        <v>-7</v>
      </c>
      <c r="AB28" s="140">
        <v>-3</v>
      </c>
      <c r="AC28" s="140">
        <v>-3</v>
      </c>
      <c r="AD28" s="143">
        <f t="shared" ref="AD28:AD30" si="176">+AC28+AB28</f>
        <v>-6</v>
      </c>
      <c r="AE28" s="140">
        <v>-3</v>
      </c>
      <c r="AF28" s="140">
        <v>-3</v>
      </c>
      <c r="AG28" s="143">
        <f t="shared" ref="AG28" si="177">+AF28+AE28</f>
        <v>-6</v>
      </c>
      <c r="AH28" s="140">
        <v>-3</v>
      </c>
      <c r="AI28" s="140">
        <v>-3</v>
      </c>
      <c r="AJ28" s="143">
        <f t="shared" ref="AJ28" si="178">+AI28+AH28</f>
        <v>-6</v>
      </c>
      <c r="AK28" s="140">
        <v>-3</v>
      </c>
      <c r="AL28" s="140">
        <v>-3</v>
      </c>
      <c r="AM28" s="143">
        <f t="shared" ref="AM28" si="179">+AL28+AK28</f>
        <v>-6</v>
      </c>
      <c r="AN28" s="140">
        <v>-3</v>
      </c>
      <c r="AO28" s="140">
        <v>-3</v>
      </c>
      <c r="AP28" s="143">
        <f t="shared" ref="AP28" si="180">+AO28+AN28</f>
        <v>-6</v>
      </c>
      <c r="AQ28" s="140">
        <v>-3</v>
      </c>
      <c r="AR28" s="140">
        <v>-3</v>
      </c>
      <c r="AS28" s="143">
        <f t="shared" ref="AS28" si="181">+AR28+AQ28</f>
        <v>-6</v>
      </c>
      <c r="AT28" s="140">
        <v>-3</v>
      </c>
      <c r="AU28" s="140">
        <v>-3</v>
      </c>
      <c r="AV28" s="143">
        <f t="shared" ref="AV28" si="182">+AU28+AT28</f>
        <v>-6</v>
      </c>
      <c r="AW28" s="140">
        <v>-3</v>
      </c>
      <c r="AX28" s="140">
        <v>-3</v>
      </c>
      <c r="AY28" s="143">
        <f t="shared" ref="AY28" si="183">+AX28+AW28</f>
        <v>-6</v>
      </c>
    </row>
    <row r="29" spans="1:51" s="17" customFormat="1" ht="12" customHeight="1" x14ac:dyDescent="0.2">
      <c r="A29" s="138"/>
      <c r="B29" s="6" t="s">
        <v>475</v>
      </c>
      <c r="C29" s="269"/>
      <c r="D29" s="270"/>
      <c r="E29" s="270"/>
      <c r="F29" s="143"/>
      <c r="G29" s="270"/>
      <c r="H29" s="270"/>
      <c r="I29" s="143"/>
      <c r="J29" s="6"/>
      <c r="K29" s="6"/>
      <c r="L29" s="132">
        <v>8</v>
      </c>
      <c r="M29" s="25">
        <v>5.7</v>
      </c>
      <c r="N29" s="353">
        <f>+O29-M29</f>
        <v>5.4999999999999991</v>
      </c>
      <c r="O29" s="132">
        <v>11.2</v>
      </c>
      <c r="P29" s="25">
        <v>8.1999999999999993</v>
      </c>
      <c r="Q29" s="353">
        <f>+R29-P29</f>
        <v>8.9000000000000021</v>
      </c>
      <c r="R29" s="261">
        <v>17.100000000000001</v>
      </c>
      <c r="S29" s="25">
        <v>9.3979999999999997</v>
      </c>
      <c r="T29" s="353">
        <f>+U29-S29</f>
        <v>9.0749999999999993</v>
      </c>
      <c r="U29" s="261">
        <v>18.472999999999999</v>
      </c>
      <c r="V29" s="140">
        <f t="shared" ref="V29:W29" si="184">V55*AVERAGE(V40+V45,U40+U45)</f>
        <v>12.058728287671231</v>
      </c>
      <c r="W29" s="140">
        <f t="shared" si="184"/>
        <v>11.100374999999998</v>
      </c>
      <c r="X29" s="143">
        <f t="shared" si="174"/>
        <v>23.159103287671229</v>
      </c>
      <c r="Y29" s="140">
        <f t="shared" ref="Y29:Z29" si="185">Y55*AVERAGE(Y40+Y45,X40+X45)</f>
        <v>14.411512759931504</v>
      </c>
      <c r="Z29" s="140">
        <f t="shared" si="185"/>
        <v>13.138574624999997</v>
      </c>
      <c r="AA29" s="143">
        <f t="shared" si="175"/>
        <v>27.550087384931501</v>
      </c>
      <c r="AB29" s="140">
        <f t="shared" ref="AB29:AC29" si="186">AB55*AVERAGE(AB40+AB45,AA40+AA45)</f>
        <v>16.842852185363007</v>
      </c>
      <c r="AC29" s="140">
        <f t="shared" si="186"/>
        <v>15.122911814999997</v>
      </c>
      <c r="AD29" s="143">
        <f t="shared" si="176"/>
        <v>31.965764000363002</v>
      </c>
      <c r="AE29" s="140">
        <f t="shared" ref="AE29:AF29" si="187">AE55*AVERAGE(AE40+AE45,AD40+AD45)</f>
        <v>19.205133572377907</v>
      </c>
      <c r="AF29" s="140">
        <f t="shared" si="187"/>
        <v>17.166944089349993</v>
      </c>
      <c r="AG29" s="143">
        <f t="shared" ref="AG29:AG30" si="188">+AF29+AE29</f>
        <v>36.3720776617279</v>
      </c>
      <c r="AH29" s="140">
        <f t="shared" ref="AH29:AI29" si="189">AH55*AVERAGE(AH40+AH45,AG40+AG45)</f>
        <v>21.712142162556773</v>
      </c>
      <c r="AI29" s="140">
        <f t="shared" si="189"/>
        <v>19.335533055931116</v>
      </c>
      <c r="AJ29" s="143">
        <f t="shared" ref="AJ29:AJ30" si="190">+AI29+AH29</f>
        <v>41.047675218487889</v>
      </c>
      <c r="AK29" s="140">
        <f t="shared" ref="AK29:AL29" si="191">AK55*AVERAGE(AK40+AK45,AJ40+AJ45)</f>
        <v>24.371115065422003</v>
      </c>
      <c r="AL29" s="140">
        <f t="shared" si="191"/>
        <v>21.634893743663461</v>
      </c>
      <c r="AM29" s="143">
        <f t="shared" ref="AM29:AM30" si="192">+AL29+AK29</f>
        <v>46.006008809085465</v>
      </c>
      <c r="AN29" s="140">
        <f t="shared" ref="AN29:AO29" si="193">AN55*AVERAGE(AN40+AN45,AM40+AM45)</f>
        <v>27.189618697338663</v>
      </c>
      <c r="AO29" s="140">
        <f t="shared" si="193"/>
        <v>24.071523651543558</v>
      </c>
      <c r="AP29" s="143">
        <f t="shared" ref="AP29:AP30" si="194">+AO29+AN29</f>
        <v>51.261142348882217</v>
      </c>
      <c r="AQ29" s="140">
        <f t="shared" ref="AQ29:AR29" si="195">AQ55*AVERAGE(AQ40+AQ45,AP40+AP45)</f>
        <v>30.175562967534347</v>
      </c>
      <c r="AR29" s="140">
        <f t="shared" si="195"/>
        <v>26.652214908139271</v>
      </c>
      <c r="AS29" s="143">
        <f t="shared" ref="AS29:AS30" si="196">+AR29+AQ29</f>
        <v>56.827777875673618</v>
      </c>
      <c r="AT29" s="140">
        <f t="shared" ref="AT29:AU29" si="197">AT55*AVERAGE(AT40+AT45,AS40+AS45)</f>
        <v>33.337216053739489</v>
      </c>
      <c r="AU29" s="140">
        <f t="shared" si="197"/>
        <v>29.38406693622354</v>
      </c>
      <c r="AV29" s="143">
        <f t="shared" ref="AV29:AV30" si="198">+AU29+AT29</f>
        <v>62.721282989963029</v>
      </c>
      <c r="AW29" s="140">
        <f t="shared" ref="AW29:AX29" si="199">AW55*AVERAGE(AW40+AW45,AV40+AV45)</f>
        <v>36.683219791343753</v>
      </c>
      <c r="AX29" s="140">
        <f t="shared" si="199"/>
        <v>32.274499643011239</v>
      </c>
      <c r="AY29" s="143">
        <f t="shared" ref="AY29:AY30" si="200">+AX29+AW29</f>
        <v>68.957719434354999</v>
      </c>
    </row>
    <row r="30" spans="1:51" s="17" customFormat="1" ht="12" customHeight="1" x14ac:dyDescent="0.2">
      <c r="A30" s="138"/>
      <c r="B30" s="6" t="s">
        <v>47</v>
      </c>
      <c r="C30" s="269"/>
      <c r="D30" s="270"/>
      <c r="E30" s="270"/>
      <c r="F30" s="143"/>
      <c r="G30" s="270"/>
      <c r="H30" s="270"/>
      <c r="I30" s="132"/>
      <c r="J30" s="6"/>
      <c r="K30" s="6"/>
      <c r="L30" s="319">
        <f>+L31-L29-L28-L26</f>
        <v>-0.26400000000000112</v>
      </c>
      <c r="M30" s="142">
        <f>+M31-M29-M28-M26</f>
        <v>-0.40000000000000036</v>
      </c>
      <c r="N30" s="354">
        <f>+O30-M30</f>
        <v>-3.6639999999999961</v>
      </c>
      <c r="O30" s="319">
        <f>+O31-O29-O28-O26</f>
        <v>-4.0639999999999965</v>
      </c>
      <c r="P30" s="142">
        <f>+P31-P29-P28-P26</f>
        <v>0.10000000000000142</v>
      </c>
      <c r="Q30" s="354">
        <f>+R30-P30</f>
        <v>-0.35600000000000875</v>
      </c>
      <c r="R30" s="319">
        <f>+R31-R29-R28-R26</f>
        <v>-0.25600000000000733</v>
      </c>
      <c r="S30" s="142">
        <f>+S31-S29-S28-S26</f>
        <v>0</v>
      </c>
      <c r="T30" s="354">
        <f>+U30-S30</f>
        <v>2.8880000000000052</v>
      </c>
      <c r="U30" s="319">
        <f>+U31-U29-U28-U26</f>
        <v>2.8880000000000052</v>
      </c>
      <c r="V30" s="140">
        <v>0</v>
      </c>
      <c r="W30" s="140">
        <v>0</v>
      </c>
      <c r="X30" s="143">
        <f t="shared" si="174"/>
        <v>0</v>
      </c>
      <c r="Y30" s="140">
        <v>0</v>
      </c>
      <c r="Z30" s="140">
        <v>0</v>
      </c>
      <c r="AA30" s="143">
        <f t="shared" si="175"/>
        <v>0</v>
      </c>
      <c r="AB30" s="140">
        <v>0</v>
      </c>
      <c r="AC30" s="140">
        <v>0</v>
      </c>
      <c r="AD30" s="143">
        <f t="shared" si="176"/>
        <v>0</v>
      </c>
      <c r="AE30" s="140">
        <v>0</v>
      </c>
      <c r="AF30" s="140">
        <v>0</v>
      </c>
      <c r="AG30" s="143">
        <f t="shared" si="188"/>
        <v>0</v>
      </c>
      <c r="AH30" s="140">
        <v>0</v>
      </c>
      <c r="AI30" s="140">
        <v>0</v>
      </c>
      <c r="AJ30" s="143">
        <f t="shared" si="190"/>
        <v>0</v>
      </c>
      <c r="AK30" s="140">
        <v>0</v>
      </c>
      <c r="AL30" s="140">
        <v>0</v>
      </c>
      <c r="AM30" s="143">
        <f t="shared" si="192"/>
        <v>0</v>
      </c>
      <c r="AN30" s="140">
        <v>0</v>
      </c>
      <c r="AO30" s="140">
        <v>0</v>
      </c>
      <c r="AP30" s="143">
        <f t="shared" si="194"/>
        <v>0</v>
      </c>
      <c r="AQ30" s="140">
        <v>0</v>
      </c>
      <c r="AR30" s="140">
        <v>0</v>
      </c>
      <c r="AS30" s="143">
        <f t="shared" si="196"/>
        <v>0</v>
      </c>
      <c r="AT30" s="140">
        <v>0</v>
      </c>
      <c r="AU30" s="140">
        <v>0</v>
      </c>
      <c r="AV30" s="143">
        <f t="shared" si="198"/>
        <v>0</v>
      </c>
      <c r="AW30" s="140">
        <v>0</v>
      </c>
      <c r="AX30" s="140">
        <v>0</v>
      </c>
      <c r="AY30" s="143">
        <f t="shared" si="200"/>
        <v>0</v>
      </c>
    </row>
    <row r="31" spans="1:51" s="17" customFormat="1" ht="12" customHeight="1" x14ac:dyDescent="0.2">
      <c r="A31" s="138"/>
      <c r="B31" s="161" t="s">
        <v>473</v>
      </c>
      <c r="C31" s="265"/>
      <c r="D31" s="168"/>
      <c r="E31" s="168"/>
      <c r="F31" s="169"/>
      <c r="G31" s="168"/>
      <c r="H31" s="168"/>
      <c r="I31" s="169"/>
      <c r="J31" s="168"/>
      <c r="K31" s="168"/>
      <c r="L31" s="293">
        <v>21.7</v>
      </c>
      <c r="M31" s="294">
        <v>14.2</v>
      </c>
      <c r="N31" s="353">
        <f>+O31-M31</f>
        <v>15.100000000000001</v>
      </c>
      <c r="O31" s="293">
        <v>29.3</v>
      </c>
      <c r="P31" s="294">
        <v>24.7</v>
      </c>
      <c r="Q31" s="353">
        <f>+R31-P31</f>
        <v>20.099999999999998</v>
      </c>
      <c r="R31" s="293">
        <v>44.8</v>
      </c>
      <c r="S31" s="294">
        <v>31.577999999999999</v>
      </c>
      <c r="T31" s="353">
        <f>+U31-S31</f>
        <v>33.540999999999997</v>
      </c>
      <c r="U31" s="293">
        <v>65.119</v>
      </c>
      <c r="V31" s="296">
        <f t="shared" ref="V31:AJ31" si="201">+V26+V28+V29+V30</f>
        <v>42.436647390347282</v>
      </c>
      <c r="W31" s="296">
        <f t="shared" si="201"/>
        <v>40.588008146634067</v>
      </c>
      <c r="X31" s="290">
        <f t="shared" si="201"/>
        <v>83.024655536981356</v>
      </c>
      <c r="Y31" s="296">
        <f t="shared" si="201"/>
        <v>55.449648749961369</v>
      </c>
      <c r="Z31" s="296">
        <f t="shared" si="201"/>
        <v>54.308335411813054</v>
      </c>
      <c r="AA31" s="290">
        <f t="shared" si="201"/>
        <v>109.75798416177442</v>
      </c>
      <c r="AB31" s="296">
        <f t="shared" si="201"/>
        <v>72.985706785058511</v>
      </c>
      <c r="AC31" s="296">
        <f t="shared" si="201"/>
        <v>71.507867071585679</v>
      </c>
      <c r="AD31" s="290">
        <f t="shared" si="201"/>
        <v>144.49357385664416</v>
      </c>
      <c r="AE31" s="296">
        <f t="shared" si="201"/>
        <v>91.082528997465076</v>
      </c>
      <c r="AF31" s="296">
        <f t="shared" si="201"/>
        <v>89.097935800697243</v>
      </c>
      <c r="AG31" s="290">
        <f t="shared" si="201"/>
        <v>180.18046479816232</v>
      </c>
      <c r="AH31" s="296">
        <f t="shared" si="201"/>
        <v>111.58203092267381</v>
      </c>
      <c r="AI31" s="296">
        <f t="shared" si="201"/>
        <v>107.23518915985545</v>
      </c>
      <c r="AJ31" s="290">
        <f t="shared" si="201"/>
        <v>218.81722008252927</v>
      </c>
      <c r="AK31" s="296">
        <f t="shared" ref="AK31:AM31" si="202">+AK26+AK28+AK29+AK30</f>
        <v>123.45882482107419</v>
      </c>
      <c r="AL31" s="296">
        <f t="shared" si="202"/>
        <v>120.37773896295747</v>
      </c>
      <c r="AM31" s="290">
        <f t="shared" si="202"/>
        <v>243.83656378403165</v>
      </c>
      <c r="AN31" s="296">
        <f t="shared" ref="AN31:AP31" si="203">+AN26+AN28+AN29+AN30</f>
        <v>140.45118455267078</v>
      </c>
      <c r="AO31" s="296">
        <f t="shared" si="203"/>
        <v>136.65716686326323</v>
      </c>
      <c r="AP31" s="290">
        <f t="shared" si="203"/>
        <v>277.10835141593407</v>
      </c>
      <c r="AQ31" s="296">
        <f t="shared" ref="AQ31:AS31" si="204">+AQ26+AQ28+AQ29+AQ30</f>
        <v>158.71687280159489</v>
      </c>
      <c r="AR31" s="296">
        <f t="shared" si="204"/>
        <v>154.15380916618517</v>
      </c>
      <c r="AS31" s="290">
        <f t="shared" si="204"/>
        <v>312.87068196778011</v>
      </c>
      <c r="AT31" s="296">
        <f t="shared" ref="AT31:AV31" si="205">+AT26+AT28+AT29+AT30</f>
        <v>178.32925784701064</v>
      </c>
      <c r="AU31" s="296">
        <f t="shared" si="205"/>
        <v>172.93733321480372</v>
      </c>
      <c r="AV31" s="290">
        <f t="shared" si="205"/>
        <v>351.26659106181432</v>
      </c>
      <c r="AW31" s="296">
        <f t="shared" ref="AW31:AY31" si="206">+AW26+AW28+AW29+AW30</f>
        <v>199.36486416651655</v>
      </c>
      <c r="AX31" s="296">
        <f t="shared" si="206"/>
        <v>193.08033110747752</v>
      </c>
      <c r="AY31" s="290">
        <f t="shared" si="206"/>
        <v>392.44519527399422</v>
      </c>
    </row>
    <row r="32" spans="1:51" s="17" customFormat="1" ht="12" customHeight="1" x14ac:dyDescent="0.2">
      <c r="A32" s="138"/>
      <c r="B32" s="6" t="s">
        <v>47</v>
      </c>
      <c r="C32" s="130"/>
      <c r="D32" s="142"/>
      <c r="E32" s="142"/>
      <c r="F32" s="143"/>
      <c r="G32" s="142"/>
      <c r="H32" s="142"/>
      <c r="I32" s="143"/>
      <c r="J32" s="142"/>
      <c r="K32" s="142"/>
      <c r="L32" s="143">
        <f t="shared" ref="L32:R32" si="207">+L33-L31</f>
        <v>2.1999999999999993</v>
      </c>
      <c r="M32" s="142">
        <f t="shared" si="207"/>
        <v>0.30000000000000071</v>
      </c>
      <c r="N32" s="142">
        <f t="shared" si="207"/>
        <v>2.0999999999997243E-2</v>
      </c>
      <c r="O32" s="143">
        <f t="shared" si="207"/>
        <v>0.32099999999999795</v>
      </c>
      <c r="P32" s="142">
        <f t="shared" si="207"/>
        <v>-5.8000000000000007</v>
      </c>
      <c r="Q32" s="142">
        <f t="shared" si="207"/>
        <v>-11.726999999999997</v>
      </c>
      <c r="R32" s="143">
        <f t="shared" si="207"/>
        <v>-17.526999999999997</v>
      </c>
      <c r="S32" s="142">
        <f t="shared" ref="S32:U32" si="208">+S33-S31</f>
        <v>0</v>
      </c>
      <c r="T32" s="142">
        <f t="shared" si="208"/>
        <v>-39.680999999999997</v>
      </c>
      <c r="U32" s="143">
        <f t="shared" si="208"/>
        <v>-39.680999999999997</v>
      </c>
      <c r="V32" s="140">
        <v>0</v>
      </c>
      <c r="W32" s="140">
        <v>0</v>
      </c>
      <c r="X32" s="143">
        <f t="shared" ref="X32" si="209">+W32+V32</f>
        <v>0</v>
      </c>
      <c r="Y32" s="140">
        <v>0</v>
      </c>
      <c r="Z32" s="140">
        <v>0</v>
      </c>
      <c r="AA32" s="143">
        <f t="shared" ref="AA32" si="210">+Z32+Y32</f>
        <v>0</v>
      </c>
      <c r="AB32" s="140">
        <v>0</v>
      </c>
      <c r="AC32" s="140">
        <v>0</v>
      </c>
      <c r="AD32" s="143">
        <f t="shared" ref="AD32" si="211">+AC32+AB32</f>
        <v>0</v>
      </c>
      <c r="AE32" s="140">
        <v>0</v>
      </c>
      <c r="AF32" s="140">
        <v>0</v>
      </c>
      <c r="AG32" s="143">
        <f t="shared" ref="AG32" si="212">+AF32+AE32</f>
        <v>0</v>
      </c>
      <c r="AH32" s="140">
        <v>0</v>
      </c>
      <c r="AI32" s="140">
        <v>0</v>
      </c>
      <c r="AJ32" s="143">
        <f t="shared" ref="AJ32" si="213">+AI32+AH32</f>
        <v>0</v>
      </c>
      <c r="AK32" s="140">
        <v>0</v>
      </c>
      <c r="AL32" s="140">
        <v>0</v>
      </c>
      <c r="AM32" s="143">
        <f t="shared" ref="AM32" si="214">+AL32+AK32</f>
        <v>0</v>
      </c>
      <c r="AN32" s="140">
        <v>0</v>
      </c>
      <c r="AO32" s="140">
        <v>0</v>
      </c>
      <c r="AP32" s="143">
        <f t="shared" ref="AP32" si="215">+AO32+AN32</f>
        <v>0</v>
      </c>
      <c r="AQ32" s="140">
        <v>0</v>
      </c>
      <c r="AR32" s="140">
        <v>0</v>
      </c>
      <c r="AS32" s="143">
        <f t="shared" ref="AS32" si="216">+AR32+AQ32</f>
        <v>0</v>
      </c>
      <c r="AT32" s="140">
        <v>0</v>
      </c>
      <c r="AU32" s="140">
        <v>0</v>
      </c>
      <c r="AV32" s="143">
        <f t="shared" ref="AV32" si="217">+AU32+AT32</f>
        <v>0</v>
      </c>
      <c r="AW32" s="140">
        <v>0</v>
      </c>
      <c r="AX32" s="140">
        <v>0</v>
      </c>
      <c r="AY32" s="143">
        <f t="shared" ref="AY32" si="218">+AX32+AW32</f>
        <v>0</v>
      </c>
    </row>
    <row r="33" spans="1:51" s="17" customFormat="1" ht="12" customHeight="1" x14ac:dyDescent="0.2">
      <c r="A33" s="138"/>
      <c r="B33" s="161" t="s">
        <v>476</v>
      </c>
      <c r="C33" s="265"/>
      <c r="D33" s="168"/>
      <c r="E33" s="168"/>
      <c r="F33" s="169"/>
      <c r="G33" s="168"/>
      <c r="H33" s="168"/>
      <c r="I33" s="169"/>
      <c r="J33" s="168"/>
      <c r="K33" s="168"/>
      <c r="L33" s="293">
        <v>23.9</v>
      </c>
      <c r="M33" s="294">
        <v>14.5</v>
      </c>
      <c r="N33" s="295">
        <f>+O33-M33</f>
        <v>15.120999999999999</v>
      </c>
      <c r="O33" s="293">
        <v>29.620999999999999</v>
      </c>
      <c r="P33" s="294">
        <v>18.899999999999999</v>
      </c>
      <c r="Q33" s="295">
        <f>+R33-P33</f>
        <v>8.3730000000000011</v>
      </c>
      <c r="R33" s="293">
        <v>27.273</v>
      </c>
      <c r="S33" s="294">
        <v>31.577999999999999</v>
      </c>
      <c r="T33" s="295">
        <f>+U33-S33</f>
        <v>-6.1400000000000006</v>
      </c>
      <c r="U33" s="293">
        <v>25.437999999999999</v>
      </c>
      <c r="V33" s="296">
        <f t="shared" ref="V33:AJ33" si="219">+V32+V31</f>
        <v>42.436647390347282</v>
      </c>
      <c r="W33" s="296">
        <f t="shared" si="219"/>
        <v>40.588008146634067</v>
      </c>
      <c r="X33" s="290">
        <f t="shared" si="219"/>
        <v>83.024655536981356</v>
      </c>
      <c r="Y33" s="296">
        <f t="shared" si="219"/>
        <v>55.449648749961369</v>
      </c>
      <c r="Z33" s="296">
        <f t="shared" si="219"/>
        <v>54.308335411813054</v>
      </c>
      <c r="AA33" s="290">
        <f t="shared" si="219"/>
        <v>109.75798416177442</v>
      </c>
      <c r="AB33" s="296">
        <f t="shared" si="219"/>
        <v>72.985706785058511</v>
      </c>
      <c r="AC33" s="296">
        <f t="shared" si="219"/>
        <v>71.507867071585679</v>
      </c>
      <c r="AD33" s="290">
        <f t="shared" si="219"/>
        <v>144.49357385664416</v>
      </c>
      <c r="AE33" s="296">
        <f t="shared" si="219"/>
        <v>91.082528997465076</v>
      </c>
      <c r="AF33" s="296">
        <f t="shared" si="219"/>
        <v>89.097935800697243</v>
      </c>
      <c r="AG33" s="290">
        <f t="shared" si="219"/>
        <v>180.18046479816232</v>
      </c>
      <c r="AH33" s="296">
        <f t="shared" si="219"/>
        <v>111.58203092267381</v>
      </c>
      <c r="AI33" s="296">
        <f t="shared" si="219"/>
        <v>107.23518915985545</v>
      </c>
      <c r="AJ33" s="290">
        <f t="shared" si="219"/>
        <v>218.81722008252927</v>
      </c>
      <c r="AK33" s="296">
        <f t="shared" ref="AK33:AM33" si="220">+AK32+AK31</f>
        <v>123.45882482107419</v>
      </c>
      <c r="AL33" s="296">
        <f t="shared" si="220"/>
        <v>120.37773896295747</v>
      </c>
      <c r="AM33" s="290">
        <f t="shared" si="220"/>
        <v>243.83656378403165</v>
      </c>
      <c r="AN33" s="296">
        <f t="shared" ref="AN33:AP33" si="221">+AN32+AN31</f>
        <v>140.45118455267078</v>
      </c>
      <c r="AO33" s="296">
        <f t="shared" si="221"/>
        <v>136.65716686326323</v>
      </c>
      <c r="AP33" s="290">
        <f t="shared" si="221"/>
        <v>277.10835141593407</v>
      </c>
      <c r="AQ33" s="296">
        <f t="shared" ref="AQ33:AS33" si="222">+AQ32+AQ31</f>
        <v>158.71687280159489</v>
      </c>
      <c r="AR33" s="296">
        <f t="shared" si="222"/>
        <v>154.15380916618517</v>
      </c>
      <c r="AS33" s="290">
        <f t="shared" si="222"/>
        <v>312.87068196778011</v>
      </c>
      <c r="AT33" s="296">
        <f t="shared" ref="AT33:AV33" si="223">+AT32+AT31</f>
        <v>178.32925784701064</v>
      </c>
      <c r="AU33" s="296">
        <f t="shared" si="223"/>
        <v>172.93733321480372</v>
      </c>
      <c r="AV33" s="290">
        <f t="shared" si="223"/>
        <v>351.26659106181432</v>
      </c>
      <c r="AW33" s="296">
        <f t="shared" ref="AW33:AY33" si="224">+AW32+AW31</f>
        <v>199.36486416651655</v>
      </c>
      <c r="AX33" s="296">
        <f t="shared" si="224"/>
        <v>193.08033110747752</v>
      </c>
      <c r="AY33" s="290">
        <f t="shared" si="224"/>
        <v>392.44519527399422</v>
      </c>
    </row>
    <row r="34" spans="1:51" s="17" customFormat="1" ht="12" customHeight="1" x14ac:dyDescent="0.2">
      <c r="A34" s="138"/>
      <c r="B34" s="6"/>
      <c r="C34" s="130"/>
      <c r="D34" s="142"/>
      <c r="E34" s="142"/>
      <c r="F34" s="143"/>
      <c r="G34" s="142"/>
      <c r="H34" s="142"/>
      <c r="I34" s="143"/>
      <c r="J34" s="142"/>
      <c r="K34" s="142"/>
      <c r="L34" s="143"/>
      <c r="M34" s="142"/>
      <c r="N34" s="142"/>
      <c r="O34" s="143"/>
      <c r="P34" s="142"/>
      <c r="Q34" s="142"/>
      <c r="R34" s="143"/>
      <c r="S34" s="142"/>
      <c r="T34" s="142"/>
      <c r="U34" s="143"/>
      <c r="V34" s="142"/>
      <c r="W34" s="142"/>
      <c r="X34" s="143"/>
      <c r="Y34" s="142"/>
      <c r="Z34" s="142"/>
      <c r="AA34" s="143"/>
      <c r="AB34" s="142"/>
      <c r="AC34" s="142"/>
      <c r="AD34" s="143"/>
      <c r="AE34" s="142"/>
      <c r="AF34" s="142"/>
      <c r="AG34" s="143"/>
      <c r="AH34" s="142"/>
      <c r="AI34" s="142"/>
      <c r="AJ34" s="143"/>
      <c r="AK34" s="142"/>
      <c r="AL34" s="142"/>
      <c r="AM34" s="143"/>
      <c r="AN34" s="142"/>
      <c r="AO34" s="142"/>
      <c r="AP34" s="143"/>
      <c r="AQ34" s="142"/>
      <c r="AR34" s="142"/>
      <c r="AS34" s="143"/>
      <c r="AT34" s="142"/>
      <c r="AU34" s="142"/>
      <c r="AV34" s="143"/>
      <c r="AW34" s="142"/>
      <c r="AX34" s="142"/>
      <c r="AY34" s="143"/>
    </row>
    <row r="35" spans="1:51" s="17" customFormat="1" ht="12" customHeight="1" x14ac:dyDescent="0.2">
      <c r="A35" s="138"/>
      <c r="B35" s="6" t="s">
        <v>47</v>
      </c>
      <c r="C35" s="130"/>
      <c r="D35" s="142"/>
      <c r="E35" s="142"/>
      <c r="F35" s="143"/>
      <c r="G35" s="142"/>
      <c r="H35" s="142"/>
      <c r="I35" s="143"/>
      <c r="J35" s="142"/>
      <c r="K35" s="142"/>
      <c r="L35" s="143">
        <f t="shared" ref="L35:M35" si="225">+L36-L31</f>
        <v>-8</v>
      </c>
      <c r="M35" s="142">
        <f t="shared" si="225"/>
        <v>-5.6999999999999975</v>
      </c>
      <c r="N35" s="324">
        <f>+O35-M35</f>
        <v>-5.4999999999999982</v>
      </c>
      <c r="O35" s="143">
        <f t="shared" ref="O35:P35" si="226">+O36-O31</f>
        <v>-11.199999999999996</v>
      </c>
      <c r="P35" s="142">
        <f t="shared" si="226"/>
        <v>-8.1999999999999993</v>
      </c>
      <c r="Q35" s="324">
        <f>+R35-P35</f>
        <v>-8.9000000000000021</v>
      </c>
      <c r="R35" s="143">
        <f t="shared" ref="R35:AJ35" si="227">+R36-R31</f>
        <v>-17.100000000000001</v>
      </c>
      <c r="S35" s="142">
        <f t="shared" si="227"/>
        <v>-9.3979999999999997</v>
      </c>
      <c r="T35" s="324">
        <f>+U35-S35</f>
        <v>-9.0749999999999993</v>
      </c>
      <c r="U35" s="143">
        <f t="shared" ref="U35" si="228">+U36-U31</f>
        <v>-18.472999999999999</v>
      </c>
      <c r="V35" s="142">
        <f t="shared" si="227"/>
        <v>-12.058728287671229</v>
      </c>
      <c r="W35" s="142">
        <f t="shared" si="227"/>
        <v>-11.100375</v>
      </c>
      <c r="X35" s="143">
        <f t="shared" si="227"/>
        <v>-23.159103287671229</v>
      </c>
      <c r="Y35" s="142">
        <f t="shared" si="227"/>
        <v>-14.411512759931504</v>
      </c>
      <c r="Z35" s="142">
        <f t="shared" si="227"/>
        <v>-13.138574624999997</v>
      </c>
      <c r="AA35" s="143">
        <f t="shared" si="227"/>
        <v>-27.550087384931501</v>
      </c>
      <c r="AB35" s="142">
        <f t="shared" si="227"/>
        <v>-16.842852185363</v>
      </c>
      <c r="AC35" s="142">
        <f t="shared" si="227"/>
        <v>-15.122911814999995</v>
      </c>
      <c r="AD35" s="143">
        <f t="shared" si="227"/>
        <v>-31.965764000362995</v>
      </c>
      <c r="AE35" s="142">
        <f t="shared" si="227"/>
        <v>-19.205133572377903</v>
      </c>
      <c r="AF35" s="142">
        <f t="shared" si="227"/>
        <v>-17.166944089349997</v>
      </c>
      <c r="AG35" s="143">
        <f t="shared" si="227"/>
        <v>-36.3720776617279</v>
      </c>
      <c r="AH35" s="142">
        <f t="shared" si="227"/>
        <v>-21.712142162556773</v>
      </c>
      <c r="AI35" s="142">
        <f t="shared" si="227"/>
        <v>-19.335533055931123</v>
      </c>
      <c r="AJ35" s="143">
        <f t="shared" si="227"/>
        <v>-41.047675218487882</v>
      </c>
      <c r="AK35" s="142">
        <f t="shared" ref="AK35:AM35" si="229">+AK36-AK31</f>
        <v>-24.371115065422003</v>
      </c>
      <c r="AL35" s="142">
        <f t="shared" si="229"/>
        <v>-21.634893743663469</v>
      </c>
      <c r="AM35" s="143">
        <f t="shared" si="229"/>
        <v>-46.006008809085472</v>
      </c>
      <c r="AN35" s="142">
        <f t="shared" ref="AN35:AP35" si="230">+AN36-AN31</f>
        <v>-27.189618697338659</v>
      </c>
      <c r="AO35" s="142">
        <f t="shared" si="230"/>
        <v>-24.071523651543544</v>
      </c>
      <c r="AP35" s="143">
        <f t="shared" si="230"/>
        <v>-51.261142348882231</v>
      </c>
      <c r="AQ35" s="142">
        <f t="shared" ref="AQ35:AS35" si="231">+AQ36-AQ31</f>
        <v>-30.175562967534347</v>
      </c>
      <c r="AR35" s="142">
        <f t="shared" si="231"/>
        <v>-26.652214908139257</v>
      </c>
      <c r="AS35" s="143">
        <f t="shared" si="231"/>
        <v>-56.827777875673632</v>
      </c>
      <c r="AT35" s="142">
        <f t="shared" ref="AT35:AV35" si="232">+AT36-AT31</f>
        <v>-33.337216053739496</v>
      </c>
      <c r="AU35" s="142">
        <f t="shared" si="232"/>
        <v>-29.384066936223547</v>
      </c>
      <c r="AV35" s="143">
        <f t="shared" si="232"/>
        <v>-62.721282989963015</v>
      </c>
      <c r="AW35" s="142">
        <f t="shared" ref="AW35:AY35" si="233">+AW36-AW31</f>
        <v>-36.68321979134376</v>
      </c>
      <c r="AX35" s="142">
        <f t="shared" si="233"/>
        <v>-32.274499643011239</v>
      </c>
      <c r="AY35" s="143">
        <f t="shared" si="233"/>
        <v>-68.957719434354999</v>
      </c>
    </row>
    <row r="36" spans="1:51" s="17" customFormat="1" ht="12" customHeight="1" x14ac:dyDescent="0.2">
      <c r="A36" s="138"/>
      <c r="B36" s="161" t="s">
        <v>477</v>
      </c>
      <c r="C36" s="265"/>
      <c r="D36" s="168"/>
      <c r="E36" s="168"/>
      <c r="F36" s="169"/>
      <c r="G36" s="168"/>
      <c r="H36" s="168"/>
      <c r="I36" s="169"/>
      <c r="J36" s="168"/>
      <c r="K36" s="168"/>
      <c r="L36" s="341">
        <f t="shared" ref="L36:Q36" si="234">+L26+L28+L30</f>
        <v>13.7</v>
      </c>
      <c r="M36" s="295">
        <f t="shared" si="234"/>
        <v>8.5000000000000018</v>
      </c>
      <c r="N36" s="142">
        <f t="shared" si="234"/>
        <v>9.6</v>
      </c>
      <c r="O36" s="341">
        <f t="shared" si="234"/>
        <v>18.100000000000005</v>
      </c>
      <c r="P36" s="295">
        <f t="shared" si="234"/>
        <v>16.5</v>
      </c>
      <c r="Q36" s="142">
        <f t="shared" si="234"/>
        <v>11.199999999999992</v>
      </c>
      <c r="R36" s="341">
        <f>+R26+R28+R30</f>
        <v>27.699999999999996</v>
      </c>
      <c r="S36" s="295">
        <f t="shared" ref="S36:T36" si="235">+S26+S28+S30</f>
        <v>22.18</v>
      </c>
      <c r="T36" s="142">
        <f t="shared" si="235"/>
        <v>24.466000000000005</v>
      </c>
      <c r="U36" s="341">
        <f>+U26+U28+U30</f>
        <v>46.646000000000001</v>
      </c>
      <c r="V36" s="296">
        <f t="shared" ref="V36:AJ36" si="236">+V26+V28+V30</f>
        <v>30.377919102676053</v>
      </c>
      <c r="W36" s="296">
        <f t="shared" si="236"/>
        <v>29.487633146634067</v>
      </c>
      <c r="X36" s="290">
        <f t="shared" si="236"/>
        <v>59.865552249310127</v>
      </c>
      <c r="Y36" s="296">
        <f t="shared" si="236"/>
        <v>41.038135990029865</v>
      </c>
      <c r="Z36" s="296">
        <f t="shared" si="236"/>
        <v>41.169760786813058</v>
      </c>
      <c r="AA36" s="290">
        <f t="shared" si="236"/>
        <v>82.207896776842915</v>
      </c>
      <c r="AB36" s="296">
        <f t="shared" si="236"/>
        <v>56.142854599695511</v>
      </c>
      <c r="AC36" s="296">
        <f t="shared" si="236"/>
        <v>56.384955256585684</v>
      </c>
      <c r="AD36" s="290">
        <f t="shared" si="236"/>
        <v>112.52780985628117</v>
      </c>
      <c r="AE36" s="296">
        <f t="shared" si="236"/>
        <v>71.877395425087172</v>
      </c>
      <c r="AF36" s="296">
        <f t="shared" si="236"/>
        <v>71.930991711347247</v>
      </c>
      <c r="AG36" s="290">
        <f t="shared" si="236"/>
        <v>143.80838713643442</v>
      </c>
      <c r="AH36" s="296">
        <f t="shared" si="236"/>
        <v>89.869888760117036</v>
      </c>
      <c r="AI36" s="296">
        <f t="shared" si="236"/>
        <v>87.899656103924329</v>
      </c>
      <c r="AJ36" s="290">
        <f t="shared" si="236"/>
        <v>177.76954486404139</v>
      </c>
      <c r="AK36" s="296">
        <f t="shared" ref="AK36:AM36" si="237">+AK26+AK28+AK30</f>
        <v>99.087709755652185</v>
      </c>
      <c r="AL36" s="296">
        <f t="shared" si="237"/>
        <v>98.742845219293997</v>
      </c>
      <c r="AM36" s="290">
        <f t="shared" si="237"/>
        <v>197.83055497494618</v>
      </c>
      <c r="AN36" s="296">
        <f t="shared" ref="AN36:AP36" si="238">+AN26+AN28+AN30</f>
        <v>113.26156585533212</v>
      </c>
      <c r="AO36" s="296">
        <f t="shared" si="238"/>
        <v>112.58564321171968</v>
      </c>
      <c r="AP36" s="290">
        <f t="shared" si="238"/>
        <v>225.84720906705184</v>
      </c>
      <c r="AQ36" s="296">
        <f t="shared" ref="AQ36:AS36" si="239">+AQ26+AQ28+AQ30</f>
        <v>128.54130983406054</v>
      </c>
      <c r="AR36" s="296">
        <f t="shared" si="239"/>
        <v>127.50159425804591</v>
      </c>
      <c r="AS36" s="290">
        <f t="shared" si="239"/>
        <v>256.04290409210648</v>
      </c>
      <c r="AT36" s="296">
        <f t="shared" ref="AT36:AV36" si="240">+AT26+AT28+AT30</f>
        <v>144.99204179327114</v>
      </c>
      <c r="AU36" s="296">
        <f t="shared" si="240"/>
        <v>143.55326627858017</v>
      </c>
      <c r="AV36" s="290">
        <f t="shared" si="240"/>
        <v>288.54530807185131</v>
      </c>
      <c r="AW36" s="296">
        <f t="shared" ref="AW36:AY36" si="241">+AW26+AW28+AW30</f>
        <v>162.68164437517279</v>
      </c>
      <c r="AX36" s="296">
        <f t="shared" si="241"/>
        <v>160.80583146446628</v>
      </c>
      <c r="AY36" s="290">
        <f t="shared" si="241"/>
        <v>323.48747583963922</v>
      </c>
    </row>
    <row r="37" spans="1:51" s="17" customFormat="1" ht="12" customHeight="1" x14ac:dyDescent="0.2">
      <c r="A37" s="138"/>
      <c r="B37" s="6"/>
      <c r="C37" s="130"/>
      <c r="D37" s="142"/>
      <c r="E37" s="142"/>
      <c r="F37" s="143"/>
      <c r="G37" s="142"/>
      <c r="H37" s="142"/>
      <c r="I37" s="143"/>
      <c r="J37" s="142"/>
      <c r="K37" s="142"/>
      <c r="L37" s="143"/>
      <c r="M37" s="142"/>
      <c r="N37" s="142"/>
      <c r="O37" s="143"/>
      <c r="P37" s="142"/>
      <c r="Q37" s="142"/>
      <c r="R37" s="143"/>
      <c r="S37" s="142"/>
      <c r="T37" s="142"/>
      <c r="U37" s="143"/>
      <c r="V37" s="142"/>
      <c r="W37" s="142"/>
      <c r="X37" s="143"/>
      <c r="Y37" s="142"/>
      <c r="Z37" s="142"/>
      <c r="AA37" s="143"/>
      <c r="AB37" s="142"/>
      <c r="AC37" s="142"/>
      <c r="AD37" s="143"/>
      <c r="AE37" s="142"/>
      <c r="AF37" s="142"/>
      <c r="AG37" s="143"/>
      <c r="AH37" s="142"/>
      <c r="AI37" s="142"/>
      <c r="AJ37" s="143"/>
      <c r="AK37" s="142"/>
      <c r="AL37" s="142"/>
      <c r="AM37" s="143"/>
      <c r="AN37" s="142"/>
      <c r="AO37" s="142"/>
      <c r="AP37" s="143"/>
      <c r="AQ37" s="142"/>
      <c r="AR37" s="142"/>
      <c r="AS37" s="143"/>
      <c r="AT37" s="142"/>
      <c r="AU37" s="142"/>
      <c r="AV37" s="143"/>
      <c r="AW37" s="142"/>
      <c r="AX37" s="142"/>
      <c r="AY37" s="143"/>
    </row>
    <row r="38" spans="1:51" s="17" customFormat="1" ht="12" customHeight="1" x14ac:dyDescent="0.2">
      <c r="A38" s="138"/>
      <c r="B38" s="6"/>
      <c r="C38" s="130"/>
      <c r="D38" s="142"/>
      <c r="E38" s="142"/>
      <c r="F38" s="143"/>
      <c r="G38" s="142"/>
      <c r="H38" s="142"/>
      <c r="I38" s="143"/>
      <c r="J38" s="142"/>
      <c r="K38" s="142"/>
      <c r="L38" s="143"/>
      <c r="M38" s="142"/>
      <c r="N38" s="142"/>
      <c r="O38" s="357"/>
      <c r="P38" s="142"/>
      <c r="Q38" s="142"/>
      <c r="R38" s="357"/>
      <c r="S38" s="142"/>
      <c r="T38" s="142"/>
      <c r="U38" s="357"/>
      <c r="V38" s="142"/>
      <c r="W38" s="142"/>
      <c r="X38" s="143"/>
      <c r="Y38" s="142"/>
      <c r="Z38" s="142"/>
      <c r="AA38" s="143"/>
      <c r="AB38" s="142"/>
      <c r="AC38" s="142"/>
      <c r="AD38" s="143"/>
      <c r="AE38" s="142"/>
      <c r="AF38" s="142"/>
      <c r="AG38" s="143"/>
      <c r="AH38" s="142"/>
      <c r="AI38" s="142"/>
      <c r="AJ38" s="143"/>
      <c r="AK38" s="142"/>
      <c r="AL38" s="142"/>
      <c r="AM38" s="143"/>
      <c r="AN38" s="142"/>
      <c r="AO38" s="142"/>
      <c r="AP38" s="143"/>
      <c r="AQ38" s="142"/>
      <c r="AR38" s="142"/>
      <c r="AS38" s="143"/>
      <c r="AT38" s="142"/>
      <c r="AU38" s="142"/>
      <c r="AV38" s="143"/>
      <c r="AW38" s="142"/>
      <c r="AX38" s="142"/>
      <c r="AY38" s="143"/>
    </row>
    <row r="39" spans="1:51" s="17" customFormat="1" ht="12" customHeight="1" x14ac:dyDescent="0.2">
      <c r="A39" s="14"/>
      <c r="B39" s="10" t="s">
        <v>470</v>
      </c>
      <c r="C39" s="130"/>
      <c r="D39" s="142"/>
      <c r="E39" s="142"/>
      <c r="F39" s="143"/>
      <c r="G39" s="142"/>
      <c r="H39" s="142"/>
      <c r="I39" s="143"/>
      <c r="J39" s="142"/>
      <c r="K39" s="142"/>
      <c r="L39" s="143"/>
      <c r="M39" s="142"/>
      <c r="N39" s="142"/>
      <c r="O39" s="143"/>
      <c r="P39" s="142"/>
      <c r="Q39" s="142"/>
      <c r="R39" s="143"/>
      <c r="S39" s="142"/>
      <c r="T39" s="142"/>
      <c r="U39" s="143"/>
      <c r="V39" s="142"/>
      <c r="W39" s="142"/>
      <c r="X39" s="143"/>
      <c r="Y39" s="142"/>
      <c r="Z39" s="142"/>
      <c r="AA39" s="143"/>
      <c r="AB39" s="142"/>
      <c r="AC39" s="142"/>
      <c r="AD39" s="143"/>
      <c r="AE39" s="142"/>
      <c r="AF39" s="142"/>
      <c r="AG39" s="143"/>
      <c r="AH39" s="142"/>
      <c r="AI39" s="142"/>
      <c r="AJ39" s="143"/>
      <c r="AK39" s="142"/>
      <c r="AL39" s="142"/>
      <c r="AM39" s="143"/>
      <c r="AN39" s="142"/>
      <c r="AO39" s="142"/>
      <c r="AP39" s="143"/>
      <c r="AQ39" s="142"/>
      <c r="AR39" s="142"/>
      <c r="AS39" s="143"/>
      <c r="AT39" s="142"/>
      <c r="AU39" s="142"/>
      <c r="AV39" s="143"/>
      <c r="AW39" s="142"/>
      <c r="AX39" s="142"/>
      <c r="AY39" s="143"/>
    </row>
    <row r="40" spans="1:51" s="17" customFormat="1" ht="12" customHeight="1" x14ac:dyDescent="0.2">
      <c r="A40" s="138"/>
      <c r="B40" s="6" t="s">
        <v>378</v>
      </c>
      <c r="C40" s="269"/>
      <c r="D40" s="270"/>
      <c r="E40" s="270"/>
      <c r="F40" s="143"/>
      <c r="G40" s="270"/>
      <c r="H40" s="270"/>
      <c r="I40" s="339"/>
      <c r="J40" s="130"/>
      <c r="K40" s="130"/>
      <c r="L40" s="339">
        <f t="shared" ref="L40" si="242">+L136</f>
        <v>46</v>
      </c>
      <c r="M40" s="223"/>
      <c r="N40" s="223"/>
      <c r="O40" s="339">
        <f t="shared" ref="O40" si="243">+O136</f>
        <v>55</v>
      </c>
      <c r="P40" s="223">
        <f t="shared" ref="P40:R40" si="244">+P136</f>
        <v>62</v>
      </c>
      <c r="Q40" s="223">
        <f t="shared" si="244"/>
        <v>64</v>
      </c>
      <c r="R40" s="339">
        <f t="shared" si="244"/>
        <v>64</v>
      </c>
      <c r="S40" s="223">
        <f t="shared" ref="S40:U40" si="245">+S136</f>
        <v>74</v>
      </c>
      <c r="T40" s="223">
        <f t="shared" si="245"/>
        <v>81</v>
      </c>
      <c r="U40" s="339">
        <f t="shared" si="245"/>
        <v>81</v>
      </c>
      <c r="V40" s="223">
        <f t="shared" ref="V40:AJ40" si="246">+V136</f>
        <v>87</v>
      </c>
      <c r="W40" s="223">
        <f t="shared" si="246"/>
        <v>93</v>
      </c>
      <c r="X40" s="339">
        <f t="shared" si="246"/>
        <v>93</v>
      </c>
      <c r="Y40" s="223">
        <f t="shared" si="246"/>
        <v>99</v>
      </c>
      <c r="Z40" s="223">
        <f t="shared" si="246"/>
        <v>105</v>
      </c>
      <c r="AA40" s="339">
        <f t="shared" si="246"/>
        <v>105</v>
      </c>
      <c r="AB40" s="223">
        <f t="shared" si="246"/>
        <v>111</v>
      </c>
      <c r="AC40" s="223">
        <f t="shared" si="246"/>
        <v>117</v>
      </c>
      <c r="AD40" s="339">
        <f t="shared" si="246"/>
        <v>117</v>
      </c>
      <c r="AE40" s="223">
        <f t="shared" si="246"/>
        <v>123</v>
      </c>
      <c r="AF40" s="223">
        <f t="shared" si="246"/>
        <v>129</v>
      </c>
      <c r="AG40" s="339">
        <f t="shared" si="246"/>
        <v>129</v>
      </c>
      <c r="AH40" s="223">
        <f t="shared" si="246"/>
        <v>135</v>
      </c>
      <c r="AI40" s="223">
        <f t="shared" si="246"/>
        <v>141</v>
      </c>
      <c r="AJ40" s="339">
        <f t="shared" si="246"/>
        <v>141</v>
      </c>
      <c r="AK40" s="223">
        <f t="shared" ref="AK40:AM40" si="247">+AK136</f>
        <v>147</v>
      </c>
      <c r="AL40" s="223">
        <f t="shared" si="247"/>
        <v>153</v>
      </c>
      <c r="AM40" s="339">
        <f t="shared" si="247"/>
        <v>153</v>
      </c>
      <c r="AN40" s="223">
        <f t="shared" ref="AN40:AP40" si="248">+AN136</f>
        <v>159</v>
      </c>
      <c r="AO40" s="223">
        <f t="shared" si="248"/>
        <v>165</v>
      </c>
      <c r="AP40" s="339">
        <f t="shared" si="248"/>
        <v>165</v>
      </c>
      <c r="AQ40" s="223">
        <f t="shared" ref="AQ40:AS40" si="249">+AQ136</f>
        <v>171</v>
      </c>
      <c r="AR40" s="223">
        <f t="shared" si="249"/>
        <v>177</v>
      </c>
      <c r="AS40" s="339">
        <f t="shared" si="249"/>
        <v>177</v>
      </c>
      <c r="AT40" s="223">
        <f t="shared" ref="AT40:AV40" si="250">+AT136</f>
        <v>183</v>
      </c>
      <c r="AU40" s="223">
        <f t="shared" si="250"/>
        <v>189</v>
      </c>
      <c r="AV40" s="339">
        <f t="shared" si="250"/>
        <v>189</v>
      </c>
      <c r="AW40" s="223">
        <f t="shared" ref="AW40:AY40" si="251">+AW136</f>
        <v>195</v>
      </c>
      <c r="AX40" s="223">
        <f t="shared" si="251"/>
        <v>201</v>
      </c>
      <c r="AY40" s="339">
        <f t="shared" si="251"/>
        <v>201</v>
      </c>
    </row>
    <row r="41" spans="1:51" s="17" customFormat="1" ht="12" customHeight="1" x14ac:dyDescent="0.2">
      <c r="A41" s="138"/>
      <c r="B41" s="6" t="s">
        <v>466</v>
      </c>
      <c r="C41" s="269"/>
      <c r="D41" s="270"/>
      <c r="E41" s="270"/>
      <c r="F41" s="143"/>
      <c r="G41" s="270"/>
      <c r="H41" s="270"/>
      <c r="I41" s="339"/>
      <c r="J41" s="130"/>
      <c r="K41" s="130"/>
      <c r="L41" s="339">
        <f t="shared" ref="L41" si="252">+L137</f>
        <v>104</v>
      </c>
      <c r="M41" s="223"/>
      <c r="N41" s="223"/>
      <c r="O41" s="339">
        <f t="shared" ref="O41" si="253">+O137</f>
        <v>116</v>
      </c>
      <c r="P41" s="223">
        <f t="shared" ref="P41:R44" si="254">+P137</f>
        <v>121</v>
      </c>
      <c r="Q41" s="223">
        <f t="shared" si="254"/>
        <v>130</v>
      </c>
      <c r="R41" s="339">
        <f t="shared" si="254"/>
        <v>130</v>
      </c>
      <c r="S41" s="223">
        <f t="shared" ref="S41:U41" si="255">+S137</f>
        <v>136</v>
      </c>
      <c r="T41" s="223">
        <f t="shared" si="255"/>
        <v>143</v>
      </c>
      <c r="U41" s="339">
        <f t="shared" si="255"/>
        <v>143</v>
      </c>
      <c r="V41" s="223">
        <f t="shared" ref="V41:AJ41" si="256">+V137</f>
        <v>152</v>
      </c>
      <c r="W41" s="223">
        <f t="shared" si="256"/>
        <v>161</v>
      </c>
      <c r="X41" s="339">
        <f t="shared" si="256"/>
        <v>161</v>
      </c>
      <c r="Y41" s="223">
        <f t="shared" si="256"/>
        <v>170</v>
      </c>
      <c r="Z41" s="223">
        <f t="shared" si="256"/>
        <v>179</v>
      </c>
      <c r="AA41" s="339">
        <f t="shared" si="256"/>
        <v>179</v>
      </c>
      <c r="AB41" s="223">
        <f t="shared" si="256"/>
        <v>188</v>
      </c>
      <c r="AC41" s="223">
        <f t="shared" si="256"/>
        <v>197</v>
      </c>
      <c r="AD41" s="339">
        <f t="shared" si="256"/>
        <v>197</v>
      </c>
      <c r="AE41" s="223">
        <f t="shared" si="256"/>
        <v>206</v>
      </c>
      <c r="AF41" s="223">
        <f t="shared" si="256"/>
        <v>215</v>
      </c>
      <c r="AG41" s="339">
        <f t="shared" si="256"/>
        <v>215</v>
      </c>
      <c r="AH41" s="223">
        <f t="shared" si="256"/>
        <v>224</v>
      </c>
      <c r="AI41" s="223">
        <f t="shared" si="256"/>
        <v>233</v>
      </c>
      <c r="AJ41" s="339">
        <f t="shared" si="256"/>
        <v>233</v>
      </c>
      <c r="AK41" s="223">
        <f t="shared" ref="AK41:AM41" si="257">+AK137</f>
        <v>242</v>
      </c>
      <c r="AL41" s="223">
        <f t="shared" si="257"/>
        <v>251</v>
      </c>
      <c r="AM41" s="339">
        <f t="shared" si="257"/>
        <v>251</v>
      </c>
      <c r="AN41" s="223">
        <f t="shared" ref="AN41:AP41" si="258">+AN137</f>
        <v>260</v>
      </c>
      <c r="AO41" s="223">
        <f t="shared" si="258"/>
        <v>269</v>
      </c>
      <c r="AP41" s="339">
        <f t="shared" si="258"/>
        <v>269</v>
      </c>
      <c r="AQ41" s="223">
        <f t="shared" ref="AQ41:AS41" si="259">+AQ137</f>
        <v>278</v>
      </c>
      <c r="AR41" s="223">
        <f t="shared" si="259"/>
        <v>287</v>
      </c>
      <c r="AS41" s="339">
        <f t="shared" si="259"/>
        <v>287</v>
      </c>
      <c r="AT41" s="223">
        <f t="shared" ref="AT41:AV41" si="260">+AT137</f>
        <v>296</v>
      </c>
      <c r="AU41" s="223">
        <f t="shared" si="260"/>
        <v>305</v>
      </c>
      <c r="AV41" s="339">
        <f t="shared" si="260"/>
        <v>305</v>
      </c>
      <c r="AW41" s="223">
        <f t="shared" ref="AW41:AY41" si="261">+AW137</f>
        <v>314</v>
      </c>
      <c r="AX41" s="223">
        <f t="shared" si="261"/>
        <v>323</v>
      </c>
      <c r="AY41" s="339">
        <f t="shared" si="261"/>
        <v>323</v>
      </c>
    </row>
    <row r="42" spans="1:51" s="17" customFormat="1" ht="12" customHeight="1" x14ac:dyDescent="0.2">
      <c r="A42" s="138"/>
      <c r="B42" s="162" t="s">
        <v>467</v>
      </c>
      <c r="C42" s="268"/>
      <c r="D42" s="233"/>
      <c r="E42" s="233"/>
      <c r="F42" s="169"/>
      <c r="G42" s="233"/>
      <c r="H42" s="233"/>
      <c r="I42" s="340"/>
      <c r="J42" s="265"/>
      <c r="K42" s="265"/>
      <c r="L42" s="340">
        <f t="shared" ref="L42" si="262">+L138</f>
        <v>150</v>
      </c>
      <c r="M42" s="266"/>
      <c r="N42" s="266"/>
      <c r="O42" s="340">
        <f t="shared" ref="O42" si="263">+O138</f>
        <v>171</v>
      </c>
      <c r="P42" s="266">
        <f t="shared" si="254"/>
        <v>183</v>
      </c>
      <c r="Q42" s="266">
        <f t="shared" si="254"/>
        <v>194</v>
      </c>
      <c r="R42" s="340">
        <f t="shared" si="254"/>
        <v>194</v>
      </c>
      <c r="S42" s="266">
        <f t="shared" ref="S42:U42" si="264">+S138</f>
        <v>210</v>
      </c>
      <c r="T42" s="266">
        <f t="shared" si="264"/>
        <v>224</v>
      </c>
      <c r="U42" s="340">
        <f t="shared" si="264"/>
        <v>224</v>
      </c>
      <c r="V42" s="266">
        <f t="shared" ref="V42:AJ42" si="265">+V138</f>
        <v>239</v>
      </c>
      <c r="W42" s="266">
        <f t="shared" si="265"/>
        <v>254</v>
      </c>
      <c r="X42" s="340">
        <f t="shared" si="265"/>
        <v>254</v>
      </c>
      <c r="Y42" s="266">
        <f t="shared" si="265"/>
        <v>269</v>
      </c>
      <c r="Z42" s="266">
        <f t="shared" si="265"/>
        <v>284</v>
      </c>
      <c r="AA42" s="340">
        <f t="shared" si="265"/>
        <v>284</v>
      </c>
      <c r="AB42" s="266">
        <f t="shared" si="265"/>
        <v>299</v>
      </c>
      <c r="AC42" s="266">
        <f t="shared" si="265"/>
        <v>314</v>
      </c>
      <c r="AD42" s="340">
        <f t="shared" si="265"/>
        <v>314</v>
      </c>
      <c r="AE42" s="266">
        <f t="shared" si="265"/>
        <v>329</v>
      </c>
      <c r="AF42" s="266">
        <f t="shared" si="265"/>
        <v>344</v>
      </c>
      <c r="AG42" s="340">
        <f t="shared" si="265"/>
        <v>344</v>
      </c>
      <c r="AH42" s="266">
        <f t="shared" si="265"/>
        <v>359</v>
      </c>
      <c r="AI42" s="266">
        <f t="shared" si="265"/>
        <v>374</v>
      </c>
      <c r="AJ42" s="340">
        <f t="shared" si="265"/>
        <v>374</v>
      </c>
      <c r="AK42" s="266">
        <f t="shared" ref="AK42:AM42" si="266">+AK138</f>
        <v>389</v>
      </c>
      <c r="AL42" s="266">
        <f t="shared" si="266"/>
        <v>404</v>
      </c>
      <c r="AM42" s="340">
        <f t="shared" si="266"/>
        <v>404</v>
      </c>
      <c r="AN42" s="266">
        <f t="shared" ref="AN42:AP42" si="267">+AN138</f>
        <v>419</v>
      </c>
      <c r="AO42" s="266">
        <f t="shared" si="267"/>
        <v>434</v>
      </c>
      <c r="AP42" s="340">
        <f t="shared" si="267"/>
        <v>434</v>
      </c>
      <c r="AQ42" s="266">
        <f t="shared" ref="AQ42:AS42" si="268">+AQ138</f>
        <v>449</v>
      </c>
      <c r="AR42" s="266">
        <f t="shared" si="268"/>
        <v>464</v>
      </c>
      <c r="AS42" s="340">
        <f t="shared" si="268"/>
        <v>464</v>
      </c>
      <c r="AT42" s="266">
        <f t="shared" ref="AT42:AV42" si="269">+AT138</f>
        <v>479</v>
      </c>
      <c r="AU42" s="266">
        <f t="shared" si="269"/>
        <v>494</v>
      </c>
      <c r="AV42" s="340">
        <f t="shared" si="269"/>
        <v>494</v>
      </c>
      <c r="AW42" s="266">
        <f t="shared" ref="AW42:AY42" si="270">+AW138</f>
        <v>509</v>
      </c>
      <c r="AX42" s="266">
        <f t="shared" si="270"/>
        <v>524</v>
      </c>
      <c r="AY42" s="340">
        <f t="shared" si="270"/>
        <v>524</v>
      </c>
    </row>
    <row r="43" spans="1:51" s="17" customFormat="1" ht="12" customHeight="1" x14ac:dyDescent="0.2">
      <c r="A43" s="138"/>
      <c r="B43" s="6" t="s">
        <v>468</v>
      </c>
      <c r="C43" s="269"/>
      <c r="D43" s="270"/>
      <c r="E43" s="270"/>
      <c r="F43" s="143"/>
      <c r="G43" s="270"/>
      <c r="H43" s="270"/>
      <c r="I43" s="339"/>
      <c r="J43" s="130"/>
      <c r="K43" s="130"/>
      <c r="L43" s="339">
        <f t="shared" ref="L43" si="271">+L139</f>
        <v>13</v>
      </c>
      <c r="M43" s="223"/>
      <c r="N43" s="223"/>
      <c r="O43" s="339">
        <f t="shared" ref="O43" si="272">+O139</f>
        <v>16</v>
      </c>
      <c r="P43" s="223">
        <f t="shared" si="254"/>
        <v>16</v>
      </c>
      <c r="Q43" s="223">
        <f t="shared" si="254"/>
        <v>17</v>
      </c>
      <c r="R43" s="339">
        <f t="shared" si="254"/>
        <v>17</v>
      </c>
      <c r="S43" s="223">
        <f t="shared" ref="S43:U43" si="273">+S139</f>
        <v>20</v>
      </c>
      <c r="T43" s="223">
        <f t="shared" si="273"/>
        <v>21</v>
      </c>
      <c r="U43" s="339">
        <f t="shared" si="273"/>
        <v>21</v>
      </c>
      <c r="V43" s="223">
        <f t="shared" ref="V43:AJ43" si="274">+V139</f>
        <v>22</v>
      </c>
      <c r="W43" s="223">
        <f t="shared" si="274"/>
        <v>23</v>
      </c>
      <c r="X43" s="339">
        <f t="shared" si="274"/>
        <v>23</v>
      </c>
      <c r="Y43" s="223">
        <f t="shared" si="274"/>
        <v>24</v>
      </c>
      <c r="Z43" s="223">
        <f t="shared" si="274"/>
        <v>25</v>
      </c>
      <c r="AA43" s="339">
        <f t="shared" si="274"/>
        <v>25</v>
      </c>
      <c r="AB43" s="223">
        <f t="shared" si="274"/>
        <v>26</v>
      </c>
      <c r="AC43" s="223">
        <f t="shared" si="274"/>
        <v>27</v>
      </c>
      <c r="AD43" s="339">
        <f t="shared" si="274"/>
        <v>27</v>
      </c>
      <c r="AE43" s="223">
        <f t="shared" si="274"/>
        <v>28</v>
      </c>
      <c r="AF43" s="223">
        <f t="shared" si="274"/>
        <v>29</v>
      </c>
      <c r="AG43" s="339">
        <f t="shared" si="274"/>
        <v>29</v>
      </c>
      <c r="AH43" s="223">
        <f t="shared" si="274"/>
        <v>30</v>
      </c>
      <c r="AI43" s="223">
        <f t="shared" si="274"/>
        <v>31</v>
      </c>
      <c r="AJ43" s="339">
        <f t="shared" si="274"/>
        <v>31</v>
      </c>
      <c r="AK43" s="223">
        <f t="shared" ref="AK43:AM43" si="275">+AK139</f>
        <v>32</v>
      </c>
      <c r="AL43" s="223">
        <f t="shared" si="275"/>
        <v>33</v>
      </c>
      <c r="AM43" s="339">
        <f t="shared" si="275"/>
        <v>33</v>
      </c>
      <c r="AN43" s="223">
        <f t="shared" ref="AN43:AP43" si="276">+AN139</f>
        <v>34</v>
      </c>
      <c r="AO43" s="223">
        <f t="shared" si="276"/>
        <v>35</v>
      </c>
      <c r="AP43" s="339">
        <f t="shared" si="276"/>
        <v>35</v>
      </c>
      <c r="AQ43" s="223">
        <f t="shared" ref="AQ43:AS43" si="277">+AQ139</f>
        <v>36</v>
      </c>
      <c r="AR43" s="223">
        <f t="shared" si="277"/>
        <v>37</v>
      </c>
      <c r="AS43" s="339">
        <f t="shared" si="277"/>
        <v>37</v>
      </c>
      <c r="AT43" s="223">
        <f t="shared" ref="AT43:AV43" si="278">+AT139</f>
        <v>38</v>
      </c>
      <c r="AU43" s="223">
        <f t="shared" si="278"/>
        <v>39</v>
      </c>
      <c r="AV43" s="339">
        <f t="shared" si="278"/>
        <v>39</v>
      </c>
      <c r="AW43" s="223">
        <f t="shared" ref="AW43:AY43" si="279">+AW139</f>
        <v>40</v>
      </c>
      <c r="AX43" s="223">
        <f t="shared" si="279"/>
        <v>41</v>
      </c>
      <c r="AY43" s="339">
        <f t="shared" si="279"/>
        <v>41</v>
      </c>
    </row>
    <row r="44" spans="1:51" s="17" customFormat="1" ht="12" customHeight="1" x14ac:dyDescent="0.2">
      <c r="A44" s="138"/>
      <c r="B44" s="6" t="s">
        <v>469</v>
      </c>
      <c r="C44" s="269"/>
      <c r="D44" s="270"/>
      <c r="E44" s="270"/>
      <c r="F44" s="143"/>
      <c r="G44" s="270"/>
      <c r="H44" s="270"/>
      <c r="I44" s="339"/>
      <c r="J44" s="130"/>
      <c r="K44" s="130"/>
      <c r="L44" s="339">
        <f t="shared" ref="L44" si="280">+L140</f>
        <v>4</v>
      </c>
      <c r="M44" s="223"/>
      <c r="N44" s="223"/>
      <c r="O44" s="339">
        <f t="shared" ref="O44" si="281">+O140</f>
        <v>4</v>
      </c>
      <c r="P44" s="223">
        <f t="shared" si="254"/>
        <v>5</v>
      </c>
      <c r="Q44" s="223">
        <f t="shared" si="254"/>
        <v>5</v>
      </c>
      <c r="R44" s="339">
        <f t="shared" si="254"/>
        <v>5</v>
      </c>
      <c r="S44" s="223">
        <f t="shared" ref="S44:U44" si="282">+S140</f>
        <v>5</v>
      </c>
      <c r="T44" s="223">
        <f t="shared" si="282"/>
        <v>5</v>
      </c>
      <c r="U44" s="339">
        <f t="shared" si="282"/>
        <v>5</v>
      </c>
      <c r="V44" s="223">
        <f t="shared" ref="V44:AJ44" si="283">+V140</f>
        <v>6</v>
      </c>
      <c r="W44" s="223">
        <f t="shared" si="283"/>
        <v>7</v>
      </c>
      <c r="X44" s="339">
        <f t="shared" si="283"/>
        <v>7</v>
      </c>
      <c r="Y44" s="223">
        <f t="shared" si="283"/>
        <v>8</v>
      </c>
      <c r="Z44" s="223">
        <f t="shared" si="283"/>
        <v>9</v>
      </c>
      <c r="AA44" s="339">
        <f t="shared" si="283"/>
        <v>9</v>
      </c>
      <c r="AB44" s="223">
        <f t="shared" si="283"/>
        <v>10</v>
      </c>
      <c r="AC44" s="223">
        <f t="shared" si="283"/>
        <v>11</v>
      </c>
      <c r="AD44" s="339">
        <f t="shared" si="283"/>
        <v>11</v>
      </c>
      <c r="AE44" s="223">
        <f t="shared" si="283"/>
        <v>12</v>
      </c>
      <c r="AF44" s="223">
        <f t="shared" si="283"/>
        <v>13</v>
      </c>
      <c r="AG44" s="339">
        <f t="shared" si="283"/>
        <v>13</v>
      </c>
      <c r="AH44" s="223">
        <f t="shared" si="283"/>
        <v>14</v>
      </c>
      <c r="AI44" s="223">
        <f t="shared" si="283"/>
        <v>15</v>
      </c>
      <c r="AJ44" s="339">
        <f t="shared" si="283"/>
        <v>15</v>
      </c>
      <c r="AK44" s="223">
        <f t="shared" ref="AK44:AM44" si="284">+AK140</f>
        <v>16</v>
      </c>
      <c r="AL44" s="223">
        <f t="shared" si="284"/>
        <v>17</v>
      </c>
      <c r="AM44" s="339">
        <f t="shared" si="284"/>
        <v>17</v>
      </c>
      <c r="AN44" s="223">
        <f t="shared" ref="AN44:AP44" si="285">+AN140</f>
        <v>18</v>
      </c>
      <c r="AO44" s="223">
        <f t="shared" si="285"/>
        <v>19</v>
      </c>
      <c r="AP44" s="339">
        <f t="shared" si="285"/>
        <v>19</v>
      </c>
      <c r="AQ44" s="223">
        <f t="shared" ref="AQ44:AS44" si="286">+AQ140</f>
        <v>20</v>
      </c>
      <c r="AR44" s="223">
        <f t="shared" si="286"/>
        <v>21</v>
      </c>
      <c r="AS44" s="339">
        <f t="shared" si="286"/>
        <v>21</v>
      </c>
      <c r="AT44" s="223">
        <f t="shared" ref="AT44:AV44" si="287">+AT140</f>
        <v>22</v>
      </c>
      <c r="AU44" s="223">
        <f t="shared" si="287"/>
        <v>23</v>
      </c>
      <c r="AV44" s="339">
        <f t="shared" si="287"/>
        <v>23</v>
      </c>
      <c r="AW44" s="223">
        <f t="shared" ref="AW44:AY44" si="288">+AW140</f>
        <v>24</v>
      </c>
      <c r="AX44" s="223">
        <f t="shared" si="288"/>
        <v>25</v>
      </c>
      <c r="AY44" s="339">
        <f t="shared" si="288"/>
        <v>25</v>
      </c>
    </row>
    <row r="45" spans="1:51" s="17" customFormat="1" ht="12" customHeight="1" x14ac:dyDescent="0.2">
      <c r="A45" s="138"/>
      <c r="B45" s="6" t="s">
        <v>445</v>
      </c>
      <c r="C45" s="269"/>
      <c r="D45" s="270"/>
      <c r="E45" s="270"/>
      <c r="F45" s="143"/>
      <c r="G45" s="270"/>
      <c r="H45" s="270"/>
      <c r="I45" s="339"/>
      <c r="J45" s="130"/>
      <c r="K45" s="130"/>
      <c r="L45" s="339">
        <f t="shared" ref="L45" si="289">+L234</f>
        <v>1</v>
      </c>
      <c r="M45" s="223"/>
      <c r="N45" s="223"/>
      <c r="O45" s="339">
        <f t="shared" ref="O45" si="290">+O234</f>
        <v>3</v>
      </c>
      <c r="P45" s="223">
        <f t="shared" ref="P45:R45" si="291">+P234</f>
        <v>4</v>
      </c>
      <c r="Q45" s="223">
        <f t="shared" si="291"/>
        <v>4</v>
      </c>
      <c r="R45" s="339">
        <f t="shared" si="291"/>
        <v>4</v>
      </c>
      <c r="S45" s="223">
        <f t="shared" ref="S45:U45" si="292">+S234</f>
        <v>4</v>
      </c>
      <c r="T45" s="223">
        <f t="shared" si="292"/>
        <v>6</v>
      </c>
      <c r="U45" s="339">
        <f t="shared" si="292"/>
        <v>6</v>
      </c>
      <c r="V45" s="223">
        <f t="shared" ref="V45:AJ45" si="293">+V234</f>
        <v>7</v>
      </c>
      <c r="W45" s="223">
        <f t="shared" si="293"/>
        <v>8</v>
      </c>
      <c r="X45" s="339">
        <f t="shared" si="293"/>
        <v>8</v>
      </c>
      <c r="Y45" s="223">
        <f t="shared" si="293"/>
        <v>9</v>
      </c>
      <c r="Z45" s="223">
        <f t="shared" si="293"/>
        <v>10</v>
      </c>
      <c r="AA45" s="339">
        <f t="shared" si="293"/>
        <v>10</v>
      </c>
      <c r="AB45" s="223">
        <f t="shared" si="293"/>
        <v>10</v>
      </c>
      <c r="AC45" s="223">
        <f t="shared" si="293"/>
        <v>10</v>
      </c>
      <c r="AD45" s="339">
        <f t="shared" si="293"/>
        <v>10</v>
      </c>
      <c r="AE45" s="223">
        <f t="shared" si="293"/>
        <v>10</v>
      </c>
      <c r="AF45" s="223">
        <f t="shared" si="293"/>
        <v>10</v>
      </c>
      <c r="AG45" s="339">
        <f t="shared" si="293"/>
        <v>10</v>
      </c>
      <c r="AH45" s="223">
        <f t="shared" si="293"/>
        <v>10</v>
      </c>
      <c r="AI45" s="223">
        <f t="shared" si="293"/>
        <v>10</v>
      </c>
      <c r="AJ45" s="339">
        <f t="shared" si="293"/>
        <v>10</v>
      </c>
      <c r="AK45" s="223">
        <f t="shared" ref="AK45:AM45" si="294">+AK234</f>
        <v>10</v>
      </c>
      <c r="AL45" s="223">
        <f t="shared" si="294"/>
        <v>10</v>
      </c>
      <c r="AM45" s="339">
        <f t="shared" si="294"/>
        <v>10</v>
      </c>
      <c r="AN45" s="223">
        <f t="shared" ref="AN45:AP45" si="295">+AN234</f>
        <v>10</v>
      </c>
      <c r="AO45" s="223">
        <f t="shared" si="295"/>
        <v>10</v>
      </c>
      <c r="AP45" s="339">
        <f t="shared" si="295"/>
        <v>10</v>
      </c>
      <c r="AQ45" s="223">
        <f t="shared" ref="AQ45:AS45" si="296">+AQ234</f>
        <v>10</v>
      </c>
      <c r="AR45" s="223">
        <f t="shared" si="296"/>
        <v>10</v>
      </c>
      <c r="AS45" s="339">
        <f t="shared" si="296"/>
        <v>10</v>
      </c>
      <c r="AT45" s="223">
        <f t="shared" ref="AT45:AV45" si="297">+AT234</f>
        <v>10</v>
      </c>
      <c r="AU45" s="223">
        <f t="shared" si="297"/>
        <v>10</v>
      </c>
      <c r="AV45" s="339">
        <f t="shared" si="297"/>
        <v>10</v>
      </c>
      <c r="AW45" s="223">
        <f t="shared" ref="AW45:AY45" si="298">+AW234</f>
        <v>10</v>
      </c>
      <c r="AX45" s="223">
        <f t="shared" si="298"/>
        <v>10</v>
      </c>
      <c r="AY45" s="339">
        <f t="shared" si="298"/>
        <v>10</v>
      </c>
    </row>
    <row r="46" spans="1:51" s="17" customFormat="1" ht="12" customHeight="1" x14ac:dyDescent="0.2">
      <c r="A46" s="138"/>
      <c r="B46" s="161" t="s">
        <v>472</v>
      </c>
      <c r="C46" s="268"/>
      <c r="D46" s="233"/>
      <c r="E46" s="233"/>
      <c r="F46" s="169"/>
      <c r="G46" s="233"/>
      <c r="H46" s="233"/>
      <c r="I46" s="281"/>
      <c r="J46" s="233"/>
      <c r="K46" s="233"/>
      <c r="L46" s="281">
        <f t="shared" ref="L46" si="299">+SUM(L42:L45)</f>
        <v>168</v>
      </c>
      <c r="M46" s="282"/>
      <c r="N46" s="282"/>
      <c r="O46" s="281">
        <f t="shared" ref="O46" si="300">+SUM(O42:O45)</f>
        <v>194</v>
      </c>
      <c r="P46" s="282">
        <f t="shared" ref="P46:R46" si="301">+SUM(P42:P45)</f>
        <v>208</v>
      </c>
      <c r="Q46" s="282">
        <f t="shared" si="301"/>
        <v>220</v>
      </c>
      <c r="R46" s="281">
        <f t="shared" si="301"/>
        <v>220</v>
      </c>
      <c r="S46" s="282">
        <f t="shared" ref="S46:U46" si="302">+SUM(S42:S45)</f>
        <v>239</v>
      </c>
      <c r="T46" s="282">
        <f t="shared" si="302"/>
        <v>256</v>
      </c>
      <c r="U46" s="281">
        <f t="shared" si="302"/>
        <v>256</v>
      </c>
      <c r="V46" s="282">
        <f t="shared" ref="V46" si="303">+SUM(V42:V45)</f>
        <v>274</v>
      </c>
      <c r="W46" s="282">
        <f t="shared" ref="W46" si="304">+SUM(W42:W45)</f>
        <v>292</v>
      </c>
      <c r="X46" s="281">
        <f t="shared" ref="X46" si="305">+SUM(X42:X45)</f>
        <v>292</v>
      </c>
      <c r="Y46" s="282">
        <f t="shared" ref="Y46" si="306">+SUM(Y42:Y45)</f>
        <v>310</v>
      </c>
      <c r="Z46" s="282">
        <f t="shared" ref="Z46" si="307">+SUM(Z42:Z45)</f>
        <v>328</v>
      </c>
      <c r="AA46" s="281">
        <f t="shared" ref="AA46" si="308">+SUM(AA42:AA45)</f>
        <v>328</v>
      </c>
      <c r="AB46" s="282">
        <f t="shared" ref="AB46" si="309">+SUM(AB42:AB45)</f>
        <v>345</v>
      </c>
      <c r="AC46" s="282">
        <f t="shared" ref="AC46" si="310">+SUM(AC42:AC45)</f>
        <v>362</v>
      </c>
      <c r="AD46" s="281">
        <f t="shared" ref="AD46" si="311">+SUM(AD42:AD45)</f>
        <v>362</v>
      </c>
      <c r="AE46" s="282">
        <f t="shared" ref="AE46" si="312">+SUM(AE42:AE45)</f>
        <v>379</v>
      </c>
      <c r="AF46" s="282">
        <f t="shared" ref="AF46" si="313">+SUM(AF42:AF45)</f>
        <v>396</v>
      </c>
      <c r="AG46" s="281">
        <f t="shared" ref="AG46" si="314">+SUM(AG42:AG45)</f>
        <v>396</v>
      </c>
      <c r="AH46" s="282">
        <f t="shared" ref="AH46" si="315">+SUM(AH42:AH45)</f>
        <v>413</v>
      </c>
      <c r="AI46" s="282">
        <f t="shared" ref="AI46" si="316">+SUM(AI42:AI45)</f>
        <v>430</v>
      </c>
      <c r="AJ46" s="281">
        <f t="shared" ref="AJ46:AL46" si="317">+SUM(AJ42:AJ45)</f>
        <v>430</v>
      </c>
      <c r="AK46" s="282">
        <f t="shared" si="317"/>
        <v>447</v>
      </c>
      <c r="AL46" s="282">
        <f t="shared" si="317"/>
        <v>464</v>
      </c>
      <c r="AM46" s="281">
        <f t="shared" ref="AM46:AO46" si="318">+SUM(AM42:AM45)</f>
        <v>464</v>
      </c>
      <c r="AN46" s="282">
        <f t="shared" si="318"/>
        <v>481</v>
      </c>
      <c r="AO46" s="282">
        <f t="shared" si="318"/>
        <v>498</v>
      </c>
      <c r="AP46" s="281">
        <f t="shared" ref="AP46:AR46" si="319">+SUM(AP42:AP45)</f>
        <v>498</v>
      </c>
      <c r="AQ46" s="282">
        <f t="shared" si="319"/>
        <v>515</v>
      </c>
      <c r="AR46" s="282">
        <f t="shared" si="319"/>
        <v>532</v>
      </c>
      <c r="AS46" s="281">
        <f t="shared" ref="AS46:AU46" si="320">+SUM(AS42:AS45)</f>
        <v>532</v>
      </c>
      <c r="AT46" s="282">
        <f t="shared" si="320"/>
        <v>549</v>
      </c>
      <c r="AU46" s="282">
        <f t="shared" si="320"/>
        <v>566</v>
      </c>
      <c r="AV46" s="281">
        <f t="shared" ref="AV46:AX46" si="321">+SUM(AV42:AV45)</f>
        <v>566</v>
      </c>
      <c r="AW46" s="282">
        <f t="shared" si="321"/>
        <v>583</v>
      </c>
      <c r="AX46" s="282">
        <f t="shared" si="321"/>
        <v>600</v>
      </c>
      <c r="AY46" s="281">
        <f t="shared" ref="AY46" si="322">+SUM(AY42:AY45)</f>
        <v>600</v>
      </c>
    </row>
    <row r="47" spans="1:51" s="17" customFormat="1" ht="12" customHeight="1" x14ac:dyDescent="0.2">
      <c r="A47" s="138"/>
      <c r="B47" s="6"/>
      <c r="C47" s="130"/>
      <c r="D47" s="142"/>
      <c r="E47" s="142"/>
      <c r="F47" s="143"/>
      <c r="G47" s="142"/>
      <c r="H47" s="142"/>
      <c r="I47" s="143"/>
      <c r="J47" s="142"/>
      <c r="K47" s="142"/>
      <c r="L47" s="143"/>
      <c r="M47" s="142"/>
      <c r="N47" s="142"/>
      <c r="O47" s="264"/>
      <c r="P47" s="142"/>
      <c r="Q47" s="142"/>
      <c r="R47" s="143"/>
      <c r="S47" s="142"/>
      <c r="T47" s="142"/>
      <c r="U47" s="143"/>
      <c r="V47" s="142"/>
      <c r="W47" s="142"/>
      <c r="X47" s="143"/>
      <c r="Y47" s="142"/>
      <c r="Z47" s="142"/>
      <c r="AA47" s="143"/>
      <c r="AB47" s="142"/>
      <c r="AC47" s="142"/>
      <c r="AD47" s="143"/>
      <c r="AE47" s="142"/>
      <c r="AF47" s="142"/>
      <c r="AG47" s="143"/>
      <c r="AH47" s="142"/>
      <c r="AI47" s="142"/>
      <c r="AJ47" s="143"/>
      <c r="AK47" s="142"/>
      <c r="AL47" s="142"/>
      <c r="AM47" s="143"/>
      <c r="AN47" s="142"/>
      <c r="AO47" s="142"/>
      <c r="AP47" s="143"/>
      <c r="AQ47" s="142"/>
      <c r="AR47" s="142"/>
      <c r="AS47" s="143"/>
      <c r="AT47" s="142"/>
      <c r="AU47" s="142"/>
      <c r="AV47" s="143"/>
      <c r="AW47" s="142"/>
      <c r="AX47" s="142"/>
      <c r="AY47" s="143"/>
    </row>
    <row r="48" spans="1:51" s="17" customFormat="1" ht="12" customHeight="1" x14ac:dyDescent="0.2">
      <c r="A48" s="138"/>
      <c r="B48" s="6"/>
      <c r="C48" s="130"/>
      <c r="D48" s="142"/>
      <c r="E48" s="142"/>
      <c r="F48" s="143"/>
      <c r="G48" s="142"/>
      <c r="H48" s="142"/>
      <c r="I48" s="143"/>
      <c r="J48" s="142"/>
      <c r="K48" s="142"/>
      <c r="L48" s="143"/>
      <c r="M48" s="142"/>
      <c r="N48" s="142"/>
      <c r="O48" s="143"/>
      <c r="P48" s="142"/>
      <c r="Q48" s="142"/>
      <c r="R48" s="143"/>
      <c r="S48" s="142"/>
      <c r="T48" s="142"/>
      <c r="U48" s="143"/>
      <c r="V48" s="142"/>
      <c r="W48" s="142"/>
      <c r="X48" s="143"/>
      <c r="Y48" s="142"/>
      <c r="Z48" s="142"/>
      <c r="AA48" s="143"/>
      <c r="AB48" s="142"/>
      <c r="AC48" s="142"/>
      <c r="AD48" s="143"/>
      <c r="AE48" s="142"/>
      <c r="AF48" s="142"/>
      <c r="AG48" s="143"/>
      <c r="AH48" s="142"/>
      <c r="AI48" s="142"/>
      <c r="AJ48" s="143"/>
      <c r="AK48" s="142"/>
      <c r="AL48" s="142"/>
      <c r="AM48" s="143"/>
      <c r="AN48" s="142"/>
      <c r="AO48" s="142"/>
      <c r="AP48" s="143"/>
      <c r="AQ48" s="142"/>
      <c r="AR48" s="142"/>
      <c r="AS48" s="143"/>
      <c r="AT48" s="142"/>
      <c r="AU48" s="142"/>
      <c r="AV48" s="143"/>
      <c r="AW48" s="142"/>
      <c r="AX48" s="142"/>
      <c r="AY48" s="143"/>
    </row>
    <row r="49" spans="1:51" s="17" customFormat="1" ht="12" customHeight="1" x14ac:dyDescent="0.2">
      <c r="A49" s="14"/>
      <c r="B49" s="10" t="s">
        <v>367</v>
      </c>
      <c r="C49" s="130"/>
      <c r="D49" s="142"/>
      <c r="E49" s="142"/>
      <c r="F49" s="143"/>
      <c r="G49" s="142"/>
      <c r="H49" s="142"/>
      <c r="I49" s="143"/>
      <c r="J49" s="142"/>
      <c r="K49" s="142"/>
      <c r="L49" s="143"/>
      <c r="M49" s="142"/>
      <c r="N49" s="142"/>
      <c r="O49" s="143"/>
      <c r="P49" s="142"/>
      <c r="Q49" s="142"/>
      <c r="R49" s="143"/>
      <c r="S49" s="142"/>
      <c r="T49" s="142"/>
      <c r="U49" s="143"/>
      <c r="V49" s="142"/>
      <c r="W49" s="142"/>
      <c r="X49" s="143"/>
      <c r="Y49" s="142"/>
      <c r="Z49" s="142"/>
      <c r="AA49" s="143"/>
      <c r="AB49" s="142"/>
      <c r="AC49" s="142"/>
      <c r="AD49" s="143"/>
      <c r="AE49" s="142"/>
      <c r="AF49" s="142"/>
      <c r="AG49" s="143"/>
      <c r="AH49" s="142"/>
      <c r="AI49" s="142"/>
      <c r="AJ49" s="143"/>
      <c r="AK49" s="142"/>
      <c r="AL49" s="142"/>
      <c r="AM49" s="143"/>
      <c r="AN49" s="142"/>
      <c r="AO49" s="142"/>
      <c r="AP49" s="143"/>
      <c r="AQ49" s="142"/>
      <c r="AR49" s="142"/>
      <c r="AS49" s="143"/>
      <c r="AT49" s="142"/>
      <c r="AU49" s="142"/>
      <c r="AV49" s="143"/>
      <c r="AW49" s="142"/>
      <c r="AX49" s="142"/>
      <c r="AY49" s="143"/>
    </row>
    <row r="50" spans="1:51" s="194" customFormat="1" ht="12" customHeight="1" x14ac:dyDescent="0.2">
      <c r="A50" s="190"/>
      <c r="B50" s="8" t="s">
        <v>540</v>
      </c>
      <c r="C50" s="131"/>
      <c r="D50" s="191"/>
      <c r="E50" s="191"/>
      <c r="F50" s="271"/>
      <c r="G50" s="191"/>
      <c r="H50" s="191"/>
      <c r="I50" s="271"/>
      <c r="J50" s="191"/>
      <c r="K50" s="191"/>
      <c r="L50" s="193">
        <f t="shared" ref="L50:Q50" si="323">+L26/L22</f>
        <v>8.9983230397971292E-2</v>
      </c>
      <c r="M50" s="192"/>
      <c r="N50" s="192"/>
      <c r="O50" s="193">
        <f t="shared" si="323"/>
        <v>0.10235536741560838</v>
      </c>
      <c r="P50" s="192">
        <f t="shared" si="323"/>
        <v>0.11985090547359088</v>
      </c>
      <c r="Q50" s="192">
        <f t="shared" si="323"/>
        <v>0.10868027831641383</v>
      </c>
      <c r="R50" s="193">
        <f>+R26/R22</f>
        <v>0.11412741734704016</v>
      </c>
      <c r="S50" s="192">
        <f t="shared" ref="S50:T50" si="324">+S26/S22</f>
        <v>0.1260103851350397</v>
      </c>
      <c r="T50" s="192">
        <f t="shared" si="324"/>
        <v>0.11542882503051148</v>
      </c>
      <c r="U50" s="193">
        <f>+U26/U22</f>
        <v>0.12010404647955594</v>
      </c>
      <c r="V50" s="222">
        <f t="shared" ref="V50:AJ50" si="325">+V26/V22</f>
        <v>0.12961218692818621</v>
      </c>
      <c r="W50" s="222">
        <f t="shared" si="325"/>
        <v>0.12239718575545719</v>
      </c>
      <c r="X50" s="193">
        <f t="shared" si="325"/>
        <v>0.12594870752024523</v>
      </c>
      <c r="Y50" s="222">
        <f t="shared" si="325"/>
        <v>0.14066391316662208</v>
      </c>
      <c r="Z50" s="222">
        <f t="shared" si="325"/>
        <v>0.13735775218237031</v>
      </c>
      <c r="AA50" s="193">
        <f t="shared" si="325"/>
        <v>0.13898873596771574</v>
      </c>
      <c r="AB50" s="222">
        <f t="shared" si="325"/>
        <v>0.15847716410167306</v>
      </c>
      <c r="AC50" s="222">
        <f t="shared" si="325"/>
        <v>0.15611135022943984</v>
      </c>
      <c r="AD50" s="193">
        <f t="shared" si="325"/>
        <v>0.15728294530882056</v>
      </c>
      <c r="AE50" s="222">
        <f t="shared" si="325"/>
        <v>0.17464624320387878</v>
      </c>
      <c r="AF50" s="222">
        <f t="shared" si="325"/>
        <v>0.17224737794454975</v>
      </c>
      <c r="AG50" s="193">
        <f t="shared" si="325"/>
        <v>0.17343808707195743</v>
      </c>
      <c r="AH50" s="222">
        <f t="shared" si="325"/>
        <v>0.1902300665748399</v>
      </c>
      <c r="AI50" s="222">
        <f t="shared" si="325"/>
        <v>0.18487212126034758</v>
      </c>
      <c r="AJ50" s="193">
        <f t="shared" si="325"/>
        <v>0.18754154795239375</v>
      </c>
      <c r="AK50" s="222">
        <f t="shared" ref="AK50:AM50" si="326">+AK26/AK22</f>
        <v>0.18567010978777373</v>
      </c>
      <c r="AL50" s="222">
        <f t="shared" si="326"/>
        <v>0.18430821243771084</v>
      </c>
      <c r="AM50" s="193">
        <f t="shared" si="326"/>
        <v>0.18498780662823974</v>
      </c>
      <c r="AN50" s="222">
        <f t="shared" ref="AN50:AP50" si="327">+AN26/AN22</f>
        <v>0.18890726000112287</v>
      </c>
      <c r="AO50" s="222">
        <f t="shared" si="327"/>
        <v>0.1875665174207056</v>
      </c>
      <c r="AP50" s="193">
        <f t="shared" si="327"/>
        <v>0.18823645568837988</v>
      </c>
      <c r="AQ50" s="222">
        <f t="shared" ref="AQ50:AS50" si="328">+AQ26/AQ22</f>
        <v>0.191960948367766</v>
      </c>
      <c r="AR50" s="222">
        <f t="shared" si="328"/>
        <v>0.19063912958045878</v>
      </c>
      <c r="AS50" s="193">
        <f t="shared" si="328"/>
        <v>0.19130037795843205</v>
      </c>
      <c r="AT50" s="222">
        <f t="shared" ref="AT50:AV50" si="329">+AT26/AT22</f>
        <v>0.19485572319122119</v>
      </c>
      <c r="AU50" s="222">
        <f t="shared" si="329"/>
        <v>0.19354970173075811</v>
      </c>
      <c r="AV50" s="193">
        <f t="shared" si="329"/>
        <v>0.19420370649870905</v>
      </c>
      <c r="AW50" s="222">
        <f t="shared" ref="AW50:AY50" si="330">+AW26/AW22</f>
        <v>0.19760971012953965</v>
      </c>
      <c r="AX50" s="222">
        <f t="shared" si="330"/>
        <v>0.1963157989089343</v>
      </c>
      <c r="AY50" s="193">
        <f t="shared" si="330"/>
        <v>0.1969643127176193</v>
      </c>
    </row>
    <row r="51" spans="1:51" s="194" customFormat="1" ht="12" customHeight="1" x14ac:dyDescent="0.2">
      <c r="A51" s="190"/>
      <c r="B51" s="8" t="s">
        <v>518</v>
      </c>
      <c r="C51" s="131"/>
      <c r="D51" s="191"/>
      <c r="E51" s="191"/>
      <c r="F51" s="271"/>
      <c r="G51" s="191"/>
      <c r="H51" s="191"/>
      <c r="I51" s="271"/>
      <c r="J51" s="191"/>
      <c r="K51" s="191"/>
      <c r="L51" s="193">
        <f t="shared" ref="L51:Q51" si="331">+L31/L22</f>
        <v>0.12679455192441408</v>
      </c>
      <c r="M51" s="192"/>
      <c r="N51" s="192"/>
      <c r="O51" s="193">
        <f t="shared" si="331"/>
        <v>0.11358174008776419</v>
      </c>
      <c r="P51" s="192">
        <f t="shared" si="331"/>
        <v>0.14801586825988472</v>
      </c>
      <c r="Q51" s="192">
        <f t="shared" si="331"/>
        <v>0.11463442454659517</v>
      </c>
      <c r="R51" s="193">
        <f>+R31/R22</f>
        <v>0.13091223620307757</v>
      </c>
      <c r="S51" s="192">
        <f t="shared" ref="S51:T51" si="332">+S31/S22</f>
        <v>0.14865901826107833</v>
      </c>
      <c r="T51" s="192">
        <f t="shared" si="332"/>
        <v>0.1488560967491401</v>
      </c>
      <c r="U51" s="193">
        <f>+U31/U22</f>
        <v>0.14819340993448166</v>
      </c>
      <c r="V51" s="222">
        <f t="shared" ref="V51:AJ51" si="333">+V31/V22</f>
        <v>0.15999533473028221</v>
      </c>
      <c r="W51" s="222">
        <f t="shared" si="333"/>
        <v>0.14834903233723798</v>
      </c>
      <c r="X51" s="193">
        <f t="shared" si="333"/>
        <v>0.1540818237031685</v>
      </c>
      <c r="Y51" s="222">
        <f t="shared" si="333"/>
        <v>0.17512552789883898</v>
      </c>
      <c r="Z51" s="222">
        <f t="shared" si="333"/>
        <v>0.16699598890923609</v>
      </c>
      <c r="AA51" s="193">
        <f t="shared" si="333"/>
        <v>0.17100642467976671</v>
      </c>
      <c r="AB51" s="222">
        <f t="shared" si="333"/>
        <v>0.19556999589451438</v>
      </c>
      <c r="AC51" s="222">
        <f t="shared" si="333"/>
        <v>0.18798009752368319</v>
      </c>
      <c r="AD51" s="193">
        <f t="shared" si="333"/>
        <v>0.19173875651568234</v>
      </c>
      <c r="AE51" s="222">
        <f t="shared" si="333"/>
        <v>0.21244357420031224</v>
      </c>
      <c r="AF51" s="222">
        <f t="shared" si="333"/>
        <v>0.20481359543540989</v>
      </c>
      <c r="AG51" s="193">
        <f t="shared" si="333"/>
        <v>0.20860083830866627</v>
      </c>
      <c r="AH51" s="222">
        <f t="shared" si="333"/>
        <v>0.22855908900465594</v>
      </c>
      <c r="AI51" s="222">
        <f t="shared" si="333"/>
        <v>0.21809540039482317</v>
      </c>
      <c r="AJ51" s="193">
        <f t="shared" si="333"/>
        <v>0.22330860210421638</v>
      </c>
      <c r="AK51" s="222">
        <f t="shared" ref="AK51:AM51" si="334">+AK31/AK22</f>
        <v>0.22453842498439666</v>
      </c>
      <c r="AL51" s="222">
        <f t="shared" si="334"/>
        <v>0.21806551446183373</v>
      </c>
      <c r="AM51" s="193">
        <f t="shared" si="334"/>
        <v>0.22129553204483593</v>
      </c>
      <c r="AN51" s="222">
        <f t="shared" ref="AN51:AP51" si="335">+AN31/AN22</f>
        <v>0.22821169010205808</v>
      </c>
      <c r="AO51" s="222">
        <f t="shared" si="335"/>
        <v>0.221760316912123</v>
      </c>
      <c r="AP51" s="193">
        <f t="shared" si="335"/>
        <v>0.22498391989312189</v>
      </c>
      <c r="AQ51" s="222">
        <f t="shared" ref="AQ51:AS51" si="336">+AQ31/AQ22</f>
        <v>0.23161880829220069</v>
      </c>
      <c r="AR51" s="222">
        <f t="shared" si="336"/>
        <v>0.22519072022096639</v>
      </c>
      <c r="AS51" s="193">
        <f t="shared" si="336"/>
        <v>0.22840641275869472</v>
      </c>
      <c r="AT51" s="222">
        <f t="shared" ref="AT51:AV51" si="337">+AT31/AT22</f>
        <v>0.234799628972434</v>
      </c>
      <c r="AU51" s="222">
        <f t="shared" si="337"/>
        <v>0.22839456336791422</v>
      </c>
      <c r="AV51" s="193">
        <f t="shared" si="337"/>
        <v>0.23160197118716194</v>
      </c>
      <c r="AW51" s="222">
        <f t="shared" ref="AW51:AY51" si="338">+AW31/AW22</f>
        <v>0.23778393295488015</v>
      </c>
      <c r="AX51" s="222">
        <f t="shared" si="338"/>
        <v>0.23140030556963731</v>
      </c>
      <c r="AY51" s="193">
        <f t="shared" si="338"/>
        <v>0.2345998067741269</v>
      </c>
    </row>
    <row r="52" spans="1:51" s="194" customFormat="1" ht="12" customHeight="1" x14ac:dyDescent="0.2">
      <c r="A52" s="190"/>
      <c r="B52" s="8" t="s">
        <v>519</v>
      </c>
      <c r="C52" s="131"/>
      <c r="D52" s="191"/>
      <c r="E52" s="191"/>
      <c r="F52" s="271"/>
      <c r="G52" s="191"/>
      <c r="H52" s="191"/>
      <c r="I52" s="271"/>
      <c r="J52" s="191"/>
      <c r="K52" s="191"/>
      <c r="L52" s="193">
        <f t="shared" ref="L52:Q52" si="339">+L33/L22</f>
        <v>0.13964929912412427</v>
      </c>
      <c r="M52" s="192"/>
      <c r="N52" s="192"/>
      <c r="O52" s="193">
        <f t="shared" si="339"/>
        <v>0.11482609976585879</v>
      </c>
      <c r="P52" s="192">
        <f t="shared" si="339"/>
        <v>0.11325910567254337</v>
      </c>
      <c r="Q52" s="192">
        <f t="shared" si="339"/>
        <v>4.7752937150678687E-2</v>
      </c>
      <c r="R52" s="193">
        <f>+R33/R22</f>
        <v>7.9695745936753007E-2</v>
      </c>
      <c r="S52" s="192">
        <f t="shared" ref="S52:T52" si="340">+S33/S22</f>
        <v>0.14865901826107833</v>
      </c>
      <c r="T52" s="192">
        <f t="shared" si="340"/>
        <v>-2.7249528458892711E-2</v>
      </c>
      <c r="U52" s="193">
        <f>+U33/U22</f>
        <v>5.7890077579713206E-2</v>
      </c>
      <c r="V52" s="222">
        <f t="shared" ref="V52:AJ52" si="341">+V33/V22</f>
        <v>0.15999533473028221</v>
      </c>
      <c r="W52" s="222">
        <f t="shared" si="341"/>
        <v>0.14834903233723798</v>
      </c>
      <c r="X52" s="193">
        <f t="shared" si="341"/>
        <v>0.1540818237031685</v>
      </c>
      <c r="Y52" s="222">
        <f t="shared" si="341"/>
        <v>0.17512552789883898</v>
      </c>
      <c r="Z52" s="222">
        <f t="shared" si="341"/>
        <v>0.16699598890923609</v>
      </c>
      <c r="AA52" s="193">
        <f t="shared" si="341"/>
        <v>0.17100642467976671</v>
      </c>
      <c r="AB52" s="222">
        <f t="shared" si="341"/>
        <v>0.19556999589451438</v>
      </c>
      <c r="AC52" s="222">
        <f t="shared" si="341"/>
        <v>0.18798009752368319</v>
      </c>
      <c r="AD52" s="193">
        <f t="shared" si="341"/>
        <v>0.19173875651568234</v>
      </c>
      <c r="AE52" s="222">
        <f t="shared" si="341"/>
        <v>0.21244357420031224</v>
      </c>
      <c r="AF52" s="222">
        <f t="shared" si="341"/>
        <v>0.20481359543540989</v>
      </c>
      <c r="AG52" s="193">
        <f t="shared" si="341"/>
        <v>0.20860083830866627</v>
      </c>
      <c r="AH52" s="222">
        <f t="shared" si="341"/>
        <v>0.22855908900465594</v>
      </c>
      <c r="AI52" s="222">
        <f t="shared" si="341"/>
        <v>0.21809540039482317</v>
      </c>
      <c r="AJ52" s="193">
        <f t="shared" si="341"/>
        <v>0.22330860210421638</v>
      </c>
      <c r="AK52" s="222">
        <f t="shared" ref="AK52:AM52" si="342">+AK33/AK22</f>
        <v>0.22453842498439666</v>
      </c>
      <c r="AL52" s="222">
        <f t="shared" si="342"/>
        <v>0.21806551446183373</v>
      </c>
      <c r="AM52" s="193">
        <f t="shared" si="342"/>
        <v>0.22129553204483593</v>
      </c>
      <c r="AN52" s="222">
        <f t="shared" ref="AN52:AP52" si="343">+AN33/AN22</f>
        <v>0.22821169010205808</v>
      </c>
      <c r="AO52" s="222">
        <f t="shared" si="343"/>
        <v>0.221760316912123</v>
      </c>
      <c r="AP52" s="193">
        <f t="shared" si="343"/>
        <v>0.22498391989312189</v>
      </c>
      <c r="AQ52" s="222">
        <f t="shared" ref="AQ52:AS52" si="344">+AQ33/AQ22</f>
        <v>0.23161880829220069</v>
      </c>
      <c r="AR52" s="222">
        <f t="shared" si="344"/>
        <v>0.22519072022096639</v>
      </c>
      <c r="AS52" s="193">
        <f t="shared" si="344"/>
        <v>0.22840641275869472</v>
      </c>
      <c r="AT52" s="222">
        <f t="shared" ref="AT52:AV52" si="345">+AT33/AT22</f>
        <v>0.234799628972434</v>
      </c>
      <c r="AU52" s="222">
        <f t="shared" si="345"/>
        <v>0.22839456336791422</v>
      </c>
      <c r="AV52" s="193">
        <f t="shared" si="345"/>
        <v>0.23160197118716194</v>
      </c>
      <c r="AW52" s="222">
        <f t="shared" ref="AW52:AY52" si="346">+AW33/AW22</f>
        <v>0.23778393295488015</v>
      </c>
      <c r="AX52" s="222">
        <f t="shared" si="346"/>
        <v>0.23140030556963731</v>
      </c>
      <c r="AY52" s="193">
        <f t="shared" si="346"/>
        <v>0.2345998067741269</v>
      </c>
    </row>
    <row r="53" spans="1:51" s="194" customFormat="1" ht="12" customHeight="1" x14ac:dyDescent="0.2">
      <c r="A53" s="190"/>
      <c r="B53" s="8" t="s">
        <v>520</v>
      </c>
      <c r="C53" s="131"/>
      <c r="D53" s="191"/>
      <c r="E53" s="191"/>
      <c r="F53" s="271"/>
      <c r="G53" s="191"/>
      <c r="H53" s="191"/>
      <c r="I53" s="271"/>
      <c r="J53" s="191"/>
      <c r="K53" s="191"/>
      <c r="L53" s="193">
        <f t="shared" ref="L53:Q53" si="347">+L36/L22</f>
        <v>8.0050016652740683E-2</v>
      </c>
      <c r="M53" s="192"/>
      <c r="N53" s="192"/>
      <c r="O53" s="193">
        <f t="shared" si="347"/>
        <v>7.0164829200973805E-2</v>
      </c>
      <c r="P53" s="192">
        <f t="shared" si="347"/>
        <v>9.8876997015712467E-2</v>
      </c>
      <c r="Q53" s="192">
        <f t="shared" si="347"/>
        <v>6.3875898254819166E-2</v>
      </c>
      <c r="R53" s="193">
        <f>+R36/R22</f>
        <v>8.0943503188063579E-2</v>
      </c>
      <c r="S53" s="192">
        <f t="shared" ref="S53:T53" si="348">+S36/S22</f>
        <v>0.10441627161412113</v>
      </c>
      <c r="T53" s="192">
        <f t="shared" si="348"/>
        <v>0.10858093864418064</v>
      </c>
      <c r="U53" s="193">
        <f>+U36/U22</f>
        <v>0.10615380764145382</v>
      </c>
      <c r="V53" s="222">
        <f t="shared" ref="V53:AJ53" si="349">+V36/V22</f>
        <v>0.11453132219741816</v>
      </c>
      <c r="W53" s="222">
        <f t="shared" si="349"/>
        <v>0.10777719930021741</v>
      </c>
      <c r="X53" s="193">
        <f t="shared" si="349"/>
        <v>0.11110185773022965</v>
      </c>
      <c r="Y53" s="222">
        <f t="shared" si="349"/>
        <v>0.12960993245684591</v>
      </c>
      <c r="Z53" s="222">
        <f t="shared" si="349"/>
        <v>0.12659539025854691</v>
      </c>
      <c r="AA53" s="193">
        <f t="shared" si="349"/>
        <v>0.12808251368329387</v>
      </c>
      <c r="AB53" s="222">
        <f t="shared" si="349"/>
        <v>0.15043846702621153</v>
      </c>
      <c r="AC53" s="222">
        <f t="shared" si="349"/>
        <v>0.14822494114375845</v>
      </c>
      <c r="AD53" s="193">
        <f t="shared" si="349"/>
        <v>0.1493211203751009</v>
      </c>
      <c r="AE53" s="222">
        <f t="shared" si="349"/>
        <v>0.16764895481481051</v>
      </c>
      <c r="AF53" s="222">
        <f t="shared" si="349"/>
        <v>0.16535113752343977</v>
      </c>
      <c r="AG53" s="193">
        <f t="shared" si="349"/>
        <v>0.16649169012901446</v>
      </c>
      <c r="AH53" s="222">
        <f t="shared" si="349"/>
        <v>0.18408501560790475</v>
      </c>
      <c r="AI53" s="222">
        <f t="shared" si="349"/>
        <v>0.17877070803666104</v>
      </c>
      <c r="AJ53" s="193">
        <f t="shared" si="349"/>
        <v>0.18141839360412099</v>
      </c>
      <c r="AK53" s="222">
        <f t="shared" ref="AK53:AM53" si="350">+AK36/AK22</f>
        <v>0.1802139159844596</v>
      </c>
      <c r="AL53" s="222">
        <f t="shared" si="350"/>
        <v>0.1788736815267522</v>
      </c>
      <c r="AM53" s="193">
        <f t="shared" si="350"/>
        <v>0.17954246581608396</v>
      </c>
      <c r="AN53" s="222">
        <f t="shared" ref="AN53:AP53" si="351">+AN36/AN22</f>
        <v>0.18403271891066003</v>
      </c>
      <c r="AO53" s="222">
        <f t="shared" si="351"/>
        <v>0.18269826962948629</v>
      </c>
      <c r="AP53" s="193">
        <f t="shared" si="351"/>
        <v>0.18336506328009927</v>
      </c>
      <c r="AQ53" s="222">
        <f t="shared" ref="AQ53:AS53" si="352">+AQ36/AQ22</f>
        <v>0.18758298644972085</v>
      </c>
      <c r="AR53" s="222">
        <f t="shared" si="352"/>
        <v>0.18625667439289609</v>
      </c>
      <c r="AS53" s="193">
        <f t="shared" si="352"/>
        <v>0.1869201705579403</v>
      </c>
      <c r="AT53" s="222">
        <f t="shared" ref="AT53:AV53" si="353">+AT36/AT22</f>
        <v>0.1909057326208482</v>
      </c>
      <c r="AU53" s="222">
        <f t="shared" si="353"/>
        <v>0.18958766717542769</v>
      </c>
      <c r="AV53" s="193">
        <f t="shared" si="353"/>
        <v>0.1902477031027629</v>
      </c>
      <c r="AW53" s="222">
        <f t="shared" ref="AW53:AY53" si="354">+AW36/AW22</f>
        <v>0.19403158816784422</v>
      </c>
      <c r="AX53" s="222">
        <f t="shared" si="354"/>
        <v>0.19272039945665922</v>
      </c>
      <c r="AY53" s="193">
        <f t="shared" si="354"/>
        <v>0.19337757281712945</v>
      </c>
    </row>
    <row r="54" spans="1:51" s="17" customFormat="1" ht="12" customHeight="1" x14ac:dyDescent="0.2">
      <c r="A54" s="138"/>
      <c r="B54" s="6"/>
      <c r="C54" s="130"/>
      <c r="D54" s="142"/>
      <c r="E54" s="142"/>
      <c r="F54" s="143"/>
      <c r="G54" s="142"/>
      <c r="H54" s="142"/>
      <c r="I54" s="143"/>
      <c r="J54" s="142"/>
      <c r="K54" s="142"/>
      <c r="L54" s="143"/>
      <c r="M54" s="142"/>
      <c r="N54" s="142"/>
      <c r="O54" s="143"/>
      <c r="P54" s="142"/>
      <c r="Q54" s="142"/>
      <c r="R54" s="297"/>
      <c r="S54" s="142"/>
      <c r="T54" s="142"/>
      <c r="U54" s="297"/>
      <c r="V54" s="142"/>
      <c r="W54" s="142"/>
      <c r="X54" s="143"/>
      <c r="Y54" s="142"/>
      <c r="Z54" s="142"/>
      <c r="AA54" s="143"/>
      <c r="AB54" s="142"/>
      <c r="AC54" s="142"/>
      <c r="AD54" s="143"/>
      <c r="AE54" s="142"/>
      <c r="AF54" s="142"/>
      <c r="AG54" s="143"/>
      <c r="AH54" s="142"/>
      <c r="AI54" s="142"/>
      <c r="AJ54" s="143"/>
      <c r="AK54" s="142"/>
      <c r="AL54" s="142"/>
      <c r="AM54" s="143"/>
      <c r="AN54" s="142"/>
      <c r="AO54" s="142"/>
      <c r="AP54" s="143"/>
      <c r="AQ54" s="142"/>
      <c r="AR54" s="142"/>
      <c r="AS54" s="143"/>
      <c r="AT54" s="142"/>
      <c r="AU54" s="142"/>
      <c r="AV54" s="143"/>
      <c r="AW54" s="142"/>
      <c r="AX54" s="142"/>
      <c r="AY54" s="143"/>
    </row>
    <row r="55" spans="1:51" s="391" customFormat="1" ht="12" customHeight="1" x14ac:dyDescent="0.2">
      <c r="B55" s="392" t="s">
        <v>546</v>
      </c>
      <c r="C55" s="393"/>
      <c r="D55" s="298"/>
      <c r="E55" s="298"/>
      <c r="F55" s="300"/>
      <c r="G55" s="298"/>
      <c r="H55" s="298"/>
      <c r="I55" s="300"/>
      <c r="J55" s="298"/>
      <c r="K55" s="298"/>
      <c r="L55" s="300"/>
      <c r="M55" s="298"/>
      <c r="N55" s="298"/>
      <c r="O55" s="300">
        <f>O29/AVERAGE(O40+O45,L40+L45)</f>
        <v>0.21333333333333332</v>
      </c>
      <c r="P55" s="250">
        <f>P29/AVERAGE(P40+P45,O40+O45)</f>
        <v>0.13225806451612901</v>
      </c>
      <c r="Q55" s="250">
        <f>Q29/AVERAGE(Q40+Q45,P40+P45)</f>
        <v>0.13283582089552243</v>
      </c>
      <c r="R55" s="300">
        <f>R29/AVERAGE(R40+R45,O40+O45)</f>
        <v>0.27142857142857146</v>
      </c>
      <c r="S55" s="250">
        <f>S29/AVERAGE(S40+S45,R40+R45)</f>
        <v>0.12873972602739725</v>
      </c>
      <c r="T55" s="250">
        <f>T29/AVERAGE(T40+T45,S40+S45)</f>
        <v>0.10999999999999999</v>
      </c>
      <c r="U55" s="300">
        <f>U29/AVERAGE(U40+U45,R40+R45)</f>
        <v>0.23836129032258063</v>
      </c>
      <c r="V55" s="298">
        <f t="shared" ref="V55:W55" si="355">+S55*(1+V56)</f>
        <v>0.13324561643835614</v>
      </c>
      <c r="W55" s="298">
        <f t="shared" si="355"/>
        <v>0.11384999999999998</v>
      </c>
      <c r="X55" s="300">
        <f t="shared" ref="X55" si="356">X29/AVERAGE(X40+X45,U40+U45)</f>
        <v>0.246373439230545</v>
      </c>
      <c r="Y55" s="298">
        <f t="shared" ref="Y55:Z55" si="357">+V55*(1+Y56)</f>
        <v>0.1379092130136986</v>
      </c>
      <c r="Z55" s="298">
        <f t="shared" si="357"/>
        <v>0.11783474999999997</v>
      </c>
      <c r="AA55" s="300">
        <f t="shared" ref="AA55" si="358">AA29/AVERAGE(AA40+AA45,X40+X45)</f>
        <v>0.25509340171232869</v>
      </c>
      <c r="AB55" s="298">
        <f t="shared" ref="AB55:AC55" si="359">+Y55*(1+AB56)</f>
        <v>0.14273603546917804</v>
      </c>
      <c r="AC55" s="298">
        <f t="shared" si="359"/>
        <v>0.12195896624999997</v>
      </c>
      <c r="AD55" s="300">
        <f t="shared" ref="AD55" si="360">AD29/AVERAGE(AD40+AD45,AA40+AA45)</f>
        <v>0.26417986777159508</v>
      </c>
      <c r="AE55" s="298">
        <f t="shared" ref="AE55:AF55" si="361">+AB55*(1+AE56)</f>
        <v>0.14773179671059927</v>
      </c>
      <c r="AF55" s="298">
        <f t="shared" si="361"/>
        <v>0.12622753006874995</v>
      </c>
      <c r="AG55" s="300">
        <f t="shared" ref="AG55" si="362">AG29/AVERAGE(AG40+AG45,AD40+AD45)</f>
        <v>0.27347426813329251</v>
      </c>
      <c r="AH55" s="298">
        <f t="shared" ref="AH55:AI55" si="363">+AE55*(1+AH56)</f>
        <v>0.15290240959547025</v>
      </c>
      <c r="AI55" s="298">
        <f t="shared" si="363"/>
        <v>0.13064549362115618</v>
      </c>
      <c r="AJ55" s="300">
        <f t="shared" ref="AJ55" si="364">AJ29/AVERAGE(AJ40+AJ45,AG40+AG45)</f>
        <v>0.28308741529991649</v>
      </c>
      <c r="AK55" s="298">
        <f t="shared" ref="AK55:AL55" si="365">+AH55*(1+AK56)</f>
        <v>0.1582539939313117</v>
      </c>
      <c r="AL55" s="298">
        <f t="shared" si="365"/>
        <v>0.13521808589789663</v>
      </c>
      <c r="AM55" s="300">
        <f t="shared" ref="AM55" si="366">AM29/AVERAGE(AM40+AM45,AJ40+AJ45)</f>
        <v>0.2930319032425826</v>
      </c>
      <c r="AN55" s="298">
        <f t="shared" ref="AN55:AO55" si="367">+AK55*(1+AN56)</f>
        <v>0.1637928837189076</v>
      </c>
      <c r="AO55" s="298">
        <f t="shared" si="367"/>
        <v>0.13995071890432301</v>
      </c>
      <c r="AP55" s="300">
        <f t="shared" ref="AP55" si="368">AP29/AVERAGE(AP40+AP45,AM40+AM45)</f>
        <v>0.30332036892829717</v>
      </c>
      <c r="AQ55" s="298">
        <f t="shared" ref="AQ55:AR55" si="369">+AN55*(1+AQ56)</f>
        <v>0.16952563464906936</v>
      </c>
      <c r="AR55" s="298">
        <f t="shared" si="369"/>
        <v>0.14484899406597429</v>
      </c>
      <c r="AS55" s="300">
        <f t="shared" ref="AS55" si="370">AS29/AVERAGE(AS40+AS45,AP40+AP45)</f>
        <v>0.31396562362250618</v>
      </c>
      <c r="AT55" s="298">
        <f t="shared" ref="AT55:AU55" si="371">+AQ55*(1+AT56)</f>
        <v>0.17545903186178677</v>
      </c>
      <c r="AU55" s="298">
        <f t="shared" si="371"/>
        <v>0.14991870885828337</v>
      </c>
      <c r="AV55" s="300">
        <f t="shared" ref="AV55" si="372">AV29/AVERAGE(AV40+AV45,AS40+AS45)</f>
        <v>0.32498074088063744</v>
      </c>
      <c r="AW55" s="298">
        <f t="shared" ref="AW55:AX55" si="373">+AT55*(1+AW56)</f>
        <v>0.18160009797694929</v>
      </c>
      <c r="AX55" s="298">
        <f t="shared" si="373"/>
        <v>0.15516586366832327</v>
      </c>
      <c r="AY55" s="300">
        <f t="shared" ref="AY55" si="374">AY29/AVERAGE(AY40+AY45,AV40+AV45)</f>
        <v>0.33637911919197561</v>
      </c>
    </row>
    <row r="56" spans="1:51" s="194" customFormat="1" ht="12" customHeight="1" x14ac:dyDescent="0.2">
      <c r="A56" s="190"/>
      <c r="B56" s="8" t="s">
        <v>19</v>
      </c>
      <c r="C56" s="131"/>
      <c r="D56" s="191"/>
      <c r="E56" s="191"/>
      <c r="F56" s="271"/>
      <c r="G56" s="191"/>
      <c r="H56" s="191"/>
      <c r="I56" s="271"/>
      <c r="J56" s="191"/>
      <c r="K56" s="191"/>
      <c r="L56" s="193"/>
      <c r="M56" s="192"/>
      <c r="N56" s="192"/>
      <c r="O56" s="193"/>
      <c r="P56" s="192"/>
      <c r="Q56" s="192"/>
      <c r="R56" s="193">
        <f>+R55/O55-1</f>
        <v>0.27232142857142883</v>
      </c>
      <c r="S56" s="192">
        <f>+S55/P55-1</f>
        <v>-2.6602071500166913E-2</v>
      </c>
      <c r="T56" s="192"/>
      <c r="U56" s="193">
        <f>+U55/R55-1</f>
        <v>-0.12182682512733467</v>
      </c>
      <c r="V56" s="394">
        <v>3.5000000000000003E-2</v>
      </c>
      <c r="W56" s="394">
        <v>3.5000000000000003E-2</v>
      </c>
      <c r="X56" s="193">
        <f t="shared" ref="X56" si="375">+X55/U55-1</f>
        <v>3.3613465076990146E-2</v>
      </c>
      <c r="Y56" s="394">
        <v>3.5000000000000003E-2</v>
      </c>
      <c r="Z56" s="394">
        <v>3.5000000000000003E-2</v>
      </c>
      <c r="AA56" s="193">
        <f t="shared" ref="AA56" si="376">+AA55/X55-1</f>
        <v>3.5393273353723664E-2</v>
      </c>
      <c r="AB56" s="394">
        <v>3.5000000000000003E-2</v>
      </c>
      <c r="AC56" s="394">
        <v>3.5000000000000003E-2</v>
      </c>
      <c r="AD56" s="193">
        <f t="shared" ref="AD56" si="377">+AD55/AA55-1</f>
        <v>3.5620153239060537E-2</v>
      </c>
      <c r="AE56" s="394">
        <v>3.5000000000000003E-2</v>
      </c>
      <c r="AF56" s="394">
        <v>3.5000000000000003E-2</v>
      </c>
      <c r="AG56" s="193">
        <f t="shared" ref="AG56" si="378">+AG55/AD55-1</f>
        <v>3.5182091807742122E-2</v>
      </c>
      <c r="AH56" s="394">
        <v>3.5000000000000003E-2</v>
      </c>
      <c r="AI56" s="394">
        <v>3.5000000000000003E-2</v>
      </c>
      <c r="AJ56" s="193">
        <f t="shared" ref="AJ56" si="379">+AJ55/AG55-1</f>
        <v>3.5151925745125379E-2</v>
      </c>
      <c r="AK56" s="394">
        <v>3.5000000000000003E-2</v>
      </c>
      <c r="AL56" s="394">
        <v>3.5000000000000003E-2</v>
      </c>
      <c r="AM56" s="193">
        <f t="shared" ref="AM56" si="380">+AM55/AJ55-1</f>
        <v>3.512868253832635E-2</v>
      </c>
      <c r="AN56" s="394">
        <v>3.5000000000000003E-2</v>
      </c>
      <c r="AO56" s="394">
        <v>3.5000000000000003E-2</v>
      </c>
      <c r="AP56" s="193">
        <f t="shared" ref="AP56" si="381">+AP55/AM55-1</f>
        <v>3.5110394369576081E-2</v>
      </c>
      <c r="AQ56" s="394">
        <v>3.5000000000000003E-2</v>
      </c>
      <c r="AR56" s="394">
        <v>3.5000000000000003E-2</v>
      </c>
      <c r="AS56" s="193">
        <f t="shared" ref="AS56" si="382">+AS55/AP55-1</f>
        <v>3.5095746229708347E-2</v>
      </c>
      <c r="AT56" s="394">
        <v>3.5000000000000003E-2</v>
      </c>
      <c r="AU56" s="394">
        <v>3.5000000000000003E-2</v>
      </c>
      <c r="AV56" s="193">
        <f t="shared" ref="AV56" si="383">+AV55/AS55-1</f>
        <v>3.508383220761524E-2</v>
      </c>
      <c r="AW56" s="394">
        <v>3.5000000000000003E-2</v>
      </c>
      <c r="AX56" s="394">
        <v>3.5000000000000003E-2</v>
      </c>
      <c r="AY56" s="193">
        <f t="shared" ref="AY56" si="384">+AY55/AV55-1</f>
        <v>3.5074011710511499E-2</v>
      </c>
    </row>
    <row r="57" spans="1:51" s="17" customFormat="1" ht="12" customHeight="1" x14ac:dyDescent="0.2">
      <c r="A57" s="138"/>
      <c r="B57" s="195"/>
      <c r="C57" s="130"/>
      <c r="D57" s="142"/>
      <c r="E57" s="142"/>
      <c r="F57" s="143"/>
      <c r="G57" s="142"/>
      <c r="H57" s="142"/>
      <c r="I57" s="143"/>
      <c r="J57" s="142"/>
      <c r="K57" s="142"/>
      <c r="L57" s="143"/>
      <c r="M57" s="142"/>
      <c r="N57" s="142"/>
      <c r="O57" s="143"/>
      <c r="P57" s="142"/>
      <c r="Q57" s="142"/>
      <c r="R57" s="143"/>
      <c r="S57" s="142"/>
      <c r="T57" s="142"/>
      <c r="U57" s="143"/>
      <c r="V57" s="142"/>
      <c r="W57" s="142"/>
      <c r="X57" s="143"/>
      <c r="Y57" s="142"/>
      <c r="Z57" s="142"/>
      <c r="AA57" s="143"/>
      <c r="AB57" s="142"/>
      <c r="AC57" s="142"/>
      <c r="AD57" s="143"/>
      <c r="AE57" s="142"/>
      <c r="AF57" s="142"/>
      <c r="AG57" s="143"/>
      <c r="AH57" s="142"/>
      <c r="AI57" s="142"/>
      <c r="AJ57" s="143"/>
      <c r="AK57" s="142"/>
      <c r="AL57" s="142"/>
      <c r="AM57" s="143"/>
      <c r="AN57" s="142"/>
      <c r="AO57" s="142"/>
      <c r="AP57" s="143"/>
      <c r="AQ57" s="142"/>
      <c r="AR57" s="142"/>
      <c r="AS57" s="143"/>
      <c r="AT57" s="142"/>
      <c r="AU57" s="142"/>
      <c r="AV57" s="143"/>
      <c r="AW57" s="142"/>
      <c r="AX57" s="142"/>
      <c r="AY57" s="143"/>
    </row>
    <row r="58" spans="1:51" s="17" customFormat="1" ht="12" customHeight="1" x14ac:dyDescent="0.2">
      <c r="A58" s="138"/>
      <c r="B58" s="195"/>
      <c r="C58" s="130"/>
      <c r="D58" s="142"/>
      <c r="E58" s="142"/>
      <c r="F58" s="143"/>
      <c r="G58" s="142"/>
      <c r="H58" s="142"/>
      <c r="I58" s="143"/>
      <c r="J58" s="142"/>
      <c r="K58" s="142"/>
      <c r="L58" s="143"/>
      <c r="M58" s="142"/>
      <c r="N58" s="142"/>
      <c r="O58" s="143"/>
      <c r="P58" s="142"/>
      <c r="Q58" s="142"/>
      <c r="R58" s="143"/>
      <c r="S58" s="142"/>
      <c r="T58" s="142"/>
      <c r="U58" s="143"/>
      <c r="V58" s="142"/>
      <c r="W58" s="142"/>
      <c r="X58" s="143"/>
      <c r="Y58" s="142"/>
      <c r="Z58" s="142"/>
      <c r="AA58" s="143"/>
      <c r="AB58" s="142"/>
      <c r="AC58" s="142"/>
      <c r="AD58" s="143"/>
      <c r="AE58" s="142"/>
      <c r="AF58" s="142"/>
      <c r="AG58" s="143"/>
      <c r="AH58" s="142"/>
      <c r="AI58" s="142"/>
      <c r="AJ58" s="143"/>
      <c r="AK58" s="142"/>
      <c r="AL58" s="142"/>
      <c r="AM58" s="143"/>
      <c r="AN58" s="142"/>
      <c r="AO58" s="142"/>
      <c r="AP58" s="143"/>
      <c r="AQ58" s="142"/>
      <c r="AR58" s="142"/>
      <c r="AS58" s="143"/>
      <c r="AT58" s="142"/>
      <c r="AU58" s="142"/>
      <c r="AV58" s="143"/>
      <c r="AW58" s="142"/>
      <c r="AX58" s="142"/>
      <c r="AY58" s="143"/>
    </row>
    <row r="59" spans="1:51" s="17" customFormat="1" ht="12" customHeight="1" x14ac:dyDescent="0.2">
      <c r="A59" s="14"/>
      <c r="B59" s="16" t="s">
        <v>368</v>
      </c>
      <c r="C59" s="130"/>
      <c r="D59" s="142"/>
      <c r="E59" s="142"/>
      <c r="F59" s="143"/>
      <c r="G59" s="142"/>
      <c r="H59" s="142"/>
      <c r="I59" s="143"/>
      <c r="J59" s="142"/>
      <c r="K59" s="142"/>
      <c r="L59" s="143"/>
      <c r="M59" s="142"/>
      <c r="N59" s="142"/>
      <c r="O59" s="143"/>
      <c r="P59" s="142"/>
      <c r="Q59" s="142"/>
      <c r="R59" s="143"/>
      <c r="S59" s="142"/>
      <c r="T59" s="142"/>
      <c r="U59" s="143"/>
      <c r="V59" s="142"/>
      <c r="W59" s="142"/>
      <c r="X59" s="143"/>
      <c r="Y59" s="142"/>
      <c r="Z59" s="142"/>
      <c r="AA59" s="143"/>
      <c r="AB59" s="142"/>
      <c r="AC59" s="142"/>
      <c r="AD59" s="143"/>
      <c r="AE59" s="142"/>
      <c r="AF59" s="142"/>
      <c r="AG59" s="143"/>
      <c r="AH59" s="142"/>
      <c r="AI59" s="142"/>
      <c r="AJ59" s="143"/>
      <c r="AK59" s="142"/>
      <c r="AL59" s="142"/>
      <c r="AM59" s="143"/>
      <c r="AN59" s="142"/>
      <c r="AO59" s="142"/>
      <c r="AP59" s="143"/>
      <c r="AQ59" s="142"/>
      <c r="AR59" s="142"/>
      <c r="AS59" s="143"/>
      <c r="AT59" s="142"/>
      <c r="AU59" s="142"/>
      <c r="AV59" s="143"/>
      <c r="AW59" s="142"/>
      <c r="AX59" s="142"/>
      <c r="AY59" s="143"/>
    </row>
    <row r="60" spans="1:51" s="17" customFormat="1" ht="12" customHeight="1" x14ac:dyDescent="0.2">
      <c r="A60" s="14"/>
      <c r="B60" s="10" t="s">
        <v>413</v>
      </c>
      <c r="C60" s="130"/>
      <c r="D60" s="142"/>
      <c r="E60" s="142"/>
      <c r="F60" s="143"/>
      <c r="G60" s="142"/>
      <c r="H60" s="142"/>
      <c r="I60" s="143"/>
      <c r="J60" s="142"/>
      <c r="K60" s="142"/>
      <c r="L60" s="143"/>
      <c r="M60" s="142"/>
      <c r="N60" s="142"/>
      <c r="O60" s="143"/>
      <c r="P60" s="142"/>
      <c r="Q60" s="250"/>
      <c r="R60" s="143"/>
      <c r="S60" s="142"/>
      <c r="T60" s="250"/>
      <c r="U60" s="143"/>
      <c r="V60" s="142"/>
      <c r="W60" s="142"/>
      <c r="X60" s="143"/>
      <c r="Y60" s="142"/>
      <c r="Z60" s="142"/>
      <c r="AA60" s="143"/>
      <c r="AB60" s="142"/>
      <c r="AC60" s="142"/>
      <c r="AD60" s="143"/>
      <c r="AE60" s="142"/>
      <c r="AF60" s="142"/>
      <c r="AG60" s="143"/>
      <c r="AH60" s="142"/>
      <c r="AI60" s="142"/>
      <c r="AJ60" s="143"/>
      <c r="AK60" s="142"/>
      <c r="AL60" s="142"/>
      <c r="AM60" s="143"/>
      <c r="AN60" s="142"/>
      <c r="AO60" s="142"/>
      <c r="AP60" s="143"/>
      <c r="AQ60" s="142"/>
      <c r="AR60" s="142"/>
      <c r="AS60" s="143"/>
      <c r="AT60" s="142"/>
      <c r="AU60" s="142"/>
      <c r="AV60" s="143"/>
      <c r="AW60" s="142"/>
      <c r="AX60" s="142"/>
      <c r="AY60" s="143"/>
    </row>
    <row r="61" spans="1:51" s="17" customFormat="1" ht="12" customHeight="1" x14ac:dyDescent="0.2">
      <c r="A61" s="138"/>
      <c r="B61" s="6" t="s">
        <v>396</v>
      </c>
      <c r="C61" s="269"/>
      <c r="D61" s="270"/>
      <c r="E61" s="270"/>
      <c r="F61" s="143"/>
      <c r="G61" s="270"/>
      <c r="H61" s="270"/>
      <c r="I61" s="132">
        <v>93.346000000000004</v>
      </c>
      <c r="J61" s="6"/>
      <c r="K61" s="6"/>
      <c r="L61" s="132">
        <v>139.21700000000001</v>
      </c>
      <c r="M61" s="25">
        <v>100.639</v>
      </c>
      <c r="N61" s="26">
        <f>+O61-M61</f>
        <v>111.336</v>
      </c>
      <c r="O61" s="132">
        <v>211.97499999999999</v>
      </c>
      <c r="P61" s="25">
        <v>136.57400000000001</v>
      </c>
      <c r="Q61" s="26">
        <f>+R61-P61</f>
        <v>142.303</v>
      </c>
      <c r="R61" s="261">
        <v>278.87700000000001</v>
      </c>
      <c r="S61" s="25">
        <v>176.05099999999999</v>
      </c>
      <c r="T61" s="26">
        <f>+U61-S61</f>
        <v>183.67099999999999</v>
      </c>
      <c r="U61" s="261">
        <v>359.72199999999998</v>
      </c>
      <c r="V61" s="142">
        <f t="shared" ref="V61" si="385">+V63*V136/V138*0.95</f>
        <v>218.79367526598926</v>
      </c>
      <c r="W61" s="142">
        <f>+W63*W136/W138*0.95</f>
        <v>225.78059027066922</v>
      </c>
      <c r="X61" s="143">
        <f t="shared" ref="X61:X62" si="386">+W61+V61</f>
        <v>444.57426553665846</v>
      </c>
      <c r="Y61" s="142">
        <f t="shared" ref="Y61:Z61" si="387">+Y63*Y136/Y138*0.95</f>
        <v>260.03239856138055</v>
      </c>
      <c r="Z61" s="142">
        <f t="shared" si="387"/>
        <v>266.31287365581153</v>
      </c>
      <c r="AA61" s="143">
        <f t="shared" ref="AA61:AA62" si="388">+Z61+Y61</f>
        <v>526.34527221719213</v>
      </c>
      <c r="AB61" s="142">
        <f t="shared" ref="AB61:AC61" si="389">+AB63*AB136/AB138*0.95</f>
        <v>304.66641820498876</v>
      </c>
      <c r="AC61" s="142">
        <f t="shared" si="389"/>
        <v>310.16847317740269</v>
      </c>
      <c r="AD61" s="143">
        <f t="shared" ref="AD61:AD62" si="390">+AC61+AB61</f>
        <v>614.83489138239145</v>
      </c>
      <c r="AE61" s="142">
        <f t="shared" ref="AE61:AF61" si="391">+AE63*AE136/AE138*0.95</f>
        <v>348.34198734036119</v>
      </c>
      <c r="AF61" s="142">
        <f t="shared" si="391"/>
        <v>352.90610991425058</v>
      </c>
      <c r="AG61" s="143">
        <f t="shared" ref="AG61:AG62" si="392">+AF61+AE61</f>
        <v>701.24809725461182</v>
      </c>
      <c r="AH61" s="142">
        <f t="shared" ref="AH61:AI61" si="393">+AH63*AH136/AH138*0.95</f>
        <v>394.5897761243038</v>
      </c>
      <c r="AI61" s="142">
        <f t="shared" si="393"/>
        <v>398.15235104781573</v>
      </c>
      <c r="AJ61" s="143">
        <f t="shared" ref="AJ61:AJ62" si="394">+AI61+AH61</f>
        <v>792.74212717211958</v>
      </c>
      <c r="AK61" s="142">
        <f t="shared" ref="AK61:AL61" si="395">+AK63*AK136/AK138*0.95</f>
        <v>443.54291511102241</v>
      </c>
      <c r="AL61" s="142">
        <f t="shared" si="395"/>
        <v>446.03610538367434</v>
      </c>
      <c r="AM61" s="143">
        <f t="shared" ref="AM61:AM62" si="396">+AL61+AK61</f>
        <v>889.57902049469681</v>
      </c>
      <c r="AN61" s="142">
        <f t="shared" ref="AN61:AO61" si="397">+AN63*AN136/AN138*0.95</f>
        <v>495.33952879548053</v>
      </c>
      <c r="AO61" s="142">
        <f t="shared" si="397"/>
        <v>496.6912494201315</v>
      </c>
      <c r="AP61" s="143">
        <f t="shared" ref="AP61:AP62" si="398">+AO61+AN61</f>
        <v>992.03077821561203</v>
      </c>
      <c r="AQ61" s="142">
        <f t="shared" ref="AQ61:AR61" si="399">+AQ63*AQ136/AQ138*0.95</f>
        <v>550.12318146323162</v>
      </c>
      <c r="AR61" s="142">
        <f t="shared" si="399"/>
        <v>550.25702620565573</v>
      </c>
      <c r="AS61" s="143">
        <f t="shared" ref="AS61:AS62" si="400">+AR61+AQ61</f>
        <v>1100.3802076688874</v>
      </c>
      <c r="AT61" s="142">
        <f t="shared" ref="AT61:AU61" si="401">+AT63*AT136/AT138*0.95</f>
        <v>608.04327629830198</v>
      </c>
      <c r="AU61" s="142">
        <f t="shared" si="401"/>
        <v>606.87841001248705</v>
      </c>
      <c r="AV61" s="143">
        <f t="shared" ref="AV61:AV62" si="402">+AU61+AT61</f>
        <v>1214.921686310789</v>
      </c>
      <c r="AW61" s="142">
        <f t="shared" ref="AW61:AX61" si="403">+AW63*AW136/AW138*0.95</f>
        <v>669.25542708600904</v>
      </c>
      <c r="AX61" s="142">
        <f t="shared" si="403"/>
        <v>666.70645144884156</v>
      </c>
      <c r="AY61" s="143">
        <f t="shared" ref="AY61:AY62" si="404">+AX61+AW61</f>
        <v>1335.9618785348507</v>
      </c>
    </row>
    <row r="62" spans="1:51" s="17" customFormat="1" ht="12" customHeight="1" x14ac:dyDescent="0.2">
      <c r="A62" s="138"/>
      <c r="B62" s="6" t="s">
        <v>419</v>
      </c>
      <c r="C62" s="130"/>
      <c r="D62" s="142"/>
      <c r="E62" s="142"/>
      <c r="F62" s="143"/>
      <c r="G62" s="142"/>
      <c r="H62" s="142"/>
      <c r="I62" s="143"/>
      <c r="J62" s="142"/>
      <c r="K62" s="142"/>
      <c r="L62" s="143">
        <f t="shared" ref="L62:Q62" si="405">L63-L61</f>
        <v>396.18299999999999</v>
      </c>
      <c r="M62" s="142">
        <f t="shared" si="405"/>
        <v>234.26099999999997</v>
      </c>
      <c r="N62" s="142">
        <f t="shared" si="405"/>
        <v>256.66399999999999</v>
      </c>
      <c r="O62" s="143">
        <f t="shared" si="405"/>
        <v>490.92499999999995</v>
      </c>
      <c r="P62" s="142">
        <f t="shared" si="405"/>
        <v>302.02600000000001</v>
      </c>
      <c r="Q62" s="142">
        <f t="shared" si="405"/>
        <v>313.697</v>
      </c>
      <c r="R62" s="143">
        <f>R63-R61</f>
        <v>615.72299999999996</v>
      </c>
      <c r="S62" s="142">
        <f t="shared" ref="S62:T62" si="406">S63-S61</f>
        <v>362.18900000000002</v>
      </c>
      <c r="T62" s="142">
        <f t="shared" si="406"/>
        <v>372.68899999999991</v>
      </c>
      <c r="U62" s="143">
        <f>U63-U61</f>
        <v>734.87799999999993</v>
      </c>
      <c r="V62" s="142">
        <f t="shared" ref="V62" si="407">+V63-V61</f>
        <v>413.89462949591564</v>
      </c>
      <c r="W62" s="142">
        <f>+W63-W61</f>
        <v>423.32263472933062</v>
      </c>
      <c r="X62" s="143">
        <f t="shared" si="386"/>
        <v>837.21726422524625</v>
      </c>
      <c r="Y62" s="142">
        <f t="shared" ref="Y62:Z62" si="408">+Y63-Y61</f>
        <v>483.70726345894241</v>
      </c>
      <c r="Z62" s="142">
        <f t="shared" si="408"/>
        <v>491.91124783040874</v>
      </c>
      <c r="AA62" s="143">
        <f t="shared" si="388"/>
        <v>975.61851128935109</v>
      </c>
      <c r="AB62" s="142">
        <f t="shared" ref="AB62:AC62" si="409">+AB63-AB61</f>
        <v>559.20517063608895</v>
      </c>
      <c r="AC62" s="142">
        <f t="shared" si="409"/>
        <v>566.06095172322216</v>
      </c>
      <c r="AD62" s="143">
        <f t="shared" si="390"/>
        <v>1125.2661223593111</v>
      </c>
      <c r="AE62" s="142">
        <f t="shared" ref="AE62:AF62" si="410">+AE63-AE61</f>
        <v>632.44118625808846</v>
      </c>
      <c r="AF62" s="142">
        <f t="shared" si="410"/>
        <v>637.70753195031239</v>
      </c>
      <c r="AG62" s="143">
        <f t="shared" si="392"/>
        <v>1270.1487182084009</v>
      </c>
      <c r="AH62" s="142">
        <f t="shared" ref="AH62:AI62" si="411">+AH63-AH61</f>
        <v>709.95392468368891</v>
      </c>
      <c r="AI62" s="142">
        <f t="shared" si="411"/>
        <v>713.52349286321896</v>
      </c>
      <c r="AJ62" s="143">
        <f t="shared" si="394"/>
        <v>1423.4774175469079</v>
      </c>
      <c r="AK62" s="142">
        <f t="shared" ref="AK62:AL62" si="412">+AK63-AK61</f>
        <v>791.96151724263109</v>
      </c>
      <c r="AL62" s="142">
        <f t="shared" si="412"/>
        <v>793.72025220149544</v>
      </c>
      <c r="AM62" s="143">
        <f t="shared" si="396"/>
        <v>1585.6817694441265</v>
      </c>
      <c r="AN62" s="142">
        <f t="shared" ref="AN62:AO62" si="413">+AN63-AN61</f>
        <v>878.69067686692517</v>
      </c>
      <c r="AO62" s="142">
        <f t="shared" si="413"/>
        <v>878.51769634278435</v>
      </c>
      <c r="AP62" s="143">
        <f t="shared" si="398"/>
        <v>1757.2083732097094</v>
      </c>
      <c r="AQ62" s="142">
        <f t="shared" ref="AQ62:AR62" si="414">+AQ63-AQ61</f>
        <v>970.37733239943998</v>
      </c>
      <c r="AR62" s="142">
        <f t="shared" si="414"/>
        <v>968.14475886377193</v>
      </c>
      <c r="AS62" s="143">
        <f t="shared" si="400"/>
        <v>1938.5220912632119</v>
      </c>
      <c r="AT62" s="142">
        <f t="shared" ref="AT62:AU62" si="415">+AT63-AT61</f>
        <v>1067.2672175002986</v>
      </c>
      <c r="AU62" s="142">
        <f t="shared" si="415"/>
        <v>1062.8399667414456</v>
      </c>
      <c r="AV62" s="143">
        <f t="shared" si="402"/>
        <v>2130.1071842417441</v>
      </c>
      <c r="AW62" s="142">
        <f t="shared" ref="AW62:AX62" si="416">+AW63-AW61</f>
        <v>1169.6164346509872</v>
      </c>
      <c r="AX62" s="142">
        <f t="shared" si="416"/>
        <v>1162.8519699137823</v>
      </c>
      <c r="AY62" s="143">
        <f t="shared" si="404"/>
        <v>2332.4684045647696</v>
      </c>
    </row>
    <row r="63" spans="1:51" s="17" customFormat="1" ht="12" customHeight="1" x14ac:dyDescent="0.2">
      <c r="A63" s="138"/>
      <c r="B63" s="161" t="s">
        <v>369</v>
      </c>
      <c r="C63" s="265"/>
      <c r="D63" s="168"/>
      <c r="E63" s="168"/>
      <c r="F63" s="381">
        <v>289</v>
      </c>
      <c r="G63" s="168"/>
      <c r="H63" s="168"/>
      <c r="I63" s="381">
        <v>420</v>
      </c>
      <c r="J63" s="168"/>
      <c r="K63" s="168"/>
      <c r="L63" s="293">
        <v>535.4</v>
      </c>
      <c r="M63" s="294">
        <v>334.9</v>
      </c>
      <c r="N63" s="295">
        <f>O63-M63</f>
        <v>368</v>
      </c>
      <c r="O63" s="293">
        <v>702.9</v>
      </c>
      <c r="P63" s="294">
        <v>438.6</v>
      </c>
      <c r="Q63" s="295">
        <f>R63-P63</f>
        <v>456</v>
      </c>
      <c r="R63" s="293">
        <v>894.6</v>
      </c>
      <c r="S63" s="294">
        <v>538.24</v>
      </c>
      <c r="T63" s="295">
        <f>U63-S63</f>
        <v>556.3599999999999</v>
      </c>
      <c r="U63" s="293">
        <v>1094.5999999999999</v>
      </c>
      <c r="V63" s="296">
        <f>+S63*(1+V92)</f>
        <v>632.68830476190487</v>
      </c>
      <c r="W63" s="296">
        <f>+T63*(1+W92)</f>
        <v>649.10322499999984</v>
      </c>
      <c r="X63" s="290">
        <f t="shared" ref="X63:X65" si="417">+W63+V63</f>
        <v>1281.7915297619047</v>
      </c>
      <c r="Y63" s="296">
        <f>+V63*(1+Y92)</f>
        <v>743.73966202032295</v>
      </c>
      <c r="Z63" s="296">
        <f>+W63*(1+Z92)</f>
        <v>758.22412148622027</v>
      </c>
      <c r="AA63" s="290">
        <f t="shared" ref="AA63:AA65" si="418">+Z63+Y63</f>
        <v>1501.9637835065432</v>
      </c>
      <c r="AB63" s="296">
        <f>+Y63*(1+AB92)</f>
        <v>863.87158884107771</v>
      </c>
      <c r="AC63" s="296">
        <f>+Z63*(1+AC92)</f>
        <v>876.22942490062485</v>
      </c>
      <c r="AD63" s="290">
        <f t="shared" ref="AD63:AD65" si="419">+AC63+AB63</f>
        <v>1740.1010137417024</v>
      </c>
      <c r="AE63" s="296">
        <f>+AB63*(1+AE92)</f>
        <v>980.78317359844971</v>
      </c>
      <c r="AF63" s="296">
        <f>+AC63*(1+AF92)</f>
        <v>990.61364186456296</v>
      </c>
      <c r="AG63" s="290">
        <f t="shared" ref="AG63:AG65" si="420">+AF63+AE63</f>
        <v>1971.3968154630127</v>
      </c>
      <c r="AH63" s="296">
        <f>+AE63*(1+AH92)</f>
        <v>1104.5437008079928</v>
      </c>
      <c r="AI63" s="296">
        <f>+AF63*(1+AI92)</f>
        <v>1111.6758439110347</v>
      </c>
      <c r="AJ63" s="290">
        <f t="shared" ref="AJ63:AJ65" si="421">+AI63+AH63</f>
        <v>2216.2195447190275</v>
      </c>
      <c r="AK63" s="296">
        <f>+AH63*(1+AK92)</f>
        <v>1235.5044323536536</v>
      </c>
      <c r="AL63" s="296">
        <f>+AI63*(1+AL92)</f>
        <v>1239.7563575851698</v>
      </c>
      <c r="AM63" s="290">
        <f t="shared" ref="AM63:AM65" si="422">+AL63+AK63</f>
        <v>2475.2607899388231</v>
      </c>
      <c r="AN63" s="296">
        <f>+AK63*(1+AN92)</f>
        <v>1374.0302056624057</v>
      </c>
      <c r="AO63" s="296">
        <f>+AL63*(1+AO92)</f>
        <v>1375.2089457629158</v>
      </c>
      <c r="AP63" s="290">
        <f t="shared" ref="AP63:AP65" si="423">+AO63+AN63</f>
        <v>2749.2391514253213</v>
      </c>
      <c r="AQ63" s="296">
        <f>+AN63*(1+AQ92)</f>
        <v>1520.5005138626716</v>
      </c>
      <c r="AR63" s="296">
        <f>+AO63*(1+AR92)</f>
        <v>1518.4017850694277</v>
      </c>
      <c r="AS63" s="290">
        <f t="shared" ref="AS63:AS65" si="424">+AR63+AQ63</f>
        <v>3038.9022989320993</v>
      </c>
      <c r="AT63" s="296">
        <f>+AQ63*(1+AT92)</f>
        <v>1675.3104937986004</v>
      </c>
      <c r="AU63" s="296">
        <f>+AR63*(1+AU92)</f>
        <v>1669.7183767539327</v>
      </c>
      <c r="AV63" s="290">
        <f t="shared" ref="AV63:AV65" si="425">+AU63+AT63</f>
        <v>3345.0288705525331</v>
      </c>
      <c r="AW63" s="296">
        <f>+AT63*(1+AW92)</f>
        <v>1838.8718617369964</v>
      </c>
      <c r="AX63" s="296">
        <f>+AU63*(1+AX92)</f>
        <v>1829.5584213626239</v>
      </c>
      <c r="AY63" s="290">
        <f t="shared" ref="AY63:AY65" si="426">+AX63+AW63</f>
        <v>3668.4302830996203</v>
      </c>
    </row>
    <row r="64" spans="1:51" s="17" customFormat="1" ht="12" customHeight="1" x14ac:dyDescent="0.2">
      <c r="A64" s="138"/>
      <c r="B64" s="6" t="s">
        <v>372</v>
      </c>
      <c r="C64" s="130"/>
      <c r="D64" s="142"/>
      <c r="E64" s="142"/>
      <c r="F64" s="286">
        <v>17</v>
      </c>
      <c r="G64" s="142"/>
      <c r="H64" s="142"/>
      <c r="I64" s="286">
        <v>22</v>
      </c>
      <c r="J64" s="142"/>
      <c r="K64" s="142"/>
      <c r="L64" s="286">
        <v>31.4</v>
      </c>
      <c r="M64" s="287">
        <v>21.5</v>
      </c>
      <c r="N64" s="267">
        <f>O64-M64</f>
        <v>21.6</v>
      </c>
      <c r="O64" s="286">
        <v>43.1</v>
      </c>
      <c r="P64" s="287">
        <v>22.2</v>
      </c>
      <c r="Q64" s="267">
        <f>R64-P64</f>
        <v>24.2</v>
      </c>
      <c r="R64" s="244">
        <v>46.4</v>
      </c>
      <c r="S64" s="287">
        <v>30.193999999999999</v>
      </c>
      <c r="T64" s="267">
        <f>U64-S64</f>
        <v>34.506</v>
      </c>
      <c r="U64" s="244">
        <v>64.7</v>
      </c>
      <c r="V64" s="288">
        <f>+S64*(1+V96)</f>
        <v>34.723099999999995</v>
      </c>
      <c r="W64" s="288">
        <f>+T64*(1+W96)</f>
        <v>39.681899999999999</v>
      </c>
      <c r="X64" s="143">
        <f t="shared" si="417"/>
        <v>74.405000000000001</v>
      </c>
      <c r="Y64" s="288">
        <f>+V64*(1+Y96)</f>
        <v>39.931564999999992</v>
      </c>
      <c r="Z64" s="288">
        <f>+W64*(1+Z96)</f>
        <v>45.634184999999995</v>
      </c>
      <c r="AA64" s="143">
        <f t="shared" si="418"/>
        <v>85.56574999999998</v>
      </c>
      <c r="AB64" s="288">
        <f>+Y64*(1+AB96)</f>
        <v>45.921299749999989</v>
      </c>
      <c r="AC64" s="288">
        <f>+Z64*(1+AC96)</f>
        <v>52.479312749999991</v>
      </c>
      <c r="AD64" s="143">
        <f t="shared" si="419"/>
        <v>98.40061249999998</v>
      </c>
      <c r="AE64" s="288">
        <f>+AB64*(1+AE96)</f>
        <v>52.809494712499983</v>
      </c>
      <c r="AF64" s="288">
        <f>+AC64*(1+AF96)</f>
        <v>60.351209662499983</v>
      </c>
      <c r="AG64" s="143">
        <f t="shared" si="420"/>
        <v>113.16070437499997</v>
      </c>
      <c r="AH64" s="288">
        <f>+AE64*(1+AH96)</f>
        <v>60.730918919374979</v>
      </c>
      <c r="AI64" s="288">
        <f>+AF64*(1+AI96)</f>
        <v>69.40389111187497</v>
      </c>
      <c r="AJ64" s="143">
        <f t="shared" si="421"/>
        <v>130.13481003124994</v>
      </c>
      <c r="AK64" s="288">
        <f>+AH64*(1+AK96)</f>
        <v>69.84055675728122</v>
      </c>
      <c r="AL64" s="288">
        <f>+AI64*(1+AL96)</f>
        <v>79.814474778656205</v>
      </c>
      <c r="AM64" s="143">
        <f t="shared" si="422"/>
        <v>149.65503153593744</v>
      </c>
      <c r="AN64" s="288">
        <f>+AK64*(1+AN96)</f>
        <v>80.316640270873393</v>
      </c>
      <c r="AO64" s="288">
        <f>+AL64*(1+AO96)</f>
        <v>91.786645995454634</v>
      </c>
      <c r="AP64" s="143">
        <f t="shared" si="423"/>
        <v>172.10328626632804</v>
      </c>
      <c r="AQ64" s="288">
        <f>+AN64*(1+AQ96)</f>
        <v>92.364136311504396</v>
      </c>
      <c r="AR64" s="288">
        <f>+AO64*(1+AR96)</f>
        <v>105.55464289477283</v>
      </c>
      <c r="AS64" s="143">
        <f t="shared" si="424"/>
        <v>197.91877920627724</v>
      </c>
      <c r="AT64" s="288">
        <f>+AQ64*(1+AT96)</f>
        <v>106.21875675823004</v>
      </c>
      <c r="AU64" s="288">
        <f>+AR64*(1+AU96)</f>
        <v>121.38783932898875</v>
      </c>
      <c r="AV64" s="143">
        <f t="shared" si="425"/>
        <v>227.6065960872188</v>
      </c>
      <c r="AW64" s="288">
        <f>+AT64*(1+AW96)</f>
        <v>122.15157027196454</v>
      </c>
      <c r="AX64" s="288">
        <f>+AU64*(1+AX96)</f>
        <v>139.59601522833705</v>
      </c>
      <c r="AY64" s="143">
        <f t="shared" si="426"/>
        <v>261.74758550030162</v>
      </c>
    </row>
    <row r="65" spans="1:51" s="17" customFormat="1" ht="12" customHeight="1" x14ac:dyDescent="0.2">
      <c r="A65" s="138"/>
      <c r="B65" s="6" t="s">
        <v>370</v>
      </c>
      <c r="C65" s="130"/>
      <c r="D65" s="142"/>
      <c r="E65" s="142"/>
      <c r="F65" s="286">
        <v>5</v>
      </c>
      <c r="G65" s="142"/>
      <c r="H65" s="142"/>
      <c r="I65" s="286">
        <v>5</v>
      </c>
      <c r="J65" s="142"/>
      <c r="K65" s="142"/>
      <c r="L65" s="286">
        <v>5.8</v>
      </c>
      <c r="M65" s="287">
        <v>3.2</v>
      </c>
      <c r="N65" s="267">
        <f>O65-M65</f>
        <v>3.8</v>
      </c>
      <c r="O65" s="286">
        <v>7</v>
      </c>
      <c r="P65" s="287">
        <v>4.2</v>
      </c>
      <c r="Q65" s="267">
        <f>R65-P65</f>
        <v>3.7</v>
      </c>
      <c r="R65" s="286">
        <v>7.9</v>
      </c>
      <c r="S65" s="287">
        <v>4.6059999999999999</v>
      </c>
      <c r="T65" s="267">
        <f>U65-S65</f>
        <v>4.4939999999999998</v>
      </c>
      <c r="U65" s="286">
        <v>9.1</v>
      </c>
      <c r="V65" s="288">
        <f>+S65*(1+V100)</f>
        <v>5.0666000000000002</v>
      </c>
      <c r="W65" s="288">
        <f>+T65*(1+W100)</f>
        <v>5.8422000000000001</v>
      </c>
      <c r="X65" s="143">
        <f t="shared" si="417"/>
        <v>10.908799999999999</v>
      </c>
      <c r="Y65" s="288">
        <f>+V65*(1+Y100)</f>
        <v>6.755466666666667</v>
      </c>
      <c r="Z65" s="288">
        <f>+W65*(1+Z100)</f>
        <v>7.5113999999999992</v>
      </c>
      <c r="AA65" s="143">
        <f t="shared" si="418"/>
        <v>14.266866666666665</v>
      </c>
      <c r="AB65" s="288">
        <f>+Y65*(1+AB100)</f>
        <v>8.4443333333333328</v>
      </c>
      <c r="AC65" s="288">
        <f>+Z65*(1+AC100)</f>
        <v>9.1806000000000001</v>
      </c>
      <c r="AD65" s="143">
        <f t="shared" si="419"/>
        <v>17.624933333333331</v>
      </c>
      <c r="AE65" s="288">
        <f>+AB65*(1+AE100)</f>
        <v>10.133199999999999</v>
      </c>
      <c r="AF65" s="288">
        <f>+AC65*(1+AF100)</f>
        <v>10.8498</v>
      </c>
      <c r="AG65" s="143">
        <f t="shared" si="420"/>
        <v>20.982999999999997</v>
      </c>
      <c r="AH65" s="288">
        <f>+AE65*(1+AH100)</f>
        <v>11.822066666666666</v>
      </c>
      <c r="AI65" s="288">
        <f>+AF65*(1+AI100)</f>
        <v>12.518999999999998</v>
      </c>
      <c r="AJ65" s="143">
        <f t="shared" si="421"/>
        <v>24.341066666666663</v>
      </c>
      <c r="AK65" s="288">
        <f>+AH65*(1+AK100)</f>
        <v>13.510933333333332</v>
      </c>
      <c r="AL65" s="288">
        <f>+AI65*(1+AL100)</f>
        <v>14.188199999999998</v>
      </c>
      <c r="AM65" s="143">
        <f t="shared" si="422"/>
        <v>27.699133333333329</v>
      </c>
      <c r="AN65" s="288">
        <f>+AK65*(1+AN100)</f>
        <v>15.199799999999998</v>
      </c>
      <c r="AO65" s="288">
        <f>+AL65*(1+AO100)</f>
        <v>15.857399999999998</v>
      </c>
      <c r="AP65" s="143">
        <f t="shared" si="423"/>
        <v>31.057199999999995</v>
      </c>
      <c r="AQ65" s="288">
        <f>+AN65*(1+AQ100)</f>
        <v>16.888666666666666</v>
      </c>
      <c r="AR65" s="288">
        <f>+AO65*(1+AR100)</f>
        <v>17.526599999999995</v>
      </c>
      <c r="AS65" s="143">
        <f t="shared" si="424"/>
        <v>34.41526666666666</v>
      </c>
      <c r="AT65" s="288">
        <f>+AQ65*(1+AT100)</f>
        <v>18.577533333333335</v>
      </c>
      <c r="AU65" s="288">
        <f>+AR65*(1+AU100)</f>
        <v>19.195799999999995</v>
      </c>
      <c r="AV65" s="143">
        <f t="shared" si="425"/>
        <v>37.773333333333326</v>
      </c>
      <c r="AW65" s="288">
        <f>+AT65*(1+AW100)</f>
        <v>20.266400000000001</v>
      </c>
      <c r="AX65" s="288">
        <f>+AU65*(1+AX100)</f>
        <v>20.864999999999995</v>
      </c>
      <c r="AY65" s="143">
        <f t="shared" si="426"/>
        <v>41.131399999999999</v>
      </c>
    </row>
    <row r="66" spans="1:51" s="17" customFormat="1" ht="12" customHeight="1" x14ac:dyDescent="0.2">
      <c r="A66" s="138"/>
      <c r="B66" s="161" t="s">
        <v>371</v>
      </c>
      <c r="C66" s="268"/>
      <c r="D66" s="233"/>
      <c r="E66" s="233"/>
      <c r="F66" s="169"/>
      <c r="G66" s="233"/>
      <c r="H66" s="233"/>
      <c r="I66" s="169"/>
      <c r="J66" s="233"/>
      <c r="K66" s="233"/>
      <c r="L66" s="169">
        <f t="shared" ref="L66:Q66" si="427">SUM(L63:L65)</f>
        <v>572.59999999999991</v>
      </c>
      <c r="M66" s="233">
        <f t="shared" si="427"/>
        <v>359.59999999999997</v>
      </c>
      <c r="N66" s="233">
        <f t="shared" si="427"/>
        <v>393.40000000000003</v>
      </c>
      <c r="O66" s="169">
        <f t="shared" si="427"/>
        <v>753</v>
      </c>
      <c r="P66" s="233">
        <f t="shared" si="427"/>
        <v>465</v>
      </c>
      <c r="Q66" s="233">
        <f t="shared" si="427"/>
        <v>483.9</v>
      </c>
      <c r="R66" s="169">
        <f>SUM(R63:R65)</f>
        <v>948.9</v>
      </c>
      <c r="S66" s="233">
        <f t="shared" ref="S66" si="428">SUM(S63:S65)</f>
        <v>573.04</v>
      </c>
      <c r="T66" s="233">
        <f t="shared" ref="T66" si="429">SUM(T63:T65)</f>
        <v>595.3599999999999</v>
      </c>
      <c r="U66" s="169">
        <f>SUM(U63:U65)</f>
        <v>1168.3999999999999</v>
      </c>
      <c r="V66" s="289">
        <f t="shared" ref="V66:AJ66" si="430">SUM(V63:V65)</f>
        <v>672.47800476190491</v>
      </c>
      <c r="W66" s="289">
        <f t="shared" si="430"/>
        <v>694.62732499999993</v>
      </c>
      <c r="X66" s="290">
        <f t="shared" si="430"/>
        <v>1367.1053297619046</v>
      </c>
      <c r="Y66" s="289">
        <f t="shared" si="430"/>
        <v>790.42669368698955</v>
      </c>
      <c r="Z66" s="289">
        <f t="shared" si="430"/>
        <v>811.36970648622025</v>
      </c>
      <c r="AA66" s="290">
        <f t="shared" si="430"/>
        <v>1601.7964001732098</v>
      </c>
      <c r="AB66" s="289">
        <f t="shared" si="430"/>
        <v>918.23722192441107</v>
      </c>
      <c r="AC66" s="289">
        <f t="shared" si="430"/>
        <v>937.88933765062484</v>
      </c>
      <c r="AD66" s="290">
        <f t="shared" si="430"/>
        <v>1856.1265595750358</v>
      </c>
      <c r="AE66" s="289">
        <f t="shared" si="430"/>
        <v>1043.7258683109496</v>
      </c>
      <c r="AF66" s="289">
        <f t="shared" si="430"/>
        <v>1061.814651527063</v>
      </c>
      <c r="AG66" s="290">
        <f t="shared" si="430"/>
        <v>2105.5405198380126</v>
      </c>
      <c r="AH66" s="289">
        <f t="shared" si="430"/>
        <v>1177.0966863940344</v>
      </c>
      <c r="AI66" s="289">
        <f t="shared" si="430"/>
        <v>1193.5987350229098</v>
      </c>
      <c r="AJ66" s="290">
        <f t="shared" si="430"/>
        <v>2370.6954214169441</v>
      </c>
      <c r="AK66" s="289">
        <f t="shared" ref="AK66:AM66" si="431">SUM(AK63:AK65)</f>
        <v>1318.8559224442681</v>
      </c>
      <c r="AL66" s="289">
        <f t="shared" si="431"/>
        <v>1333.759032363826</v>
      </c>
      <c r="AM66" s="290">
        <f t="shared" si="431"/>
        <v>2652.6149548080939</v>
      </c>
      <c r="AN66" s="289">
        <f t="shared" ref="AN66:AP66" si="432">SUM(AN63:AN65)</f>
        <v>1469.5466459332793</v>
      </c>
      <c r="AO66" s="289">
        <f t="shared" si="432"/>
        <v>1482.8529917583705</v>
      </c>
      <c r="AP66" s="290">
        <f t="shared" si="432"/>
        <v>2952.3996376916493</v>
      </c>
      <c r="AQ66" s="289">
        <f t="shared" ref="AQ66:AS66" si="433">SUM(AQ63:AQ65)</f>
        <v>1629.7533168408427</v>
      </c>
      <c r="AR66" s="289">
        <f t="shared" si="433"/>
        <v>1641.4830279642003</v>
      </c>
      <c r="AS66" s="290">
        <f t="shared" si="433"/>
        <v>3271.2363448050432</v>
      </c>
      <c r="AT66" s="289">
        <f t="shared" ref="AT66:AV66" si="434">SUM(AT63:AT65)</f>
        <v>1800.1067838901638</v>
      </c>
      <c r="AU66" s="289">
        <f t="shared" si="434"/>
        <v>1810.3020160829215</v>
      </c>
      <c r="AV66" s="290">
        <f t="shared" si="434"/>
        <v>3610.4087999730855</v>
      </c>
      <c r="AW66" s="289">
        <f t="shared" ref="AW66:AY66" si="435">SUM(AW63:AW65)</f>
        <v>1981.289832008961</v>
      </c>
      <c r="AX66" s="289">
        <f t="shared" si="435"/>
        <v>1990.019436590961</v>
      </c>
      <c r="AY66" s="290">
        <f t="shared" si="435"/>
        <v>3971.3092685999222</v>
      </c>
    </row>
    <row r="67" spans="1:51" s="17" customFormat="1" ht="12" customHeight="1" x14ac:dyDescent="0.2">
      <c r="A67" s="138"/>
      <c r="B67" s="6"/>
      <c r="C67" s="269"/>
      <c r="D67" s="270"/>
      <c r="E67" s="270"/>
      <c r="F67" s="143"/>
      <c r="G67" s="270"/>
      <c r="H67" s="270"/>
      <c r="I67" s="143"/>
      <c r="J67" s="270"/>
      <c r="K67" s="270"/>
      <c r="L67" s="143"/>
      <c r="M67" s="270"/>
      <c r="N67" s="270"/>
      <c r="O67" s="143"/>
      <c r="P67" s="270"/>
      <c r="Q67" s="270"/>
      <c r="R67" s="143"/>
      <c r="S67" s="270"/>
      <c r="T67" s="270"/>
      <c r="U67" s="143"/>
      <c r="V67" s="270"/>
      <c r="W67" s="270"/>
      <c r="X67" s="143"/>
      <c r="Y67" s="270"/>
      <c r="Z67" s="270"/>
      <c r="AA67" s="143"/>
      <c r="AB67" s="270"/>
      <c r="AC67" s="270"/>
      <c r="AD67" s="143"/>
      <c r="AE67" s="270"/>
      <c r="AF67" s="270"/>
      <c r="AG67" s="143"/>
      <c r="AH67" s="270"/>
      <c r="AI67" s="270"/>
      <c r="AJ67" s="143"/>
      <c r="AK67" s="270"/>
      <c r="AL67" s="270"/>
      <c r="AM67" s="143"/>
      <c r="AN67" s="270"/>
      <c r="AO67" s="270"/>
      <c r="AP67" s="143"/>
      <c r="AQ67" s="270"/>
      <c r="AR67" s="270"/>
      <c r="AS67" s="143"/>
      <c r="AT67" s="270"/>
      <c r="AU67" s="270"/>
      <c r="AV67" s="143"/>
      <c r="AW67" s="270"/>
      <c r="AX67" s="270"/>
      <c r="AY67" s="143"/>
    </row>
    <row r="68" spans="1:51" s="17" customFormat="1" ht="12" customHeight="1" x14ac:dyDescent="0.2">
      <c r="A68" s="138"/>
      <c r="B68" s="6" t="s">
        <v>395</v>
      </c>
      <c r="C68" s="269"/>
      <c r="D68" s="270"/>
      <c r="E68" s="270"/>
      <c r="F68" s="143"/>
      <c r="G68" s="270"/>
      <c r="H68" s="270"/>
      <c r="I68" s="143">
        <f>+I61</f>
        <v>93.346000000000004</v>
      </c>
      <c r="J68" s="130"/>
      <c r="K68" s="130"/>
      <c r="L68" s="143">
        <f t="shared" ref="L68:R68" si="436">+L61</f>
        <v>139.21700000000001</v>
      </c>
      <c r="M68" s="142">
        <f t="shared" si="436"/>
        <v>100.639</v>
      </c>
      <c r="N68" s="142">
        <f t="shared" si="436"/>
        <v>111.336</v>
      </c>
      <c r="O68" s="143">
        <f t="shared" si="436"/>
        <v>211.97499999999999</v>
      </c>
      <c r="P68" s="142">
        <f t="shared" si="436"/>
        <v>136.57400000000001</v>
      </c>
      <c r="Q68" s="142">
        <f t="shared" si="436"/>
        <v>142.303</v>
      </c>
      <c r="R68" s="319">
        <f t="shared" si="436"/>
        <v>278.87700000000001</v>
      </c>
      <c r="S68" s="142">
        <f t="shared" ref="S68:U68" si="437">+S61</f>
        <v>176.05099999999999</v>
      </c>
      <c r="T68" s="142">
        <f t="shared" si="437"/>
        <v>183.67099999999999</v>
      </c>
      <c r="U68" s="319">
        <f t="shared" si="437"/>
        <v>359.72199999999998</v>
      </c>
      <c r="V68" s="142">
        <f>+V61</f>
        <v>218.79367526598926</v>
      </c>
      <c r="W68" s="142">
        <f>+W61</f>
        <v>225.78059027066922</v>
      </c>
      <c r="X68" s="143">
        <f t="shared" ref="X68:X70" si="438">+W68+V68</f>
        <v>444.57426553665846</v>
      </c>
      <c r="Y68" s="142">
        <f>+Y61</f>
        <v>260.03239856138055</v>
      </c>
      <c r="Z68" s="142">
        <f>+Z61</f>
        <v>266.31287365581153</v>
      </c>
      <c r="AA68" s="143">
        <f t="shared" ref="AA68:AA70" si="439">+Z68+Y68</f>
        <v>526.34527221719213</v>
      </c>
      <c r="AB68" s="142">
        <f>+AB61</f>
        <v>304.66641820498876</v>
      </c>
      <c r="AC68" s="142">
        <f>+AC61</f>
        <v>310.16847317740269</v>
      </c>
      <c r="AD68" s="143">
        <f t="shared" ref="AD68:AD70" si="440">+AC68+AB68</f>
        <v>614.83489138239145</v>
      </c>
      <c r="AE68" s="142">
        <f>+AE61</f>
        <v>348.34198734036119</v>
      </c>
      <c r="AF68" s="142">
        <f>+AF61</f>
        <v>352.90610991425058</v>
      </c>
      <c r="AG68" s="143">
        <f t="shared" ref="AG68:AG70" si="441">+AF68+AE68</f>
        <v>701.24809725461182</v>
      </c>
      <c r="AH68" s="142">
        <f>+AH61</f>
        <v>394.5897761243038</v>
      </c>
      <c r="AI68" s="142">
        <f>+AI61</f>
        <v>398.15235104781573</v>
      </c>
      <c r="AJ68" s="143">
        <f t="shared" ref="AJ68:AJ70" si="442">+AI68+AH68</f>
        <v>792.74212717211958</v>
      </c>
      <c r="AK68" s="142">
        <f>+AK61</f>
        <v>443.54291511102241</v>
      </c>
      <c r="AL68" s="142">
        <f>+AL61</f>
        <v>446.03610538367434</v>
      </c>
      <c r="AM68" s="143">
        <f t="shared" ref="AM68:AM70" si="443">+AL68+AK68</f>
        <v>889.57902049469681</v>
      </c>
      <c r="AN68" s="142">
        <f>+AN61</f>
        <v>495.33952879548053</v>
      </c>
      <c r="AO68" s="142">
        <f>+AO61</f>
        <v>496.6912494201315</v>
      </c>
      <c r="AP68" s="143">
        <f t="shared" ref="AP68:AP70" si="444">+AO68+AN68</f>
        <v>992.03077821561203</v>
      </c>
      <c r="AQ68" s="142">
        <f>+AQ61</f>
        <v>550.12318146323162</v>
      </c>
      <c r="AR68" s="142">
        <f>+AR61</f>
        <v>550.25702620565573</v>
      </c>
      <c r="AS68" s="143">
        <f t="shared" ref="AS68:AS70" si="445">+AR68+AQ68</f>
        <v>1100.3802076688874</v>
      </c>
      <c r="AT68" s="142">
        <f>+AT61</f>
        <v>608.04327629830198</v>
      </c>
      <c r="AU68" s="142">
        <f>+AU61</f>
        <v>606.87841001248705</v>
      </c>
      <c r="AV68" s="143">
        <f t="shared" ref="AV68:AV70" si="446">+AU68+AT68</f>
        <v>1214.921686310789</v>
      </c>
      <c r="AW68" s="142">
        <f>+AW61</f>
        <v>669.25542708600904</v>
      </c>
      <c r="AX68" s="142">
        <f>+AX61</f>
        <v>666.70645144884156</v>
      </c>
      <c r="AY68" s="143">
        <f t="shared" ref="AY68:AY70" si="447">+AX68+AW68</f>
        <v>1335.9618785348507</v>
      </c>
    </row>
    <row r="69" spans="1:51" s="17" customFormat="1" ht="12" customHeight="1" x14ac:dyDescent="0.2">
      <c r="A69" s="138"/>
      <c r="B69" s="6" t="s">
        <v>421</v>
      </c>
      <c r="C69" s="269"/>
      <c r="D69" s="270"/>
      <c r="E69" s="270"/>
      <c r="F69" s="143"/>
      <c r="G69" s="270"/>
      <c r="H69" s="270"/>
      <c r="I69" s="143"/>
      <c r="J69" s="270"/>
      <c r="K69" s="270"/>
      <c r="L69" s="143">
        <f t="shared" ref="L69:Q69" si="448">+L70-L68</f>
        <v>-119.61700000000002</v>
      </c>
      <c r="M69" s="142">
        <f t="shared" si="448"/>
        <v>-86.838999999999999</v>
      </c>
      <c r="N69" s="142">
        <f t="shared" si="448"/>
        <v>-94.701999999999998</v>
      </c>
      <c r="O69" s="143">
        <f t="shared" si="448"/>
        <v>-181.541</v>
      </c>
      <c r="P69" s="142">
        <f t="shared" si="448"/>
        <v>-112.67400000000001</v>
      </c>
      <c r="Q69" s="142">
        <f t="shared" si="448"/>
        <v>-117.65199999999999</v>
      </c>
      <c r="R69" s="143">
        <f>+R70-R68</f>
        <v>-230.32600000000002</v>
      </c>
      <c r="S69" s="142">
        <f t="shared" ref="S69:T69" si="449">+S70-S68</f>
        <v>-144.32999999999998</v>
      </c>
      <c r="T69" s="142">
        <f t="shared" si="449"/>
        <v>-151.053</v>
      </c>
      <c r="U69" s="143">
        <f>+U70-U68</f>
        <v>-295.38299999999998</v>
      </c>
      <c r="V69" s="142">
        <f t="shared" ref="V69:W69" si="450">+V70-V68</f>
        <v>-178.31684534178126</v>
      </c>
      <c r="W69" s="142">
        <f t="shared" si="450"/>
        <v>-185.14008402194878</v>
      </c>
      <c r="X69" s="143">
        <f t="shared" si="438"/>
        <v>-363.45692936373007</v>
      </c>
      <c r="Y69" s="142">
        <f t="shared" ref="Y69:Z69" si="451">+Y70-Y68</f>
        <v>-210.62624283471825</v>
      </c>
      <c r="Z69" s="142">
        <f t="shared" si="451"/>
        <v>-217.04499202948639</v>
      </c>
      <c r="AA69" s="143">
        <f t="shared" si="439"/>
        <v>-427.67123486420462</v>
      </c>
      <c r="AB69" s="142">
        <f t="shared" ref="AB69:AC69" si="452">+AB70-AB68</f>
        <v>-245.25646665501594</v>
      </c>
      <c r="AC69" s="142">
        <f t="shared" si="452"/>
        <v>-251.23646327369619</v>
      </c>
      <c r="AD69" s="143">
        <f t="shared" si="440"/>
        <v>-496.4929299287121</v>
      </c>
      <c r="AE69" s="142">
        <f t="shared" ref="AE69:AF69" si="453">+AE70-AE68</f>
        <v>-278.67358987228897</v>
      </c>
      <c r="AF69" s="142">
        <f t="shared" si="453"/>
        <v>-284.08941848097174</v>
      </c>
      <c r="AG69" s="143">
        <f t="shared" si="441"/>
        <v>-562.76300835326072</v>
      </c>
      <c r="AH69" s="142">
        <f t="shared" ref="AH69:AI69" si="454">+AH70-AH68</f>
        <v>-313.69887201882153</v>
      </c>
      <c r="AI69" s="142">
        <f t="shared" si="454"/>
        <v>-318.52188083825257</v>
      </c>
      <c r="AJ69" s="143">
        <f t="shared" si="442"/>
        <v>-632.2207528570741</v>
      </c>
      <c r="AK69" s="142">
        <f t="shared" ref="AK69:AL69" si="455">+AK70-AK68</f>
        <v>-350.3989029377077</v>
      </c>
      <c r="AL69" s="142">
        <f t="shared" si="455"/>
        <v>-352.36852325310275</v>
      </c>
      <c r="AM69" s="143">
        <f t="shared" si="443"/>
        <v>-702.76742619081051</v>
      </c>
      <c r="AN69" s="142">
        <f t="shared" ref="AN69:AO69" si="456">+AN70-AN68</f>
        <v>-391.31822774842965</v>
      </c>
      <c r="AO69" s="142">
        <f t="shared" si="456"/>
        <v>-392.38608704190392</v>
      </c>
      <c r="AP69" s="143">
        <f t="shared" si="444"/>
        <v>-783.70431479033357</v>
      </c>
      <c r="AQ69" s="142">
        <f t="shared" ref="AQ69:AR69" si="457">+AQ70-AQ68</f>
        <v>-434.59731335595296</v>
      </c>
      <c r="AR69" s="142">
        <f t="shared" si="457"/>
        <v>-434.70305070246803</v>
      </c>
      <c r="AS69" s="143">
        <f t="shared" si="445"/>
        <v>-869.300364058421</v>
      </c>
      <c r="AT69" s="142">
        <f t="shared" ref="AT69:AU69" si="458">+AT70-AT68</f>
        <v>-480.35418827565854</v>
      </c>
      <c r="AU69" s="142">
        <f t="shared" si="458"/>
        <v>-479.43394390986475</v>
      </c>
      <c r="AV69" s="143">
        <f t="shared" si="446"/>
        <v>-959.7881321855233</v>
      </c>
      <c r="AW69" s="142">
        <f t="shared" ref="AW69:AX69" si="459">+AW70-AW68</f>
        <v>-528.71178739794709</v>
      </c>
      <c r="AX69" s="142">
        <f t="shared" si="459"/>
        <v>-526.69809664458489</v>
      </c>
      <c r="AY69" s="143">
        <f t="shared" si="447"/>
        <v>-1055.409884042532</v>
      </c>
    </row>
    <row r="70" spans="1:51" s="17" customFormat="1" ht="12" customHeight="1" x14ac:dyDescent="0.2">
      <c r="A70" s="138"/>
      <c r="B70" s="161" t="s">
        <v>427</v>
      </c>
      <c r="C70" s="268"/>
      <c r="D70" s="233"/>
      <c r="E70" s="233"/>
      <c r="F70" s="154"/>
      <c r="G70" s="233"/>
      <c r="H70" s="233"/>
      <c r="I70" s="154"/>
      <c r="J70" s="162"/>
      <c r="K70" s="162"/>
      <c r="L70" s="154">
        <v>19.600000000000001</v>
      </c>
      <c r="M70" s="303">
        <v>13.8</v>
      </c>
      <c r="N70" s="47">
        <f>+O70-M70</f>
        <v>16.634</v>
      </c>
      <c r="O70" s="154">
        <v>30.434000000000001</v>
      </c>
      <c r="P70" s="303">
        <v>23.9</v>
      </c>
      <c r="Q70" s="47">
        <f>+R70-P70</f>
        <v>24.651000000000003</v>
      </c>
      <c r="R70" s="304">
        <v>48.551000000000002</v>
      </c>
      <c r="S70" s="303">
        <v>31.721</v>
      </c>
      <c r="T70" s="47">
        <f>+U70-S70</f>
        <v>32.617999999999995</v>
      </c>
      <c r="U70" s="304">
        <v>64.338999999999999</v>
      </c>
      <c r="V70" s="168">
        <f>+V68*V118</f>
        <v>40.476829924208012</v>
      </c>
      <c r="W70" s="168">
        <f>+W68*W118</f>
        <v>40.640506248720456</v>
      </c>
      <c r="X70" s="169">
        <f t="shared" si="438"/>
        <v>81.117336172928475</v>
      </c>
      <c r="Y70" s="168">
        <f>+Y68*Y118</f>
        <v>49.406155726662305</v>
      </c>
      <c r="Z70" s="168">
        <f>+Z68*Z118</f>
        <v>49.267881626325135</v>
      </c>
      <c r="AA70" s="169">
        <f t="shared" si="439"/>
        <v>98.67403735298744</v>
      </c>
      <c r="AB70" s="168">
        <f>+AB68*AB118</f>
        <v>59.40995154997281</v>
      </c>
      <c r="AC70" s="168">
        <f>+AC68*AC118</f>
        <v>58.932009903706515</v>
      </c>
      <c r="AD70" s="169">
        <f t="shared" si="440"/>
        <v>118.34196145367932</v>
      </c>
      <c r="AE70" s="168">
        <f>+AE68*AE118</f>
        <v>69.668397468072243</v>
      </c>
      <c r="AF70" s="168">
        <f>+AF68*AF118</f>
        <v>68.816691433278862</v>
      </c>
      <c r="AG70" s="169">
        <f t="shared" si="441"/>
        <v>138.48508890135111</v>
      </c>
      <c r="AH70" s="168">
        <f>+AH68*AH118</f>
        <v>80.890904105482278</v>
      </c>
      <c r="AI70" s="168">
        <f>+AI68*AI118</f>
        <v>79.630470209563157</v>
      </c>
      <c r="AJ70" s="169">
        <f t="shared" si="442"/>
        <v>160.52137431504542</v>
      </c>
      <c r="AK70" s="168">
        <f>+AK68*AK118</f>
        <v>93.144012173314707</v>
      </c>
      <c r="AL70" s="168">
        <f>+AL68*AL118</f>
        <v>93.667582130571603</v>
      </c>
      <c r="AM70" s="169">
        <f t="shared" si="443"/>
        <v>186.8115943038863</v>
      </c>
      <c r="AN70" s="168">
        <f>+AN68*AN118</f>
        <v>104.02130104705091</v>
      </c>
      <c r="AO70" s="168">
        <f>+AO68*AO118</f>
        <v>104.30516237822761</v>
      </c>
      <c r="AP70" s="169">
        <f t="shared" si="444"/>
        <v>208.32646342527852</v>
      </c>
      <c r="AQ70" s="168">
        <f>+AQ68*AQ118</f>
        <v>115.52586810727864</v>
      </c>
      <c r="AR70" s="168">
        <f>+AR68*AR118</f>
        <v>115.5539755031877</v>
      </c>
      <c r="AS70" s="169">
        <f t="shared" si="445"/>
        <v>231.07984361046636</v>
      </c>
      <c r="AT70" s="168">
        <f>+AT68*AT118</f>
        <v>127.6890880226434</v>
      </c>
      <c r="AU70" s="168">
        <f>+AU68*AU118</f>
        <v>127.44446610262227</v>
      </c>
      <c r="AV70" s="169">
        <f t="shared" si="446"/>
        <v>255.13355412526568</v>
      </c>
      <c r="AW70" s="168">
        <f>+AW68*AW118</f>
        <v>140.54363968806189</v>
      </c>
      <c r="AX70" s="168">
        <f>+AX68*AX118</f>
        <v>140.00835480425673</v>
      </c>
      <c r="AY70" s="169">
        <f t="shared" si="447"/>
        <v>280.55199449231861</v>
      </c>
    </row>
    <row r="71" spans="1:51" s="17" customFormat="1" ht="12" customHeight="1" x14ac:dyDescent="0.2">
      <c r="A71" s="138"/>
      <c r="B71" s="6"/>
      <c r="C71" s="269"/>
      <c r="D71" s="270"/>
      <c r="E71" s="270"/>
      <c r="F71" s="143"/>
      <c r="G71" s="270"/>
      <c r="H71" s="270"/>
      <c r="I71" s="143"/>
      <c r="J71" s="270"/>
      <c r="K71" s="270"/>
      <c r="L71" s="143"/>
      <c r="M71" s="270"/>
      <c r="N71" s="270"/>
      <c r="O71" s="143"/>
      <c r="P71" s="270"/>
      <c r="Q71" s="270"/>
      <c r="R71" s="143"/>
      <c r="S71" s="270"/>
      <c r="T71" s="270"/>
      <c r="U71" s="143"/>
      <c r="V71" s="270"/>
      <c r="W71" s="270"/>
      <c r="X71" s="143"/>
      <c r="Y71" s="270"/>
      <c r="Z71" s="270"/>
      <c r="AA71" s="143"/>
      <c r="AB71" s="270"/>
      <c r="AC71" s="270"/>
      <c r="AD71" s="143"/>
      <c r="AE71" s="270"/>
      <c r="AF71" s="270"/>
      <c r="AG71" s="143"/>
      <c r="AH71" s="270"/>
      <c r="AI71" s="270"/>
      <c r="AJ71" s="143"/>
      <c r="AK71" s="270"/>
      <c r="AL71" s="270"/>
      <c r="AM71" s="143"/>
      <c r="AN71" s="270"/>
      <c r="AO71" s="270"/>
      <c r="AP71" s="143"/>
      <c r="AQ71" s="270"/>
      <c r="AR71" s="270"/>
      <c r="AS71" s="143"/>
      <c r="AT71" s="270"/>
      <c r="AU71" s="270"/>
      <c r="AV71" s="143"/>
      <c r="AW71" s="270"/>
      <c r="AX71" s="270"/>
      <c r="AY71" s="143"/>
    </row>
    <row r="72" spans="1:51" s="17" customFormat="1" ht="12" customHeight="1" x14ac:dyDescent="0.2">
      <c r="A72" s="138"/>
      <c r="B72" s="6" t="s">
        <v>416</v>
      </c>
      <c r="C72" s="269"/>
      <c r="D72" s="270"/>
      <c r="E72" s="270"/>
      <c r="F72" s="143"/>
      <c r="G72" s="270"/>
      <c r="H72" s="270"/>
      <c r="I72" s="143"/>
      <c r="J72" s="270"/>
      <c r="K72" s="270"/>
      <c r="L72" s="143">
        <f t="shared" ref="L72:R72" si="460">+L75-L73-L74</f>
        <v>27.557000000000002</v>
      </c>
      <c r="M72" s="142">
        <f t="shared" si="460"/>
        <v>17.451499999999999</v>
      </c>
      <c r="N72" s="142">
        <f t="shared" si="460"/>
        <v>20.219000000000001</v>
      </c>
      <c r="O72" s="143">
        <f t="shared" si="460"/>
        <v>37.670500000000004</v>
      </c>
      <c r="P72" s="142">
        <f t="shared" si="460"/>
        <v>23.495999999999995</v>
      </c>
      <c r="Q72" s="142">
        <f t="shared" si="460"/>
        <v>26.500999999999998</v>
      </c>
      <c r="R72" s="143">
        <f t="shared" si="460"/>
        <v>49.996999999999993</v>
      </c>
      <c r="S72" s="142">
        <f t="shared" ref="S72:U72" si="461">+S75-S73-S74</f>
        <v>30.99203</v>
      </c>
      <c r="T72" s="142">
        <f t="shared" si="461"/>
        <v>33.231470000000002</v>
      </c>
      <c r="U72" s="143">
        <f t="shared" si="461"/>
        <v>64.223500000000001</v>
      </c>
      <c r="V72" s="142">
        <f>+V62*V128</f>
        <v>38.285253228372198</v>
      </c>
      <c r="W72" s="142">
        <f>+W62*W128</f>
        <v>39.157343712463081</v>
      </c>
      <c r="X72" s="143">
        <f t="shared" ref="X72:X74" si="462">+W72+V72</f>
        <v>77.442596940835273</v>
      </c>
      <c r="Y72" s="142">
        <f>+Y62*Y128</f>
        <v>45.952190028599532</v>
      </c>
      <c r="Z72" s="142">
        <f>+Z62*Z128</f>
        <v>47.961346663464852</v>
      </c>
      <c r="AA72" s="143">
        <f t="shared" ref="AA72:AA74" si="463">+Z72+Y72</f>
        <v>93.913536692064383</v>
      </c>
      <c r="AB72" s="142">
        <f>+AB62*AB128</f>
        <v>55.920517063608898</v>
      </c>
      <c r="AC72" s="142">
        <f>+AC62*AC128</f>
        <v>58.021247551630267</v>
      </c>
      <c r="AD72" s="143">
        <f t="shared" ref="AD72:AD74" si="464">+AC72+AB72</f>
        <v>113.94176461523917</v>
      </c>
      <c r="AE72" s="142">
        <f>+AE62*AE128</f>
        <v>66.406324557099282</v>
      </c>
      <c r="AF72" s="142">
        <f>+AF62*AF128</f>
        <v>68.55355968465858</v>
      </c>
      <c r="AG72" s="143">
        <f t="shared" ref="AG72:AG74" si="465">+AF72+AE72</f>
        <v>134.95988424175786</v>
      </c>
      <c r="AH72" s="142">
        <f>+AH62*AH128</f>
        <v>78.094931715205774</v>
      </c>
      <c r="AI72" s="142">
        <f>+AI62*AI128</f>
        <v>78.487584214954083</v>
      </c>
      <c r="AJ72" s="143">
        <f t="shared" ref="AJ72:AJ74" si="466">+AI72+AH72</f>
        <v>156.58251593015984</v>
      </c>
      <c r="AK72" s="142">
        <f>+AK62*AK128</f>
        <v>89.095670689795995</v>
      </c>
      <c r="AL72" s="142">
        <f>+AL62*AL128</f>
        <v>89.293528372668234</v>
      </c>
      <c r="AM72" s="143">
        <f t="shared" ref="AM72:AM74" si="467">+AL72+AK72</f>
        <v>178.38919906246423</v>
      </c>
      <c r="AN72" s="142">
        <f>+AN62*AN128</f>
        <v>101.04942783969641</v>
      </c>
      <c r="AO72" s="142">
        <f>+AO62*AO128</f>
        <v>101.0295350794202</v>
      </c>
      <c r="AP72" s="143">
        <f t="shared" ref="AP72:AP74" si="468">+AO72+AN72</f>
        <v>202.07896291911661</v>
      </c>
      <c r="AQ72" s="142">
        <f>+AQ62*AQ128</f>
        <v>114.01933655693421</v>
      </c>
      <c r="AR72" s="142">
        <f>+AR62*AR128</f>
        <v>113.75700916649321</v>
      </c>
      <c r="AS72" s="143">
        <f t="shared" ref="AS72:AS74" si="469">+AR72+AQ72</f>
        <v>227.77634572342743</v>
      </c>
      <c r="AT72" s="142">
        <f>+AT62*AT128</f>
        <v>128.07206610003584</v>
      </c>
      <c r="AU72" s="142">
        <f>+AU62*AU128</f>
        <v>127.54079600897347</v>
      </c>
      <c r="AV72" s="143">
        <f t="shared" ref="AV72:AV74" si="470">+AU72+AT72</f>
        <v>255.61286210900931</v>
      </c>
      <c r="AW72" s="142">
        <f>+AW62*AW128</f>
        <v>143.27801324474595</v>
      </c>
      <c r="AX72" s="142">
        <f>+AX62*AX128</f>
        <v>142.44936631443835</v>
      </c>
      <c r="AY72" s="143">
        <f t="shared" ref="AY72:AY74" si="471">+AX72+AW72</f>
        <v>285.72737955918433</v>
      </c>
    </row>
    <row r="73" spans="1:51" s="17" customFormat="1" ht="12" customHeight="1" x14ac:dyDescent="0.2">
      <c r="A73" s="138"/>
      <c r="B73" s="6" t="s">
        <v>417</v>
      </c>
      <c r="C73" s="269"/>
      <c r="D73" s="270"/>
      <c r="E73" s="270"/>
      <c r="F73" s="143"/>
      <c r="G73" s="270"/>
      <c r="H73" s="270"/>
      <c r="I73" s="143"/>
      <c r="J73" s="270"/>
      <c r="K73" s="270"/>
      <c r="L73" s="143">
        <f t="shared" ref="L73:R73" si="472">+L64*L129</f>
        <v>1.099</v>
      </c>
      <c r="M73" s="142">
        <f t="shared" si="472"/>
        <v>0.75250000000000006</v>
      </c>
      <c r="N73" s="142">
        <f t="shared" si="472"/>
        <v>0.75600000000000012</v>
      </c>
      <c r="O73" s="143">
        <f t="shared" si="472"/>
        <v>1.5085000000000002</v>
      </c>
      <c r="P73" s="142">
        <f t="shared" si="472"/>
        <v>0.77700000000000002</v>
      </c>
      <c r="Q73" s="142">
        <f t="shared" si="472"/>
        <v>0.84700000000000009</v>
      </c>
      <c r="R73" s="143">
        <f t="shared" si="472"/>
        <v>1.6240000000000001</v>
      </c>
      <c r="S73" s="142">
        <f t="shared" ref="S73:U73" si="473">+S64*S129</f>
        <v>1.0567900000000001</v>
      </c>
      <c r="T73" s="142">
        <f t="shared" si="473"/>
        <v>1.2077100000000001</v>
      </c>
      <c r="U73" s="143">
        <f t="shared" si="473"/>
        <v>2.2645000000000004</v>
      </c>
      <c r="V73" s="142">
        <f>+V64*V129</f>
        <v>1.2153084999999999</v>
      </c>
      <c r="W73" s="142">
        <f>+W64*W129</f>
        <v>1.3888665</v>
      </c>
      <c r="X73" s="143">
        <f t="shared" si="462"/>
        <v>2.6041749999999997</v>
      </c>
      <c r="Y73" s="142">
        <f>+Y64*Y129</f>
        <v>1.3976047749999998</v>
      </c>
      <c r="Z73" s="142">
        <f>+Z64*Z129</f>
        <v>1.5971964750000001</v>
      </c>
      <c r="AA73" s="143">
        <f t="shared" si="463"/>
        <v>2.9948012500000001</v>
      </c>
      <c r="AB73" s="142">
        <f>+AB64*AB129</f>
        <v>1.6072454912499998</v>
      </c>
      <c r="AC73" s="142">
        <f>+AC64*AC129</f>
        <v>1.83677594625</v>
      </c>
      <c r="AD73" s="143">
        <f t="shared" si="464"/>
        <v>3.4440214375</v>
      </c>
      <c r="AE73" s="142">
        <f>+AE64*AE129</f>
        <v>1.8483323149374995</v>
      </c>
      <c r="AF73" s="142">
        <f>+AF64*AF129</f>
        <v>2.1122923381874994</v>
      </c>
      <c r="AG73" s="143">
        <f t="shared" si="465"/>
        <v>3.9606246531249987</v>
      </c>
      <c r="AH73" s="142">
        <f>+AH64*AH129</f>
        <v>2.1255821621781243</v>
      </c>
      <c r="AI73" s="142">
        <f>+AI64*AI129</f>
        <v>2.4291361889156242</v>
      </c>
      <c r="AJ73" s="143">
        <f t="shared" si="466"/>
        <v>4.554718351093749</v>
      </c>
      <c r="AK73" s="142">
        <f>+AK64*AK129</f>
        <v>2.444419486504843</v>
      </c>
      <c r="AL73" s="142">
        <f>+AL64*AL129</f>
        <v>2.7935066172529672</v>
      </c>
      <c r="AM73" s="143">
        <f t="shared" si="467"/>
        <v>5.2379261037578102</v>
      </c>
      <c r="AN73" s="142">
        <f>+AN64*AN129</f>
        <v>2.8110824094805689</v>
      </c>
      <c r="AO73" s="142">
        <f>+AO64*AO129</f>
        <v>3.2125326098409124</v>
      </c>
      <c r="AP73" s="143">
        <f t="shared" si="468"/>
        <v>6.0236150193214808</v>
      </c>
      <c r="AQ73" s="142">
        <f>+AQ64*AQ129</f>
        <v>3.232744770902654</v>
      </c>
      <c r="AR73" s="142">
        <f>+AR64*AR129</f>
        <v>3.6944125013170495</v>
      </c>
      <c r="AS73" s="143">
        <f t="shared" si="469"/>
        <v>6.9271572722197039</v>
      </c>
      <c r="AT73" s="142">
        <f>+AT64*AT129</f>
        <v>3.7176564865380519</v>
      </c>
      <c r="AU73" s="142">
        <f>+AU64*AU129</f>
        <v>4.2485743765146067</v>
      </c>
      <c r="AV73" s="143">
        <f t="shared" si="470"/>
        <v>7.9662308630526582</v>
      </c>
      <c r="AW73" s="142">
        <f>+AW64*AW129</f>
        <v>4.2753049595187598</v>
      </c>
      <c r="AX73" s="142">
        <f>+AX64*AX129</f>
        <v>4.8858605329917975</v>
      </c>
      <c r="AY73" s="143">
        <f t="shared" si="471"/>
        <v>9.1611654925105572</v>
      </c>
    </row>
    <row r="74" spans="1:51" s="17" customFormat="1" ht="12" customHeight="1" x14ac:dyDescent="0.2">
      <c r="A74" s="138"/>
      <c r="B74" s="6" t="s">
        <v>418</v>
      </c>
      <c r="C74" s="269"/>
      <c r="D74" s="270"/>
      <c r="E74" s="270"/>
      <c r="F74" s="143"/>
      <c r="G74" s="270"/>
      <c r="H74" s="270"/>
      <c r="I74" s="143"/>
      <c r="J74" s="270"/>
      <c r="K74" s="270"/>
      <c r="L74" s="143">
        <f t="shared" ref="L74:R74" si="474">+L65*L130</f>
        <v>0.17399999999999999</v>
      </c>
      <c r="M74" s="142">
        <f t="shared" si="474"/>
        <v>9.6000000000000002E-2</v>
      </c>
      <c r="N74" s="142">
        <f t="shared" si="474"/>
        <v>0.11399999999999999</v>
      </c>
      <c r="O74" s="143">
        <f t="shared" si="474"/>
        <v>0.21</v>
      </c>
      <c r="P74" s="142">
        <f t="shared" si="474"/>
        <v>0.126</v>
      </c>
      <c r="Q74" s="142">
        <f t="shared" si="474"/>
        <v>0.111</v>
      </c>
      <c r="R74" s="143">
        <f t="shared" si="474"/>
        <v>0.23699999999999999</v>
      </c>
      <c r="S74" s="142">
        <f t="shared" ref="S74:U74" si="475">+S65*S130</f>
        <v>0.13818</v>
      </c>
      <c r="T74" s="142">
        <f t="shared" si="475"/>
        <v>0.13482</v>
      </c>
      <c r="U74" s="143">
        <f t="shared" si="475"/>
        <v>0.27299999999999996</v>
      </c>
      <c r="V74" s="142">
        <f>+V65*V130</f>
        <v>0.15199799999999999</v>
      </c>
      <c r="W74" s="142">
        <f>+W65*W130</f>
        <v>0.17526600000000001</v>
      </c>
      <c r="X74" s="143">
        <f t="shared" si="462"/>
        <v>0.327264</v>
      </c>
      <c r="Y74" s="142">
        <f>+Y65*Y130</f>
        <v>0.20266400000000001</v>
      </c>
      <c r="Z74" s="142">
        <f>+Z65*Z130</f>
        <v>0.22534199999999996</v>
      </c>
      <c r="AA74" s="143">
        <f t="shared" si="463"/>
        <v>0.428006</v>
      </c>
      <c r="AB74" s="142">
        <f>+AB65*AB130</f>
        <v>0.25333</v>
      </c>
      <c r="AC74" s="142">
        <f>+AC65*AC130</f>
        <v>0.275418</v>
      </c>
      <c r="AD74" s="143">
        <f t="shared" si="464"/>
        <v>0.528748</v>
      </c>
      <c r="AE74" s="142">
        <f>+AE65*AE130</f>
        <v>0.30399599999999993</v>
      </c>
      <c r="AF74" s="142">
        <f>+AF65*AF130</f>
        <v>0.32549400000000001</v>
      </c>
      <c r="AG74" s="143">
        <f t="shared" si="465"/>
        <v>0.62948999999999988</v>
      </c>
      <c r="AH74" s="142">
        <f>+AH65*AH130</f>
        <v>0.35466199999999998</v>
      </c>
      <c r="AI74" s="142">
        <f>+AI65*AI130</f>
        <v>0.37556999999999996</v>
      </c>
      <c r="AJ74" s="143">
        <f t="shared" si="466"/>
        <v>0.73023199999999999</v>
      </c>
      <c r="AK74" s="142">
        <f>+AK65*AK130</f>
        <v>0.40532799999999997</v>
      </c>
      <c r="AL74" s="142">
        <f>+AL65*AL130</f>
        <v>0.42564599999999991</v>
      </c>
      <c r="AM74" s="143">
        <f t="shared" si="467"/>
        <v>0.83097399999999988</v>
      </c>
      <c r="AN74" s="142">
        <f>+AN65*AN130</f>
        <v>0.4559939999999999</v>
      </c>
      <c r="AO74" s="142">
        <f>+AO65*AO130</f>
        <v>0.47572199999999992</v>
      </c>
      <c r="AP74" s="143">
        <f t="shared" si="468"/>
        <v>0.93171599999999977</v>
      </c>
      <c r="AQ74" s="142">
        <f>+AQ65*AQ130</f>
        <v>0.50666</v>
      </c>
      <c r="AR74" s="142">
        <f>+AR65*AR130</f>
        <v>0.52579799999999988</v>
      </c>
      <c r="AS74" s="143">
        <f t="shared" si="469"/>
        <v>1.0324579999999999</v>
      </c>
      <c r="AT74" s="142">
        <f>+AT65*AT130</f>
        <v>0.55732599999999999</v>
      </c>
      <c r="AU74" s="142">
        <f>+AU65*AU130</f>
        <v>0.57587399999999977</v>
      </c>
      <c r="AV74" s="143">
        <f t="shared" si="470"/>
        <v>1.1331999999999998</v>
      </c>
      <c r="AW74" s="142">
        <f>+AW65*AW130</f>
        <v>0.60799199999999998</v>
      </c>
      <c r="AX74" s="142">
        <f>+AX65*AX130</f>
        <v>0.62594999999999978</v>
      </c>
      <c r="AY74" s="143">
        <f t="shared" si="471"/>
        <v>1.2339419999999999</v>
      </c>
    </row>
    <row r="75" spans="1:51" s="17" customFormat="1" ht="12" customHeight="1" x14ac:dyDescent="0.2">
      <c r="A75" s="138"/>
      <c r="B75" s="161" t="s">
        <v>429</v>
      </c>
      <c r="C75" s="268"/>
      <c r="D75" s="233"/>
      <c r="E75" s="233"/>
      <c r="F75" s="169"/>
      <c r="G75" s="233"/>
      <c r="H75" s="233"/>
      <c r="I75" s="154">
        <v>22.773</v>
      </c>
      <c r="J75" s="162"/>
      <c r="K75" s="162"/>
      <c r="L75" s="154">
        <v>28.830000000000002</v>
      </c>
      <c r="M75" s="303">
        <f>18.033+0.267</f>
        <v>18.3</v>
      </c>
      <c r="N75" s="47">
        <f>+O75-M75</f>
        <v>21.089000000000002</v>
      </c>
      <c r="O75" s="154">
        <v>39.389000000000003</v>
      </c>
      <c r="P75" s="303">
        <f>24.098+0.301</f>
        <v>24.398999999999997</v>
      </c>
      <c r="Q75" s="47">
        <f>+R75-P75</f>
        <v>27.459</v>
      </c>
      <c r="R75" s="304">
        <v>51.857999999999997</v>
      </c>
      <c r="S75" s="303">
        <v>32.186999999999998</v>
      </c>
      <c r="T75" s="47">
        <f>+U75-S75</f>
        <v>34.573999999999998</v>
      </c>
      <c r="U75" s="304">
        <v>66.760999999999996</v>
      </c>
      <c r="V75" s="168">
        <f t="shared" ref="V75:AY75" si="476">SUM(V72:V74)</f>
        <v>39.652559728372196</v>
      </c>
      <c r="W75" s="168">
        <f t="shared" si="476"/>
        <v>40.721476212463081</v>
      </c>
      <c r="X75" s="169">
        <f t="shared" si="476"/>
        <v>80.37403594083527</v>
      </c>
      <c r="Y75" s="168">
        <f t="shared" si="476"/>
        <v>47.552458803599528</v>
      </c>
      <c r="Z75" s="168">
        <f t="shared" si="476"/>
        <v>49.783885138464846</v>
      </c>
      <c r="AA75" s="169">
        <f t="shared" si="476"/>
        <v>97.336343942064374</v>
      </c>
      <c r="AB75" s="168">
        <f t="shared" si="476"/>
        <v>57.781092554858894</v>
      </c>
      <c r="AC75" s="168">
        <f t="shared" si="476"/>
        <v>60.13344149788027</v>
      </c>
      <c r="AD75" s="169">
        <f t="shared" si="476"/>
        <v>117.91453405273916</v>
      </c>
      <c r="AE75" s="168">
        <f t="shared" si="476"/>
        <v>68.558652872036774</v>
      </c>
      <c r="AF75" s="168">
        <f t="shared" si="476"/>
        <v>70.991346022846088</v>
      </c>
      <c r="AG75" s="169">
        <f t="shared" si="476"/>
        <v>139.54999889488286</v>
      </c>
      <c r="AH75" s="168">
        <f t="shared" si="476"/>
        <v>80.575175877383899</v>
      </c>
      <c r="AI75" s="168">
        <f t="shared" si="476"/>
        <v>81.2922904038697</v>
      </c>
      <c r="AJ75" s="169">
        <f t="shared" si="476"/>
        <v>161.8674662812536</v>
      </c>
      <c r="AK75" s="168">
        <f t="shared" si="476"/>
        <v>91.945418176300834</v>
      </c>
      <c r="AL75" s="168">
        <f t="shared" si="476"/>
        <v>92.512680989921208</v>
      </c>
      <c r="AM75" s="169">
        <f t="shared" si="476"/>
        <v>184.45809916622204</v>
      </c>
      <c r="AN75" s="168">
        <f t="shared" si="476"/>
        <v>104.31650424917697</v>
      </c>
      <c r="AO75" s="168">
        <f t="shared" si="476"/>
        <v>104.71778968926111</v>
      </c>
      <c r="AP75" s="169">
        <f t="shared" si="476"/>
        <v>209.03429393843808</v>
      </c>
      <c r="AQ75" s="168">
        <f t="shared" si="476"/>
        <v>117.75874132783686</v>
      </c>
      <c r="AR75" s="168">
        <f t="shared" si="476"/>
        <v>117.97721966781025</v>
      </c>
      <c r="AS75" s="169">
        <f t="shared" si="476"/>
        <v>235.73596099564713</v>
      </c>
      <c r="AT75" s="168">
        <f t="shared" si="476"/>
        <v>132.34704858657389</v>
      </c>
      <c r="AU75" s="168">
        <f t="shared" si="476"/>
        <v>132.36524438548807</v>
      </c>
      <c r="AV75" s="169">
        <f t="shared" si="476"/>
        <v>264.71229297206196</v>
      </c>
      <c r="AW75" s="168">
        <f t="shared" si="476"/>
        <v>148.16131020426471</v>
      </c>
      <c r="AX75" s="168">
        <f t="shared" si="476"/>
        <v>147.96117684743012</v>
      </c>
      <c r="AY75" s="169">
        <f t="shared" si="476"/>
        <v>296.12248705169492</v>
      </c>
    </row>
    <row r="76" spans="1:51" s="17" customFormat="1" ht="12" customHeight="1" x14ac:dyDescent="0.2">
      <c r="A76" s="138"/>
      <c r="B76" s="6" t="s">
        <v>521</v>
      </c>
      <c r="C76" s="130"/>
      <c r="D76" s="142"/>
      <c r="E76" s="142"/>
      <c r="F76" s="286"/>
      <c r="G76" s="142"/>
      <c r="H76" s="142"/>
      <c r="I76" s="286"/>
      <c r="J76" s="142"/>
      <c r="K76" s="142"/>
      <c r="L76" s="286">
        <v>0.59599999999999997</v>
      </c>
      <c r="M76" s="287">
        <v>0.26700000000000002</v>
      </c>
      <c r="N76" s="267">
        <f>+O76-M76</f>
        <v>0.33299999999999996</v>
      </c>
      <c r="O76" s="286">
        <v>0.6</v>
      </c>
      <c r="P76" s="287">
        <v>0.30099999999999999</v>
      </c>
      <c r="Q76" s="267">
        <f>+R76-P76</f>
        <v>0.34400000000000003</v>
      </c>
      <c r="R76" s="244">
        <v>0.64500000000000002</v>
      </c>
      <c r="S76" s="287">
        <v>0.94899999999999995</v>
      </c>
      <c r="T76" s="267">
        <f>+U76-S76</f>
        <v>-0.31899999999999995</v>
      </c>
      <c r="U76" s="244">
        <v>0.63</v>
      </c>
      <c r="V76" s="288">
        <f>+U76/U62*V62</f>
        <v>0.35482572152442565</v>
      </c>
      <c r="W76" s="288">
        <f>+U76/U62*W62</f>
        <v>0.36290821045054872</v>
      </c>
      <c r="X76" s="143">
        <f t="shared" ref="X76" si="477">+W76+V76</f>
        <v>0.71773393197497437</v>
      </c>
      <c r="Y76" s="288">
        <f>+X76/X62*Y62</f>
        <v>0.41467505623944895</v>
      </c>
      <c r="Z76" s="288">
        <f>+X76/X62*Z62</f>
        <v>0.42170821025143979</v>
      </c>
      <c r="AA76" s="143">
        <f t="shared" ref="AA76" si="478">+Z76+Y76</f>
        <v>0.83638326649088879</v>
      </c>
      <c r="AB76" s="288">
        <f>+AA76/AA62*AB62</f>
        <v>0.47939829128200345</v>
      </c>
      <c r="AC76" s="288">
        <f>+AA76/AA62*AC62</f>
        <v>0.48527565063266292</v>
      </c>
      <c r="AD76" s="143">
        <f t="shared" ref="AD76" si="479">+AC76+AB76</f>
        <v>0.96467394191466638</v>
      </c>
      <c r="AE76" s="288">
        <f>+AD76/AD62*AE62</f>
        <v>0.54218244027252938</v>
      </c>
      <c r="AF76" s="288">
        <f>+AD76/AD62*AF62</f>
        <v>0.54669720025459589</v>
      </c>
      <c r="AG76" s="143">
        <f t="shared" ref="AG76" si="480">+AF76+AE76</f>
        <v>1.0888796405271253</v>
      </c>
      <c r="AH76" s="288">
        <f>+AG76/AG62*AH62</f>
        <v>0.60863296023384039</v>
      </c>
      <c r="AI76" s="288">
        <f>+AG76/AG62*AI62</f>
        <v>0.61169309804325078</v>
      </c>
      <c r="AJ76" s="143">
        <f t="shared" ref="AJ76" si="481">+AI76+AH76</f>
        <v>1.2203260582770912</v>
      </c>
      <c r="AK76" s="288">
        <f>+AJ76/AJ62*AK62</f>
        <v>0.67893685191672326</v>
      </c>
      <c r="AL76" s="288">
        <f>+AJ76/AJ62*AL62</f>
        <v>0.6804445892882115</v>
      </c>
      <c r="AM76" s="143">
        <f t="shared" ref="AM76" si="482">+AL76+AK76</f>
        <v>1.3593814412049348</v>
      </c>
      <c r="AN76" s="288">
        <f>+AM76/AM62*AN62</f>
        <v>0.75328847295219481</v>
      </c>
      <c r="AO76" s="288">
        <f>+AM76/AM62*AO62</f>
        <v>0.75314017931677679</v>
      </c>
      <c r="AP76" s="143">
        <f t="shared" ref="AP76" si="483">+AO76+AN76</f>
        <v>1.5064286522689716</v>
      </c>
      <c r="AQ76" s="288">
        <f>+AP76/AP62*AQ62</f>
        <v>0.83189008163483924</v>
      </c>
      <c r="AR76" s="288">
        <f>+AP76/AP62*AR62</f>
        <v>0.82997612948567856</v>
      </c>
      <c r="AS76" s="143">
        <f t="shared" ref="AS76" si="484">+AR76+AQ76</f>
        <v>1.6618662111205178</v>
      </c>
      <c r="AT76" s="288">
        <f>+AS76/AS62*AT62</f>
        <v>0.91495234178351814</v>
      </c>
      <c r="AU76" s="288">
        <f>+AS76/AS62*AU62</f>
        <v>0.91115692543131088</v>
      </c>
      <c r="AV76" s="143">
        <f t="shared" ref="AV76" si="485">+AU76+AT76</f>
        <v>1.8261092672148291</v>
      </c>
      <c r="AW76" s="288">
        <f>+AV76/AV62*AW62</f>
        <v>1.0026948062537213</v>
      </c>
      <c r="AX76" s="288">
        <f>+AV76/AV62*AX62</f>
        <v>0.99689573105424722</v>
      </c>
      <c r="AY76" s="143">
        <f t="shared" ref="AY76" si="486">+AX76+AW76</f>
        <v>1.9995905373079685</v>
      </c>
    </row>
    <row r="77" spans="1:51" s="17" customFormat="1" ht="12" customHeight="1" x14ac:dyDescent="0.2">
      <c r="A77" s="138"/>
      <c r="B77" s="161" t="s">
        <v>420</v>
      </c>
      <c r="C77" s="268"/>
      <c r="D77" s="233"/>
      <c r="E77" s="233"/>
      <c r="F77" s="169"/>
      <c r="G77" s="233"/>
      <c r="H77" s="233"/>
      <c r="I77" s="169"/>
      <c r="J77" s="233"/>
      <c r="K77" s="233"/>
      <c r="L77" s="169">
        <f t="shared" ref="L77:Q77" si="487">+L76+L75</f>
        <v>29.426000000000002</v>
      </c>
      <c r="M77" s="168">
        <f t="shared" si="487"/>
        <v>18.567</v>
      </c>
      <c r="N77" s="168">
        <f t="shared" si="487"/>
        <v>21.422000000000001</v>
      </c>
      <c r="O77" s="338">
        <f t="shared" si="487"/>
        <v>39.989000000000004</v>
      </c>
      <c r="P77" s="168">
        <f t="shared" si="487"/>
        <v>24.699999999999996</v>
      </c>
      <c r="Q77" s="168">
        <f t="shared" si="487"/>
        <v>27.803000000000001</v>
      </c>
      <c r="R77" s="338">
        <f t="shared" ref="R77:AY77" si="488">+R76+R75</f>
        <v>52.503</v>
      </c>
      <c r="S77" s="168">
        <f t="shared" si="488"/>
        <v>33.135999999999996</v>
      </c>
      <c r="T77" s="168">
        <f t="shared" si="488"/>
        <v>34.254999999999995</v>
      </c>
      <c r="U77" s="338">
        <f t="shared" ref="U77" si="489">+U76+U75</f>
        <v>67.390999999999991</v>
      </c>
      <c r="V77" s="296">
        <f t="shared" si="488"/>
        <v>40.007385449896624</v>
      </c>
      <c r="W77" s="296">
        <f t="shared" si="488"/>
        <v>41.084384422913629</v>
      </c>
      <c r="X77" s="290">
        <f t="shared" si="488"/>
        <v>81.091769872810247</v>
      </c>
      <c r="Y77" s="296">
        <f t="shared" si="488"/>
        <v>47.967133859838974</v>
      </c>
      <c r="Z77" s="296">
        <f t="shared" si="488"/>
        <v>50.205593348716285</v>
      </c>
      <c r="AA77" s="290">
        <f t="shared" si="488"/>
        <v>98.172727208555258</v>
      </c>
      <c r="AB77" s="296">
        <f t="shared" si="488"/>
        <v>58.260490846140897</v>
      </c>
      <c r="AC77" s="296">
        <f t="shared" si="488"/>
        <v>60.618717148512935</v>
      </c>
      <c r="AD77" s="290">
        <f t="shared" si="488"/>
        <v>118.87920799465383</v>
      </c>
      <c r="AE77" s="296">
        <f t="shared" si="488"/>
        <v>69.1008353123093</v>
      </c>
      <c r="AF77" s="296">
        <f t="shared" si="488"/>
        <v>71.538043223100686</v>
      </c>
      <c r="AG77" s="290">
        <f t="shared" si="488"/>
        <v>140.63887853540999</v>
      </c>
      <c r="AH77" s="296">
        <f t="shared" si="488"/>
        <v>81.183808837617732</v>
      </c>
      <c r="AI77" s="296">
        <f t="shared" si="488"/>
        <v>81.903983501912947</v>
      </c>
      <c r="AJ77" s="290">
        <f t="shared" si="488"/>
        <v>163.08779233953069</v>
      </c>
      <c r="AK77" s="296">
        <f t="shared" si="488"/>
        <v>92.624355028217551</v>
      </c>
      <c r="AL77" s="296">
        <f t="shared" si="488"/>
        <v>93.193125579209422</v>
      </c>
      <c r="AM77" s="290">
        <f t="shared" si="488"/>
        <v>185.81748060742697</v>
      </c>
      <c r="AN77" s="296">
        <f t="shared" si="488"/>
        <v>105.06979272212916</v>
      </c>
      <c r="AO77" s="296">
        <f t="shared" si="488"/>
        <v>105.47092986857788</v>
      </c>
      <c r="AP77" s="290">
        <f t="shared" si="488"/>
        <v>210.54072259070705</v>
      </c>
      <c r="AQ77" s="296">
        <f t="shared" si="488"/>
        <v>118.5906314094717</v>
      </c>
      <c r="AR77" s="296">
        <f t="shared" si="488"/>
        <v>118.80719579729592</v>
      </c>
      <c r="AS77" s="290">
        <f t="shared" si="488"/>
        <v>237.39782720676766</v>
      </c>
      <c r="AT77" s="296">
        <f t="shared" si="488"/>
        <v>133.26200092835739</v>
      </c>
      <c r="AU77" s="296">
        <f t="shared" si="488"/>
        <v>133.27640131091937</v>
      </c>
      <c r="AV77" s="290">
        <f t="shared" si="488"/>
        <v>266.53840223927676</v>
      </c>
      <c r="AW77" s="296">
        <f t="shared" si="488"/>
        <v>149.16400501051842</v>
      </c>
      <c r="AX77" s="296">
        <f t="shared" si="488"/>
        <v>148.95807257848438</v>
      </c>
      <c r="AY77" s="290">
        <f t="shared" si="488"/>
        <v>298.12207758900291</v>
      </c>
    </row>
    <row r="78" spans="1:51" s="17" customFormat="1" ht="12" customHeight="1" x14ac:dyDescent="0.2">
      <c r="A78" s="138"/>
      <c r="B78" s="6"/>
      <c r="C78" s="269"/>
      <c r="D78" s="270"/>
      <c r="E78" s="270"/>
      <c r="F78" s="143"/>
      <c r="G78" s="270"/>
      <c r="H78" s="270"/>
      <c r="I78" s="143"/>
      <c r="J78" s="270"/>
      <c r="K78" s="270"/>
      <c r="L78" s="368"/>
      <c r="M78" s="369"/>
      <c r="N78" s="369"/>
      <c r="O78" s="368"/>
      <c r="P78" s="369"/>
      <c r="Q78" s="369"/>
      <c r="R78" s="368"/>
      <c r="S78" s="369"/>
      <c r="T78" s="369"/>
      <c r="U78" s="368"/>
      <c r="V78" s="270"/>
      <c r="W78" s="270"/>
      <c r="X78" s="143"/>
      <c r="Y78" s="270"/>
      <c r="Z78" s="270"/>
      <c r="AA78" s="143"/>
      <c r="AB78" s="270"/>
      <c r="AC78" s="270"/>
      <c r="AD78" s="143"/>
      <c r="AE78" s="270"/>
      <c r="AF78" s="270"/>
      <c r="AG78" s="143"/>
      <c r="AH78" s="270"/>
      <c r="AI78" s="270"/>
      <c r="AJ78" s="143"/>
      <c r="AK78" s="270"/>
      <c r="AL78" s="270"/>
      <c r="AM78" s="143"/>
      <c r="AN78" s="270"/>
      <c r="AO78" s="270"/>
      <c r="AP78" s="143"/>
      <c r="AQ78" s="270"/>
      <c r="AR78" s="270"/>
      <c r="AS78" s="143"/>
      <c r="AT78" s="270"/>
      <c r="AU78" s="270"/>
      <c r="AV78" s="143"/>
      <c r="AW78" s="270"/>
      <c r="AX78" s="270"/>
      <c r="AY78" s="143"/>
    </row>
    <row r="79" spans="1:51" ht="12" customHeight="1" x14ac:dyDescent="0.2">
      <c r="A79" s="138"/>
      <c r="B79" s="216" t="s">
        <v>522</v>
      </c>
      <c r="C79" s="217"/>
      <c r="D79" s="173"/>
      <c r="E79" s="173"/>
      <c r="F79" s="170"/>
      <c r="G79" s="173"/>
      <c r="H79" s="173"/>
      <c r="I79" s="170"/>
      <c r="J79" s="173"/>
      <c r="K79" s="173"/>
      <c r="L79" s="170">
        <f>+L77+L68</f>
        <v>168.64300000000003</v>
      </c>
      <c r="M79" s="173">
        <f t="shared" ref="M79:AY79" si="490">+M77+M68</f>
        <v>119.20599999999999</v>
      </c>
      <c r="N79" s="173">
        <f t="shared" si="490"/>
        <v>132.75800000000001</v>
      </c>
      <c r="O79" s="170">
        <f t="shared" si="490"/>
        <v>251.964</v>
      </c>
      <c r="P79" s="173">
        <f t="shared" si="490"/>
        <v>161.274</v>
      </c>
      <c r="Q79" s="173">
        <f t="shared" si="490"/>
        <v>170.10599999999999</v>
      </c>
      <c r="R79" s="170">
        <f t="shared" si="490"/>
        <v>331.38</v>
      </c>
      <c r="S79" s="173">
        <f t="shared" ref="S79:U79" si="491">+S77+S68</f>
        <v>209.18699999999998</v>
      </c>
      <c r="T79" s="173">
        <f t="shared" si="491"/>
        <v>217.92599999999999</v>
      </c>
      <c r="U79" s="170">
        <f t="shared" si="491"/>
        <v>427.11299999999994</v>
      </c>
      <c r="V79" s="173">
        <f t="shared" si="490"/>
        <v>258.80106071588591</v>
      </c>
      <c r="W79" s="173">
        <f t="shared" si="490"/>
        <v>266.86497469358284</v>
      </c>
      <c r="X79" s="170">
        <f t="shared" si="490"/>
        <v>525.66603540946869</v>
      </c>
      <c r="Y79" s="173">
        <f t="shared" si="490"/>
        <v>307.9995324212195</v>
      </c>
      <c r="Z79" s="173">
        <f t="shared" si="490"/>
        <v>316.51846700452779</v>
      </c>
      <c r="AA79" s="170">
        <f t="shared" si="490"/>
        <v>624.51799942574735</v>
      </c>
      <c r="AB79" s="173">
        <f t="shared" si="490"/>
        <v>362.92690905112966</v>
      </c>
      <c r="AC79" s="173">
        <f t="shared" si="490"/>
        <v>370.78719032591562</v>
      </c>
      <c r="AD79" s="170">
        <f t="shared" si="490"/>
        <v>733.71409937704527</v>
      </c>
      <c r="AE79" s="173">
        <f t="shared" si="490"/>
        <v>417.44282265267049</v>
      </c>
      <c r="AF79" s="173">
        <f t="shared" si="490"/>
        <v>424.44415313735124</v>
      </c>
      <c r="AG79" s="170">
        <f t="shared" si="490"/>
        <v>841.88697579002178</v>
      </c>
      <c r="AH79" s="173">
        <f t="shared" si="490"/>
        <v>475.77358496192153</v>
      </c>
      <c r="AI79" s="173">
        <f t="shared" si="490"/>
        <v>480.05633454972866</v>
      </c>
      <c r="AJ79" s="170">
        <f t="shared" si="490"/>
        <v>955.82991951165025</v>
      </c>
      <c r="AK79" s="173">
        <f t="shared" si="490"/>
        <v>536.16727013923992</v>
      </c>
      <c r="AL79" s="173">
        <f t="shared" si="490"/>
        <v>539.22923096288378</v>
      </c>
      <c r="AM79" s="170">
        <f t="shared" si="490"/>
        <v>1075.3965011021237</v>
      </c>
      <c r="AN79" s="173">
        <f t="shared" si="490"/>
        <v>600.40932151760967</v>
      </c>
      <c r="AO79" s="173">
        <f t="shared" si="490"/>
        <v>602.16217928870935</v>
      </c>
      <c r="AP79" s="170">
        <f t="shared" si="490"/>
        <v>1202.5715008063191</v>
      </c>
      <c r="AQ79" s="173">
        <f t="shared" si="490"/>
        <v>668.71381287270333</v>
      </c>
      <c r="AR79" s="173">
        <f t="shared" si="490"/>
        <v>669.06422200295162</v>
      </c>
      <c r="AS79" s="170">
        <f t="shared" si="490"/>
        <v>1337.7780348756551</v>
      </c>
      <c r="AT79" s="173">
        <f t="shared" si="490"/>
        <v>741.30527722665943</v>
      </c>
      <c r="AU79" s="173">
        <f t="shared" si="490"/>
        <v>740.15481132340642</v>
      </c>
      <c r="AV79" s="170">
        <f t="shared" si="490"/>
        <v>1481.4600885500658</v>
      </c>
      <c r="AW79" s="173">
        <f t="shared" si="490"/>
        <v>818.41943209652743</v>
      </c>
      <c r="AX79" s="173">
        <f t="shared" si="490"/>
        <v>815.66452402732591</v>
      </c>
      <c r="AY79" s="170">
        <f t="shared" si="490"/>
        <v>1634.0839561238536</v>
      </c>
    </row>
    <row r="80" spans="1:51" ht="12" customHeight="1" x14ac:dyDescent="0.2">
      <c r="A80" s="138"/>
      <c r="B80" s="370"/>
      <c r="C80" s="189"/>
      <c r="D80" s="142"/>
      <c r="E80" s="142"/>
      <c r="F80" s="143"/>
      <c r="G80" s="142"/>
      <c r="H80" s="142"/>
      <c r="I80" s="143"/>
      <c r="J80" s="142"/>
      <c r="K80" s="142"/>
      <c r="L80" s="143"/>
      <c r="M80" s="142"/>
      <c r="N80" s="142"/>
      <c r="O80" s="143"/>
      <c r="P80" s="142"/>
      <c r="Q80" s="142"/>
      <c r="R80" s="143"/>
      <c r="S80" s="142"/>
      <c r="T80" s="142"/>
      <c r="U80" s="143"/>
      <c r="V80" s="142"/>
      <c r="W80" s="142"/>
      <c r="X80" s="143"/>
      <c r="Y80" s="142"/>
      <c r="Z80" s="142"/>
      <c r="AA80" s="143"/>
      <c r="AB80" s="142"/>
      <c r="AC80" s="142"/>
      <c r="AD80" s="143"/>
      <c r="AE80" s="142"/>
      <c r="AF80" s="142"/>
      <c r="AG80" s="143"/>
      <c r="AH80" s="142"/>
      <c r="AI80" s="142"/>
      <c r="AJ80" s="143"/>
      <c r="AK80" s="142"/>
      <c r="AL80" s="142"/>
      <c r="AM80" s="143"/>
      <c r="AN80" s="142"/>
      <c r="AO80" s="142"/>
      <c r="AP80" s="143"/>
      <c r="AQ80" s="142"/>
      <c r="AR80" s="142"/>
      <c r="AS80" s="143"/>
      <c r="AT80" s="142"/>
      <c r="AU80" s="142"/>
      <c r="AV80" s="143"/>
      <c r="AW80" s="142"/>
      <c r="AX80" s="142"/>
      <c r="AY80" s="143"/>
    </row>
    <row r="81" spans="1:51" s="17" customFormat="1" ht="12" customHeight="1" x14ac:dyDescent="0.2">
      <c r="A81" s="138"/>
      <c r="B81" s="6" t="s">
        <v>423</v>
      </c>
      <c r="C81" s="269"/>
      <c r="D81" s="270"/>
      <c r="E81" s="270"/>
      <c r="F81" s="143"/>
      <c r="G81" s="270"/>
      <c r="H81" s="270"/>
      <c r="I81" s="132"/>
      <c r="J81" s="6"/>
      <c r="K81" s="6"/>
      <c r="L81" s="143">
        <f t="shared" ref="L81:R81" si="492">+L82-L77-L70</f>
        <v>-30.726000000000003</v>
      </c>
      <c r="M81" s="142">
        <f t="shared" si="492"/>
        <v>-18.966999999999999</v>
      </c>
      <c r="N81" s="142">
        <f t="shared" si="492"/>
        <v>-20.756000000000004</v>
      </c>
      <c r="O81" s="143">
        <f t="shared" si="492"/>
        <v>-39.723000000000006</v>
      </c>
      <c r="P81" s="142">
        <f t="shared" si="492"/>
        <v>-25.499999999999993</v>
      </c>
      <c r="Q81" s="142">
        <f t="shared" si="492"/>
        <v>-29.954000000000004</v>
      </c>
      <c r="R81" s="319">
        <f t="shared" si="492"/>
        <v>-55.454000000000001</v>
      </c>
      <c r="S81" s="142">
        <f t="shared" ref="S81:U81" si="493">+S82-S77-S70</f>
        <v>-33.075999999999993</v>
      </c>
      <c r="T81" s="142">
        <f t="shared" si="493"/>
        <v>-32.653999999999989</v>
      </c>
      <c r="U81" s="319">
        <f t="shared" si="493"/>
        <v>-65.72999999999999</v>
      </c>
      <c r="V81" s="142">
        <f>+V121*V66</f>
        <v>-38.331246271428583</v>
      </c>
      <c r="W81" s="142">
        <f>+W121*W66</f>
        <v>-39.593757524999994</v>
      </c>
      <c r="X81" s="143">
        <f t="shared" ref="X81" si="494">+W81+V81</f>
        <v>-77.92500379642857</v>
      </c>
      <c r="Y81" s="142">
        <f>+Y121*Y66</f>
        <v>-44.263894846471416</v>
      </c>
      <c r="Z81" s="142">
        <f>+Z121*Z66</f>
        <v>-45.436703563228335</v>
      </c>
      <c r="AA81" s="143">
        <f t="shared" ref="AA81" si="495">+Z81+Y81</f>
        <v>-89.700598409699751</v>
      </c>
      <c r="AB81" s="142">
        <f>+AB121*AB66</f>
        <v>-49.584809983918198</v>
      </c>
      <c r="AC81" s="142">
        <f>+AC121*AC66</f>
        <v>-50.646024233133744</v>
      </c>
      <c r="AD81" s="143">
        <f t="shared" ref="AD81" si="496">+AC81+AB81</f>
        <v>-100.23083421705195</v>
      </c>
      <c r="AE81" s="142">
        <f>+AE121*AE66</f>
        <v>-54.273745152169376</v>
      </c>
      <c r="AF81" s="142">
        <f>+AF121*AF66</f>
        <v>-55.214361879407271</v>
      </c>
      <c r="AG81" s="143">
        <f t="shared" ref="AG81" si="497">+AF81+AE81</f>
        <v>-109.48810703157665</v>
      </c>
      <c r="AH81" s="142">
        <f>+AH121*AH66</f>
        <v>-58.854834319701723</v>
      </c>
      <c r="AI81" s="142">
        <f>+AI121*AI66</f>
        <v>-59.67993675114549</v>
      </c>
      <c r="AJ81" s="143">
        <f t="shared" ref="AJ81" si="498">+AI81+AH81</f>
        <v>-118.53477107084721</v>
      </c>
      <c r="AK81" s="142">
        <f>+AK121*AK66</f>
        <v>-72.537075734434751</v>
      </c>
      <c r="AL81" s="142">
        <f>+AL121*AL66</f>
        <v>-73.356746780010425</v>
      </c>
      <c r="AM81" s="143">
        <f t="shared" ref="AM81" si="499">+AL81+AK81</f>
        <v>-145.89382251444516</v>
      </c>
      <c r="AN81" s="142">
        <f>+AN121*AN66</f>
        <v>-80.825065526330363</v>
      </c>
      <c r="AO81" s="142">
        <f>+AO121*AO66</f>
        <v>-81.556914546710374</v>
      </c>
      <c r="AP81" s="143">
        <f t="shared" ref="AP81" si="500">+AO81+AN81</f>
        <v>-162.38198007304072</v>
      </c>
      <c r="AQ81" s="142">
        <f>+AQ121*AQ66</f>
        <v>-89.636432426246344</v>
      </c>
      <c r="AR81" s="142">
        <f>+AR121*AR66</f>
        <v>-90.281566538031015</v>
      </c>
      <c r="AS81" s="143">
        <f t="shared" ref="AS81" si="501">+AR81+AQ81</f>
        <v>-179.91799896427736</v>
      </c>
      <c r="AT81" s="142">
        <f>+AT121*AT66</f>
        <v>-99.005873113959012</v>
      </c>
      <c r="AU81" s="142">
        <f>+AU121*AU66</f>
        <v>-99.566610884560674</v>
      </c>
      <c r="AV81" s="143">
        <f t="shared" ref="AV81" si="502">+AU81+AT81</f>
        <v>-198.57248399851969</v>
      </c>
      <c r="AW81" s="142">
        <f>+AW121*AW66</f>
        <v>-108.97094076049285</v>
      </c>
      <c r="AX81" s="142">
        <f>+AX121*AX66</f>
        <v>-109.45106901250286</v>
      </c>
      <c r="AY81" s="143">
        <f t="shared" ref="AY81" si="503">+AX81+AW81</f>
        <v>-218.42200977299569</v>
      </c>
    </row>
    <row r="82" spans="1:51" ht="12" customHeight="1" x14ac:dyDescent="0.2">
      <c r="A82" s="138"/>
      <c r="B82" s="216" t="s">
        <v>424</v>
      </c>
      <c r="C82" s="217"/>
      <c r="D82" s="173"/>
      <c r="E82" s="173"/>
      <c r="F82" s="170"/>
      <c r="G82" s="173"/>
      <c r="H82" s="173"/>
      <c r="I82" s="170"/>
      <c r="J82" s="173"/>
      <c r="K82" s="173"/>
      <c r="L82" s="320">
        <v>18.3</v>
      </c>
      <c r="M82" s="321">
        <v>13.4</v>
      </c>
      <c r="N82" s="173">
        <f>+O82-M82</f>
        <v>17.299999999999997</v>
      </c>
      <c r="O82" s="320">
        <v>30.7</v>
      </c>
      <c r="P82" s="321">
        <v>23.1</v>
      </c>
      <c r="Q82" s="173">
        <f>+R82-P82</f>
        <v>22.5</v>
      </c>
      <c r="R82" s="320">
        <v>45.6</v>
      </c>
      <c r="S82" s="321">
        <v>31.780999999999999</v>
      </c>
      <c r="T82" s="173">
        <f>+U82-S82</f>
        <v>34.219000000000001</v>
      </c>
      <c r="U82" s="320">
        <v>66</v>
      </c>
      <c r="V82" s="173">
        <f t="shared" ref="V82:AY82" si="504">+V81+V77+V70</f>
        <v>42.152969102676053</v>
      </c>
      <c r="W82" s="173">
        <f t="shared" si="504"/>
        <v>42.131133146634092</v>
      </c>
      <c r="X82" s="170">
        <f t="shared" si="504"/>
        <v>84.284102249310152</v>
      </c>
      <c r="Y82" s="173">
        <f t="shared" si="504"/>
        <v>53.109394740029863</v>
      </c>
      <c r="Z82" s="173">
        <f t="shared" si="504"/>
        <v>54.036771411813085</v>
      </c>
      <c r="AA82" s="170">
        <f t="shared" si="504"/>
        <v>107.14616615184295</v>
      </c>
      <c r="AB82" s="173">
        <f t="shared" si="504"/>
        <v>68.085632412195508</v>
      </c>
      <c r="AC82" s="173">
        <f t="shared" si="504"/>
        <v>68.904702819085713</v>
      </c>
      <c r="AD82" s="170">
        <f t="shared" si="504"/>
        <v>136.99033523128119</v>
      </c>
      <c r="AE82" s="173">
        <f t="shared" si="504"/>
        <v>84.495487628212175</v>
      </c>
      <c r="AF82" s="173">
        <f t="shared" si="504"/>
        <v>85.140372776972271</v>
      </c>
      <c r="AG82" s="170">
        <f t="shared" si="504"/>
        <v>169.63586040518445</v>
      </c>
      <c r="AH82" s="173">
        <f t="shared" si="504"/>
        <v>103.21987862339829</v>
      </c>
      <c r="AI82" s="173">
        <f t="shared" si="504"/>
        <v>101.85451696033061</v>
      </c>
      <c r="AJ82" s="170">
        <f t="shared" si="504"/>
        <v>205.07439558372891</v>
      </c>
      <c r="AK82" s="173">
        <f t="shared" si="504"/>
        <v>113.23129146709751</v>
      </c>
      <c r="AL82" s="173">
        <f t="shared" si="504"/>
        <v>113.5039609297706</v>
      </c>
      <c r="AM82" s="170">
        <f t="shared" si="504"/>
        <v>226.73525239686811</v>
      </c>
      <c r="AN82" s="173">
        <f t="shared" si="504"/>
        <v>128.2660282428497</v>
      </c>
      <c r="AO82" s="173">
        <f t="shared" si="504"/>
        <v>128.21917770009512</v>
      </c>
      <c r="AP82" s="170">
        <f t="shared" si="504"/>
        <v>256.48520594294484</v>
      </c>
      <c r="AQ82" s="173">
        <f t="shared" si="504"/>
        <v>144.48006709050401</v>
      </c>
      <c r="AR82" s="173">
        <f t="shared" si="504"/>
        <v>144.07960476245262</v>
      </c>
      <c r="AS82" s="170">
        <f t="shared" si="504"/>
        <v>288.55967185295663</v>
      </c>
      <c r="AT82" s="173">
        <f t="shared" si="504"/>
        <v>161.94521583704179</v>
      </c>
      <c r="AU82" s="173">
        <f t="shared" si="504"/>
        <v>161.15425652898097</v>
      </c>
      <c r="AV82" s="170">
        <f t="shared" si="504"/>
        <v>323.09947236602272</v>
      </c>
      <c r="AW82" s="173">
        <f t="shared" si="504"/>
        <v>180.73670393808746</v>
      </c>
      <c r="AX82" s="173">
        <f t="shared" si="504"/>
        <v>179.51535837023823</v>
      </c>
      <c r="AY82" s="170">
        <f t="shared" si="504"/>
        <v>360.25206230832583</v>
      </c>
    </row>
    <row r="83" spans="1:51" s="17" customFormat="1" ht="12" customHeight="1" x14ac:dyDescent="0.2">
      <c r="A83" s="138"/>
      <c r="B83" s="6"/>
      <c r="C83" s="269"/>
      <c r="D83" s="270"/>
      <c r="E83" s="270"/>
      <c r="F83" s="143"/>
      <c r="G83" s="270"/>
      <c r="H83" s="270"/>
      <c r="I83" s="143"/>
      <c r="J83" s="270"/>
      <c r="K83" s="270"/>
      <c r="L83" s="255"/>
      <c r="M83" s="270"/>
      <c r="N83" s="270"/>
      <c r="O83" s="143"/>
      <c r="P83" s="270"/>
      <c r="Q83" s="270"/>
      <c r="R83" s="143"/>
      <c r="S83" s="270"/>
      <c r="T83" s="270"/>
      <c r="U83" s="143"/>
      <c r="V83" s="270"/>
      <c r="W83" s="270"/>
      <c r="X83" s="305"/>
      <c r="Y83" s="270"/>
      <c r="Z83" s="270"/>
      <c r="AA83" s="143"/>
      <c r="AB83" s="270"/>
      <c r="AC83" s="270"/>
      <c r="AD83" s="143"/>
      <c r="AE83" s="270"/>
      <c r="AF83" s="270"/>
      <c r="AG83" s="143"/>
      <c r="AH83" s="270"/>
      <c r="AI83" s="270"/>
      <c r="AJ83" s="305">
        <f>+AJ82/AJ66</f>
        <v>8.6503898278572508E-2</v>
      </c>
      <c r="AK83" s="270"/>
      <c r="AL83" s="270"/>
      <c r="AM83" s="143"/>
      <c r="AN83" s="270"/>
      <c r="AO83" s="270"/>
      <c r="AP83" s="143"/>
      <c r="AQ83" s="270"/>
      <c r="AR83" s="270"/>
      <c r="AS83" s="143"/>
      <c r="AT83" s="270"/>
      <c r="AU83" s="270"/>
      <c r="AV83" s="143"/>
      <c r="AW83" s="270"/>
      <c r="AX83" s="270"/>
      <c r="AY83" s="143"/>
    </row>
    <row r="84" spans="1:51" s="17" customFormat="1" ht="12" customHeight="1" x14ac:dyDescent="0.2">
      <c r="A84" s="138"/>
      <c r="B84" s="6"/>
      <c r="C84" s="269"/>
      <c r="D84" s="270"/>
      <c r="E84" s="270"/>
      <c r="F84" s="143"/>
      <c r="G84" s="270"/>
      <c r="H84" s="270"/>
      <c r="I84" s="143"/>
      <c r="J84" s="270"/>
      <c r="K84" s="270"/>
      <c r="L84" s="255"/>
      <c r="M84" s="270"/>
      <c r="N84" s="270"/>
      <c r="O84" s="143"/>
      <c r="P84" s="270"/>
      <c r="Q84" s="270"/>
      <c r="R84" s="143"/>
      <c r="S84" s="270"/>
      <c r="T84" s="270"/>
      <c r="U84" s="143"/>
      <c r="V84" s="270"/>
      <c r="W84" s="270"/>
      <c r="X84" s="143"/>
      <c r="Y84" s="270"/>
      <c r="Z84" s="270"/>
      <c r="AA84" s="143"/>
      <c r="AB84" s="270"/>
      <c r="AC84" s="270"/>
      <c r="AD84" s="143"/>
      <c r="AE84" s="270"/>
      <c r="AF84" s="270"/>
      <c r="AG84" s="143"/>
      <c r="AH84" s="270"/>
      <c r="AI84" s="270"/>
      <c r="AJ84" s="143"/>
      <c r="AK84" s="270"/>
      <c r="AL84" s="270"/>
      <c r="AM84" s="143"/>
      <c r="AN84" s="270"/>
      <c r="AO84" s="270"/>
      <c r="AP84" s="143"/>
      <c r="AQ84" s="270"/>
      <c r="AR84" s="270"/>
      <c r="AS84" s="143"/>
      <c r="AT84" s="270"/>
      <c r="AU84" s="270"/>
      <c r="AV84" s="143"/>
      <c r="AW84" s="270"/>
      <c r="AX84" s="270"/>
      <c r="AY84" s="143"/>
    </row>
    <row r="85" spans="1:51" s="194" customFormat="1" ht="12" customHeight="1" x14ac:dyDescent="0.2">
      <c r="A85" s="190"/>
      <c r="B85" s="8" t="s">
        <v>544</v>
      </c>
      <c r="C85" s="131"/>
      <c r="D85" s="191"/>
      <c r="E85" s="191"/>
      <c r="F85" s="386"/>
      <c r="G85" s="191"/>
      <c r="H85" s="191"/>
      <c r="I85" s="386"/>
      <c r="J85" s="191"/>
      <c r="K85" s="191"/>
      <c r="L85" s="386">
        <v>33.4</v>
      </c>
      <c r="M85" s="387">
        <v>21</v>
      </c>
      <c r="N85" s="388">
        <f>+O85-M85</f>
        <v>25.799999999999997</v>
      </c>
      <c r="O85" s="386">
        <v>46.8</v>
      </c>
      <c r="P85" s="387">
        <v>29.5</v>
      </c>
      <c r="Q85" s="388">
        <f>+R85-P85</f>
        <v>31.200000000000003</v>
      </c>
      <c r="R85" s="389">
        <v>60.7</v>
      </c>
      <c r="S85" s="387">
        <v>38.200000000000003</v>
      </c>
      <c r="T85" s="388">
        <f>+U85-S85</f>
        <v>40.5</v>
      </c>
      <c r="U85" s="389">
        <v>78.7</v>
      </c>
      <c r="V85" s="390"/>
      <c r="W85" s="390"/>
      <c r="X85" s="271"/>
      <c r="Y85" s="410"/>
      <c r="Z85" s="390"/>
      <c r="AA85" s="271"/>
      <c r="AB85" s="390"/>
      <c r="AC85" s="390"/>
      <c r="AD85" s="271"/>
      <c r="AE85" s="390"/>
      <c r="AF85" s="390"/>
      <c r="AG85" s="271"/>
      <c r="AH85" s="390"/>
      <c r="AI85" s="390"/>
      <c r="AJ85" s="271"/>
      <c r="AK85" s="390"/>
      <c r="AL85" s="390"/>
      <c r="AM85" s="271"/>
      <c r="AN85" s="390"/>
      <c r="AO85" s="390"/>
      <c r="AP85" s="271"/>
      <c r="AQ85" s="390"/>
      <c r="AR85" s="390"/>
      <c r="AS85" s="271"/>
      <c r="AT85" s="390"/>
      <c r="AU85" s="390"/>
      <c r="AV85" s="271"/>
      <c r="AW85" s="390"/>
      <c r="AX85" s="390"/>
      <c r="AY85" s="271"/>
    </row>
    <row r="86" spans="1:51" s="194" customFormat="1" ht="12" customHeight="1" x14ac:dyDescent="0.2">
      <c r="A86" s="190"/>
      <c r="B86" s="8" t="s">
        <v>543</v>
      </c>
      <c r="C86" s="131"/>
      <c r="D86" s="191"/>
      <c r="E86" s="191"/>
      <c r="F86" s="386"/>
      <c r="G86" s="191"/>
      <c r="H86" s="191"/>
      <c r="I86" s="386"/>
      <c r="J86" s="191"/>
      <c r="K86" s="191"/>
      <c r="L86" s="386">
        <v>-34.700000000000003</v>
      </c>
      <c r="M86" s="387">
        <v>-21.4</v>
      </c>
      <c r="N86" s="388">
        <f>+O86-M86</f>
        <v>-25.200000000000003</v>
      </c>
      <c r="O86" s="386">
        <v>-46.6</v>
      </c>
      <c r="P86" s="387">
        <v>-30.3</v>
      </c>
      <c r="Q86" s="388">
        <f>+R86-P86</f>
        <v>-33.400000000000006</v>
      </c>
      <c r="R86" s="389">
        <v>-63.7</v>
      </c>
      <c r="S86" s="387">
        <v>-38.1</v>
      </c>
      <c r="T86" s="388">
        <f>+U86-S86</f>
        <v>-38.9</v>
      </c>
      <c r="U86" s="389">
        <v>-77</v>
      </c>
      <c r="V86" s="390"/>
      <c r="W86" s="390"/>
      <c r="X86" s="403"/>
      <c r="Y86" s="390"/>
      <c r="Z86" s="390"/>
      <c r="AA86" s="271"/>
      <c r="AB86" s="390"/>
      <c r="AC86" s="390"/>
      <c r="AD86" s="272"/>
      <c r="AE86" s="390"/>
      <c r="AF86" s="390"/>
      <c r="AG86" s="271"/>
      <c r="AH86" s="390"/>
      <c r="AI86" s="390"/>
      <c r="AJ86" s="271"/>
      <c r="AK86" s="390"/>
      <c r="AL86" s="390"/>
      <c r="AM86" s="271"/>
      <c r="AN86" s="390"/>
      <c r="AO86" s="390"/>
      <c r="AP86" s="271"/>
      <c r="AQ86" s="390"/>
      <c r="AR86" s="390"/>
      <c r="AS86" s="271"/>
      <c r="AT86" s="390"/>
      <c r="AU86" s="390"/>
      <c r="AV86" s="271"/>
      <c r="AW86" s="390"/>
      <c r="AX86" s="390"/>
      <c r="AY86" s="271"/>
    </row>
    <row r="87" spans="1:51" s="194" customFormat="1" ht="12" customHeight="1" x14ac:dyDescent="0.2">
      <c r="A87" s="190"/>
      <c r="B87" s="8"/>
      <c r="C87" s="131"/>
      <c r="D87" s="191"/>
      <c r="E87" s="191"/>
      <c r="F87" s="226"/>
      <c r="G87" s="191"/>
      <c r="H87" s="191"/>
      <c r="I87" s="226"/>
      <c r="J87" s="191"/>
      <c r="K87" s="191"/>
      <c r="L87" s="409"/>
      <c r="M87" s="191"/>
      <c r="N87" s="191"/>
      <c r="O87" s="231">
        <f t="shared" ref="O87:R87" si="505">+O86/L86-1</f>
        <v>0.34293948126801155</v>
      </c>
      <c r="P87" s="410">
        <f t="shared" si="505"/>
        <v>0.41588785046728982</v>
      </c>
      <c r="Q87" s="410">
        <f t="shared" si="505"/>
        <v>0.32539682539682557</v>
      </c>
      <c r="R87" s="231">
        <f t="shared" si="505"/>
        <v>0.36695278969957079</v>
      </c>
      <c r="S87" s="410">
        <f>+S86/P86-1</f>
        <v>0.25742574257425743</v>
      </c>
      <c r="T87" s="410">
        <f t="shared" ref="T87" si="506">+T86/Q86-1</f>
        <v>0.16467065868263453</v>
      </c>
      <c r="U87" s="231">
        <f t="shared" ref="U87" si="507">+U86/R86-1</f>
        <v>0.20879120879120872</v>
      </c>
      <c r="V87" s="191"/>
      <c r="W87" s="191"/>
      <c r="X87" s="226"/>
      <c r="Y87" s="191"/>
      <c r="Z87" s="191"/>
      <c r="AA87" s="226"/>
      <c r="AB87" s="191"/>
      <c r="AC87" s="191"/>
      <c r="AD87" s="226"/>
      <c r="AE87" s="191"/>
      <c r="AF87" s="191"/>
      <c r="AG87" s="226"/>
      <c r="AH87" s="191"/>
      <c r="AI87" s="191"/>
      <c r="AJ87" s="226"/>
      <c r="AK87" s="191"/>
      <c r="AL87" s="191"/>
      <c r="AM87" s="226"/>
      <c r="AN87" s="191"/>
      <c r="AO87" s="191"/>
      <c r="AP87" s="226"/>
      <c r="AQ87" s="191"/>
      <c r="AR87" s="191"/>
      <c r="AS87" s="226"/>
      <c r="AT87" s="191"/>
      <c r="AU87" s="191"/>
      <c r="AV87" s="226"/>
      <c r="AW87" s="191"/>
      <c r="AX87" s="191"/>
      <c r="AY87" s="226"/>
    </row>
    <row r="88" spans="1:51" s="17" customFormat="1" ht="12" customHeight="1" x14ac:dyDescent="0.2">
      <c r="A88" s="138"/>
      <c r="B88" s="6"/>
      <c r="C88" s="269"/>
      <c r="D88" s="270"/>
      <c r="E88" s="270"/>
      <c r="F88" s="143"/>
      <c r="G88" s="270"/>
      <c r="H88" s="270"/>
      <c r="I88" s="143"/>
      <c r="J88" s="270"/>
      <c r="K88" s="270"/>
      <c r="L88" s="255"/>
      <c r="M88" s="270"/>
      <c r="N88" s="270"/>
      <c r="O88" s="143"/>
      <c r="P88" s="270"/>
      <c r="Q88" s="270"/>
      <c r="R88" s="297"/>
      <c r="S88" s="270"/>
      <c r="T88" s="270"/>
      <c r="U88" s="297"/>
      <c r="V88" s="270"/>
      <c r="W88" s="270"/>
      <c r="X88" s="143"/>
      <c r="Y88" s="270"/>
      <c r="Z88" s="270"/>
      <c r="AA88" s="143"/>
      <c r="AB88" s="270"/>
      <c r="AC88" s="270"/>
      <c r="AD88" s="143"/>
      <c r="AE88" s="270"/>
      <c r="AF88" s="270"/>
      <c r="AG88" s="143"/>
      <c r="AH88" s="270"/>
      <c r="AI88" s="270"/>
      <c r="AJ88" s="143"/>
      <c r="AK88" s="270"/>
      <c r="AL88" s="270"/>
      <c r="AM88" s="143"/>
      <c r="AN88" s="270"/>
      <c r="AO88" s="270"/>
      <c r="AP88" s="143"/>
      <c r="AQ88" s="270"/>
      <c r="AR88" s="270"/>
      <c r="AS88" s="143"/>
      <c r="AT88" s="270"/>
      <c r="AU88" s="270"/>
      <c r="AV88" s="143"/>
      <c r="AW88" s="270"/>
      <c r="AX88" s="270"/>
      <c r="AY88" s="143"/>
    </row>
    <row r="89" spans="1:51" s="17" customFormat="1" ht="12" customHeight="1" x14ac:dyDescent="0.2">
      <c r="A89" s="14"/>
      <c r="B89" s="10" t="s">
        <v>19</v>
      </c>
      <c r="C89" s="130"/>
      <c r="D89" s="142"/>
      <c r="E89" s="142"/>
      <c r="F89" s="143"/>
      <c r="G89" s="142"/>
      <c r="H89" s="142"/>
      <c r="I89" s="143"/>
      <c r="J89" s="142"/>
      <c r="K89" s="142"/>
      <c r="L89" s="143"/>
      <c r="M89" s="142"/>
      <c r="N89" s="142"/>
      <c r="O89" s="143"/>
      <c r="P89" s="142"/>
      <c r="Q89" s="142"/>
      <c r="R89" s="143"/>
      <c r="S89" s="142"/>
      <c r="T89" s="142"/>
      <c r="U89" s="143"/>
      <c r="V89" s="142"/>
      <c r="W89" s="142"/>
      <c r="X89" s="143"/>
      <c r="Y89" s="142"/>
      <c r="Z89" s="142"/>
      <c r="AA89" s="143"/>
      <c r="AB89" s="142"/>
      <c r="AC89" s="142"/>
      <c r="AD89" s="143"/>
      <c r="AE89" s="142"/>
      <c r="AF89" s="142"/>
      <c r="AG89" s="143"/>
      <c r="AH89" s="142"/>
      <c r="AI89" s="142"/>
      <c r="AJ89" s="143"/>
      <c r="AK89" s="142"/>
      <c r="AL89" s="142"/>
      <c r="AM89" s="143"/>
      <c r="AN89" s="142"/>
      <c r="AO89" s="142"/>
      <c r="AP89" s="143"/>
      <c r="AQ89" s="142"/>
      <c r="AR89" s="142"/>
      <c r="AS89" s="143"/>
      <c r="AT89" s="142"/>
      <c r="AU89" s="142"/>
      <c r="AV89" s="143"/>
      <c r="AW89" s="142"/>
      <c r="AX89" s="142"/>
      <c r="AY89" s="143"/>
    </row>
    <row r="90" spans="1:51" s="274" customFormat="1" ht="12" customHeight="1" x14ac:dyDescent="0.2">
      <c r="A90" s="138"/>
      <c r="B90" s="149" t="s">
        <v>373</v>
      </c>
      <c r="C90" s="275"/>
      <c r="D90" s="192"/>
      <c r="E90" s="192"/>
      <c r="F90" s="167">
        <v>9.0999999999999998E-2</v>
      </c>
      <c r="G90" s="192"/>
      <c r="H90" s="192"/>
      <c r="I90" s="167">
        <v>0.33700000000000002</v>
      </c>
      <c r="J90" s="165"/>
      <c r="K90" s="166"/>
      <c r="L90" s="167">
        <v>0.184</v>
      </c>
      <c r="M90" s="219">
        <v>0.16700000000000001</v>
      </c>
      <c r="N90" s="220">
        <f>2*O90-M90</f>
        <v>0.13299999999999998</v>
      </c>
      <c r="O90" s="167">
        <v>0.15</v>
      </c>
      <c r="P90" s="219">
        <v>0.106</v>
      </c>
      <c r="Q90" s="220">
        <f>2*R90-P90</f>
        <v>6.2000000000000013E-2</v>
      </c>
      <c r="R90" s="167">
        <v>8.4000000000000005E-2</v>
      </c>
      <c r="S90" s="219">
        <v>9.8000000000000004E-2</v>
      </c>
      <c r="T90" s="220">
        <f>2*U90-S90</f>
        <v>9.8000000000000004E-2</v>
      </c>
      <c r="U90" s="167">
        <v>9.8000000000000004E-2</v>
      </c>
      <c r="V90" s="151">
        <v>3.5000000000000003E-2</v>
      </c>
      <c r="W90" s="151">
        <v>3.5000000000000003E-2</v>
      </c>
      <c r="X90" s="193">
        <f t="shared" ref="X90:X91" si="508">AVERAGE(V90:W90)</f>
        <v>3.5000000000000003E-2</v>
      </c>
      <c r="Y90" s="151">
        <v>0.05</v>
      </c>
      <c r="Z90" s="151">
        <v>0.05</v>
      </c>
      <c r="AA90" s="193">
        <f t="shared" ref="AA90" si="509">AVERAGE(Y90:Z90)</f>
        <v>0.05</v>
      </c>
      <c r="AB90" s="151">
        <v>0.05</v>
      </c>
      <c r="AC90" s="151">
        <v>0.05</v>
      </c>
      <c r="AD90" s="193">
        <f t="shared" ref="AD90" si="510">AVERAGE(AB90:AC90)</f>
        <v>0.05</v>
      </c>
      <c r="AE90" s="151">
        <v>3.5000000000000003E-2</v>
      </c>
      <c r="AF90" s="151">
        <v>3.5000000000000003E-2</v>
      </c>
      <c r="AG90" s="193">
        <f t="shared" ref="AG90" si="511">AVERAGE(AE90:AF90)</f>
        <v>3.5000000000000003E-2</v>
      </c>
      <c r="AH90" s="151">
        <v>3.5000000000000003E-2</v>
      </c>
      <c r="AI90" s="151">
        <v>3.5000000000000003E-2</v>
      </c>
      <c r="AJ90" s="193">
        <f t="shared" ref="AJ90" si="512">AVERAGE(AH90:AI90)</f>
        <v>3.5000000000000003E-2</v>
      </c>
      <c r="AK90" s="151">
        <v>3.5000000000000003E-2</v>
      </c>
      <c r="AL90" s="151">
        <v>3.5000000000000003E-2</v>
      </c>
      <c r="AM90" s="193">
        <f t="shared" ref="AM90" si="513">AVERAGE(AK90:AL90)</f>
        <v>3.5000000000000003E-2</v>
      </c>
      <c r="AN90" s="151">
        <v>3.5000000000000003E-2</v>
      </c>
      <c r="AO90" s="151">
        <v>3.5000000000000003E-2</v>
      </c>
      <c r="AP90" s="193">
        <f t="shared" ref="AP90" si="514">AVERAGE(AN90:AO90)</f>
        <v>3.5000000000000003E-2</v>
      </c>
      <c r="AQ90" s="151">
        <v>3.5000000000000003E-2</v>
      </c>
      <c r="AR90" s="151">
        <v>3.5000000000000003E-2</v>
      </c>
      <c r="AS90" s="193">
        <f t="shared" ref="AS90" si="515">AVERAGE(AQ90:AR90)</f>
        <v>3.5000000000000003E-2</v>
      </c>
      <c r="AT90" s="151">
        <v>3.5000000000000003E-2</v>
      </c>
      <c r="AU90" s="151">
        <v>3.5000000000000003E-2</v>
      </c>
      <c r="AV90" s="193">
        <f t="shared" ref="AV90" si="516">AVERAGE(AT90:AU90)</f>
        <v>3.5000000000000003E-2</v>
      </c>
      <c r="AW90" s="151">
        <v>3.5000000000000003E-2</v>
      </c>
      <c r="AX90" s="151">
        <v>3.5000000000000003E-2</v>
      </c>
      <c r="AY90" s="193">
        <f t="shared" ref="AY90" si="517">AVERAGE(AW90:AX90)</f>
        <v>3.5000000000000003E-2</v>
      </c>
    </row>
    <row r="91" spans="1:51" s="274" customFormat="1" ht="12" customHeight="1" x14ac:dyDescent="0.2">
      <c r="B91" s="149" t="s">
        <v>374</v>
      </c>
      <c r="C91" s="275"/>
      <c r="D91" s="192"/>
      <c r="E91" s="192"/>
      <c r="F91" s="193" t="e">
        <f t="shared" ref="F91" si="518">+F92-F90</f>
        <v>#REF!</v>
      </c>
      <c r="G91" s="192"/>
      <c r="H91" s="192"/>
      <c r="I91" s="193">
        <f t="shared" ref="I91" si="519">+I92-I90</f>
        <v>0.11628719723183395</v>
      </c>
      <c r="J91" s="192"/>
      <c r="K91" s="192"/>
      <c r="L91" s="193">
        <f t="shared" ref="L91" si="520">+L92-L90</f>
        <v>9.0761904761904766E-2</v>
      </c>
      <c r="M91" s="222"/>
      <c r="N91" s="222"/>
      <c r="O91" s="193">
        <f t="shared" ref="O91:Q91" si="521">+O92-O90</f>
        <v>0.16285020545386622</v>
      </c>
      <c r="P91" s="222">
        <f t="shared" si="521"/>
        <v>0.20364467005076159</v>
      </c>
      <c r="Q91" s="222">
        <f t="shared" si="521"/>
        <v>0.17713043478260865</v>
      </c>
      <c r="R91" s="193">
        <f>+R92-R90</f>
        <v>0.18872727272727269</v>
      </c>
      <c r="S91" s="222">
        <f t="shared" ref="S91:T91" si="522">+S92-S90</f>
        <v>0.12917738258093933</v>
      </c>
      <c r="T91" s="222">
        <f t="shared" si="522"/>
        <v>0.12208771929824533</v>
      </c>
      <c r="U91" s="193">
        <f>+U92-U90</f>
        <v>0.12556360384529394</v>
      </c>
      <c r="V91" s="151">
        <f>(0.5*V147+T147+0.5*S147)/S138</f>
        <v>0.14047619047619048</v>
      </c>
      <c r="W91" s="151">
        <f>(0.5*W147+V147+0.5*T147)/T138</f>
        <v>0.13169642857142858</v>
      </c>
      <c r="X91" s="193">
        <f t="shared" si="508"/>
        <v>0.13608630952380951</v>
      </c>
      <c r="Y91" s="151">
        <f>(0.5*Y147+W147+0.5*V147)/V138</f>
        <v>0.12552301255230125</v>
      </c>
      <c r="Z91" s="151">
        <f>(0.5*Z147+Y147+0.5*W147)/W138</f>
        <v>0.11811023622047244</v>
      </c>
      <c r="AA91" s="193">
        <f t="shared" ref="AA91" si="523">AVERAGE(Y91:Z91)</f>
        <v>0.12181662438638685</v>
      </c>
      <c r="AB91" s="151">
        <f>(0.5*AB147+Z147+0.5*Y147)/Y138</f>
        <v>0.11152416356877323</v>
      </c>
      <c r="AC91" s="151">
        <f>(0.5*AC147+AB147+0.5*Z147)/Z138</f>
        <v>0.10563380281690141</v>
      </c>
      <c r="AD91" s="193">
        <f t="shared" ref="AD91" si="524">AVERAGE(AB91:AC91)</f>
        <v>0.10857898319283732</v>
      </c>
      <c r="AE91" s="151">
        <f>(0.5*AE147+AC147+0.5*AB147)/AB138</f>
        <v>0.10033444816053512</v>
      </c>
      <c r="AF91" s="151">
        <f>(0.5*AF147+AE147+0.5*AC147)/AC138</f>
        <v>9.5541401273885357E-2</v>
      </c>
      <c r="AG91" s="193">
        <f t="shared" ref="AG91" si="525">AVERAGE(AE91:AF91)</f>
        <v>9.7937924717210245E-2</v>
      </c>
      <c r="AH91" s="151">
        <f>(0.5*AH147+AF147+0.5*AE147)/AE138</f>
        <v>9.1185410334346503E-2</v>
      </c>
      <c r="AI91" s="151">
        <f>(0.5*AI147+AH147+0.5*AF147)/AF138</f>
        <v>8.7209302325581398E-2</v>
      </c>
      <c r="AJ91" s="193">
        <f t="shared" ref="AJ91" si="526">AVERAGE(AH91:AI91)</f>
        <v>8.919735632996395E-2</v>
      </c>
      <c r="AK91" s="151">
        <f>(0.5*AK147+AI147+0.5*AH147)/AH138</f>
        <v>8.3565459610027856E-2</v>
      </c>
      <c r="AL91" s="151">
        <f>(0.5*AL147+AK147+0.5*AI147)/AI138</f>
        <v>8.0213903743315509E-2</v>
      </c>
      <c r="AM91" s="193">
        <f t="shared" ref="AM91" si="527">AVERAGE(AK91:AL91)</f>
        <v>8.1889681676671683E-2</v>
      </c>
      <c r="AN91" s="151">
        <f>(0.5*AN147+AL147+0.5*AK147)/AK138</f>
        <v>7.7120822622107968E-2</v>
      </c>
      <c r="AO91" s="151">
        <f>(0.5*AO147+AN147+0.5*AL147)/AL138</f>
        <v>7.4257425742574254E-2</v>
      </c>
      <c r="AP91" s="193">
        <f t="shared" ref="AP91" si="528">AVERAGE(AN91:AO91)</f>
        <v>7.5689124182341111E-2</v>
      </c>
      <c r="AQ91" s="151">
        <f>(0.5*AQ147+AO147+0.5*AN147)/AN138</f>
        <v>7.1599045346062054E-2</v>
      </c>
      <c r="AR91" s="151">
        <f>(0.5*AR147+AQ147+0.5*AO147)/AO138</f>
        <v>6.9124423963133647E-2</v>
      </c>
      <c r="AS91" s="193">
        <f t="shared" ref="AS91" si="529">AVERAGE(AQ91:AR91)</f>
        <v>7.0361734654597857E-2</v>
      </c>
      <c r="AT91" s="151">
        <f>(0.5*AT147+AR147+0.5*AQ147)/AQ138</f>
        <v>6.6815144766147E-2</v>
      </c>
      <c r="AU91" s="151">
        <f>(0.5*AU147+AT147+0.5*AR147)/AR138</f>
        <v>6.4655172413793108E-2</v>
      </c>
      <c r="AV91" s="193">
        <f t="shared" ref="AV91" si="530">AVERAGE(AT91:AU91)</f>
        <v>6.5735158589970061E-2</v>
      </c>
      <c r="AW91" s="151">
        <f>(0.5*AW147+AU147+0.5*AT147)/AT138</f>
        <v>6.2630480167014613E-2</v>
      </c>
      <c r="AX91" s="151">
        <f>(0.5*AX147+AW147+0.5*AU147)/AU138</f>
        <v>6.0728744939271252E-2</v>
      </c>
      <c r="AY91" s="193">
        <f t="shared" ref="AY91" si="531">AVERAGE(AW91:AX91)</f>
        <v>6.1679612553142929E-2</v>
      </c>
    </row>
    <row r="92" spans="1:51" s="274" customFormat="1" ht="12" customHeight="1" x14ac:dyDescent="0.2">
      <c r="B92" s="276" t="s">
        <v>375</v>
      </c>
      <c r="C92" s="277"/>
      <c r="D92" s="278"/>
      <c r="E92" s="278"/>
      <c r="F92" s="279" t="e">
        <f>#REF!/#REF!-1</f>
        <v>#REF!</v>
      </c>
      <c r="G92" s="278"/>
      <c r="H92" s="278"/>
      <c r="I92" s="279">
        <f>I63/F63-1</f>
        <v>0.45328719723183397</v>
      </c>
      <c r="J92" s="278"/>
      <c r="K92" s="278"/>
      <c r="L92" s="279">
        <f>L63/I63-1</f>
        <v>0.27476190476190476</v>
      </c>
      <c r="M92" s="280"/>
      <c r="N92" s="280"/>
      <c r="O92" s="279">
        <f t="shared" ref="O92:U92" si="532">O63/L63-1</f>
        <v>0.31285020545386621</v>
      </c>
      <c r="P92" s="280">
        <f t="shared" si="532"/>
        <v>0.30964467005076157</v>
      </c>
      <c r="Q92" s="280">
        <f t="shared" si="532"/>
        <v>0.23913043478260865</v>
      </c>
      <c r="R92" s="279">
        <f t="shared" si="532"/>
        <v>0.27272727272727271</v>
      </c>
      <c r="S92" s="280">
        <f t="shared" si="532"/>
        <v>0.22717738258093934</v>
      </c>
      <c r="T92" s="280">
        <f t="shared" si="532"/>
        <v>0.22008771929824533</v>
      </c>
      <c r="U92" s="279">
        <f t="shared" si="532"/>
        <v>0.22356360384529395</v>
      </c>
      <c r="V92" s="280">
        <f t="shared" ref="V92:W92" si="533">+V91+V90</f>
        <v>0.17547619047619048</v>
      </c>
      <c r="W92" s="280">
        <f t="shared" si="533"/>
        <v>0.16669642857142858</v>
      </c>
      <c r="X92" s="279">
        <f>X63/U63-1</f>
        <v>0.17101363946821202</v>
      </c>
      <c r="Y92" s="280">
        <f t="shared" ref="Y92:Z92" si="534">+Y91+Y90</f>
        <v>0.17552301255230124</v>
      </c>
      <c r="Z92" s="280">
        <f t="shared" si="534"/>
        <v>0.16811023622047244</v>
      </c>
      <c r="AA92" s="279">
        <f>AA63/X63-1</f>
        <v>0.17176915951811278</v>
      </c>
      <c r="AB92" s="280">
        <f t="shared" ref="AB92:AC92" si="535">+AB91+AB90</f>
        <v>0.16152416356877325</v>
      </c>
      <c r="AC92" s="280">
        <f t="shared" si="535"/>
        <v>0.15563380281690142</v>
      </c>
      <c r="AD92" s="279">
        <f>AD63/AA63-1</f>
        <v>0.1585505808130705</v>
      </c>
      <c r="AE92" s="280">
        <f t="shared" ref="AE92:AF92" si="536">+AE91+AE90</f>
        <v>0.13533444816053514</v>
      </c>
      <c r="AF92" s="280">
        <f t="shared" si="536"/>
        <v>0.13054140127388536</v>
      </c>
      <c r="AG92" s="279">
        <f>AG63/AD63-1</f>
        <v>0.13292090510536503</v>
      </c>
      <c r="AH92" s="280">
        <f t="shared" ref="AH92:AI92" si="537">+AH91+AH90</f>
        <v>0.12618541033434649</v>
      </c>
      <c r="AI92" s="280">
        <f t="shared" si="537"/>
        <v>0.1222093023255814</v>
      </c>
      <c r="AJ92" s="279">
        <f>AJ63/AG63-1</f>
        <v>0.12418744279979688</v>
      </c>
      <c r="AK92" s="280">
        <f t="shared" ref="AK92:AL92" si="538">+AK91+AK90</f>
        <v>0.11856545961002786</v>
      </c>
      <c r="AL92" s="280">
        <f t="shared" si="538"/>
        <v>0.11521390374331551</v>
      </c>
      <c r="AM92" s="279">
        <f>AM63/AJ63-1</f>
        <v>0.1168842887596846</v>
      </c>
      <c r="AN92" s="280">
        <f t="shared" ref="AN92:AO92" si="539">+AN91+AN90</f>
        <v>0.11212082262210797</v>
      </c>
      <c r="AO92" s="280">
        <f t="shared" si="539"/>
        <v>0.10925742574257426</v>
      </c>
      <c r="AP92" s="279">
        <f>AP63/AM63-1</f>
        <v>0.11068666485573408</v>
      </c>
      <c r="AQ92" s="280">
        <f t="shared" ref="AQ92:AR92" si="540">+AQ91+AQ90</f>
        <v>0.10659904534606206</v>
      </c>
      <c r="AR92" s="280">
        <f t="shared" si="540"/>
        <v>0.10412442396313365</v>
      </c>
      <c r="AS92" s="279">
        <f>AS63/AP63-1</f>
        <v>0.10536120415592243</v>
      </c>
      <c r="AT92" s="280">
        <f t="shared" ref="AT92:AU92" si="541">+AT91+AT90</f>
        <v>0.101815144766147</v>
      </c>
      <c r="AU92" s="280">
        <f t="shared" si="541"/>
        <v>9.9655172413793111E-2</v>
      </c>
      <c r="AV92" s="279">
        <f>AV63/AS63-1</f>
        <v>0.10073590445076497</v>
      </c>
      <c r="AW92" s="280">
        <f t="shared" ref="AW92:AX92" si="542">+AW91+AW90</f>
        <v>9.7630480167014616E-2</v>
      </c>
      <c r="AX92" s="280">
        <f t="shared" si="542"/>
        <v>9.5728744939271249E-2</v>
      </c>
      <c r="AY92" s="279">
        <f>AY63/AV63-1</f>
        <v>9.668120218456222E-2</v>
      </c>
    </row>
    <row r="93" spans="1:51" s="17" customFormat="1" ht="12" customHeight="1" x14ac:dyDescent="0.2">
      <c r="A93" s="138"/>
      <c r="B93" s="6"/>
      <c r="C93" s="130"/>
      <c r="D93" s="142"/>
      <c r="E93" s="142"/>
      <c r="F93" s="143"/>
      <c r="G93" s="142"/>
      <c r="H93" s="142"/>
      <c r="I93" s="143"/>
      <c r="J93" s="142"/>
      <c r="K93" s="142"/>
      <c r="L93" s="143"/>
      <c r="M93" s="142"/>
      <c r="N93" s="142"/>
      <c r="O93" s="143"/>
      <c r="P93" s="367"/>
      <c r="Q93" s="367"/>
      <c r="R93" s="143"/>
      <c r="S93" s="367"/>
      <c r="T93" s="367"/>
      <c r="U93" s="143"/>
      <c r="V93" s="142"/>
      <c r="W93" s="142"/>
      <c r="X93" s="143"/>
      <c r="Y93" s="142"/>
      <c r="Z93" s="142"/>
      <c r="AA93" s="143"/>
      <c r="AB93" s="142"/>
      <c r="AC93" s="142"/>
      <c r="AD93" s="143"/>
      <c r="AE93" s="142"/>
      <c r="AF93" s="142"/>
      <c r="AG93" s="143"/>
      <c r="AH93" s="142"/>
      <c r="AI93" s="142"/>
      <c r="AJ93" s="143"/>
      <c r="AK93" s="142"/>
      <c r="AL93" s="142"/>
      <c r="AM93" s="143"/>
      <c r="AN93" s="142"/>
      <c r="AO93" s="142"/>
      <c r="AP93" s="143"/>
      <c r="AQ93" s="142"/>
      <c r="AR93" s="142"/>
      <c r="AS93" s="143"/>
      <c r="AT93" s="142"/>
      <c r="AU93" s="142"/>
      <c r="AV93" s="143"/>
      <c r="AW93" s="142"/>
      <c r="AX93" s="142"/>
      <c r="AY93" s="143"/>
    </row>
    <row r="94" spans="1:51" s="194" customFormat="1" ht="12" customHeight="1" x14ac:dyDescent="0.2">
      <c r="A94" s="190"/>
      <c r="B94" s="149" t="s">
        <v>386</v>
      </c>
      <c r="C94" s="131"/>
      <c r="D94" s="191"/>
      <c r="E94" s="191"/>
      <c r="F94" s="271"/>
      <c r="G94" s="191"/>
      <c r="H94" s="191"/>
      <c r="I94" s="271"/>
      <c r="J94" s="191"/>
      <c r="K94" s="191"/>
      <c r="L94" s="271"/>
      <c r="M94" s="191"/>
      <c r="N94" s="191"/>
      <c r="O94" s="271"/>
      <c r="P94" s="191"/>
      <c r="Q94" s="191"/>
      <c r="R94" s="271"/>
      <c r="S94" s="191"/>
      <c r="T94" s="191"/>
      <c r="U94" s="271"/>
      <c r="V94" s="191"/>
      <c r="W94" s="191"/>
      <c r="X94" s="271"/>
      <c r="Y94" s="191"/>
      <c r="Z94" s="191"/>
      <c r="AA94" s="271"/>
      <c r="AB94" s="191"/>
      <c r="AC94" s="191"/>
      <c r="AD94" s="271"/>
      <c r="AE94" s="191"/>
      <c r="AF94" s="191"/>
      <c r="AG94" s="271"/>
      <c r="AH94" s="191"/>
      <c r="AI94" s="191"/>
      <c r="AJ94" s="271"/>
      <c r="AK94" s="191"/>
      <c r="AL94" s="191"/>
      <c r="AM94" s="271"/>
      <c r="AN94" s="191"/>
      <c r="AO94" s="191"/>
      <c r="AP94" s="271"/>
      <c r="AQ94" s="191"/>
      <c r="AR94" s="191"/>
      <c r="AS94" s="271"/>
      <c r="AT94" s="191"/>
      <c r="AU94" s="191"/>
      <c r="AV94" s="271"/>
      <c r="AW94" s="191"/>
      <c r="AX94" s="191"/>
      <c r="AY94" s="271"/>
    </row>
    <row r="95" spans="1:51" s="194" customFormat="1" ht="12" customHeight="1" x14ac:dyDescent="0.2">
      <c r="A95" s="190"/>
      <c r="B95" s="149" t="s">
        <v>387</v>
      </c>
      <c r="C95" s="131"/>
      <c r="D95" s="191"/>
      <c r="E95" s="191"/>
      <c r="F95" s="271"/>
      <c r="G95" s="191"/>
      <c r="H95" s="191"/>
      <c r="I95" s="271"/>
      <c r="J95" s="191"/>
      <c r="K95" s="191"/>
      <c r="L95" s="271"/>
      <c r="M95" s="191"/>
      <c r="N95" s="191"/>
      <c r="O95" s="271"/>
      <c r="P95" s="222"/>
      <c r="Q95" s="273"/>
      <c r="R95" s="193"/>
      <c r="S95" s="291">
        <f t="shared" ref="S95" si="543">(0.5*S148+Q148+0.5*P148)/P139</f>
        <v>0.15625</v>
      </c>
      <c r="T95" s="273"/>
      <c r="U95" s="193"/>
      <c r="V95" s="291">
        <f t="shared" ref="V95" si="544">(0.5*V148+T148+0.5*S148)/S139</f>
        <v>0.15</v>
      </c>
      <c r="W95" s="291">
        <f t="shared" ref="W95" si="545">(0.5*W148+V148+0.5*T148)/T139</f>
        <v>9.5238095238095233E-2</v>
      </c>
      <c r="X95" s="292">
        <f t="shared" ref="X95" si="546">AVERAGE(V95:W95)</f>
        <v>0.12261904761904761</v>
      </c>
      <c r="Y95" s="291">
        <f t="shared" ref="Y95" si="547">(0.5*Y148+W148+0.5*V148)/V139</f>
        <v>9.0909090909090912E-2</v>
      </c>
      <c r="Z95" s="291">
        <f t="shared" ref="Z95" si="548">(0.5*Z148+Y148+0.5*W148)/W139</f>
        <v>8.6956521739130432E-2</v>
      </c>
      <c r="AA95" s="292">
        <f t="shared" ref="AA95" si="549">AVERAGE(Y95:Z95)</f>
        <v>8.8932806324110672E-2</v>
      </c>
      <c r="AB95" s="291">
        <f t="shared" ref="AB95" si="550">(0.5*AB148+Z148+0.5*Y148)/Y139</f>
        <v>8.3333333333333329E-2</v>
      </c>
      <c r="AC95" s="291">
        <f t="shared" ref="AC95" si="551">(0.5*AC148+AB148+0.5*Z148)/Z139</f>
        <v>0.08</v>
      </c>
      <c r="AD95" s="292">
        <f t="shared" ref="AD95" si="552">AVERAGE(AB95:AC95)</f>
        <v>8.1666666666666665E-2</v>
      </c>
      <c r="AE95" s="291">
        <f t="shared" ref="AE95" si="553">(0.5*AE148+AC148+0.5*AB148)/AB139</f>
        <v>7.6923076923076927E-2</v>
      </c>
      <c r="AF95" s="291">
        <f t="shared" ref="AF95" si="554">(0.5*AF148+AE148+0.5*AC148)/AC139</f>
        <v>7.407407407407407E-2</v>
      </c>
      <c r="AG95" s="292">
        <f t="shared" ref="AG95" si="555">AVERAGE(AE95:AF95)</f>
        <v>7.5498575498575499E-2</v>
      </c>
      <c r="AH95" s="291">
        <f t="shared" ref="AH95" si="556">(0.5*AH148+AF148+0.5*AE148)/AE139</f>
        <v>7.1428571428571425E-2</v>
      </c>
      <c r="AI95" s="291">
        <f t="shared" ref="AI95" si="557">(0.5*AI148+AH148+0.5*AF148)/AF139</f>
        <v>6.8965517241379309E-2</v>
      </c>
      <c r="AJ95" s="292">
        <f t="shared" ref="AJ95" si="558">AVERAGE(AH95:AI95)</f>
        <v>7.0197044334975367E-2</v>
      </c>
      <c r="AK95" s="291">
        <f t="shared" ref="AK95" si="559">(0.5*AK148+AI148+0.5*AH148)/AH139</f>
        <v>6.6666666666666666E-2</v>
      </c>
      <c r="AL95" s="291">
        <f t="shared" ref="AL95" si="560">(0.5*AL148+AK148+0.5*AI148)/AI139</f>
        <v>6.4516129032258063E-2</v>
      </c>
      <c r="AM95" s="292">
        <f t="shared" ref="AM95" si="561">AVERAGE(AK95:AL95)</f>
        <v>6.5591397849462357E-2</v>
      </c>
      <c r="AN95" s="291">
        <f t="shared" ref="AN95" si="562">(0.5*AN148+AL148+0.5*AK148)/AK139</f>
        <v>6.25E-2</v>
      </c>
      <c r="AO95" s="291">
        <f t="shared" ref="AO95" si="563">(0.5*AO148+AN148+0.5*AL148)/AL139</f>
        <v>6.0606060606060608E-2</v>
      </c>
      <c r="AP95" s="292">
        <f t="shared" ref="AP95" si="564">AVERAGE(AN95:AO95)</f>
        <v>6.1553030303030304E-2</v>
      </c>
      <c r="AQ95" s="291">
        <f t="shared" ref="AQ95" si="565">(0.5*AQ148+AO148+0.5*AN148)/AN139</f>
        <v>5.8823529411764705E-2</v>
      </c>
      <c r="AR95" s="291">
        <f t="shared" ref="AR95" si="566">(0.5*AR148+AQ148+0.5*AO148)/AO139</f>
        <v>5.7142857142857141E-2</v>
      </c>
      <c r="AS95" s="292">
        <f t="shared" ref="AS95" si="567">AVERAGE(AQ95:AR95)</f>
        <v>5.7983193277310927E-2</v>
      </c>
      <c r="AT95" s="291">
        <f t="shared" ref="AT95" si="568">(0.5*AT148+AR148+0.5*AQ148)/AQ139</f>
        <v>5.5555555555555552E-2</v>
      </c>
      <c r="AU95" s="291">
        <f t="shared" ref="AU95" si="569">(0.5*AU148+AT148+0.5*AR148)/AR139</f>
        <v>5.4054054054054057E-2</v>
      </c>
      <c r="AV95" s="292">
        <f t="shared" ref="AV95" si="570">AVERAGE(AT95:AU95)</f>
        <v>5.4804804804804805E-2</v>
      </c>
      <c r="AW95" s="291">
        <f t="shared" ref="AW95" si="571">(0.5*AW148+AU148+0.5*AT148)/AT139</f>
        <v>5.2631578947368418E-2</v>
      </c>
      <c r="AX95" s="291">
        <f t="shared" ref="AX95" si="572">(0.5*AX148+AW148+0.5*AU148)/AU139</f>
        <v>5.128205128205128E-2</v>
      </c>
      <c r="AY95" s="292">
        <f t="shared" ref="AY95" si="573">AVERAGE(AW95:AX95)</f>
        <v>5.1956815114709849E-2</v>
      </c>
    </row>
    <row r="96" spans="1:51" s="274" customFormat="1" ht="12" customHeight="1" x14ac:dyDescent="0.2">
      <c r="B96" s="276" t="s">
        <v>391</v>
      </c>
      <c r="C96" s="277"/>
      <c r="D96" s="278"/>
      <c r="E96" s="278"/>
      <c r="F96" s="279"/>
      <c r="G96" s="278"/>
      <c r="H96" s="278"/>
      <c r="I96" s="279"/>
      <c r="J96" s="278"/>
      <c r="K96" s="278"/>
      <c r="L96" s="279"/>
      <c r="M96" s="280"/>
      <c r="N96" s="280"/>
      <c r="O96" s="279">
        <f t="shared" ref="O96:U96" si="574">O64/L64-1</f>
        <v>0.37261146496815289</v>
      </c>
      <c r="P96" s="280">
        <f t="shared" si="574"/>
        <v>3.2558139534883734E-2</v>
      </c>
      <c r="Q96" s="280">
        <f t="shared" si="574"/>
        <v>0.12037037037037024</v>
      </c>
      <c r="R96" s="279">
        <f t="shared" si="574"/>
        <v>7.6566125290023157E-2</v>
      </c>
      <c r="S96" s="280">
        <f t="shared" si="574"/>
        <v>0.36009009009009008</v>
      </c>
      <c r="T96" s="280">
        <f t="shared" si="574"/>
        <v>0.42586776859504138</v>
      </c>
      <c r="U96" s="279">
        <f t="shared" si="574"/>
        <v>0.39439655172413812</v>
      </c>
      <c r="V96" s="285">
        <v>0.15</v>
      </c>
      <c r="W96" s="285">
        <v>0.15</v>
      </c>
      <c r="X96" s="279">
        <f>X64/U64-1</f>
        <v>0.14999999999999991</v>
      </c>
      <c r="Y96" s="285">
        <v>0.15</v>
      </c>
      <c r="Z96" s="285">
        <v>0.15</v>
      </c>
      <c r="AA96" s="279">
        <f t="shared" ref="AA96" si="575">AA64/X64-1</f>
        <v>0.14999999999999969</v>
      </c>
      <c r="AB96" s="285">
        <v>0.15</v>
      </c>
      <c r="AC96" s="285">
        <v>0.15</v>
      </c>
      <c r="AD96" s="279">
        <f t="shared" ref="AD96" si="576">AD64/AA64-1</f>
        <v>0.15000000000000013</v>
      </c>
      <c r="AE96" s="285">
        <v>0.15</v>
      </c>
      <c r="AF96" s="285">
        <v>0.15</v>
      </c>
      <c r="AG96" s="279">
        <f t="shared" ref="AG96" si="577">AG64/AD64-1</f>
        <v>0.14999999999999991</v>
      </c>
      <c r="AH96" s="285">
        <v>0.15</v>
      </c>
      <c r="AI96" s="285">
        <v>0.15</v>
      </c>
      <c r="AJ96" s="279">
        <f t="shared" ref="AJ96" si="578">AJ64/AG64-1</f>
        <v>0.14999999999999991</v>
      </c>
      <c r="AK96" s="285">
        <v>0.15</v>
      </c>
      <c r="AL96" s="285">
        <v>0.15</v>
      </c>
      <c r="AM96" s="279">
        <f t="shared" ref="AM96" si="579">AM64/AJ64-1</f>
        <v>0.15000000000000013</v>
      </c>
      <c r="AN96" s="285">
        <v>0.15</v>
      </c>
      <c r="AO96" s="285">
        <v>0.15</v>
      </c>
      <c r="AP96" s="279">
        <f t="shared" ref="AP96" si="580">AP64/AM64-1</f>
        <v>0.14999999999999991</v>
      </c>
      <c r="AQ96" s="285">
        <v>0.15</v>
      </c>
      <c r="AR96" s="285">
        <v>0.15</v>
      </c>
      <c r="AS96" s="279">
        <f t="shared" ref="AS96" si="581">AS64/AP64-1</f>
        <v>0.14999999999999991</v>
      </c>
      <c r="AT96" s="285">
        <v>0.15</v>
      </c>
      <c r="AU96" s="285">
        <v>0.15</v>
      </c>
      <c r="AV96" s="279">
        <f t="shared" ref="AV96" si="582">AV64/AS64-1</f>
        <v>0.14999999999999991</v>
      </c>
      <c r="AW96" s="285">
        <v>0.15</v>
      </c>
      <c r="AX96" s="285">
        <v>0.15</v>
      </c>
      <c r="AY96" s="279">
        <f t="shared" ref="AY96" si="583">AY64/AV64-1</f>
        <v>0.14999999999999991</v>
      </c>
    </row>
    <row r="97" spans="1:51" s="194" customFormat="1" ht="12" customHeight="1" x14ac:dyDescent="0.2">
      <c r="A97" s="190"/>
      <c r="B97" s="8"/>
      <c r="C97" s="131"/>
      <c r="D97" s="191"/>
      <c r="E97" s="191"/>
      <c r="F97" s="271"/>
      <c r="G97" s="191"/>
      <c r="H97" s="191"/>
      <c r="I97" s="271"/>
      <c r="J97" s="191"/>
      <c r="K97" s="191"/>
      <c r="L97" s="271"/>
      <c r="M97" s="191"/>
      <c r="N97" s="191"/>
      <c r="O97" s="271"/>
      <c r="P97" s="191"/>
      <c r="Q97" s="191"/>
      <c r="R97" s="271"/>
      <c r="S97" s="191"/>
      <c r="T97" s="191"/>
      <c r="U97" s="271"/>
      <c r="V97" s="191"/>
      <c r="W97" s="191"/>
      <c r="X97" s="271"/>
      <c r="Y97" s="191"/>
      <c r="Z97" s="191"/>
      <c r="AA97" s="271"/>
      <c r="AB97" s="191"/>
      <c r="AC97" s="191"/>
      <c r="AD97" s="271"/>
      <c r="AE97" s="191"/>
      <c r="AF97" s="191"/>
      <c r="AG97" s="271"/>
      <c r="AH97" s="191"/>
      <c r="AI97" s="191"/>
      <c r="AJ97" s="271"/>
      <c r="AK97" s="191"/>
      <c r="AL97" s="191"/>
      <c r="AM97" s="271"/>
      <c r="AN97" s="191"/>
      <c r="AO97" s="191"/>
      <c r="AP97" s="271"/>
      <c r="AQ97" s="191"/>
      <c r="AR97" s="191"/>
      <c r="AS97" s="271"/>
      <c r="AT97" s="191"/>
      <c r="AU97" s="191"/>
      <c r="AV97" s="271"/>
      <c r="AW97" s="191"/>
      <c r="AX97" s="191"/>
      <c r="AY97" s="271"/>
    </row>
    <row r="98" spans="1:51" s="194" customFormat="1" ht="12" customHeight="1" x14ac:dyDescent="0.2">
      <c r="A98" s="190"/>
      <c r="B98" s="149" t="s">
        <v>388</v>
      </c>
      <c r="C98" s="131"/>
      <c r="D98" s="191"/>
      <c r="E98" s="191"/>
      <c r="F98" s="271"/>
      <c r="G98" s="191"/>
      <c r="H98" s="191"/>
      <c r="I98" s="271"/>
      <c r="J98" s="191"/>
      <c r="K98" s="191"/>
      <c r="L98" s="271"/>
      <c r="M98" s="191"/>
      <c r="N98" s="191"/>
      <c r="O98" s="271"/>
      <c r="P98" s="191"/>
      <c r="Q98" s="191"/>
      <c r="R98" s="271"/>
      <c r="S98" s="191"/>
      <c r="T98" s="191"/>
      <c r="U98" s="271"/>
      <c r="V98" s="191"/>
      <c r="W98" s="191"/>
      <c r="X98" s="271"/>
      <c r="Y98" s="191"/>
      <c r="Z98" s="191"/>
      <c r="AA98" s="271"/>
      <c r="AB98" s="191"/>
      <c r="AC98" s="191"/>
      <c r="AD98" s="271"/>
      <c r="AE98" s="191"/>
      <c r="AF98" s="191"/>
      <c r="AG98" s="271"/>
      <c r="AH98" s="191"/>
      <c r="AI98" s="191"/>
      <c r="AJ98" s="271"/>
      <c r="AK98" s="191"/>
      <c r="AL98" s="191"/>
      <c r="AM98" s="271"/>
      <c r="AN98" s="191"/>
      <c r="AO98" s="191"/>
      <c r="AP98" s="271"/>
      <c r="AQ98" s="191"/>
      <c r="AR98" s="191"/>
      <c r="AS98" s="271"/>
      <c r="AT98" s="191"/>
      <c r="AU98" s="191"/>
      <c r="AV98" s="271"/>
      <c r="AW98" s="191"/>
      <c r="AX98" s="191"/>
      <c r="AY98" s="271"/>
    </row>
    <row r="99" spans="1:51" s="194" customFormat="1" ht="12" customHeight="1" x14ac:dyDescent="0.2">
      <c r="A99" s="190"/>
      <c r="B99" s="149" t="s">
        <v>389</v>
      </c>
      <c r="C99" s="131"/>
      <c r="D99" s="191"/>
      <c r="E99" s="191"/>
      <c r="F99" s="271"/>
      <c r="G99" s="191"/>
      <c r="H99" s="191"/>
      <c r="I99" s="271"/>
      <c r="J99" s="191"/>
      <c r="K99" s="191"/>
      <c r="L99" s="271"/>
      <c r="M99" s="191"/>
      <c r="N99" s="191"/>
      <c r="O99" s="271"/>
      <c r="P99" s="191"/>
      <c r="Q99" s="191"/>
      <c r="R99" s="271"/>
      <c r="S99" s="291" t="e">
        <f t="shared" ref="S99" si="584">(0.5*S152+Q152+0.5*P152)/P143</f>
        <v>#DIV/0!</v>
      </c>
      <c r="T99" s="191"/>
      <c r="U99" s="271"/>
      <c r="V99" s="291">
        <f t="shared" ref="V99" si="585">(0.5*V149+T149+0.5*S149)/S140</f>
        <v>0.1</v>
      </c>
      <c r="W99" s="291">
        <f t="shared" ref="W99" si="586">(0.5*W149+V149+0.5*T149)/T140</f>
        <v>0.3</v>
      </c>
      <c r="X99" s="292">
        <f t="shared" ref="X99" si="587">AVERAGE(V99:W99)</f>
        <v>0.2</v>
      </c>
      <c r="Y99" s="291">
        <f t="shared" ref="Y99" si="588">(0.5*Y149+W149+0.5*V149)/V140</f>
        <v>0.33333333333333331</v>
      </c>
      <c r="Z99" s="291">
        <f t="shared" ref="Z99" si="589">(0.5*Z149+Y149+0.5*W149)/W140</f>
        <v>0.2857142857142857</v>
      </c>
      <c r="AA99" s="292">
        <f t="shared" ref="AA99" si="590">AVERAGE(Y99:Z99)</f>
        <v>0.30952380952380953</v>
      </c>
      <c r="AB99" s="291">
        <f t="shared" ref="AB99" si="591">(0.5*AB149+Z149+0.5*Y149)/Y140</f>
        <v>0.25</v>
      </c>
      <c r="AC99" s="291">
        <f t="shared" ref="AC99" si="592">(0.5*AC149+AB149+0.5*Z149)/Z140</f>
        <v>0.22222222222222221</v>
      </c>
      <c r="AD99" s="292">
        <f t="shared" ref="AD99" si="593">AVERAGE(AB99:AC99)</f>
        <v>0.2361111111111111</v>
      </c>
      <c r="AE99" s="291">
        <f t="shared" ref="AE99" si="594">(0.5*AE149+AC149+0.5*AB149)/AB140</f>
        <v>0.2</v>
      </c>
      <c r="AF99" s="291">
        <f t="shared" ref="AF99" si="595">(0.5*AF149+AE149+0.5*AC149)/AC140</f>
        <v>0.18181818181818182</v>
      </c>
      <c r="AG99" s="292">
        <f t="shared" ref="AG99" si="596">AVERAGE(AE99:AF99)</f>
        <v>0.19090909090909092</v>
      </c>
      <c r="AH99" s="291">
        <f t="shared" ref="AH99" si="597">(0.5*AH149+AF149+0.5*AE149)/AE140</f>
        <v>0.16666666666666666</v>
      </c>
      <c r="AI99" s="291">
        <f t="shared" ref="AI99" si="598">(0.5*AI149+AH149+0.5*AF149)/AF140</f>
        <v>0.15384615384615385</v>
      </c>
      <c r="AJ99" s="292">
        <f t="shared" ref="AJ99" si="599">AVERAGE(AH99:AI99)</f>
        <v>0.16025641025641024</v>
      </c>
      <c r="AK99" s="291">
        <f t="shared" ref="AK99" si="600">(0.5*AK149+AI149+0.5*AH149)/AH140</f>
        <v>0.14285714285714285</v>
      </c>
      <c r="AL99" s="291">
        <f t="shared" ref="AL99" si="601">(0.5*AL149+AK149+0.5*AI149)/AI140</f>
        <v>0.13333333333333333</v>
      </c>
      <c r="AM99" s="292">
        <f t="shared" ref="AM99" si="602">AVERAGE(AK99:AL99)</f>
        <v>0.1380952380952381</v>
      </c>
      <c r="AN99" s="291">
        <f t="shared" ref="AN99" si="603">(0.5*AN149+AL149+0.5*AK149)/AK140</f>
        <v>0.125</v>
      </c>
      <c r="AO99" s="291">
        <f t="shared" ref="AO99" si="604">(0.5*AO149+AN149+0.5*AL149)/AL140</f>
        <v>0.11764705882352941</v>
      </c>
      <c r="AP99" s="292">
        <f t="shared" ref="AP99" si="605">AVERAGE(AN99:AO99)</f>
        <v>0.12132352941176471</v>
      </c>
      <c r="AQ99" s="291">
        <f t="shared" ref="AQ99" si="606">(0.5*AQ149+AO149+0.5*AN149)/AN140</f>
        <v>0.1111111111111111</v>
      </c>
      <c r="AR99" s="291">
        <f t="shared" ref="AR99" si="607">(0.5*AR149+AQ149+0.5*AO149)/AO140</f>
        <v>0.10526315789473684</v>
      </c>
      <c r="AS99" s="292">
        <f t="shared" ref="AS99" si="608">AVERAGE(AQ99:AR99)</f>
        <v>0.10818713450292397</v>
      </c>
      <c r="AT99" s="291">
        <f t="shared" ref="AT99" si="609">(0.5*AT149+AR149+0.5*AQ149)/AQ140</f>
        <v>0.1</v>
      </c>
      <c r="AU99" s="291">
        <f t="shared" ref="AU99" si="610">(0.5*AU149+AT149+0.5*AR149)/AR140</f>
        <v>9.5238095238095233E-2</v>
      </c>
      <c r="AV99" s="292">
        <f t="shared" ref="AV99" si="611">AVERAGE(AT99:AU99)</f>
        <v>9.7619047619047619E-2</v>
      </c>
      <c r="AW99" s="291">
        <f t="shared" ref="AW99" si="612">(0.5*AW149+AU149+0.5*AT149)/AT140</f>
        <v>9.0909090909090912E-2</v>
      </c>
      <c r="AX99" s="291">
        <f t="shared" ref="AX99" si="613">(0.5*AX149+AW149+0.5*AU149)/AU140</f>
        <v>8.6956521739130432E-2</v>
      </c>
      <c r="AY99" s="292">
        <f t="shared" ref="AY99" si="614">AVERAGE(AW99:AX99)</f>
        <v>8.8932806324110672E-2</v>
      </c>
    </row>
    <row r="100" spans="1:51" s="274" customFormat="1" ht="12" customHeight="1" x14ac:dyDescent="0.2">
      <c r="B100" s="276" t="s">
        <v>392</v>
      </c>
      <c r="C100" s="277"/>
      <c r="D100" s="278"/>
      <c r="E100" s="278"/>
      <c r="F100" s="279"/>
      <c r="G100" s="278"/>
      <c r="H100" s="278"/>
      <c r="I100" s="279"/>
      <c r="J100" s="278"/>
      <c r="K100" s="278"/>
      <c r="L100" s="279"/>
      <c r="M100" s="280"/>
      <c r="N100" s="280"/>
      <c r="O100" s="279">
        <f t="shared" ref="O100:U100" si="615">O65/L65-1</f>
        <v>0.2068965517241379</v>
      </c>
      <c r="P100" s="280">
        <f t="shared" si="615"/>
        <v>0.3125</v>
      </c>
      <c r="Q100" s="280">
        <f t="shared" si="615"/>
        <v>-2.631578947368407E-2</v>
      </c>
      <c r="R100" s="279">
        <f t="shared" si="615"/>
        <v>0.12857142857142856</v>
      </c>
      <c r="S100" s="280">
        <f t="shared" si="615"/>
        <v>9.6666666666666679E-2</v>
      </c>
      <c r="T100" s="280">
        <f t="shared" si="615"/>
        <v>0.2145945945945944</v>
      </c>
      <c r="U100" s="279">
        <f t="shared" si="615"/>
        <v>0.15189873417721511</v>
      </c>
      <c r="V100" s="285">
        <f>+V99</f>
        <v>0.1</v>
      </c>
      <c r="W100" s="285">
        <f>+W99</f>
        <v>0.3</v>
      </c>
      <c r="X100" s="279">
        <f>X65/U65-1</f>
        <v>0.19876923076923081</v>
      </c>
      <c r="Y100" s="285">
        <f t="shared" ref="Y100:Z100" si="616">+Y99</f>
        <v>0.33333333333333331</v>
      </c>
      <c r="Z100" s="285">
        <f t="shared" si="616"/>
        <v>0.2857142857142857</v>
      </c>
      <c r="AA100" s="279">
        <f t="shared" ref="AA100" si="617">AA65/X65-1</f>
        <v>0.30783098660408714</v>
      </c>
      <c r="AB100" s="285">
        <f t="shared" ref="AB100:AC100" si="618">+AB99</f>
        <v>0.25</v>
      </c>
      <c r="AC100" s="285">
        <f t="shared" si="618"/>
        <v>0.22222222222222221</v>
      </c>
      <c r="AD100" s="279">
        <f t="shared" ref="AD100" si="619">AD65/AA65-1</f>
        <v>0.23537520502049025</v>
      </c>
      <c r="AE100" s="285">
        <f t="shared" ref="AE100:AF100" si="620">+AE99</f>
        <v>0.2</v>
      </c>
      <c r="AF100" s="285">
        <f t="shared" si="620"/>
        <v>0.18181818181818182</v>
      </c>
      <c r="AG100" s="279">
        <f t="shared" ref="AG100" si="621">AG65/AD65-1</f>
        <v>0.19052932587924687</v>
      </c>
      <c r="AH100" s="285">
        <f t="shared" ref="AH100:AI100" si="622">+AH99</f>
        <v>0.16666666666666666</v>
      </c>
      <c r="AI100" s="285">
        <f t="shared" si="622"/>
        <v>0.15384615384615385</v>
      </c>
      <c r="AJ100" s="279">
        <f t="shared" ref="AJ100" si="623">AJ65/AG65-1</f>
        <v>0.16003749066704787</v>
      </c>
      <c r="AK100" s="285">
        <f t="shared" ref="AK100:AL100" si="624">+AK99</f>
        <v>0.14285714285714285</v>
      </c>
      <c r="AL100" s="285">
        <f t="shared" si="624"/>
        <v>0.13333333333333333</v>
      </c>
      <c r="AM100" s="279">
        <f t="shared" ref="AM100" si="625">AM65/AJ65-1</f>
        <v>0.13795889525520666</v>
      </c>
      <c r="AN100" s="285">
        <f t="shared" ref="AN100:AO100" si="626">+AN99</f>
        <v>0.125</v>
      </c>
      <c r="AO100" s="285">
        <f t="shared" si="626"/>
        <v>0.11764705882352941</v>
      </c>
      <c r="AP100" s="279">
        <f t="shared" ref="AP100" si="627">AP65/AM65-1</f>
        <v>0.12123363667214626</v>
      </c>
      <c r="AQ100" s="285">
        <f t="shared" ref="AQ100:AR100" si="628">+AQ99</f>
        <v>0.1111111111111111</v>
      </c>
      <c r="AR100" s="285">
        <f t="shared" si="628"/>
        <v>0.10526315789473684</v>
      </c>
      <c r="AS100" s="279">
        <f t="shared" ref="AS100" si="629">AS65/AP65-1</f>
        <v>0.10812522270734859</v>
      </c>
      <c r="AT100" s="285">
        <f t="shared" ref="AT100:AU100" si="630">+AT99</f>
        <v>0.1</v>
      </c>
      <c r="AU100" s="285">
        <f t="shared" si="630"/>
        <v>9.5238095238095233E-2</v>
      </c>
      <c r="AV100" s="279">
        <f t="shared" ref="AV100" si="631">AV65/AS65-1</f>
        <v>9.7574913458949419E-2</v>
      </c>
      <c r="AW100" s="285">
        <f t="shared" ref="AW100:AX100" si="632">+AW99</f>
        <v>9.0909090909090912E-2</v>
      </c>
      <c r="AX100" s="285">
        <f t="shared" si="632"/>
        <v>8.6956521739130432E-2</v>
      </c>
      <c r="AY100" s="279">
        <f t="shared" ref="AY100" si="633">AY65/AV65-1</f>
        <v>8.8900458877515076E-2</v>
      </c>
    </row>
    <row r="101" spans="1:51" s="194" customFormat="1" ht="12" customHeight="1" x14ac:dyDescent="0.2">
      <c r="A101" s="190"/>
      <c r="B101" s="8"/>
      <c r="C101" s="131"/>
      <c r="D101" s="191"/>
      <c r="E101" s="191"/>
      <c r="F101" s="271"/>
      <c r="G101" s="191"/>
      <c r="H101" s="191"/>
      <c r="I101" s="271"/>
      <c r="J101" s="191"/>
      <c r="K101" s="191"/>
      <c r="L101" s="271"/>
      <c r="M101" s="191"/>
      <c r="N101" s="191"/>
      <c r="O101" s="271"/>
      <c r="P101" s="191"/>
      <c r="Q101" s="191"/>
      <c r="R101" s="271"/>
      <c r="S101" s="191"/>
      <c r="T101" s="191"/>
      <c r="U101" s="271"/>
      <c r="V101" s="191"/>
      <c r="W101" s="191"/>
      <c r="X101" s="271"/>
      <c r="Y101" s="191"/>
      <c r="Z101" s="191"/>
      <c r="AA101" s="271"/>
      <c r="AB101" s="191"/>
      <c r="AC101" s="191"/>
      <c r="AD101" s="271"/>
      <c r="AE101" s="191"/>
      <c r="AF101" s="191"/>
      <c r="AG101" s="271"/>
      <c r="AH101" s="191"/>
      <c r="AI101" s="191"/>
      <c r="AJ101" s="271"/>
      <c r="AK101" s="191"/>
      <c r="AL101" s="191"/>
      <c r="AM101" s="271"/>
      <c r="AN101" s="191"/>
      <c r="AO101" s="191"/>
      <c r="AP101" s="271"/>
      <c r="AQ101" s="191"/>
      <c r="AR101" s="191"/>
      <c r="AS101" s="271"/>
      <c r="AT101" s="191"/>
      <c r="AU101" s="191"/>
      <c r="AV101" s="271"/>
      <c r="AW101" s="191"/>
      <c r="AX101" s="191"/>
      <c r="AY101" s="271"/>
    </row>
    <row r="102" spans="1:51" s="64" customFormat="1" ht="12" customHeight="1" x14ac:dyDescent="0.2">
      <c r="A102" s="57"/>
      <c r="B102" s="37" t="s">
        <v>390</v>
      </c>
      <c r="C102" s="141"/>
      <c r="D102" s="164"/>
      <c r="E102" s="164"/>
      <c r="F102" s="163"/>
      <c r="G102" s="164"/>
      <c r="H102" s="164"/>
      <c r="I102" s="163"/>
      <c r="J102" s="164"/>
      <c r="K102" s="164"/>
      <c r="L102" s="163"/>
      <c r="M102" s="218"/>
      <c r="N102" s="218"/>
      <c r="O102" s="163">
        <f t="shared" ref="O102:AY102" si="634">O66/L66-1</f>
        <v>0.31505413901501944</v>
      </c>
      <c r="P102" s="218">
        <f t="shared" si="634"/>
        <v>0.2931034482758621</v>
      </c>
      <c r="Q102" s="218">
        <f t="shared" si="634"/>
        <v>0.23004575495678692</v>
      </c>
      <c r="R102" s="163">
        <f t="shared" si="634"/>
        <v>0.26015936254980088</v>
      </c>
      <c r="S102" s="218">
        <f t="shared" si="634"/>
        <v>0.23234408602150536</v>
      </c>
      <c r="T102" s="218">
        <f t="shared" ref="T102" si="635">T66/Q66-1</f>
        <v>0.23033684645587926</v>
      </c>
      <c r="U102" s="163">
        <f>U66/R66-1</f>
        <v>0.23132047634102637</v>
      </c>
      <c r="V102" s="218">
        <f t="shared" si="634"/>
        <v>0.1735271617372347</v>
      </c>
      <c r="W102" s="218">
        <f t="shared" si="634"/>
        <v>0.16673495868046229</v>
      </c>
      <c r="X102" s="163">
        <f t="shared" si="634"/>
        <v>0.17006618432206855</v>
      </c>
      <c r="Y102" s="218">
        <f t="shared" si="634"/>
        <v>0.17539412157702494</v>
      </c>
      <c r="Z102" s="218">
        <f t="shared" si="634"/>
        <v>0.16806476981915486</v>
      </c>
      <c r="AA102" s="163">
        <f t="shared" si="634"/>
        <v>0.17167007201426032</v>
      </c>
      <c r="AB102" s="218">
        <f t="shared" si="634"/>
        <v>0.16169814260857285</v>
      </c>
      <c r="AC102" s="218">
        <f t="shared" si="634"/>
        <v>0.15593339282078955</v>
      </c>
      <c r="AD102" s="163">
        <f t="shared" si="634"/>
        <v>0.15877808151792827</v>
      </c>
      <c r="AE102" s="218">
        <f t="shared" si="634"/>
        <v>0.13666255667957317</v>
      </c>
      <c r="AF102" s="218">
        <f t="shared" si="634"/>
        <v>0.13213212785515416</v>
      </c>
      <c r="AG102" s="163">
        <f t="shared" si="634"/>
        <v>0.13437335885117707</v>
      </c>
      <c r="AH102" s="218">
        <f t="shared" si="634"/>
        <v>0.12778337888560465</v>
      </c>
      <c r="AI102" s="218">
        <f t="shared" si="634"/>
        <v>0.12411213511352437</v>
      </c>
      <c r="AJ102" s="163">
        <f t="shared" si="634"/>
        <v>0.12593198709817788</v>
      </c>
      <c r="AK102" s="218">
        <f t="shared" si="634"/>
        <v>0.12043125912154662</v>
      </c>
      <c r="AL102" s="218">
        <f t="shared" si="634"/>
        <v>0.11742664701988481</v>
      </c>
      <c r="AM102" s="163">
        <f t="shared" si="634"/>
        <v>0.1189184957478211</v>
      </c>
      <c r="AN102" s="218">
        <f t="shared" si="634"/>
        <v>0.11425866990060007</v>
      </c>
      <c r="AO102" s="218">
        <f t="shared" si="634"/>
        <v>0.11178477954170241</v>
      </c>
      <c r="AP102" s="163">
        <f t="shared" si="634"/>
        <v>0.11301477522780679</v>
      </c>
      <c r="AQ102" s="218">
        <f t="shared" si="634"/>
        <v>0.10901775139353909</v>
      </c>
      <c r="AR102" s="218">
        <f t="shared" si="634"/>
        <v>0.10697623910629606</v>
      </c>
      <c r="AS102" s="163">
        <f t="shared" si="634"/>
        <v>0.10799239474323952</v>
      </c>
      <c r="AT102" s="218">
        <f t="shared" si="634"/>
        <v>0.10452714855002654</v>
      </c>
      <c r="AU102" s="218">
        <f t="shared" si="634"/>
        <v>0.10284540579630219</v>
      </c>
      <c r="AV102" s="163">
        <f t="shared" si="634"/>
        <v>0.10368326205065315</v>
      </c>
      <c r="AW102" s="218">
        <f t="shared" si="634"/>
        <v>0.10065127787988626</v>
      </c>
      <c r="AX102" s="218">
        <f t="shared" si="634"/>
        <v>9.9274827576509628E-2</v>
      </c>
      <c r="AY102" s="163">
        <f t="shared" si="634"/>
        <v>9.9961109287548533E-2</v>
      </c>
    </row>
    <row r="103" spans="1:51" s="194" customFormat="1" ht="12" customHeight="1" x14ac:dyDescent="0.2">
      <c r="A103" s="190"/>
      <c r="B103" s="8" t="s">
        <v>552</v>
      </c>
      <c r="C103" s="131"/>
      <c r="D103" s="219"/>
      <c r="E103" s="191"/>
      <c r="F103" s="271"/>
      <c r="G103" s="191"/>
      <c r="H103" s="191"/>
      <c r="I103" s="271"/>
      <c r="J103" s="191"/>
      <c r="K103" s="191"/>
      <c r="L103" s="400"/>
      <c r="M103" s="219"/>
      <c r="N103" s="220"/>
      <c r="O103" s="400">
        <v>0.15</v>
      </c>
      <c r="P103" s="219"/>
      <c r="Q103" s="220"/>
      <c r="R103" s="400">
        <v>8.1000000000000003E-2</v>
      </c>
      <c r="S103" s="219"/>
      <c r="T103" s="220"/>
      <c r="U103" s="400">
        <v>9.6000000000000002E-2</v>
      </c>
      <c r="V103" s="151"/>
      <c r="W103" s="151"/>
      <c r="X103" s="193"/>
      <c r="Y103" s="151"/>
      <c r="Z103" s="151"/>
      <c r="AA103" s="193"/>
      <c r="AB103" s="151"/>
      <c r="AC103" s="151"/>
      <c r="AD103" s="193"/>
      <c r="AE103" s="151"/>
      <c r="AF103" s="151"/>
      <c r="AG103" s="193"/>
      <c r="AH103" s="151"/>
      <c r="AI103" s="151"/>
      <c r="AJ103" s="193"/>
      <c r="AK103" s="151"/>
      <c r="AL103" s="151"/>
      <c r="AM103" s="193"/>
      <c r="AN103" s="151"/>
      <c r="AO103" s="151"/>
      <c r="AP103" s="193"/>
      <c r="AQ103" s="151"/>
      <c r="AR103" s="151"/>
      <c r="AS103" s="193"/>
      <c r="AT103" s="151"/>
      <c r="AU103" s="151"/>
      <c r="AV103" s="193"/>
      <c r="AW103" s="151"/>
      <c r="AX103" s="151"/>
      <c r="AY103" s="193"/>
    </row>
    <row r="104" spans="1:51" s="17" customFormat="1" ht="12" customHeight="1" x14ac:dyDescent="0.2">
      <c r="A104" s="138"/>
      <c r="B104" s="6"/>
      <c r="C104" s="130"/>
      <c r="D104" s="142"/>
      <c r="E104" s="142"/>
      <c r="F104" s="143"/>
      <c r="G104" s="142"/>
      <c r="H104" s="142"/>
      <c r="I104" s="143"/>
      <c r="J104" s="142"/>
      <c r="K104" s="142"/>
      <c r="L104" s="143"/>
      <c r="M104" s="142"/>
      <c r="N104" s="142"/>
      <c r="O104" s="143"/>
      <c r="P104" s="142"/>
      <c r="Q104" s="142"/>
      <c r="R104" s="143"/>
      <c r="S104" s="142"/>
      <c r="T104" s="142"/>
      <c r="U104" s="143"/>
      <c r="V104" s="142"/>
      <c r="W104" s="142"/>
      <c r="X104" s="143"/>
      <c r="Y104" s="142"/>
      <c r="Z104" s="142"/>
      <c r="AA104" s="143"/>
      <c r="AB104" s="142"/>
      <c r="AC104" s="142"/>
      <c r="AD104" s="143"/>
      <c r="AE104" s="142"/>
      <c r="AF104" s="142"/>
      <c r="AG104" s="143"/>
      <c r="AH104" s="142"/>
      <c r="AI104" s="142"/>
      <c r="AJ104" s="143"/>
      <c r="AK104" s="142"/>
      <c r="AL104" s="142"/>
      <c r="AM104" s="143"/>
      <c r="AN104" s="142"/>
      <c r="AO104" s="142"/>
      <c r="AP104" s="143"/>
      <c r="AQ104" s="142"/>
      <c r="AR104" s="142"/>
      <c r="AS104" s="143"/>
      <c r="AT104" s="142"/>
      <c r="AU104" s="142"/>
      <c r="AV104" s="143"/>
      <c r="AW104" s="142"/>
      <c r="AX104" s="142"/>
      <c r="AY104" s="143"/>
    </row>
    <row r="105" spans="1:51" s="274" customFormat="1" ht="12" customHeight="1" x14ac:dyDescent="0.2">
      <c r="B105" s="149" t="s">
        <v>434</v>
      </c>
      <c r="C105" s="275"/>
      <c r="D105" s="192"/>
      <c r="E105" s="192"/>
      <c r="F105" s="193"/>
      <c r="G105" s="192"/>
      <c r="H105" s="192"/>
      <c r="I105" s="193"/>
      <c r="J105" s="192"/>
      <c r="K105" s="192"/>
      <c r="L105" s="193"/>
      <c r="M105" s="222"/>
      <c r="N105" s="222"/>
      <c r="O105" s="193">
        <f t="shared" ref="O105:X107" si="636">+O68/L68-1</f>
        <v>0.52262295552985605</v>
      </c>
      <c r="P105" s="222">
        <f t="shared" si="636"/>
        <v>0.3570683333498943</v>
      </c>
      <c r="Q105" s="222">
        <f t="shared" si="636"/>
        <v>0.27814004454983121</v>
      </c>
      <c r="R105" s="193">
        <f t="shared" si="636"/>
        <v>0.31561269017572835</v>
      </c>
      <c r="S105" s="222">
        <f t="shared" si="636"/>
        <v>0.28905208897740398</v>
      </c>
      <c r="T105" s="222">
        <f t="shared" ref="T105:T107" si="637">+T68/Q68-1</f>
        <v>0.29070363941729971</v>
      </c>
      <c r="U105" s="193">
        <f t="shared" ref="U105:U107" si="638">+U68/R68-1</f>
        <v>0.28989482818590262</v>
      </c>
      <c r="V105" s="222">
        <f t="shared" si="636"/>
        <v>0.2427857567749645</v>
      </c>
      <c r="W105" s="222">
        <f t="shared" si="636"/>
        <v>0.22926640716645097</v>
      </c>
      <c r="X105" s="193">
        <f t="shared" si="636"/>
        <v>0.23588289161257436</v>
      </c>
      <c r="Y105" s="222">
        <f t="shared" ref="Y105:AH107" si="639">+Y68/V68-1</f>
        <v>0.18848224586591478</v>
      </c>
      <c r="Z105" s="222">
        <f t="shared" si="639"/>
        <v>0.17952067242162673</v>
      </c>
      <c r="AA105" s="193">
        <f t="shared" si="639"/>
        <v>0.18393103924228615</v>
      </c>
      <c r="AB105" s="222">
        <f t="shared" si="639"/>
        <v>0.17164791730009132</v>
      </c>
      <c r="AC105" s="222">
        <f t="shared" si="639"/>
        <v>0.16467697907188317</v>
      </c>
      <c r="AD105" s="193">
        <f t="shared" si="639"/>
        <v>0.16812085875198046</v>
      </c>
      <c r="AE105" s="222">
        <f t="shared" si="639"/>
        <v>0.14335537665324893</v>
      </c>
      <c r="AF105" s="222">
        <f t="shared" si="639"/>
        <v>0.13778846153846147</v>
      </c>
      <c r="AG105" s="193">
        <f t="shared" si="639"/>
        <v>0.14054701039807505</v>
      </c>
      <c r="AH105" s="222">
        <f t="shared" si="639"/>
        <v>0.13276547319790755</v>
      </c>
      <c r="AI105" s="222">
        <f t="shared" ref="AI105:AR107" si="640">+AI68/AF68-1</f>
        <v>0.12821042158935447</v>
      </c>
      <c r="AJ105" s="193">
        <f t="shared" si="640"/>
        <v>0.13047312395670962</v>
      </c>
      <c r="AK105" s="222">
        <f t="shared" si="640"/>
        <v>0.12406083976006865</v>
      </c>
      <c r="AL105" s="222">
        <f t="shared" si="640"/>
        <v>0.12026490414998969</v>
      </c>
      <c r="AM105" s="193">
        <f t="shared" si="640"/>
        <v>0.12215434250733592</v>
      </c>
      <c r="AN105" s="222">
        <f t="shared" si="640"/>
        <v>0.11677926063026622</v>
      </c>
      <c r="AO105" s="222">
        <f t="shared" si="640"/>
        <v>0.11356736242884247</v>
      </c>
      <c r="AP105" s="193">
        <f t="shared" si="640"/>
        <v>0.11516881059531014</v>
      </c>
      <c r="AQ105" s="222">
        <f t="shared" si="640"/>
        <v>0.11059818464512361</v>
      </c>
      <c r="AR105" s="222">
        <f t="shared" si="640"/>
        <v>0.10784521943573644</v>
      </c>
      <c r="AS105" s="193">
        <f t="shared" ref="AS105:AY107" si="641">+AS68/AP68-1</f>
        <v>0.10921982647369655</v>
      </c>
      <c r="AT105" s="222">
        <f t="shared" si="641"/>
        <v>0.1052856828919897</v>
      </c>
      <c r="AU105" s="222">
        <f t="shared" si="641"/>
        <v>0.1028998833459136</v>
      </c>
      <c r="AV105" s="193">
        <f t="shared" si="641"/>
        <v>0.10409263802059221</v>
      </c>
      <c r="AW105" s="222">
        <f t="shared" si="641"/>
        <v>0.10067071403265837</v>
      </c>
      <c r="AX105" s="222">
        <f t="shared" si="641"/>
        <v>9.8583242457288112E-2</v>
      </c>
      <c r="AY105" s="193">
        <f t="shared" si="641"/>
        <v>9.9627978978307885E-2</v>
      </c>
    </row>
    <row r="106" spans="1:51" s="274" customFormat="1" ht="12" customHeight="1" x14ac:dyDescent="0.2">
      <c r="B106" s="149" t="s">
        <v>435</v>
      </c>
      <c r="C106" s="275"/>
      <c r="D106" s="192"/>
      <c r="E106" s="192"/>
      <c r="F106" s="193"/>
      <c r="G106" s="192"/>
      <c r="H106" s="192"/>
      <c r="I106" s="193"/>
      <c r="J106" s="192"/>
      <c r="K106" s="192"/>
      <c r="L106" s="193"/>
      <c r="M106" s="222"/>
      <c r="N106" s="222"/>
      <c r="O106" s="193">
        <f t="shared" si="636"/>
        <v>0.51768561324895268</v>
      </c>
      <c r="P106" s="222">
        <f t="shared" si="636"/>
        <v>0.29750457743640535</v>
      </c>
      <c r="Q106" s="222">
        <f t="shared" si="636"/>
        <v>0.24233912694557658</v>
      </c>
      <c r="R106" s="193">
        <f t="shared" si="636"/>
        <v>0.26872717457764383</v>
      </c>
      <c r="S106" s="222">
        <f t="shared" si="636"/>
        <v>0.28095212737632447</v>
      </c>
      <c r="T106" s="222">
        <f t="shared" si="637"/>
        <v>0.28389657634379373</v>
      </c>
      <c r="U106" s="193">
        <f t="shared" si="638"/>
        <v>0.28245617081875229</v>
      </c>
      <c r="V106" s="222">
        <f t="shared" si="636"/>
        <v>0.23548011738225783</v>
      </c>
      <c r="W106" s="222">
        <f t="shared" si="636"/>
        <v>0.22566307204722036</v>
      </c>
      <c r="X106" s="193">
        <f t="shared" si="636"/>
        <v>0.23045987536090462</v>
      </c>
      <c r="Y106" s="222">
        <f t="shared" si="639"/>
        <v>0.18119094374403799</v>
      </c>
      <c r="Z106" s="222">
        <f t="shared" si="639"/>
        <v>0.17232847319954336</v>
      </c>
      <c r="AA106" s="193">
        <f t="shared" si="639"/>
        <v>0.17667652013923218</v>
      </c>
      <c r="AB106" s="222">
        <f t="shared" si="639"/>
        <v>0.16441552274885596</v>
      </c>
      <c r="AC106" s="222">
        <f t="shared" si="639"/>
        <v>0.15753172153156503</v>
      </c>
      <c r="AD106" s="193">
        <f t="shared" si="639"/>
        <v>0.16092196400901249</v>
      </c>
      <c r="AE106" s="222">
        <f t="shared" si="639"/>
        <v>0.13625379046285624</v>
      </c>
      <c r="AF106" s="222">
        <f t="shared" si="639"/>
        <v>0.13076507597340936</v>
      </c>
      <c r="AG106" s="193">
        <f t="shared" si="639"/>
        <v>0.13347637887625896</v>
      </c>
      <c r="AH106" s="222">
        <f t="shared" si="639"/>
        <v>0.12568568899042076</v>
      </c>
      <c r="AI106" s="222">
        <f t="shared" si="640"/>
        <v>0.12120290344283657</v>
      </c>
      <c r="AJ106" s="193">
        <f t="shared" si="640"/>
        <v>0.12342272585943137</v>
      </c>
      <c r="AK106" s="222">
        <f t="shared" si="640"/>
        <v>0.11699127473013116</v>
      </c>
      <c r="AL106" s="222">
        <f t="shared" si="640"/>
        <v>0.10626159284811498</v>
      </c>
      <c r="AM106" s="193">
        <f t="shared" si="640"/>
        <v>0.11158550714276361</v>
      </c>
      <c r="AN106" s="222">
        <f t="shared" si="640"/>
        <v>0.11677926063026622</v>
      </c>
      <c r="AO106" s="222">
        <f t="shared" si="640"/>
        <v>0.11356736242884269</v>
      </c>
      <c r="AP106" s="193">
        <f t="shared" si="640"/>
        <v>0.11516881059531014</v>
      </c>
      <c r="AQ106" s="222">
        <f t="shared" si="640"/>
        <v>0.11059818464512361</v>
      </c>
      <c r="AR106" s="222">
        <f t="shared" si="640"/>
        <v>0.10784521943573644</v>
      </c>
      <c r="AS106" s="193">
        <f t="shared" si="641"/>
        <v>0.10921982647369655</v>
      </c>
      <c r="AT106" s="222">
        <f t="shared" si="641"/>
        <v>0.1052856828919897</v>
      </c>
      <c r="AU106" s="222">
        <f t="shared" si="641"/>
        <v>0.1028998833459136</v>
      </c>
      <c r="AV106" s="193">
        <f t="shared" si="641"/>
        <v>0.10409263802059221</v>
      </c>
      <c r="AW106" s="222">
        <f t="shared" si="641"/>
        <v>0.10067071403265837</v>
      </c>
      <c r="AX106" s="222">
        <f t="shared" si="641"/>
        <v>9.8583242457288334E-2</v>
      </c>
      <c r="AY106" s="193">
        <f t="shared" si="641"/>
        <v>9.9627978978307885E-2</v>
      </c>
    </row>
    <row r="107" spans="1:51" s="274" customFormat="1" ht="12" customHeight="1" x14ac:dyDescent="0.2">
      <c r="B107" s="314" t="s">
        <v>426</v>
      </c>
      <c r="C107" s="277"/>
      <c r="D107" s="278"/>
      <c r="E107" s="278"/>
      <c r="F107" s="279"/>
      <c r="G107" s="278"/>
      <c r="H107" s="278"/>
      <c r="I107" s="279"/>
      <c r="J107" s="278"/>
      <c r="K107" s="278"/>
      <c r="L107" s="279"/>
      <c r="M107" s="280"/>
      <c r="N107" s="280"/>
      <c r="O107" s="279">
        <f t="shared" si="636"/>
        <v>0.55275510204081635</v>
      </c>
      <c r="P107" s="280">
        <f t="shared" si="636"/>
        <v>0.73188405797101419</v>
      </c>
      <c r="Q107" s="280">
        <f t="shared" si="636"/>
        <v>0.48196465071540229</v>
      </c>
      <c r="R107" s="279">
        <f t="shared" si="636"/>
        <v>0.59528816455280276</v>
      </c>
      <c r="S107" s="280">
        <f t="shared" si="636"/>
        <v>0.3272384937238495</v>
      </c>
      <c r="T107" s="280">
        <f t="shared" si="637"/>
        <v>0.32319175692669622</v>
      </c>
      <c r="U107" s="279">
        <f t="shared" si="638"/>
        <v>0.32518382731560624</v>
      </c>
      <c r="V107" s="280">
        <f t="shared" si="636"/>
        <v>0.27602628934169826</v>
      </c>
      <c r="W107" s="280">
        <f t="shared" si="636"/>
        <v>0.24595334627262444</v>
      </c>
      <c r="X107" s="279">
        <f t="shared" si="636"/>
        <v>0.26078018267191716</v>
      </c>
      <c r="Y107" s="280">
        <f t="shared" si="639"/>
        <v>0.22060338764607468</v>
      </c>
      <c r="Z107" s="280">
        <f t="shared" si="639"/>
        <v>0.21228513554444972</v>
      </c>
      <c r="AA107" s="279">
        <f t="shared" si="639"/>
        <v>0.21643586942538451</v>
      </c>
      <c r="AB107" s="280">
        <f t="shared" si="639"/>
        <v>0.20248075722904102</v>
      </c>
      <c r="AC107" s="280">
        <f t="shared" si="639"/>
        <v>0.1961547352630153</v>
      </c>
      <c r="AD107" s="279">
        <f t="shared" si="639"/>
        <v>0.19932217864293578</v>
      </c>
      <c r="AE107" s="280">
        <f t="shared" si="639"/>
        <v>0.17267218118281957</v>
      </c>
      <c r="AF107" s="280">
        <f t="shared" si="639"/>
        <v>0.16773026315789474</v>
      </c>
      <c r="AG107" s="279">
        <f t="shared" si="639"/>
        <v>0.17021120150654334</v>
      </c>
      <c r="AH107" s="280">
        <f t="shared" si="639"/>
        <v>0.16108461002785535</v>
      </c>
      <c r="AI107" s="280">
        <f t="shared" si="640"/>
        <v>0.15713889393779978</v>
      </c>
      <c r="AJ107" s="279">
        <f t="shared" si="640"/>
        <v>0.15912388538373046</v>
      </c>
      <c r="AK107" s="280">
        <f t="shared" si="640"/>
        <v>0.15147695780299708</v>
      </c>
      <c r="AL107" s="280">
        <f t="shared" si="640"/>
        <v>0.17627814935748898</v>
      </c>
      <c r="AM107" s="279">
        <f t="shared" si="640"/>
        <v>0.16378018255215454</v>
      </c>
      <c r="AN107" s="280">
        <f t="shared" si="640"/>
        <v>0.11677926063026622</v>
      </c>
      <c r="AO107" s="280">
        <f t="shared" si="640"/>
        <v>0.11356736242884269</v>
      </c>
      <c r="AP107" s="279">
        <f t="shared" si="640"/>
        <v>0.11516881059531037</v>
      </c>
      <c r="AQ107" s="280">
        <f t="shared" si="640"/>
        <v>0.11059818464512361</v>
      </c>
      <c r="AR107" s="280">
        <f t="shared" si="640"/>
        <v>0.10784521943573666</v>
      </c>
      <c r="AS107" s="279">
        <f t="shared" si="641"/>
        <v>0.10921982647369677</v>
      </c>
      <c r="AT107" s="280">
        <f t="shared" si="641"/>
        <v>0.1052856828919897</v>
      </c>
      <c r="AU107" s="280">
        <f t="shared" si="641"/>
        <v>0.1028998833459136</v>
      </c>
      <c r="AV107" s="279">
        <f t="shared" si="641"/>
        <v>0.10409263802059221</v>
      </c>
      <c r="AW107" s="280">
        <f t="shared" si="641"/>
        <v>0.10067071403265837</v>
      </c>
      <c r="AX107" s="280">
        <f t="shared" si="641"/>
        <v>9.8583242457288112E-2</v>
      </c>
      <c r="AY107" s="279">
        <f t="shared" si="641"/>
        <v>9.9627978978307885E-2</v>
      </c>
    </row>
    <row r="108" spans="1:51" s="194" customFormat="1" ht="12" customHeight="1" x14ac:dyDescent="0.2">
      <c r="A108" s="190"/>
      <c r="B108" s="8"/>
      <c r="C108" s="131"/>
      <c r="D108" s="191"/>
      <c r="E108" s="191"/>
      <c r="F108" s="271"/>
      <c r="G108" s="191"/>
      <c r="H108" s="191"/>
      <c r="I108" s="271"/>
      <c r="J108" s="191"/>
      <c r="K108" s="191"/>
      <c r="L108" s="271"/>
      <c r="M108" s="191"/>
      <c r="N108" s="191"/>
      <c r="O108" s="271"/>
      <c r="P108" s="191"/>
      <c r="Q108" s="191"/>
      <c r="R108" s="271"/>
      <c r="S108" s="191"/>
      <c r="T108" s="191"/>
      <c r="U108" s="271"/>
      <c r="V108" s="191"/>
      <c r="W108" s="191"/>
      <c r="X108" s="271"/>
      <c r="Y108" s="191"/>
      <c r="Z108" s="191"/>
      <c r="AA108" s="271"/>
      <c r="AB108" s="191"/>
      <c r="AC108" s="191"/>
      <c r="AD108" s="271"/>
      <c r="AE108" s="191"/>
      <c r="AF108" s="191"/>
      <c r="AG108" s="271"/>
      <c r="AH108" s="191"/>
      <c r="AI108" s="191"/>
      <c r="AJ108" s="271"/>
      <c r="AK108" s="191"/>
      <c r="AL108" s="191"/>
      <c r="AM108" s="271"/>
      <c r="AN108" s="191"/>
      <c r="AO108" s="191"/>
      <c r="AP108" s="271"/>
      <c r="AQ108" s="191"/>
      <c r="AR108" s="191"/>
      <c r="AS108" s="271"/>
      <c r="AT108" s="191"/>
      <c r="AU108" s="191"/>
      <c r="AV108" s="271"/>
      <c r="AW108" s="191"/>
      <c r="AX108" s="191"/>
      <c r="AY108" s="271"/>
    </row>
    <row r="109" spans="1:51" s="274" customFormat="1" ht="12" customHeight="1" x14ac:dyDescent="0.2">
      <c r="B109" s="149" t="s">
        <v>433</v>
      </c>
      <c r="C109" s="275"/>
      <c r="D109" s="192"/>
      <c r="E109" s="192"/>
      <c r="F109" s="193"/>
      <c r="G109" s="192"/>
      <c r="H109" s="192"/>
      <c r="I109" s="193"/>
      <c r="J109" s="192"/>
      <c r="K109" s="192"/>
      <c r="L109" s="193"/>
      <c r="M109" s="222"/>
      <c r="N109" s="222"/>
      <c r="O109" s="193">
        <f t="shared" ref="O109:AY109" si="642">+O72/L72-1</f>
        <v>0.36700293936204953</v>
      </c>
      <c r="P109" s="222">
        <f t="shared" si="642"/>
        <v>0.34635991175543634</v>
      </c>
      <c r="Q109" s="222">
        <f t="shared" si="642"/>
        <v>0.31069785844997266</v>
      </c>
      <c r="R109" s="193">
        <f t="shared" si="642"/>
        <v>0.32721891134972947</v>
      </c>
      <c r="S109" s="222">
        <f t="shared" si="642"/>
        <v>0.31903430371127017</v>
      </c>
      <c r="T109" s="222">
        <f t="shared" ref="T109" si="643">+T72/Q72-1</f>
        <v>0.25397041621070926</v>
      </c>
      <c r="U109" s="193">
        <f t="shared" ref="U109" si="644">+U72/R72-1</f>
        <v>0.28454707282436975</v>
      </c>
      <c r="V109" s="222">
        <f t="shared" si="642"/>
        <v>0.23532576692692286</v>
      </c>
      <c r="W109" s="222">
        <f t="shared" si="642"/>
        <v>0.1783211429546474</v>
      </c>
      <c r="X109" s="193">
        <f t="shared" si="642"/>
        <v>0.20582959416467905</v>
      </c>
      <c r="Y109" s="222">
        <f t="shared" si="642"/>
        <v>0.20025822356440792</v>
      </c>
      <c r="Z109" s="222">
        <f t="shared" si="642"/>
        <v>0.22483657256351663</v>
      </c>
      <c r="AA109" s="193">
        <f t="shared" si="642"/>
        <v>0.21268578794965531</v>
      </c>
      <c r="AB109" s="222">
        <f t="shared" si="642"/>
        <v>0.21692822537522849</v>
      </c>
      <c r="AC109" s="222">
        <f t="shared" si="642"/>
        <v>0.20975017567279175</v>
      </c>
      <c r="AD109" s="193">
        <f t="shared" si="642"/>
        <v>0.2132624180563647</v>
      </c>
      <c r="AE109" s="222">
        <f t="shared" si="642"/>
        <v>0.18751270632141881</v>
      </c>
      <c r="AF109" s="222">
        <f t="shared" si="642"/>
        <v>0.18152508912629162</v>
      </c>
      <c r="AG109" s="193">
        <f t="shared" si="642"/>
        <v>0.18446370123802369</v>
      </c>
      <c r="AH109" s="222">
        <f t="shared" si="642"/>
        <v>0.17601647487742045</v>
      </c>
      <c r="AI109" s="222">
        <f t="shared" si="642"/>
        <v>0.14490895259110248</v>
      </c>
      <c r="AJ109" s="193">
        <f t="shared" si="642"/>
        <v>0.16021525070122822</v>
      </c>
      <c r="AK109" s="222">
        <f t="shared" si="642"/>
        <v>0.1408636736466764</v>
      </c>
      <c r="AL109" s="222">
        <f t="shared" si="642"/>
        <v>0.1376771149959195</v>
      </c>
      <c r="AM109" s="193">
        <f t="shared" si="642"/>
        <v>0.13926639895114956</v>
      </c>
      <c r="AN109" s="222">
        <f t="shared" si="642"/>
        <v>0.13416765435797395</v>
      </c>
      <c r="AO109" s="222">
        <f t="shared" si="642"/>
        <v>0.13143177249947513</v>
      </c>
      <c r="AP109" s="193">
        <f t="shared" si="642"/>
        <v>0.13279819619772626</v>
      </c>
      <c r="AQ109" s="222">
        <f t="shared" si="642"/>
        <v>0.12835212424768105</v>
      </c>
      <c r="AR109" s="222">
        <f t="shared" si="642"/>
        <v>0.12597775568370007</v>
      </c>
      <c r="AS109" s="193">
        <f t="shared" si="642"/>
        <v>0.12716505683274093</v>
      </c>
      <c r="AT109" s="222">
        <f t="shared" si="642"/>
        <v>0.1232486520923104</v>
      </c>
      <c r="AU109" s="222">
        <f t="shared" si="642"/>
        <v>0.12116868176717355</v>
      </c>
      <c r="AV109" s="193">
        <f t="shared" si="642"/>
        <v>0.12220986466865957</v>
      </c>
      <c r="AW109" s="222">
        <f t="shared" si="642"/>
        <v>0.11872961534666659</v>
      </c>
      <c r="AX109" s="222">
        <f t="shared" si="642"/>
        <v>0.11689256121951708</v>
      </c>
      <c r="AY109" s="193">
        <f t="shared" si="642"/>
        <v>0.11781299736525885</v>
      </c>
    </row>
    <row r="110" spans="1:51" s="274" customFormat="1" ht="12" customHeight="1" x14ac:dyDescent="0.2">
      <c r="B110" s="149" t="s">
        <v>430</v>
      </c>
      <c r="C110" s="275"/>
      <c r="D110" s="192"/>
      <c r="E110" s="192"/>
      <c r="F110" s="193"/>
      <c r="G110" s="192"/>
      <c r="H110" s="192"/>
      <c r="I110" s="193"/>
      <c r="J110" s="192"/>
      <c r="K110" s="192"/>
      <c r="L110" s="193"/>
      <c r="M110" s="222"/>
      <c r="N110" s="222"/>
      <c r="O110" s="193">
        <f t="shared" ref="O110:AY110" si="645">+O75/L75-1</f>
        <v>0.36625043357613607</v>
      </c>
      <c r="P110" s="222">
        <f t="shared" si="645"/>
        <v>0.33327868852458997</v>
      </c>
      <c r="Q110" s="222">
        <f t="shared" si="645"/>
        <v>0.30205320309165895</v>
      </c>
      <c r="R110" s="193">
        <f t="shared" si="645"/>
        <v>0.31656046104242286</v>
      </c>
      <c r="S110" s="222">
        <f t="shared" si="645"/>
        <v>0.31919340956596587</v>
      </c>
      <c r="T110" s="222">
        <f t="shared" ref="T110" si="646">+T75/Q75-1</f>
        <v>0.25911358753049996</v>
      </c>
      <c r="U110" s="193">
        <f t="shared" ref="U110" si="647">+U75/R75-1</f>
        <v>0.28738092483319844</v>
      </c>
      <c r="V110" s="222">
        <f t="shared" si="645"/>
        <v>0.23194332271948914</v>
      </c>
      <c r="W110" s="222">
        <f t="shared" si="645"/>
        <v>0.17780633460007755</v>
      </c>
      <c r="X110" s="193">
        <f t="shared" si="645"/>
        <v>0.20390701069239947</v>
      </c>
      <c r="Y110" s="222">
        <f t="shared" si="645"/>
        <v>0.19922797240186219</v>
      </c>
      <c r="Z110" s="222">
        <f t="shared" si="645"/>
        <v>0.22254617879565375</v>
      </c>
      <c r="AA110" s="193">
        <f t="shared" si="645"/>
        <v>0.2110421332296335</v>
      </c>
      <c r="AB110" s="222">
        <f t="shared" si="645"/>
        <v>0.21510210005134578</v>
      </c>
      <c r="AC110" s="222">
        <f t="shared" si="645"/>
        <v>0.20788968821195875</v>
      </c>
      <c r="AD110" s="193">
        <f t="shared" si="645"/>
        <v>0.21141322220735081</v>
      </c>
      <c r="AE110" s="222">
        <f t="shared" si="645"/>
        <v>0.18652399670264774</v>
      </c>
      <c r="AF110" s="222">
        <f t="shared" si="645"/>
        <v>0.18056349768952717</v>
      </c>
      <c r="AG110" s="193">
        <f t="shared" si="645"/>
        <v>0.18348429238135222</v>
      </c>
      <c r="AH110" s="222">
        <f t="shared" si="645"/>
        <v>0.17527361612217929</v>
      </c>
      <c r="AI110" s="222">
        <f t="shared" si="645"/>
        <v>0.14510140965222162</v>
      </c>
      <c r="AJ110" s="193">
        <f t="shared" si="645"/>
        <v>0.1599245257119748</v>
      </c>
      <c r="AK110" s="222">
        <f t="shared" si="645"/>
        <v>0.14111346547005632</v>
      </c>
      <c r="AL110" s="222">
        <f t="shared" si="645"/>
        <v>0.13802527312623725</v>
      </c>
      <c r="AM110" s="193">
        <f t="shared" si="645"/>
        <v>0.13956252855478679</v>
      </c>
      <c r="AN110" s="222">
        <f t="shared" si="645"/>
        <v>0.13454815169968759</v>
      </c>
      <c r="AO110" s="222">
        <f t="shared" si="645"/>
        <v>0.13192903468735917</v>
      </c>
      <c r="AP110" s="193">
        <f t="shared" si="645"/>
        <v>0.13323456591661786</v>
      </c>
      <c r="AQ110" s="222">
        <f t="shared" si="645"/>
        <v>0.12886011830449107</v>
      </c>
      <c r="AR110" s="222">
        <f t="shared" si="645"/>
        <v>0.12662060589604773</v>
      </c>
      <c r="AS110" s="193">
        <f t="shared" si="645"/>
        <v>0.12773821249193129</v>
      </c>
      <c r="AT110" s="222">
        <f t="shared" si="645"/>
        <v>0.12388300939905283</v>
      </c>
      <c r="AU110" s="222">
        <f t="shared" si="645"/>
        <v>0.12195595690583616</v>
      </c>
      <c r="AV110" s="193">
        <f t="shared" si="645"/>
        <v>0.1229185901634664</v>
      </c>
      <c r="AW110" s="222">
        <f t="shared" si="645"/>
        <v>0.11949085216921951</v>
      </c>
      <c r="AX110" s="222">
        <f t="shared" si="645"/>
        <v>0.11782498143184728</v>
      </c>
      <c r="AY110" s="193">
        <f t="shared" si="645"/>
        <v>0.11865785954620556</v>
      </c>
    </row>
    <row r="111" spans="1:51" s="274" customFormat="1" ht="12" customHeight="1" x14ac:dyDescent="0.2">
      <c r="B111" s="314" t="s">
        <v>431</v>
      </c>
      <c r="C111" s="277"/>
      <c r="D111" s="278"/>
      <c r="E111" s="278"/>
      <c r="F111" s="279"/>
      <c r="G111" s="278"/>
      <c r="H111" s="278"/>
      <c r="I111" s="279"/>
      <c r="J111" s="278"/>
      <c r="K111" s="278"/>
      <c r="L111" s="279"/>
      <c r="M111" s="280"/>
      <c r="N111" s="280"/>
      <c r="O111" s="279">
        <f t="shared" ref="O111:AY111" si="648">+O77/L77-1</f>
        <v>0.35896825936246857</v>
      </c>
      <c r="P111" s="280">
        <f t="shared" si="648"/>
        <v>0.33031722949318665</v>
      </c>
      <c r="Q111" s="280">
        <f t="shared" si="648"/>
        <v>0.29787134721314534</v>
      </c>
      <c r="R111" s="279">
        <f t="shared" si="648"/>
        <v>0.31293605741578912</v>
      </c>
      <c r="S111" s="280">
        <f t="shared" si="648"/>
        <v>0.34153846153846157</v>
      </c>
      <c r="T111" s="280">
        <f t="shared" ref="T111" si="649">+T77/Q77-1</f>
        <v>0.23206128835017781</v>
      </c>
      <c r="U111" s="279">
        <f t="shared" ref="U111" si="650">+U77/R77-1</f>
        <v>0.28356474868102755</v>
      </c>
      <c r="V111" s="280">
        <f t="shared" si="648"/>
        <v>0.20736918909634916</v>
      </c>
      <c r="W111" s="280">
        <f t="shared" si="648"/>
        <v>0.19936898037990458</v>
      </c>
      <c r="X111" s="279">
        <f t="shared" si="648"/>
        <v>0.20330266464083113</v>
      </c>
      <c r="Y111" s="280">
        <f t="shared" si="648"/>
        <v>0.19895697557919068</v>
      </c>
      <c r="Z111" s="280">
        <f t="shared" si="648"/>
        <v>0.22201157578292841</v>
      </c>
      <c r="AA111" s="279">
        <f t="shared" si="648"/>
        <v>0.21063737247979586</v>
      </c>
      <c r="AB111" s="280">
        <f t="shared" si="648"/>
        <v>0.21459187068335872</v>
      </c>
      <c r="AC111" s="280">
        <f t="shared" si="648"/>
        <v>0.20740963516693323</v>
      </c>
      <c r="AD111" s="279">
        <f t="shared" si="648"/>
        <v>0.21091887100284312</v>
      </c>
      <c r="AE111" s="280">
        <f t="shared" si="648"/>
        <v>0.18606682348070969</v>
      </c>
      <c r="AF111" s="280">
        <f t="shared" si="648"/>
        <v>0.1801312628875984</v>
      </c>
      <c r="AG111" s="279">
        <f t="shared" si="648"/>
        <v>0.18304017084076407</v>
      </c>
      <c r="AH111" s="280">
        <f t="shared" si="648"/>
        <v>0.17486002116614108</v>
      </c>
      <c r="AI111" s="280">
        <f t="shared" si="648"/>
        <v>0.14490108775389232</v>
      </c>
      <c r="AJ111" s="279">
        <f t="shared" si="648"/>
        <v>0.15962096710312235</v>
      </c>
      <c r="AK111" s="280">
        <f t="shared" si="648"/>
        <v>0.14092152554067749</v>
      </c>
      <c r="AL111" s="280">
        <f t="shared" si="648"/>
        <v>0.13783385855747543</v>
      </c>
      <c r="AM111" s="279">
        <f t="shared" si="648"/>
        <v>0.13937087467942177</v>
      </c>
      <c r="AN111" s="280">
        <f t="shared" si="648"/>
        <v>0.13436463541495303</v>
      </c>
      <c r="AO111" s="280">
        <f t="shared" si="648"/>
        <v>0.13174581508088767</v>
      </c>
      <c r="AP111" s="279">
        <f t="shared" si="648"/>
        <v>0.13305121726148239</v>
      </c>
      <c r="AQ111" s="280">
        <f t="shared" si="648"/>
        <v>0.12868435672182366</v>
      </c>
      <c r="AR111" s="280">
        <f t="shared" si="648"/>
        <v>0.12644494502263037</v>
      </c>
      <c r="AS111" s="279">
        <f t="shared" si="648"/>
        <v>0.12756251752907222</v>
      </c>
      <c r="AT111" s="280">
        <f t="shared" si="648"/>
        <v>0.12371440597384242</v>
      </c>
      <c r="AU111" s="280">
        <f t="shared" si="648"/>
        <v>0.12178728246654535</v>
      </c>
      <c r="AV111" s="279">
        <f t="shared" si="648"/>
        <v>0.12274996521820891</v>
      </c>
      <c r="AW111" s="280">
        <f t="shared" si="648"/>
        <v>0.11932887073120013</v>
      </c>
      <c r="AX111" s="280">
        <f t="shared" si="648"/>
        <v>0.11766277535496594</v>
      </c>
      <c r="AY111" s="279">
        <f t="shared" si="648"/>
        <v>0.11849577803566502</v>
      </c>
    </row>
    <row r="112" spans="1:51" s="194" customFormat="1" ht="12" customHeight="1" x14ac:dyDescent="0.2">
      <c r="A112" s="190"/>
      <c r="B112" s="8"/>
      <c r="C112" s="131"/>
      <c r="D112" s="191"/>
      <c r="E112" s="191"/>
      <c r="F112" s="271"/>
      <c r="G112" s="191"/>
      <c r="H112" s="191"/>
      <c r="I112" s="271"/>
      <c r="J112" s="191"/>
      <c r="K112" s="191"/>
      <c r="L112" s="271"/>
      <c r="M112" s="191"/>
      <c r="N112" s="191"/>
      <c r="O112" s="271"/>
      <c r="P112" s="191"/>
      <c r="Q112" s="191"/>
      <c r="R112" s="271"/>
      <c r="S112" s="191"/>
      <c r="T112" s="191"/>
      <c r="U112" s="271"/>
      <c r="V112" s="191"/>
      <c r="W112" s="191"/>
      <c r="X112" s="271"/>
      <c r="Y112" s="191"/>
      <c r="Z112" s="191"/>
      <c r="AA112" s="271"/>
      <c r="AB112" s="191"/>
      <c r="AC112" s="191"/>
      <c r="AD112" s="271"/>
      <c r="AE112" s="191"/>
      <c r="AF112" s="191"/>
      <c r="AG112" s="271"/>
      <c r="AH112" s="191"/>
      <c r="AI112" s="191"/>
      <c r="AJ112" s="271"/>
      <c r="AK112" s="191"/>
      <c r="AL112" s="191"/>
      <c r="AM112" s="271"/>
      <c r="AN112" s="191"/>
      <c r="AO112" s="191"/>
      <c r="AP112" s="271"/>
      <c r="AQ112" s="191"/>
      <c r="AR112" s="191"/>
      <c r="AS112" s="271"/>
      <c r="AT112" s="191"/>
      <c r="AU112" s="191"/>
      <c r="AV112" s="271"/>
      <c r="AW112" s="191"/>
      <c r="AX112" s="191"/>
      <c r="AY112" s="271"/>
    </row>
    <row r="113" spans="1:51" s="274" customFormat="1" ht="12" customHeight="1" x14ac:dyDescent="0.2">
      <c r="A113" s="190"/>
      <c r="B113" s="149" t="s">
        <v>425</v>
      </c>
      <c r="C113" s="275"/>
      <c r="D113" s="192"/>
      <c r="E113" s="192"/>
      <c r="F113" s="167"/>
      <c r="G113" s="192"/>
      <c r="H113" s="192"/>
      <c r="I113" s="167"/>
      <c r="J113" s="165"/>
      <c r="K113" s="166"/>
      <c r="L113" s="167"/>
      <c r="M113" s="219"/>
      <c r="N113" s="220"/>
      <c r="O113" s="193">
        <f t="shared" ref="O113:X114" si="651">+O81/L81-1</f>
        <v>0.2928139035344659</v>
      </c>
      <c r="P113" s="222">
        <f t="shared" si="651"/>
        <v>0.34444034375494259</v>
      </c>
      <c r="Q113" s="222">
        <f t="shared" si="651"/>
        <v>0.44314896897282696</v>
      </c>
      <c r="R113" s="193">
        <f t="shared" si="651"/>
        <v>0.39601742063791745</v>
      </c>
      <c r="S113" s="222">
        <f t="shared" si="651"/>
        <v>0.29709803921568634</v>
      </c>
      <c r="T113" s="222">
        <f t="shared" ref="T113:T114" si="652">+T81/Q81-1</f>
        <v>9.0138211924950973E-2</v>
      </c>
      <c r="U113" s="193">
        <f t="shared" ref="U113:U114" si="653">+U81/R81-1</f>
        <v>0.18530674072203968</v>
      </c>
      <c r="V113" s="222">
        <f t="shared" si="651"/>
        <v>0.15888397240986185</v>
      </c>
      <c r="W113" s="222">
        <f t="shared" si="651"/>
        <v>0.21252396413915631</v>
      </c>
      <c r="X113" s="193">
        <f t="shared" si="651"/>
        <v>0.18553177843341828</v>
      </c>
      <c r="Y113" s="222">
        <f t="shared" ref="Y113:AH114" si="654">+Y81/V81-1</f>
        <v>0.15477317207567354</v>
      </c>
      <c r="Z113" s="222">
        <f t="shared" si="654"/>
        <v>0.14757240543636274</v>
      </c>
      <c r="AA113" s="193">
        <f t="shared" si="654"/>
        <v>0.15111445671576429</v>
      </c>
      <c r="AB113" s="222">
        <f t="shared" si="654"/>
        <v>0.12020892322969523</v>
      </c>
      <c r="AC113" s="222">
        <f t="shared" si="654"/>
        <v>0.11465005736290435</v>
      </c>
      <c r="AD113" s="193">
        <f t="shared" si="654"/>
        <v>0.11739315003514528</v>
      </c>
      <c r="AE113" s="222">
        <f t="shared" si="654"/>
        <v>9.4563943469218481E-2</v>
      </c>
      <c r="AF113" s="222">
        <f t="shared" si="654"/>
        <v>9.020130830496309E-2</v>
      </c>
      <c r="AG113" s="193">
        <f t="shared" si="654"/>
        <v>9.2359530745577567E-2</v>
      </c>
      <c r="AH113" s="222">
        <f t="shared" si="654"/>
        <v>8.4407095082312367E-2</v>
      </c>
      <c r="AI113" s="222">
        <f t="shared" ref="AI113:AR114" si="655">+AI81/AF81-1</f>
        <v>8.0877052993773679E-2</v>
      </c>
      <c r="AJ113" s="193">
        <f t="shared" si="655"/>
        <v>8.2626910671325104E-2</v>
      </c>
      <c r="AK113" s="222">
        <f t="shared" si="655"/>
        <v>0.23247438503370121</v>
      </c>
      <c r="AL113" s="222">
        <f t="shared" si="655"/>
        <v>0.22916931172187316</v>
      </c>
      <c r="AM113" s="193">
        <f t="shared" si="655"/>
        <v>0.23081034532260314</v>
      </c>
      <c r="AN113" s="222">
        <f t="shared" si="655"/>
        <v>0.11425866990060007</v>
      </c>
      <c r="AO113" s="222">
        <f t="shared" si="655"/>
        <v>0.11178477954170241</v>
      </c>
      <c r="AP113" s="193">
        <f t="shared" si="655"/>
        <v>0.11301477522780679</v>
      </c>
      <c r="AQ113" s="222">
        <f t="shared" si="655"/>
        <v>0.10901775139353909</v>
      </c>
      <c r="AR113" s="222">
        <f t="shared" si="655"/>
        <v>0.10697623910629606</v>
      </c>
      <c r="AS113" s="193">
        <f t="shared" ref="AS113:AY114" si="656">+AS81/AP81-1</f>
        <v>0.10799239474323929</v>
      </c>
      <c r="AT113" s="222">
        <f t="shared" si="656"/>
        <v>0.10452714855002654</v>
      </c>
      <c r="AU113" s="222">
        <f t="shared" si="656"/>
        <v>0.10284540579630219</v>
      </c>
      <c r="AV113" s="193">
        <f t="shared" si="656"/>
        <v>0.10368326205065315</v>
      </c>
      <c r="AW113" s="222">
        <f t="shared" si="656"/>
        <v>0.10065127787988626</v>
      </c>
      <c r="AX113" s="222">
        <f t="shared" si="656"/>
        <v>9.9274827576509628E-2</v>
      </c>
      <c r="AY113" s="193">
        <f t="shared" si="656"/>
        <v>9.9961109287548533E-2</v>
      </c>
    </row>
    <row r="114" spans="1:51" s="317" customFormat="1" ht="12" customHeight="1" x14ac:dyDescent="0.2">
      <c r="A114" s="138"/>
      <c r="B114" s="315" t="s">
        <v>432</v>
      </c>
      <c r="C114" s="316"/>
      <c r="D114" s="164"/>
      <c r="E114" s="164"/>
      <c r="F114" s="163"/>
      <c r="G114" s="164"/>
      <c r="H114" s="164"/>
      <c r="I114" s="163"/>
      <c r="J114" s="164"/>
      <c r="K114" s="164"/>
      <c r="L114" s="163"/>
      <c r="M114" s="218"/>
      <c r="N114" s="218"/>
      <c r="O114" s="163">
        <f t="shared" si="651"/>
        <v>0.67759562841530041</v>
      </c>
      <c r="P114" s="218">
        <f t="shared" si="651"/>
        <v>0.72388059701492535</v>
      </c>
      <c r="Q114" s="218">
        <f t="shared" si="651"/>
        <v>0.30057803468208122</v>
      </c>
      <c r="R114" s="163">
        <f t="shared" si="651"/>
        <v>0.48534201954397393</v>
      </c>
      <c r="S114" s="218">
        <f t="shared" si="651"/>
        <v>0.37580086580086558</v>
      </c>
      <c r="T114" s="218">
        <f t="shared" si="652"/>
        <v>0.52084444444444444</v>
      </c>
      <c r="U114" s="163">
        <f t="shared" si="653"/>
        <v>0.44736842105263164</v>
      </c>
      <c r="V114" s="218">
        <f t="shared" si="651"/>
        <v>0.32635754389969018</v>
      </c>
      <c r="W114" s="218">
        <f t="shared" si="651"/>
        <v>0.23122046660142281</v>
      </c>
      <c r="X114" s="163">
        <f t="shared" si="651"/>
        <v>0.277031852262275</v>
      </c>
      <c r="Y114" s="218">
        <f t="shared" si="654"/>
        <v>0.2599206146230455</v>
      </c>
      <c r="Z114" s="218">
        <f t="shared" si="654"/>
        <v>0.28258528494219126</v>
      </c>
      <c r="AA114" s="163">
        <f t="shared" si="654"/>
        <v>0.27125001385086134</v>
      </c>
      <c r="AB114" s="218">
        <f t="shared" si="654"/>
        <v>0.28198848330835302</v>
      </c>
      <c r="AC114" s="218">
        <f t="shared" si="654"/>
        <v>0.27514470274259062</v>
      </c>
      <c r="AD114" s="163">
        <f t="shared" si="654"/>
        <v>0.27853697571543878</v>
      </c>
      <c r="AE114" s="218">
        <f t="shared" si="654"/>
        <v>0.24101788636801036</v>
      </c>
      <c r="AF114" s="218">
        <f t="shared" si="654"/>
        <v>0.2356249906557828</v>
      </c>
      <c r="AG114" s="163">
        <f t="shared" si="654"/>
        <v>0.23830531634795782</v>
      </c>
      <c r="AH114" s="218">
        <f t="shared" si="654"/>
        <v>0.22160225972746783</v>
      </c>
      <c r="AI114" s="218">
        <f t="shared" si="655"/>
        <v>0.19631279072669239</v>
      </c>
      <c r="AJ114" s="163">
        <f t="shared" si="655"/>
        <v>0.20890945519359883</v>
      </c>
      <c r="AK114" s="218">
        <f t="shared" si="655"/>
        <v>9.6991131720143287E-2</v>
      </c>
      <c r="AL114" s="218">
        <f t="shared" si="655"/>
        <v>0.11437336621975347</v>
      </c>
      <c r="AM114" s="163">
        <f t="shared" si="655"/>
        <v>0.10562438451413292</v>
      </c>
      <c r="AN114" s="218">
        <f t="shared" si="655"/>
        <v>0.13277899228166046</v>
      </c>
      <c r="AO114" s="218">
        <f t="shared" si="655"/>
        <v>0.1296449626055729</v>
      </c>
      <c r="AP114" s="163">
        <f t="shared" si="655"/>
        <v>0.13121009296782682</v>
      </c>
      <c r="AQ114" s="218">
        <f t="shared" si="655"/>
        <v>0.12640945595474284</v>
      </c>
      <c r="AR114" s="218">
        <f t="shared" si="655"/>
        <v>0.12369777553444505</v>
      </c>
      <c r="AS114" s="163">
        <f t="shared" si="656"/>
        <v>0.1250538634074152</v>
      </c>
      <c r="AT114" s="218">
        <f t="shared" si="656"/>
        <v>0.12088275634311141</v>
      </c>
      <c r="AU114" s="218">
        <f t="shared" si="656"/>
        <v>0.11850845783953745</v>
      </c>
      <c r="AV114" s="163">
        <f t="shared" si="656"/>
        <v>0.11969725461382841</v>
      </c>
      <c r="AW114" s="218">
        <f t="shared" si="656"/>
        <v>0.11603608049746095</v>
      </c>
      <c r="AX114" s="218">
        <f t="shared" si="656"/>
        <v>0.11393494802264392</v>
      </c>
      <c r="AY114" s="163">
        <f t="shared" si="656"/>
        <v>0.11498808608456912</v>
      </c>
    </row>
    <row r="115" spans="1:51" s="17" customFormat="1" ht="12" customHeight="1" x14ac:dyDescent="0.2">
      <c r="A115" s="138"/>
      <c r="B115" s="6"/>
      <c r="C115" s="130"/>
      <c r="D115" s="142"/>
      <c r="E115" s="142"/>
      <c r="F115" s="143"/>
      <c r="G115" s="142"/>
      <c r="H115" s="142"/>
      <c r="I115" s="143"/>
      <c r="J115" s="142"/>
      <c r="K115" s="142"/>
      <c r="L115" s="143"/>
      <c r="M115" s="142"/>
      <c r="N115" s="142"/>
      <c r="O115" s="143"/>
      <c r="P115" s="142"/>
      <c r="Q115" s="142"/>
      <c r="R115" s="143"/>
      <c r="S115" s="142"/>
      <c r="T115" s="142"/>
      <c r="U115" s="143"/>
      <c r="V115" s="142"/>
      <c r="W115" s="142"/>
      <c r="X115" s="143"/>
      <c r="Y115" s="142"/>
      <c r="Z115" s="142"/>
      <c r="AA115" s="143"/>
      <c r="AB115" s="142"/>
      <c r="AC115" s="142"/>
      <c r="AD115" s="143"/>
      <c r="AE115" s="142"/>
      <c r="AF115" s="142"/>
      <c r="AG115" s="143"/>
      <c r="AH115" s="142"/>
      <c r="AI115" s="142"/>
      <c r="AJ115" s="143"/>
      <c r="AK115" s="142"/>
      <c r="AL115" s="142"/>
      <c r="AM115" s="143"/>
      <c r="AN115" s="142"/>
      <c r="AO115" s="142"/>
      <c r="AP115" s="143"/>
      <c r="AQ115" s="142"/>
      <c r="AR115" s="142"/>
      <c r="AS115" s="143"/>
      <c r="AT115" s="142"/>
      <c r="AU115" s="142"/>
      <c r="AV115" s="143"/>
      <c r="AW115" s="142"/>
      <c r="AX115" s="142"/>
      <c r="AY115" s="143"/>
    </row>
    <row r="116" spans="1:51" s="17" customFormat="1" ht="12" customHeight="1" x14ac:dyDescent="0.2">
      <c r="A116" s="138"/>
      <c r="B116" s="6"/>
      <c r="C116" s="130"/>
      <c r="D116" s="142"/>
      <c r="E116" s="142"/>
      <c r="F116" s="143"/>
      <c r="G116" s="142"/>
      <c r="H116" s="142"/>
      <c r="I116" s="143"/>
      <c r="J116" s="142"/>
      <c r="K116" s="142"/>
      <c r="L116" s="143"/>
      <c r="M116" s="142"/>
      <c r="N116" s="142"/>
      <c r="O116" s="143"/>
      <c r="P116" s="142"/>
      <c r="Q116" s="142"/>
      <c r="R116" s="143"/>
      <c r="S116" s="142"/>
      <c r="T116" s="142"/>
      <c r="U116" s="143"/>
      <c r="V116" s="142"/>
      <c r="W116" s="142"/>
      <c r="X116" s="143"/>
      <c r="Y116" s="142"/>
      <c r="Z116" s="142"/>
      <c r="AA116" s="143"/>
      <c r="AB116" s="142"/>
      <c r="AC116" s="142"/>
      <c r="AD116" s="143"/>
      <c r="AE116" s="142"/>
      <c r="AF116" s="142"/>
      <c r="AG116" s="143"/>
      <c r="AH116" s="142"/>
      <c r="AI116" s="142"/>
      <c r="AJ116" s="143"/>
      <c r="AK116" s="142"/>
      <c r="AL116" s="142"/>
      <c r="AM116" s="143"/>
      <c r="AN116" s="142"/>
      <c r="AO116" s="142"/>
      <c r="AP116" s="143"/>
      <c r="AQ116" s="142"/>
      <c r="AR116" s="142"/>
      <c r="AS116" s="143"/>
      <c r="AT116" s="142"/>
      <c r="AU116" s="142"/>
      <c r="AV116" s="143"/>
      <c r="AW116" s="142"/>
      <c r="AX116" s="142"/>
      <c r="AY116" s="143"/>
    </row>
    <row r="117" spans="1:51" s="17" customFormat="1" ht="12" customHeight="1" x14ac:dyDescent="0.2">
      <c r="A117" s="14"/>
      <c r="B117" s="10" t="s">
        <v>367</v>
      </c>
      <c r="C117" s="269"/>
      <c r="D117" s="270"/>
      <c r="E117" s="270"/>
      <c r="F117" s="143"/>
      <c r="G117" s="270"/>
      <c r="H117" s="270"/>
      <c r="I117" s="143"/>
      <c r="J117" s="270"/>
      <c r="K117" s="270"/>
      <c r="L117" s="255"/>
      <c r="M117" s="270"/>
      <c r="N117" s="270"/>
      <c r="O117" s="143"/>
      <c r="P117" s="270"/>
      <c r="Q117" s="270"/>
      <c r="R117" s="143"/>
      <c r="S117" s="270"/>
      <c r="T117" s="270"/>
      <c r="U117" s="143"/>
      <c r="V117" s="270"/>
      <c r="W117" s="270"/>
      <c r="X117" s="143"/>
      <c r="Y117" s="270"/>
      <c r="Z117" s="270"/>
      <c r="AA117" s="143"/>
      <c r="AB117" s="270"/>
      <c r="AC117" s="270"/>
      <c r="AD117" s="143"/>
      <c r="AE117" s="270"/>
      <c r="AF117" s="270"/>
      <c r="AG117" s="143"/>
      <c r="AH117" s="270"/>
      <c r="AI117" s="270"/>
      <c r="AJ117" s="143"/>
      <c r="AK117" s="270"/>
      <c r="AL117" s="270"/>
      <c r="AM117" s="143"/>
      <c r="AN117" s="270"/>
      <c r="AO117" s="270"/>
      <c r="AP117" s="143"/>
      <c r="AQ117" s="270"/>
      <c r="AR117" s="270"/>
      <c r="AS117" s="143"/>
      <c r="AT117" s="270"/>
      <c r="AU117" s="270"/>
      <c r="AV117" s="143"/>
      <c r="AW117" s="270"/>
      <c r="AX117" s="270"/>
      <c r="AY117" s="143"/>
    </row>
    <row r="118" spans="1:51" s="194" customFormat="1" ht="12" customHeight="1" x14ac:dyDescent="0.2">
      <c r="A118" s="138"/>
      <c r="B118" s="8" t="s">
        <v>427</v>
      </c>
      <c r="C118" s="306"/>
      <c r="D118" s="307"/>
      <c r="E118" s="307"/>
      <c r="F118" s="271"/>
      <c r="G118" s="307"/>
      <c r="H118" s="307"/>
      <c r="I118" s="271"/>
      <c r="J118" s="307"/>
      <c r="K118" s="307"/>
      <c r="L118" s="239">
        <f t="shared" ref="L118:R118" si="657">+L70/L68</f>
        <v>0.14078740383717506</v>
      </c>
      <c r="M118" s="240">
        <f t="shared" si="657"/>
        <v>0.13712377905185863</v>
      </c>
      <c r="N118" s="240">
        <f t="shared" si="657"/>
        <v>0.14940360709923117</v>
      </c>
      <c r="O118" s="239">
        <f t="shared" si="657"/>
        <v>0.14357353461493103</v>
      </c>
      <c r="P118" s="240">
        <f t="shared" si="657"/>
        <v>0.17499670508295867</v>
      </c>
      <c r="Q118" s="240">
        <f t="shared" si="657"/>
        <v>0.17322895511689848</v>
      </c>
      <c r="R118" s="239">
        <f t="shared" si="657"/>
        <v>0.17409467256173869</v>
      </c>
      <c r="S118" s="240">
        <f t="shared" ref="S118:U118" si="658">+S70/S68</f>
        <v>0.18018074308013021</v>
      </c>
      <c r="T118" s="240">
        <f t="shared" si="658"/>
        <v>0.1775892764780504</v>
      </c>
      <c r="U118" s="239">
        <f t="shared" si="658"/>
        <v>0.17885756222860988</v>
      </c>
      <c r="V118" s="151">
        <v>0.185</v>
      </c>
      <c r="W118" s="151">
        <v>0.18</v>
      </c>
      <c r="X118" s="239">
        <f>+X70/X68</f>
        <v>0.18246071007958456</v>
      </c>
      <c r="Y118" s="151">
        <v>0.19</v>
      </c>
      <c r="Z118" s="151">
        <v>0.185</v>
      </c>
      <c r="AA118" s="239">
        <f>+AA70/AA68</f>
        <v>0.1874701694143277</v>
      </c>
      <c r="AB118" s="151">
        <v>0.19500000000000001</v>
      </c>
      <c r="AC118" s="151">
        <v>0.19</v>
      </c>
      <c r="AD118" s="239">
        <f>+AD70/AD68</f>
        <v>0.19247762791665887</v>
      </c>
      <c r="AE118" s="151">
        <v>0.2</v>
      </c>
      <c r="AF118" s="151">
        <v>0.19500000000000001</v>
      </c>
      <c r="AG118" s="239">
        <f>+AG70/AG68</f>
        <v>0.19748372857412463</v>
      </c>
      <c r="AH118" s="151">
        <v>0.20499999999999999</v>
      </c>
      <c r="AI118" s="151">
        <v>0.2</v>
      </c>
      <c r="AJ118" s="239">
        <f>+AJ70/AJ68</f>
        <v>0.20248876502584698</v>
      </c>
      <c r="AK118" s="151">
        <v>0.21</v>
      </c>
      <c r="AL118" s="151">
        <v>0.21</v>
      </c>
      <c r="AM118" s="239">
        <f t="shared" ref="AM118" si="659">+AM70/AM68</f>
        <v>0.20999999999999996</v>
      </c>
      <c r="AN118" s="151">
        <v>0.21</v>
      </c>
      <c r="AO118" s="151">
        <v>0.21</v>
      </c>
      <c r="AP118" s="239">
        <f t="shared" ref="AP118" si="660">+AP70/AP68</f>
        <v>0.21</v>
      </c>
      <c r="AQ118" s="151">
        <v>0.21</v>
      </c>
      <c r="AR118" s="151">
        <v>0.21</v>
      </c>
      <c r="AS118" s="239">
        <f t="shared" ref="AS118" si="661">+AS70/AS68</f>
        <v>0.21000000000000002</v>
      </c>
      <c r="AT118" s="151">
        <v>0.21</v>
      </c>
      <c r="AU118" s="151">
        <v>0.21</v>
      </c>
      <c r="AV118" s="239">
        <f t="shared" ref="AV118" si="662">+AV70/AV68</f>
        <v>0.21</v>
      </c>
      <c r="AW118" s="151">
        <v>0.21</v>
      </c>
      <c r="AX118" s="151">
        <v>0.21</v>
      </c>
      <c r="AY118" s="239">
        <f t="shared" ref="AY118" si="663">+AY70/AY68</f>
        <v>0.20999999999999996</v>
      </c>
    </row>
    <row r="119" spans="1:51" s="274" customFormat="1" ht="12" customHeight="1" x14ac:dyDescent="0.2">
      <c r="B119" s="149" t="s">
        <v>428</v>
      </c>
      <c r="C119" s="275"/>
      <c r="D119" s="192"/>
      <c r="E119" s="192"/>
      <c r="F119" s="193"/>
      <c r="G119" s="192"/>
      <c r="H119" s="192"/>
      <c r="I119" s="193"/>
      <c r="J119" s="192"/>
      <c r="K119" s="192"/>
      <c r="L119" s="193">
        <f t="shared" ref="L119:AY119" si="664">+L82/L79</f>
        <v>0.10851324988288868</v>
      </c>
      <c r="M119" s="222">
        <f t="shared" si="664"/>
        <v>0.11241044913846619</v>
      </c>
      <c r="N119" s="222">
        <f t="shared" si="664"/>
        <v>0.13031229756398857</v>
      </c>
      <c r="O119" s="193">
        <f t="shared" si="664"/>
        <v>0.12184280294010255</v>
      </c>
      <c r="P119" s="222">
        <f t="shared" si="664"/>
        <v>0.1432344953309275</v>
      </c>
      <c r="Q119" s="222">
        <f t="shared" si="664"/>
        <v>0.13227046665020634</v>
      </c>
      <c r="R119" s="193">
        <f t="shared" si="664"/>
        <v>0.13760637334781822</v>
      </c>
      <c r="S119" s="222">
        <f t="shared" ref="S119:U119" si="665">+S82/S79</f>
        <v>0.15192626692863323</v>
      </c>
      <c r="T119" s="222">
        <f t="shared" si="665"/>
        <v>0.15702119067940495</v>
      </c>
      <c r="U119" s="193">
        <f t="shared" si="665"/>
        <v>0.15452585147256115</v>
      </c>
      <c r="V119" s="222">
        <f t="shared" si="664"/>
        <v>0.16287788383121024</v>
      </c>
      <c r="W119" s="222">
        <f t="shared" si="664"/>
        <v>0.15787434523773491</v>
      </c>
      <c r="X119" s="193">
        <f t="shared" si="664"/>
        <v>0.16033773645591706</v>
      </c>
      <c r="Y119" s="222">
        <f t="shared" si="664"/>
        <v>0.17243336157860645</v>
      </c>
      <c r="Z119" s="222">
        <f t="shared" si="664"/>
        <v>0.17072233390742439</v>
      </c>
      <c r="AA119" s="193">
        <f t="shared" si="664"/>
        <v>0.17156617783693229</v>
      </c>
      <c r="AB119" s="222">
        <f t="shared" si="664"/>
        <v>0.18760149967993558</v>
      </c>
      <c r="AC119" s="222">
        <f t="shared" si="664"/>
        <v>0.18583355794605433</v>
      </c>
      <c r="AD119" s="193">
        <f t="shared" si="664"/>
        <v>0.1867080588305334</v>
      </c>
      <c r="AE119" s="222">
        <f t="shared" si="664"/>
        <v>0.20241212219503382</v>
      </c>
      <c r="AF119" s="222">
        <f t="shared" si="664"/>
        <v>0.2005926389788685</v>
      </c>
      <c r="AG119" s="193">
        <f t="shared" si="664"/>
        <v>0.2014948149613541</v>
      </c>
      <c r="AH119" s="222">
        <f t="shared" si="664"/>
        <v>0.216951680139324</v>
      </c>
      <c r="AI119" s="222">
        <f t="shared" si="664"/>
        <v>0.21217200905361575</v>
      </c>
      <c r="AJ119" s="193">
        <f t="shared" si="664"/>
        <v>0.21455113655419461</v>
      </c>
      <c r="AK119" s="222">
        <f t="shared" si="664"/>
        <v>0.21118650423717941</v>
      </c>
      <c r="AL119" s="222">
        <f t="shared" si="664"/>
        <v>0.21049296739179058</v>
      </c>
      <c r="AM119" s="193">
        <f t="shared" si="664"/>
        <v>0.21083874846579631</v>
      </c>
      <c r="AN119" s="222">
        <f t="shared" si="664"/>
        <v>0.21363097414717225</v>
      </c>
      <c r="AO119" s="222">
        <f t="shared" si="664"/>
        <v>0.21293130340990721</v>
      </c>
      <c r="AP119" s="193">
        <f t="shared" si="664"/>
        <v>0.21328062886154595</v>
      </c>
      <c r="AQ119" s="222">
        <f t="shared" si="664"/>
        <v>0.21605665130474477</v>
      </c>
      <c r="AR119" s="222">
        <f t="shared" si="664"/>
        <v>0.21534495497476625</v>
      </c>
      <c r="AS119" s="193">
        <f t="shared" si="664"/>
        <v>0.21570070993113435</v>
      </c>
      <c r="AT119" s="222">
        <f t="shared" si="664"/>
        <v>0.21845954805947762</v>
      </c>
      <c r="AU119" s="222">
        <f t="shared" si="664"/>
        <v>0.21773047214384117</v>
      </c>
      <c r="AV119" s="193">
        <f t="shared" si="664"/>
        <v>0.21809529319297866</v>
      </c>
      <c r="AW119" s="222">
        <f t="shared" si="664"/>
        <v>0.22083628131250274</v>
      </c>
      <c r="AX119" s="222">
        <f t="shared" si="664"/>
        <v>0.22008479354218452</v>
      </c>
      <c r="AY119" s="193">
        <f t="shared" si="664"/>
        <v>0.22046117089532266</v>
      </c>
    </row>
    <row r="120" spans="1:51" s="17" customFormat="1" ht="12" customHeight="1" x14ac:dyDescent="0.2">
      <c r="A120" s="138"/>
      <c r="B120" s="6"/>
      <c r="C120" s="269"/>
      <c r="D120" s="270"/>
      <c r="E120" s="270"/>
      <c r="F120" s="143"/>
      <c r="G120" s="270"/>
      <c r="H120" s="270"/>
      <c r="I120" s="143"/>
      <c r="J120" s="270"/>
      <c r="K120" s="270"/>
      <c r="L120" s="255"/>
      <c r="M120" s="270"/>
      <c r="N120" s="270"/>
      <c r="O120" s="143"/>
      <c r="P120" s="270"/>
      <c r="Q120" s="270"/>
      <c r="R120" s="143"/>
      <c r="S120" s="270"/>
      <c r="T120" s="270"/>
      <c r="U120" s="143"/>
      <c r="V120" s="270"/>
      <c r="W120" s="270"/>
      <c r="X120" s="143"/>
      <c r="Y120" s="270"/>
      <c r="Z120" s="270"/>
      <c r="AA120" s="143"/>
      <c r="AB120" s="270"/>
      <c r="AC120" s="270"/>
      <c r="AD120" s="143"/>
      <c r="AE120" s="270"/>
      <c r="AF120" s="270"/>
      <c r="AG120" s="143"/>
      <c r="AH120" s="270"/>
      <c r="AI120" s="270"/>
      <c r="AJ120" s="143"/>
      <c r="AK120" s="270"/>
      <c r="AL120" s="270"/>
      <c r="AM120" s="143"/>
      <c r="AN120" s="270"/>
      <c r="AO120" s="270"/>
      <c r="AP120" s="143"/>
      <c r="AQ120" s="270"/>
      <c r="AR120" s="270"/>
      <c r="AS120" s="143"/>
      <c r="AT120" s="270"/>
      <c r="AU120" s="270"/>
      <c r="AV120" s="143"/>
      <c r="AW120" s="270"/>
      <c r="AX120" s="270"/>
      <c r="AY120" s="143"/>
    </row>
    <row r="121" spans="1:51" s="194" customFormat="1" ht="12" customHeight="1" x14ac:dyDescent="0.2">
      <c r="A121" s="138"/>
      <c r="B121" s="8" t="s">
        <v>542</v>
      </c>
      <c r="C121" s="306"/>
      <c r="D121" s="307"/>
      <c r="E121" s="307"/>
      <c r="F121" s="271"/>
      <c r="G121" s="307"/>
      <c r="H121" s="307"/>
      <c r="I121" s="271"/>
      <c r="J121" s="307"/>
      <c r="K121" s="307"/>
      <c r="L121" s="239">
        <f t="shared" ref="L121:R121" si="666">+L81/L66</f>
        <v>-5.3660495983234385E-2</v>
      </c>
      <c r="M121" s="240">
        <f t="shared" si="666"/>
        <v>-5.2744716351501672E-2</v>
      </c>
      <c r="N121" s="240">
        <f t="shared" si="666"/>
        <v>-5.2760549059481451E-2</v>
      </c>
      <c r="O121" s="239">
        <f t="shared" si="666"/>
        <v>-5.2752988047808771E-2</v>
      </c>
      <c r="P121" s="240">
        <f t="shared" si="666"/>
        <v>-5.4838709677419342E-2</v>
      </c>
      <c r="Q121" s="240">
        <f t="shared" si="666"/>
        <v>-6.1901219260177734E-2</v>
      </c>
      <c r="R121" s="239">
        <f t="shared" si="666"/>
        <v>-5.8440299293919279E-2</v>
      </c>
      <c r="S121" s="240">
        <f t="shared" ref="S121:U121" si="667">+S81/S66</f>
        <v>-5.772022895434873E-2</v>
      </c>
      <c r="T121" s="240">
        <f t="shared" si="667"/>
        <v>-5.4847487234614342E-2</v>
      </c>
      <c r="U121" s="239">
        <f t="shared" si="667"/>
        <v>-5.6256419034577197E-2</v>
      </c>
      <c r="V121" s="151">
        <v>-5.7000000000000002E-2</v>
      </c>
      <c r="W121" s="151">
        <v>-5.7000000000000002E-2</v>
      </c>
      <c r="X121" s="239">
        <f>+X81/X66</f>
        <v>-5.7000000000000002E-2</v>
      </c>
      <c r="Y121" s="151">
        <v>-5.6000000000000001E-2</v>
      </c>
      <c r="Z121" s="151">
        <v>-5.6000000000000001E-2</v>
      </c>
      <c r="AA121" s="239">
        <f>+AA81/AA66</f>
        <v>-5.6000000000000001E-2</v>
      </c>
      <c r="AB121" s="151">
        <v>-5.3999999999999999E-2</v>
      </c>
      <c r="AC121" s="151">
        <v>-5.3999999999999999E-2</v>
      </c>
      <c r="AD121" s="239">
        <f t="shared" ref="AD121" si="668">+AD81/AD66</f>
        <v>-5.4000000000000006E-2</v>
      </c>
      <c r="AE121" s="151">
        <v>-5.1999999999999998E-2</v>
      </c>
      <c r="AF121" s="151">
        <v>-5.1999999999999998E-2</v>
      </c>
      <c r="AG121" s="239">
        <f>+AG81/AG66</f>
        <v>-5.1999999999999998E-2</v>
      </c>
      <c r="AH121" s="151">
        <v>-0.05</v>
      </c>
      <c r="AI121" s="151">
        <v>-0.05</v>
      </c>
      <c r="AJ121" s="239">
        <f t="shared" ref="AJ121" si="669">+AJ81/AJ66</f>
        <v>-0.05</v>
      </c>
      <c r="AK121" s="151">
        <v>-5.5E-2</v>
      </c>
      <c r="AL121" s="151">
        <v>-5.5E-2</v>
      </c>
      <c r="AM121" s="239">
        <f t="shared" ref="AM121" si="670">+AM81/AM66</f>
        <v>-5.5E-2</v>
      </c>
      <c r="AN121" s="151">
        <v>-5.5E-2</v>
      </c>
      <c r="AO121" s="151">
        <v>-5.5E-2</v>
      </c>
      <c r="AP121" s="239">
        <f t="shared" ref="AP121" si="671">+AP81/AP66</f>
        <v>-5.5E-2</v>
      </c>
      <c r="AQ121" s="151">
        <v>-5.5E-2</v>
      </c>
      <c r="AR121" s="151">
        <v>-5.5E-2</v>
      </c>
      <c r="AS121" s="239">
        <f t="shared" ref="AS121" si="672">+AS81/AS66</f>
        <v>-5.4999999999999993E-2</v>
      </c>
      <c r="AT121" s="151">
        <v>-5.5E-2</v>
      </c>
      <c r="AU121" s="151">
        <v>-5.5E-2</v>
      </c>
      <c r="AV121" s="239">
        <f t="shared" ref="AV121" si="673">+AV81/AV66</f>
        <v>-5.4999999999999993E-2</v>
      </c>
      <c r="AW121" s="151">
        <v>-5.5E-2</v>
      </c>
      <c r="AX121" s="151">
        <v>-5.5E-2</v>
      </c>
      <c r="AY121" s="239">
        <f t="shared" ref="AY121" si="674">+AY81/AY66</f>
        <v>-5.4999999999999993E-2</v>
      </c>
    </row>
    <row r="122" spans="1:51" s="274" customFormat="1" ht="12" customHeight="1" x14ac:dyDescent="0.2">
      <c r="B122" s="149" t="s">
        <v>545</v>
      </c>
      <c r="C122" s="275"/>
      <c r="D122" s="192"/>
      <c r="E122" s="192"/>
      <c r="F122" s="193"/>
      <c r="G122" s="192"/>
      <c r="H122" s="192"/>
      <c r="I122" s="193"/>
      <c r="J122" s="192"/>
      <c r="K122" s="192"/>
      <c r="L122" s="193">
        <f>+L86/L66</f>
        <v>-6.060076842472932E-2</v>
      </c>
      <c r="M122" s="222">
        <f t="shared" ref="M122:R122" si="675">+M86/M66</f>
        <v>-5.9510567296996664E-2</v>
      </c>
      <c r="N122" s="222">
        <f t="shared" si="675"/>
        <v>-6.4056939501779361E-2</v>
      </c>
      <c r="O122" s="193">
        <f t="shared" si="675"/>
        <v>-6.1885790172642764E-2</v>
      </c>
      <c r="P122" s="222">
        <f t="shared" si="675"/>
        <v>-6.5161290322580653E-2</v>
      </c>
      <c r="Q122" s="222">
        <f t="shared" si="675"/>
        <v>-6.902252531514777E-2</v>
      </c>
      <c r="R122" s="193">
        <f t="shared" si="675"/>
        <v>-6.7130361471177152E-2</v>
      </c>
      <c r="S122" s="222">
        <f t="shared" ref="S122:U122" si="676">+S86/S66</f>
        <v>-6.6487505235236638E-2</v>
      </c>
      <c r="T122" s="222">
        <f t="shared" si="676"/>
        <v>-6.5338618650900307E-2</v>
      </c>
      <c r="U122" s="193">
        <f t="shared" si="676"/>
        <v>-6.5902088325915792E-2</v>
      </c>
      <c r="V122" s="222"/>
      <c r="W122" s="222"/>
      <c r="X122" s="193"/>
      <c r="Y122" s="222"/>
      <c r="Z122" s="222"/>
      <c r="AA122" s="193"/>
      <c r="AB122" s="222"/>
      <c r="AC122" s="222"/>
      <c r="AD122" s="193"/>
      <c r="AE122" s="222"/>
      <c r="AF122" s="222"/>
      <c r="AG122" s="193"/>
      <c r="AH122" s="222"/>
      <c r="AI122" s="222"/>
      <c r="AJ122" s="193"/>
      <c r="AK122" s="222"/>
      <c r="AL122" s="222"/>
      <c r="AM122" s="193"/>
      <c r="AN122" s="222"/>
      <c r="AO122" s="222"/>
      <c r="AP122" s="193"/>
      <c r="AQ122" s="222"/>
      <c r="AR122" s="222"/>
      <c r="AS122" s="193"/>
      <c r="AT122" s="222"/>
      <c r="AU122" s="222"/>
      <c r="AV122" s="193"/>
      <c r="AW122" s="222"/>
      <c r="AX122" s="222"/>
      <c r="AY122" s="193"/>
    </row>
    <row r="123" spans="1:51" s="17" customFormat="1" ht="12" customHeight="1" x14ac:dyDescent="0.2">
      <c r="A123" s="138"/>
      <c r="B123" s="6"/>
      <c r="C123" s="269"/>
      <c r="D123" s="270"/>
      <c r="E123" s="270"/>
      <c r="F123" s="143"/>
      <c r="G123" s="270"/>
      <c r="H123" s="270"/>
      <c r="I123" s="143"/>
      <c r="J123" s="270"/>
      <c r="K123" s="270"/>
      <c r="L123" s="255"/>
      <c r="M123" s="270"/>
      <c r="N123" s="270"/>
      <c r="O123" s="143"/>
      <c r="P123" s="270"/>
      <c r="Q123" s="270"/>
      <c r="R123" s="143"/>
      <c r="S123" s="270"/>
      <c r="T123" s="270"/>
      <c r="U123" s="143"/>
      <c r="V123" s="270"/>
      <c r="W123" s="270"/>
      <c r="X123" s="143"/>
      <c r="Y123" s="270"/>
      <c r="Z123" s="270"/>
      <c r="AA123" s="143"/>
      <c r="AB123" s="270"/>
      <c r="AC123" s="270"/>
      <c r="AD123" s="143"/>
      <c r="AE123" s="270"/>
      <c r="AF123" s="270"/>
      <c r="AG123" s="143"/>
      <c r="AH123" s="270"/>
      <c r="AI123" s="270"/>
      <c r="AJ123" s="143"/>
      <c r="AK123" s="270"/>
      <c r="AL123" s="270"/>
      <c r="AM123" s="143"/>
      <c r="AN123" s="270"/>
      <c r="AO123" s="270"/>
      <c r="AP123" s="143"/>
      <c r="AQ123" s="270"/>
      <c r="AR123" s="270"/>
      <c r="AS123" s="143"/>
      <c r="AT123" s="270"/>
      <c r="AU123" s="270"/>
      <c r="AV123" s="143"/>
      <c r="AW123" s="270"/>
      <c r="AX123" s="270"/>
      <c r="AY123" s="143"/>
    </row>
    <row r="124" spans="1:51" s="194" customFormat="1" ht="12" customHeight="1" x14ac:dyDescent="0.2">
      <c r="A124" s="190"/>
      <c r="B124" s="8" t="s">
        <v>562</v>
      </c>
      <c r="C124" s="306"/>
      <c r="D124" s="307"/>
      <c r="E124" s="307"/>
      <c r="F124" s="271"/>
      <c r="G124" s="307"/>
      <c r="H124" s="307"/>
      <c r="I124" s="271"/>
      <c r="J124" s="307"/>
      <c r="K124" s="307"/>
      <c r="L124" s="239">
        <f t="shared" ref="L124:AY124" si="677">+L82/L66</f>
        <v>3.1959483059727567E-2</v>
      </c>
      <c r="M124" s="192">
        <f t="shared" si="677"/>
        <v>3.7263626251390437E-2</v>
      </c>
      <c r="N124" s="192">
        <f t="shared" si="677"/>
        <v>4.3975597356380264E-2</v>
      </c>
      <c r="O124" s="193">
        <f t="shared" si="677"/>
        <v>4.0770252324037186E-2</v>
      </c>
      <c r="P124" s="192">
        <f t="shared" si="677"/>
        <v>4.9677419354838714E-2</v>
      </c>
      <c r="Q124" s="192">
        <f t="shared" si="677"/>
        <v>4.649721016738996E-2</v>
      </c>
      <c r="R124" s="193">
        <f t="shared" si="677"/>
        <v>4.8055643376541259E-2</v>
      </c>
      <c r="S124" s="192">
        <f t="shared" si="677"/>
        <v>5.5460351807901716E-2</v>
      </c>
      <c r="T124" s="192">
        <f t="shared" si="677"/>
        <v>5.7476148884708422E-2</v>
      </c>
      <c r="U124" s="193">
        <f t="shared" si="677"/>
        <v>5.6487504279356393E-2</v>
      </c>
      <c r="V124" s="192">
        <f t="shared" si="677"/>
        <v>6.2683045102122831E-2</v>
      </c>
      <c r="W124" s="192">
        <f t="shared" si="677"/>
        <v>6.0652858922061688E-2</v>
      </c>
      <c r="X124" s="416">
        <f t="shared" si="677"/>
        <v>6.1651505860187882E-2</v>
      </c>
      <c r="Y124" s="192">
        <f t="shared" si="677"/>
        <v>6.7190790954058138E-2</v>
      </c>
      <c r="Z124" s="192">
        <f t="shared" si="677"/>
        <v>6.6599444100308922E-2</v>
      </c>
      <c r="AA124" s="193">
        <f t="shared" si="677"/>
        <v>6.6891251684831315E-2</v>
      </c>
      <c r="AB124" s="192">
        <f t="shared" si="677"/>
        <v>7.4148194809075488E-2</v>
      </c>
      <c r="AC124" s="192">
        <f t="shared" si="677"/>
        <v>7.3467838958153883E-2</v>
      </c>
      <c r="AD124" s="193">
        <f t="shared" si="677"/>
        <v>7.3804415180959121E-2</v>
      </c>
      <c r="AE124" s="192">
        <f t="shared" si="677"/>
        <v>8.0955632310762124E-2</v>
      </c>
      <c r="AF124" s="192">
        <f t="shared" si="677"/>
        <v>8.018383684433672E-2</v>
      </c>
      <c r="AG124" s="193">
        <f t="shared" si="677"/>
        <v>8.0566419314616278E-2</v>
      </c>
      <c r="AH124" s="192">
        <f t="shared" si="677"/>
        <v>8.7690229542320988E-2</v>
      </c>
      <c r="AI124" s="192">
        <f t="shared" si="677"/>
        <v>8.5333968587337383E-2</v>
      </c>
      <c r="AJ124" s="416">
        <f t="shared" si="677"/>
        <v>8.6503898278572508E-2</v>
      </c>
      <c r="AK124" s="192">
        <f t="shared" si="677"/>
        <v>8.5855694727626636E-2</v>
      </c>
      <c r="AL124" s="192">
        <f t="shared" si="677"/>
        <v>8.5100800201223084E-2</v>
      </c>
      <c r="AM124" s="193">
        <f t="shared" si="677"/>
        <v>8.5476126863377161E-2</v>
      </c>
      <c r="AN124" s="192">
        <f t="shared" si="677"/>
        <v>8.7282719876775702E-2</v>
      </c>
      <c r="AO124" s="192">
        <f t="shared" si="677"/>
        <v>8.6467895612533055E-2</v>
      </c>
      <c r="AP124" s="193">
        <f t="shared" si="677"/>
        <v>8.6873471554643353E-2</v>
      </c>
      <c r="AQ124" s="192">
        <f t="shared" si="677"/>
        <v>8.8651494430192684E-2</v>
      </c>
      <c r="AR124" s="192">
        <f t="shared" si="677"/>
        <v>8.7774044755822414E-2</v>
      </c>
      <c r="AS124" s="193">
        <f t="shared" si="677"/>
        <v>8.8211196452133447E-2</v>
      </c>
      <c r="AT124" s="192">
        <f t="shared" si="677"/>
        <v>8.9964227281598377E-2</v>
      </c>
      <c r="AU124" s="192">
        <f t="shared" si="677"/>
        <v>8.9020646885032931E-2</v>
      </c>
      <c r="AV124" s="193">
        <f t="shared" si="677"/>
        <v>8.9491104821268805E-2</v>
      </c>
      <c r="AW124" s="192">
        <f t="shared" si="677"/>
        <v>9.122173899960237E-2</v>
      </c>
      <c r="AX124" s="192">
        <f t="shared" si="677"/>
        <v>9.0207841727295027E-2</v>
      </c>
      <c r="AY124" s="193">
        <f t="shared" si="677"/>
        <v>9.0713676005226368E-2</v>
      </c>
    </row>
    <row r="125" spans="1:51" s="17" customFormat="1" ht="12" customHeight="1" x14ac:dyDescent="0.2">
      <c r="A125" s="138"/>
      <c r="B125" s="6"/>
      <c r="C125" s="269"/>
      <c r="D125" s="270"/>
      <c r="E125" s="270"/>
      <c r="F125" s="143"/>
      <c r="G125" s="270"/>
      <c r="H125" s="270"/>
      <c r="I125" s="143"/>
      <c r="J125" s="270"/>
      <c r="K125" s="270"/>
      <c r="L125" s="255"/>
      <c r="M125" s="270"/>
      <c r="N125" s="270"/>
      <c r="O125" s="143"/>
      <c r="P125" s="270"/>
      <c r="Q125" s="270"/>
      <c r="R125" s="143"/>
      <c r="S125" s="270"/>
      <c r="T125" s="270"/>
      <c r="U125" s="143"/>
      <c r="V125" s="270"/>
      <c r="W125" s="270"/>
      <c r="X125" s="143"/>
      <c r="Y125" s="270"/>
      <c r="Z125" s="270"/>
      <c r="AA125" s="143"/>
      <c r="AB125" s="270"/>
      <c r="AC125" s="270"/>
      <c r="AD125" s="143"/>
      <c r="AE125" s="270"/>
      <c r="AF125" s="270"/>
      <c r="AG125" s="143"/>
      <c r="AH125" s="270"/>
      <c r="AI125" s="270"/>
      <c r="AJ125" s="143"/>
      <c r="AK125" s="270"/>
      <c r="AL125" s="270"/>
      <c r="AM125" s="143"/>
      <c r="AN125" s="270"/>
      <c r="AO125" s="270"/>
      <c r="AP125" s="143"/>
      <c r="AQ125" s="270"/>
      <c r="AR125" s="270"/>
      <c r="AS125" s="143"/>
      <c r="AT125" s="270"/>
      <c r="AU125" s="270"/>
      <c r="AV125" s="143"/>
      <c r="AW125" s="270"/>
      <c r="AX125" s="270"/>
      <c r="AY125" s="143"/>
    </row>
    <row r="126" spans="1:51" s="17" customFormat="1" ht="12" customHeight="1" x14ac:dyDescent="0.2">
      <c r="A126" s="138"/>
      <c r="B126" s="6"/>
      <c r="C126" s="269"/>
      <c r="D126" s="270"/>
      <c r="E126" s="270"/>
      <c r="F126" s="143"/>
      <c r="G126" s="270"/>
      <c r="H126" s="270"/>
      <c r="I126" s="143"/>
      <c r="J126" s="270"/>
      <c r="K126" s="270"/>
      <c r="L126" s="143"/>
      <c r="M126" s="270"/>
      <c r="N126" s="270"/>
      <c r="O126" s="143"/>
      <c r="P126" s="270"/>
      <c r="Q126" s="270"/>
      <c r="R126" s="143"/>
      <c r="S126" s="270"/>
      <c r="T126" s="270"/>
      <c r="U126" s="143"/>
      <c r="V126" s="270"/>
      <c r="W126" s="270"/>
      <c r="X126" s="143"/>
      <c r="Y126" s="270"/>
      <c r="Z126" s="270"/>
      <c r="AA126" s="143"/>
      <c r="AB126" s="270"/>
      <c r="AC126" s="270"/>
      <c r="AD126" s="143"/>
      <c r="AE126" s="270"/>
      <c r="AF126" s="270"/>
      <c r="AG126" s="143"/>
      <c r="AH126" s="270"/>
      <c r="AI126" s="270"/>
      <c r="AJ126" s="143"/>
      <c r="AK126" s="270"/>
      <c r="AL126" s="270"/>
      <c r="AM126" s="143"/>
      <c r="AN126" s="270"/>
      <c r="AO126" s="270"/>
      <c r="AP126" s="143"/>
      <c r="AQ126" s="270"/>
      <c r="AR126" s="270"/>
      <c r="AS126" s="143"/>
      <c r="AT126" s="270"/>
      <c r="AU126" s="270"/>
      <c r="AV126" s="143"/>
      <c r="AW126" s="270"/>
      <c r="AX126" s="270"/>
      <c r="AY126" s="143"/>
    </row>
    <row r="127" spans="1:51" s="17" customFormat="1" ht="12" customHeight="1" x14ac:dyDescent="0.2">
      <c r="A127" s="14"/>
      <c r="B127" s="10" t="s">
        <v>397</v>
      </c>
      <c r="C127" s="130"/>
      <c r="D127" s="142"/>
      <c r="E127" s="142"/>
      <c r="F127" s="143"/>
      <c r="G127" s="142"/>
      <c r="H127" s="142"/>
      <c r="I127" s="143"/>
      <c r="J127" s="142"/>
      <c r="K127" s="142"/>
      <c r="L127" s="143"/>
      <c r="M127" s="142"/>
      <c r="N127" s="142"/>
      <c r="O127" s="143"/>
      <c r="P127" s="142"/>
      <c r="Q127" s="142"/>
      <c r="R127" s="143"/>
      <c r="S127" s="142"/>
      <c r="T127" s="142"/>
      <c r="U127" s="143"/>
      <c r="V127" s="142"/>
      <c r="W127" s="142"/>
      <c r="X127" s="143"/>
      <c r="Y127" s="142"/>
      <c r="Z127" s="142"/>
      <c r="AA127" s="143"/>
      <c r="AB127" s="142"/>
      <c r="AC127" s="142"/>
      <c r="AD127" s="143"/>
      <c r="AE127" s="142"/>
      <c r="AF127" s="142"/>
      <c r="AG127" s="143"/>
      <c r="AH127" s="142"/>
      <c r="AI127" s="142"/>
      <c r="AJ127" s="143"/>
      <c r="AK127" s="142"/>
      <c r="AL127" s="142"/>
      <c r="AM127" s="143"/>
      <c r="AN127" s="142"/>
      <c r="AO127" s="142"/>
      <c r="AP127" s="143"/>
      <c r="AQ127" s="142"/>
      <c r="AR127" s="142"/>
      <c r="AS127" s="143"/>
      <c r="AT127" s="142"/>
      <c r="AU127" s="142"/>
      <c r="AV127" s="143"/>
      <c r="AW127" s="142"/>
      <c r="AX127" s="142"/>
      <c r="AY127" s="143"/>
    </row>
    <row r="128" spans="1:51" s="194" customFormat="1" ht="12" customHeight="1" x14ac:dyDescent="0.2">
      <c r="A128" s="190"/>
      <c r="B128" s="8" t="s">
        <v>514</v>
      </c>
      <c r="C128" s="131"/>
      <c r="D128" s="219"/>
      <c r="E128" s="191"/>
      <c r="F128" s="271"/>
      <c r="G128" s="191"/>
      <c r="H128" s="191"/>
      <c r="I128" s="271"/>
      <c r="J128" s="191"/>
      <c r="K128" s="191"/>
      <c r="L128" s="401">
        <f t="shared" ref="L128:R128" si="678">L72/L62</f>
        <v>6.9556240424248392E-2</v>
      </c>
      <c r="M128" s="402">
        <f t="shared" si="678"/>
        <v>7.4495968172252319E-2</v>
      </c>
      <c r="N128" s="402">
        <f t="shared" si="678"/>
        <v>7.8776143128759787E-2</v>
      </c>
      <c r="O128" s="403">
        <f t="shared" si="678"/>
        <v>7.6733716962876217E-2</v>
      </c>
      <c r="P128" s="402">
        <f t="shared" si="678"/>
        <v>7.779462695264644E-2</v>
      </c>
      <c r="Q128" s="402">
        <f t="shared" si="678"/>
        <v>8.4479609304519962E-2</v>
      </c>
      <c r="R128" s="403">
        <f t="shared" si="678"/>
        <v>8.1200474888870472E-2</v>
      </c>
      <c r="S128" s="402">
        <f t="shared" ref="S128:U128" si="679">S72/S62</f>
        <v>8.5568667187573333E-2</v>
      </c>
      <c r="T128" s="402">
        <f t="shared" si="679"/>
        <v>8.9166758342746927E-2</v>
      </c>
      <c r="U128" s="403">
        <f t="shared" si="679"/>
        <v>8.739341768293514E-2</v>
      </c>
      <c r="V128" s="395">
        <v>9.2499999999999999E-2</v>
      </c>
      <c r="W128" s="395">
        <v>9.2499999999999999E-2</v>
      </c>
      <c r="X128" s="403">
        <f>X72/X62</f>
        <v>9.2499999999999999E-2</v>
      </c>
      <c r="Y128" s="395">
        <v>9.5000000000000001E-2</v>
      </c>
      <c r="Z128" s="395">
        <v>9.7500000000000003E-2</v>
      </c>
      <c r="AA128" s="403">
        <f>AA72/AA62</f>
        <v>9.626051126064715E-2</v>
      </c>
      <c r="AB128" s="395">
        <v>0.1</v>
      </c>
      <c r="AC128" s="395">
        <v>0.10249999999999999</v>
      </c>
      <c r="AD128" s="403">
        <f>AD72/AD62</f>
        <v>0.10125761573301519</v>
      </c>
      <c r="AE128" s="395">
        <v>0.105</v>
      </c>
      <c r="AF128" s="395">
        <v>0.1075</v>
      </c>
      <c r="AG128" s="193">
        <f>AG72/AG62</f>
        <v>0.10625518280420308</v>
      </c>
      <c r="AH128" s="395">
        <v>0.11</v>
      </c>
      <c r="AI128" s="395">
        <v>0.11</v>
      </c>
      <c r="AJ128" s="403">
        <f>AJ72/AJ62</f>
        <v>0.10999999999999999</v>
      </c>
      <c r="AK128" s="395">
        <f>+AH128+0.25%</f>
        <v>0.1125</v>
      </c>
      <c r="AL128" s="395">
        <f>+AI128+0.25%</f>
        <v>0.1125</v>
      </c>
      <c r="AM128" s="403">
        <f t="shared" ref="AM128" si="680">AM72/AM62</f>
        <v>0.1125</v>
      </c>
      <c r="AN128" s="395">
        <f t="shared" ref="AN128:AO128" si="681">+AK128+0.25%</f>
        <v>0.115</v>
      </c>
      <c r="AO128" s="395">
        <f t="shared" si="681"/>
        <v>0.115</v>
      </c>
      <c r="AP128" s="403">
        <f t="shared" ref="AP128:AY128" si="682">AP72/AP62</f>
        <v>0.11500000000000002</v>
      </c>
      <c r="AQ128" s="395">
        <f t="shared" ref="AQ128:AR128" si="683">+AN128+0.25%</f>
        <v>0.11750000000000001</v>
      </c>
      <c r="AR128" s="395">
        <f t="shared" si="683"/>
        <v>0.11750000000000001</v>
      </c>
      <c r="AS128" s="403">
        <f t="shared" si="682"/>
        <v>0.11750000000000001</v>
      </c>
      <c r="AT128" s="395">
        <f t="shared" ref="AT128:AU128" si="684">+AQ128+0.25%</f>
        <v>0.12000000000000001</v>
      </c>
      <c r="AU128" s="395">
        <f t="shared" si="684"/>
        <v>0.12000000000000001</v>
      </c>
      <c r="AV128" s="403">
        <f t="shared" si="682"/>
        <v>0.12000000000000001</v>
      </c>
      <c r="AW128" s="395">
        <f t="shared" ref="AW128:AX128" si="685">+AT128+0.25%</f>
        <v>0.12250000000000001</v>
      </c>
      <c r="AX128" s="395">
        <f t="shared" si="685"/>
        <v>0.12250000000000001</v>
      </c>
      <c r="AY128" s="403">
        <f t="shared" si="682"/>
        <v>0.12250000000000003</v>
      </c>
    </row>
    <row r="129" spans="1:51" s="194" customFormat="1" ht="12" customHeight="1" x14ac:dyDescent="0.2">
      <c r="A129" s="190"/>
      <c r="B129" s="8" t="s">
        <v>515</v>
      </c>
      <c r="C129" s="131"/>
      <c r="D129" s="219"/>
      <c r="E129" s="191"/>
      <c r="F129" s="271"/>
      <c r="G129" s="191"/>
      <c r="H129" s="191"/>
      <c r="I129" s="271"/>
      <c r="J129" s="191"/>
      <c r="K129" s="191"/>
      <c r="L129" s="400">
        <v>3.5000000000000003E-2</v>
      </c>
      <c r="M129" s="219">
        <v>3.5000000000000003E-2</v>
      </c>
      <c r="N129" s="220">
        <v>3.5000000000000003E-2</v>
      </c>
      <c r="O129" s="400">
        <v>3.5000000000000003E-2</v>
      </c>
      <c r="P129" s="219">
        <v>3.5000000000000003E-2</v>
      </c>
      <c r="Q129" s="220">
        <v>3.5000000000000003E-2</v>
      </c>
      <c r="R129" s="400">
        <v>3.5000000000000003E-2</v>
      </c>
      <c r="S129" s="219">
        <v>3.5000000000000003E-2</v>
      </c>
      <c r="T129" s="220">
        <v>3.5000000000000003E-2</v>
      </c>
      <c r="U129" s="400">
        <v>3.5000000000000003E-2</v>
      </c>
      <c r="V129" s="151">
        <v>3.5000000000000003E-2</v>
      </c>
      <c r="W129" s="151">
        <v>3.5000000000000003E-2</v>
      </c>
      <c r="X129" s="193">
        <f>+X73/X64</f>
        <v>3.4999999999999996E-2</v>
      </c>
      <c r="Y129" s="151">
        <v>3.5000000000000003E-2</v>
      </c>
      <c r="Z129" s="151">
        <v>3.5000000000000003E-2</v>
      </c>
      <c r="AA129" s="193">
        <f>+AA73/AA64</f>
        <v>3.500000000000001E-2</v>
      </c>
      <c r="AB129" s="151">
        <v>3.5000000000000003E-2</v>
      </c>
      <c r="AC129" s="151">
        <v>3.5000000000000003E-2</v>
      </c>
      <c r="AD129" s="193">
        <f>+AD73/AD64</f>
        <v>3.500000000000001E-2</v>
      </c>
      <c r="AE129" s="151">
        <v>3.5000000000000003E-2</v>
      </c>
      <c r="AF129" s="151">
        <v>3.5000000000000003E-2</v>
      </c>
      <c r="AG129" s="193">
        <f>+AG73/AG64</f>
        <v>3.4999999999999996E-2</v>
      </c>
      <c r="AH129" s="151">
        <v>3.5000000000000003E-2</v>
      </c>
      <c r="AI129" s="151">
        <v>3.5000000000000003E-2</v>
      </c>
      <c r="AJ129" s="193">
        <f>+AJ73/AJ64</f>
        <v>3.500000000000001E-2</v>
      </c>
      <c r="AK129" s="151">
        <v>3.5000000000000003E-2</v>
      </c>
      <c r="AL129" s="151">
        <v>3.5000000000000003E-2</v>
      </c>
      <c r="AM129" s="193">
        <f>+AM73/AM64</f>
        <v>3.4999999999999996E-2</v>
      </c>
      <c r="AN129" s="151">
        <v>3.5000000000000003E-2</v>
      </c>
      <c r="AO129" s="151">
        <v>3.5000000000000003E-2</v>
      </c>
      <c r="AP129" s="193">
        <f>+AP73/AP64</f>
        <v>3.4999999999999996E-2</v>
      </c>
      <c r="AQ129" s="151">
        <v>3.5000000000000003E-2</v>
      </c>
      <c r="AR129" s="151">
        <v>3.5000000000000003E-2</v>
      </c>
      <c r="AS129" s="193">
        <f>+AS73/AS64</f>
        <v>3.5000000000000003E-2</v>
      </c>
      <c r="AT129" s="151">
        <v>3.5000000000000003E-2</v>
      </c>
      <c r="AU129" s="151">
        <v>3.5000000000000003E-2</v>
      </c>
      <c r="AV129" s="193">
        <f>+AV73/AV64</f>
        <v>3.5000000000000003E-2</v>
      </c>
      <c r="AW129" s="151">
        <v>3.5000000000000003E-2</v>
      </c>
      <c r="AX129" s="151">
        <v>3.5000000000000003E-2</v>
      </c>
      <c r="AY129" s="193">
        <f>+AY73/AY64</f>
        <v>3.5000000000000003E-2</v>
      </c>
    </row>
    <row r="130" spans="1:51" s="194" customFormat="1" ht="12" customHeight="1" x14ac:dyDescent="0.2">
      <c r="A130" s="190"/>
      <c r="B130" s="8" t="s">
        <v>516</v>
      </c>
      <c r="C130" s="131"/>
      <c r="D130" s="219"/>
      <c r="E130" s="191"/>
      <c r="F130" s="271"/>
      <c r="G130" s="191"/>
      <c r="H130" s="191"/>
      <c r="I130" s="271"/>
      <c r="J130" s="191"/>
      <c r="K130" s="191"/>
      <c r="L130" s="400">
        <v>0.03</v>
      </c>
      <c r="M130" s="219">
        <v>0.03</v>
      </c>
      <c r="N130" s="220">
        <v>0.03</v>
      </c>
      <c r="O130" s="400">
        <v>0.03</v>
      </c>
      <c r="P130" s="219">
        <v>0.03</v>
      </c>
      <c r="Q130" s="220">
        <v>0.03</v>
      </c>
      <c r="R130" s="400">
        <v>0.03</v>
      </c>
      <c r="S130" s="219">
        <v>0.03</v>
      </c>
      <c r="T130" s="220">
        <v>0.03</v>
      </c>
      <c r="U130" s="400">
        <v>0.03</v>
      </c>
      <c r="V130" s="151">
        <v>0.03</v>
      </c>
      <c r="W130" s="151">
        <v>0.03</v>
      </c>
      <c r="X130" s="193">
        <f>+X74/X65</f>
        <v>3.0000000000000002E-2</v>
      </c>
      <c r="Y130" s="151">
        <v>0.03</v>
      </c>
      <c r="Z130" s="151">
        <v>0.03</v>
      </c>
      <c r="AA130" s="193">
        <f>+AA74/AA65</f>
        <v>3.0000000000000002E-2</v>
      </c>
      <c r="AB130" s="151">
        <v>0.03</v>
      </c>
      <c r="AC130" s="151">
        <v>0.03</v>
      </c>
      <c r="AD130" s="193">
        <f>+AD74/AD65</f>
        <v>3.0000000000000002E-2</v>
      </c>
      <c r="AE130" s="151">
        <v>0.03</v>
      </c>
      <c r="AF130" s="151">
        <v>0.03</v>
      </c>
      <c r="AG130" s="193">
        <f>+AG74/AG65</f>
        <v>0.03</v>
      </c>
      <c r="AH130" s="151">
        <v>0.03</v>
      </c>
      <c r="AI130" s="151">
        <v>0.03</v>
      </c>
      <c r="AJ130" s="193">
        <f>+AJ74/AJ65</f>
        <v>3.0000000000000006E-2</v>
      </c>
      <c r="AK130" s="151">
        <v>0.03</v>
      </c>
      <c r="AL130" s="151">
        <v>0.03</v>
      </c>
      <c r="AM130" s="193">
        <f>+AM74/AM65</f>
        <v>3.0000000000000002E-2</v>
      </c>
      <c r="AN130" s="151">
        <v>0.03</v>
      </c>
      <c r="AO130" s="151">
        <v>0.03</v>
      </c>
      <c r="AP130" s="193">
        <f>+AP74/AP65</f>
        <v>0.03</v>
      </c>
      <c r="AQ130" s="151">
        <v>0.03</v>
      </c>
      <c r="AR130" s="151">
        <v>0.03</v>
      </c>
      <c r="AS130" s="193">
        <f>+AS74/AS65</f>
        <v>3.0000000000000002E-2</v>
      </c>
      <c r="AT130" s="151">
        <v>0.03</v>
      </c>
      <c r="AU130" s="151">
        <v>0.03</v>
      </c>
      <c r="AV130" s="193">
        <f>+AV74/AV65</f>
        <v>0.03</v>
      </c>
      <c r="AW130" s="151">
        <v>0.03</v>
      </c>
      <c r="AX130" s="151">
        <v>0.03</v>
      </c>
      <c r="AY130" s="193">
        <f>+AY74/AY65</f>
        <v>0.03</v>
      </c>
    </row>
    <row r="131" spans="1:51" s="194" customFormat="1" ht="12" customHeight="1" x14ac:dyDescent="0.2">
      <c r="A131" s="190"/>
      <c r="B131" s="308" t="s">
        <v>517</v>
      </c>
      <c r="C131" s="309"/>
      <c r="D131" s="310"/>
      <c r="E131" s="310"/>
      <c r="F131" s="235"/>
      <c r="G131" s="310"/>
      <c r="H131" s="310"/>
      <c r="I131" s="235"/>
      <c r="J131" s="310"/>
      <c r="K131" s="310"/>
      <c r="L131" s="279">
        <f t="shared" ref="L131:AY131" si="686">+L75/(SUM(L62,L64,L65))</f>
        <v>6.6523144654958788E-2</v>
      </c>
      <c r="M131" s="280">
        <f t="shared" si="686"/>
        <v>7.0667011634956631E-2</v>
      </c>
      <c r="N131" s="280">
        <f t="shared" si="686"/>
        <v>7.4766719609733967E-2</v>
      </c>
      <c r="O131" s="279">
        <f t="shared" si="686"/>
        <v>7.2804399057344857E-2</v>
      </c>
      <c r="P131" s="280">
        <f t="shared" si="686"/>
        <v>7.4290707800235056E-2</v>
      </c>
      <c r="Q131" s="280">
        <f t="shared" si="686"/>
        <v>8.0384195411552214E-2</v>
      </c>
      <c r="R131" s="279">
        <f t="shared" si="686"/>
        <v>7.739734307628246E-2</v>
      </c>
      <c r="S131" s="280">
        <f t="shared" ref="S131:U131" si="687">+S75/(SUM(S62,S64,S65))</f>
        <v>8.1077813239157748E-2</v>
      </c>
      <c r="T131" s="280">
        <f t="shared" si="687"/>
        <v>8.3980869054067514E-2</v>
      </c>
      <c r="U131" s="279">
        <f t="shared" si="687"/>
        <v>8.2555726754035594E-2</v>
      </c>
      <c r="V131" s="280">
        <f t="shared" si="686"/>
        <v>8.7401210820814076E-2</v>
      </c>
      <c r="W131" s="280">
        <f t="shared" si="686"/>
        <v>8.6854558635183737E-2</v>
      </c>
      <c r="X131" s="279">
        <f t="shared" si="686"/>
        <v>8.7123392433765295E-2</v>
      </c>
      <c r="Y131" s="280">
        <f t="shared" si="686"/>
        <v>8.9654921330437884E-2</v>
      </c>
      <c r="Z131" s="280">
        <f t="shared" si="686"/>
        <v>9.1337053569154725E-2</v>
      </c>
      <c r="AA131" s="279">
        <f t="shared" si="686"/>
        <v>9.0507454417812563E-2</v>
      </c>
      <c r="AB131" s="280">
        <f t="shared" si="686"/>
        <v>9.4171841627069028E-2</v>
      </c>
      <c r="AC131" s="280">
        <f t="shared" si="686"/>
        <v>9.5796467667748672E-2</v>
      </c>
      <c r="AD131" s="279">
        <f t="shared" si="686"/>
        <v>9.4993414581140329E-2</v>
      </c>
      <c r="AE131" s="280">
        <f t="shared" si="686"/>
        <v>9.8591087237088967E-2</v>
      </c>
      <c r="AF131" s="280">
        <f t="shared" si="686"/>
        <v>0.10014175574938938</v>
      </c>
      <c r="AG131" s="385">
        <f t="shared" si="686"/>
        <v>9.937388869346761E-2</v>
      </c>
      <c r="AH131" s="280">
        <f t="shared" si="686"/>
        <v>0.10297056143518221</v>
      </c>
      <c r="AI131" s="280">
        <f t="shared" si="686"/>
        <v>0.10219707077883332</v>
      </c>
      <c r="AJ131" s="279">
        <f t="shared" si="686"/>
        <v>0.10258064473240318</v>
      </c>
      <c r="AK131" s="280">
        <f t="shared" si="686"/>
        <v>0.10504290168887635</v>
      </c>
      <c r="AL131" s="280">
        <f t="shared" si="686"/>
        <v>0.10421346365879054</v>
      </c>
      <c r="AM131" s="279">
        <f t="shared" si="686"/>
        <v>0.1046252634879266</v>
      </c>
      <c r="AN131" s="280">
        <f t="shared" si="686"/>
        <v>0.10707836394755237</v>
      </c>
      <c r="AO131" s="280">
        <f t="shared" si="686"/>
        <v>0.10618723602171991</v>
      </c>
      <c r="AP131" s="279">
        <f t="shared" si="686"/>
        <v>0.10663008286833747</v>
      </c>
      <c r="AQ131" s="280">
        <f t="shared" si="686"/>
        <v>0.10907322560670242</v>
      </c>
      <c r="AR131" s="280">
        <f t="shared" si="686"/>
        <v>0.10811437729460834</v>
      </c>
      <c r="AS131" s="279">
        <f t="shared" si="686"/>
        <v>0.10859124055389294</v>
      </c>
      <c r="AT131" s="280">
        <f t="shared" si="686"/>
        <v>0.11102348804715428</v>
      </c>
      <c r="AU131" s="280">
        <f t="shared" si="686"/>
        <v>0.10999056667809869</v>
      </c>
      <c r="AV131" s="279">
        <f t="shared" si="686"/>
        <v>0.11050457815544724</v>
      </c>
      <c r="AW131" s="280">
        <f t="shared" si="686"/>
        <v>0.11292486664095167</v>
      </c>
      <c r="AX131" s="280">
        <f t="shared" si="686"/>
        <v>0.11181117279789979</v>
      </c>
      <c r="AY131" s="279">
        <f t="shared" si="686"/>
        <v>0.11236563656390784</v>
      </c>
    </row>
    <row r="132" spans="1:51" s="17" customFormat="1" ht="12" customHeight="1" x14ac:dyDescent="0.2">
      <c r="A132" s="138"/>
      <c r="B132" s="6"/>
      <c r="C132" s="130"/>
      <c r="D132" s="142"/>
      <c r="E132" s="142"/>
      <c r="F132" s="143"/>
      <c r="G132" s="142"/>
      <c r="H132" s="142"/>
      <c r="I132" s="143"/>
      <c r="J132" s="142"/>
      <c r="K132" s="142"/>
      <c r="L132" s="143"/>
      <c r="M132" s="142"/>
      <c r="N132" s="142"/>
      <c r="O132" s="143"/>
      <c r="P132" s="142"/>
      <c r="Q132" s="142"/>
      <c r="R132" s="143"/>
      <c r="S132" s="142"/>
      <c r="T132" s="142"/>
      <c r="U132" s="143"/>
      <c r="V132" s="142"/>
      <c r="W132" s="142"/>
      <c r="X132" s="143"/>
      <c r="Y132" s="142"/>
      <c r="Z132" s="142"/>
      <c r="AA132" s="143"/>
      <c r="AB132" s="142"/>
      <c r="AC132" s="142"/>
      <c r="AD132" s="143"/>
      <c r="AE132" s="142"/>
      <c r="AF132" s="142"/>
      <c r="AG132" s="143"/>
      <c r="AH132" s="142"/>
      <c r="AI132" s="142"/>
      <c r="AJ132" s="143"/>
      <c r="AK132" s="142"/>
      <c r="AL132" s="142"/>
      <c r="AM132" s="143"/>
      <c r="AN132" s="142"/>
      <c r="AO132" s="142"/>
      <c r="AP132" s="143"/>
      <c r="AQ132" s="142"/>
      <c r="AR132" s="142"/>
      <c r="AS132" s="143"/>
      <c r="AT132" s="142"/>
      <c r="AU132" s="142"/>
      <c r="AV132" s="143"/>
      <c r="AW132" s="142"/>
      <c r="AX132" s="142"/>
      <c r="AY132" s="143"/>
    </row>
    <row r="133" spans="1:51" s="17" customFormat="1" ht="12" customHeight="1" x14ac:dyDescent="0.2">
      <c r="A133" s="138"/>
      <c r="B133" s="6"/>
      <c r="C133" s="130"/>
      <c r="D133" s="142"/>
      <c r="E133" s="142"/>
      <c r="F133" s="143"/>
      <c r="G133" s="142"/>
      <c r="H133" s="142"/>
      <c r="I133" s="143"/>
      <c r="J133" s="142"/>
      <c r="K133" s="142"/>
      <c r="L133" s="143"/>
      <c r="M133" s="142"/>
      <c r="N133" s="142"/>
      <c r="O133" s="143"/>
      <c r="P133" s="142"/>
      <c r="Q133" s="142"/>
      <c r="R133" s="143"/>
      <c r="S133" s="142"/>
      <c r="T133" s="142"/>
      <c r="U133" s="143"/>
      <c r="V133" s="142"/>
      <c r="W133" s="142"/>
      <c r="X133" s="143"/>
      <c r="Y133" s="142"/>
      <c r="Z133" s="142"/>
      <c r="AA133" s="143"/>
      <c r="AB133" s="142"/>
      <c r="AC133" s="142"/>
      <c r="AD133" s="143"/>
      <c r="AE133" s="142"/>
      <c r="AF133" s="142"/>
      <c r="AG133" s="143"/>
      <c r="AH133" s="142"/>
      <c r="AI133" s="142"/>
      <c r="AJ133" s="143"/>
      <c r="AK133" s="358"/>
      <c r="AL133" s="142"/>
      <c r="AM133" s="143"/>
      <c r="AN133" s="142"/>
      <c r="AO133" s="142"/>
      <c r="AP133" s="143"/>
      <c r="AQ133" s="142"/>
      <c r="AR133" s="142"/>
      <c r="AS133" s="143"/>
      <c r="AT133" s="142"/>
      <c r="AU133" s="142"/>
      <c r="AV133" s="143"/>
      <c r="AW133" s="142"/>
      <c r="AX133" s="142"/>
      <c r="AY133" s="143"/>
    </row>
    <row r="134" spans="1:51" s="17" customFormat="1" ht="12" customHeight="1" x14ac:dyDescent="0.2">
      <c r="A134" s="14"/>
      <c r="B134" s="10" t="s">
        <v>444</v>
      </c>
      <c r="C134" s="130"/>
      <c r="D134" s="142"/>
      <c r="E134" s="142"/>
      <c r="F134" s="143"/>
      <c r="G134" s="142"/>
      <c r="H134" s="142"/>
      <c r="I134" s="143"/>
      <c r="J134" s="142"/>
      <c r="K134" s="142"/>
      <c r="L134" s="143"/>
      <c r="M134" s="142"/>
      <c r="N134" s="142"/>
      <c r="O134" s="143"/>
      <c r="P134" s="142"/>
      <c r="Q134" s="142"/>
      <c r="R134" s="143"/>
      <c r="S134" s="142"/>
      <c r="T134" s="142"/>
      <c r="U134" s="143"/>
      <c r="V134" s="142"/>
      <c r="W134" s="142"/>
      <c r="X134" s="143"/>
      <c r="Y134" s="142"/>
      <c r="Z134" s="142"/>
      <c r="AA134" s="143"/>
      <c r="AB134" s="142"/>
      <c r="AC134" s="142"/>
      <c r="AD134" s="143"/>
      <c r="AE134" s="142"/>
      <c r="AF134" s="142"/>
      <c r="AG134" s="305"/>
      <c r="AH134" s="142"/>
      <c r="AI134" s="142"/>
      <c r="AJ134" s="143"/>
      <c r="AK134" s="142"/>
      <c r="AL134" s="142"/>
      <c r="AM134" s="143"/>
      <c r="AN134" s="142"/>
      <c r="AO134" s="142"/>
      <c r="AP134" s="143"/>
      <c r="AQ134" s="142"/>
      <c r="AR134" s="142"/>
      <c r="AS134" s="143"/>
      <c r="AT134" s="142"/>
      <c r="AU134" s="142"/>
      <c r="AV134" s="143"/>
      <c r="AW134" s="142"/>
      <c r="AX134" s="142"/>
      <c r="AY134" s="143"/>
    </row>
    <row r="135" spans="1:51" s="17" customFormat="1" ht="12" customHeight="1" x14ac:dyDescent="0.2">
      <c r="B135" s="10" t="s">
        <v>383</v>
      </c>
      <c r="C135" s="130"/>
      <c r="D135" s="142"/>
      <c r="E135" s="142"/>
      <c r="F135" s="143"/>
      <c r="G135" s="142"/>
      <c r="H135" s="142"/>
      <c r="I135" s="143"/>
      <c r="J135" s="142"/>
      <c r="K135" s="142"/>
      <c r="L135" s="143"/>
      <c r="M135" s="142"/>
      <c r="N135" s="142"/>
      <c r="O135" s="143"/>
      <c r="P135" s="142"/>
      <c r="Q135" s="142"/>
      <c r="R135" s="143"/>
      <c r="S135" s="142"/>
      <c r="T135" s="142"/>
      <c r="U135" s="143"/>
      <c r="V135" s="142"/>
      <c r="W135" s="142"/>
      <c r="X135" s="143"/>
      <c r="Y135" s="142"/>
      <c r="Z135" s="142"/>
      <c r="AA135" s="143"/>
      <c r="AB135" s="142"/>
      <c r="AC135" s="142"/>
      <c r="AD135" s="143"/>
      <c r="AE135" s="142"/>
      <c r="AF135" s="142"/>
      <c r="AG135" s="143"/>
      <c r="AH135" s="142"/>
      <c r="AI135" s="142"/>
      <c r="AJ135" s="143"/>
      <c r="AK135" s="142"/>
      <c r="AL135" s="142"/>
      <c r="AM135" s="143"/>
      <c r="AN135" s="142"/>
      <c r="AO135" s="142"/>
      <c r="AP135" s="143"/>
      <c r="AQ135" s="142"/>
      <c r="AR135" s="142"/>
      <c r="AS135" s="143"/>
      <c r="AT135" s="142"/>
      <c r="AU135" s="142"/>
      <c r="AV135" s="143"/>
      <c r="AW135" s="142"/>
      <c r="AX135" s="142"/>
      <c r="AY135" s="143"/>
    </row>
    <row r="136" spans="1:51" s="17" customFormat="1" ht="12" customHeight="1" x14ac:dyDescent="0.2">
      <c r="B136" s="6" t="s">
        <v>378</v>
      </c>
      <c r="C136" s="130"/>
      <c r="D136" s="142"/>
      <c r="E136" s="142"/>
      <c r="F136" s="143"/>
      <c r="G136" s="142"/>
      <c r="H136" s="142"/>
      <c r="I136" s="143"/>
      <c r="J136" s="142"/>
      <c r="K136" s="142"/>
      <c r="L136" s="134">
        <v>46</v>
      </c>
      <c r="M136" s="221">
        <v>51</v>
      </c>
      <c r="N136" s="133">
        <f>O136</f>
        <v>55</v>
      </c>
      <c r="O136" s="134">
        <v>55</v>
      </c>
      <c r="P136" s="221">
        <v>62</v>
      </c>
      <c r="Q136" s="263">
        <f>R136</f>
        <v>64</v>
      </c>
      <c r="R136" s="262">
        <v>64</v>
      </c>
      <c r="S136" s="221">
        <v>74</v>
      </c>
      <c r="T136" s="263">
        <f>U136</f>
        <v>81</v>
      </c>
      <c r="U136" s="262">
        <v>81</v>
      </c>
      <c r="V136" s="223">
        <f>+U136+V145</f>
        <v>87</v>
      </c>
      <c r="W136" s="223">
        <f>+V136+W145</f>
        <v>93</v>
      </c>
      <c r="X136" s="264">
        <f t="shared" ref="X136" si="688">+W136</f>
        <v>93</v>
      </c>
      <c r="Y136" s="223">
        <f>+X136+Y145</f>
        <v>99</v>
      </c>
      <c r="Z136" s="223">
        <f>+Y136+Z145</f>
        <v>105</v>
      </c>
      <c r="AA136" s="264">
        <f t="shared" ref="AA136" si="689">+Z136</f>
        <v>105</v>
      </c>
      <c r="AB136" s="223">
        <f>+AA136+AB145</f>
        <v>111</v>
      </c>
      <c r="AC136" s="223">
        <f>+AB136+AC145</f>
        <v>117</v>
      </c>
      <c r="AD136" s="264">
        <f t="shared" ref="AD136" si="690">+AC136</f>
        <v>117</v>
      </c>
      <c r="AE136" s="223">
        <f>+AD136+AE145</f>
        <v>123</v>
      </c>
      <c r="AF136" s="223">
        <f>+AE136+AF145</f>
        <v>129</v>
      </c>
      <c r="AG136" s="264">
        <f t="shared" ref="AG136" si="691">+AF136</f>
        <v>129</v>
      </c>
      <c r="AH136" s="223">
        <f>+AG136+AH145</f>
        <v>135</v>
      </c>
      <c r="AI136" s="223">
        <f>+AH136+AI145</f>
        <v>141</v>
      </c>
      <c r="AJ136" s="264">
        <f t="shared" ref="AJ136:AJ137" si="692">+AI136</f>
        <v>141</v>
      </c>
      <c r="AK136" s="223">
        <f>+AJ136+AK145</f>
        <v>147</v>
      </c>
      <c r="AL136" s="223">
        <f>+AK136+AL145</f>
        <v>153</v>
      </c>
      <c r="AM136" s="264">
        <f t="shared" ref="AM136:AM137" si="693">+AL136</f>
        <v>153</v>
      </c>
      <c r="AN136" s="223">
        <f>+AM136+AN145</f>
        <v>159</v>
      </c>
      <c r="AO136" s="223">
        <f>+AN136+AO145</f>
        <v>165</v>
      </c>
      <c r="AP136" s="264">
        <f t="shared" ref="AP136:AP137" si="694">+AO136</f>
        <v>165</v>
      </c>
      <c r="AQ136" s="223">
        <f>+AP136+AQ145</f>
        <v>171</v>
      </c>
      <c r="AR136" s="223">
        <f>+AQ136+AR145</f>
        <v>177</v>
      </c>
      <c r="AS136" s="264">
        <f t="shared" ref="AS136:AS137" si="695">+AR136</f>
        <v>177</v>
      </c>
      <c r="AT136" s="223">
        <f>+AS136+AT145</f>
        <v>183</v>
      </c>
      <c r="AU136" s="223">
        <f>+AT136+AU145</f>
        <v>189</v>
      </c>
      <c r="AV136" s="264">
        <f t="shared" ref="AV136:AV137" si="696">+AU136</f>
        <v>189</v>
      </c>
      <c r="AW136" s="223">
        <f>+AV136+AW145</f>
        <v>195</v>
      </c>
      <c r="AX136" s="223">
        <f>+AW136+AX145</f>
        <v>201</v>
      </c>
      <c r="AY136" s="264">
        <f t="shared" ref="AY136:AY137" si="697">+AX136</f>
        <v>201</v>
      </c>
    </row>
    <row r="137" spans="1:51" s="17" customFormat="1" ht="12" customHeight="1" x14ac:dyDescent="0.2">
      <c r="B137" s="6" t="s">
        <v>379</v>
      </c>
      <c r="C137" s="130"/>
      <c r="D137" s="142"/>
      <c r="E137" s="142"/>
      <c r="F137" s="143"/>
      <c r="G137" s="142"/>
      <c r="H137" s="142"/>
      <c r="I137" s="143"/>
      <c r="J137" s="142"/>
      <c r="K137" s="142"/>
      <c r="L137" s="134">
        <v>104</v>
      </c>
      <c r="M137" s="221">
        <v>106</v>
      </c>
      <c r="N137" s="133">
        <f>O137</f>
        <v>116</v>
      </c>
      <c r="O137" s="134">
        <v>116</v>
      </c>
      <c r="P137" s="221">
        <v>121</v>
      </c>
      <c r="Q137" s="263">
        <f>R137</f>
        <v>130</v>
      </c>
      <c r="R137" s="262">
        <v>130</v>
      </c>
      <c r="S137" s="221">
        <v>136</v>
      </c>
      <c r="T137" s="263">
        <f>U137</f>
        <v>143</v>
      </c>
      <c r="U137" s="262">
        <v>143</v>
      </c>
      <c r="V137" s="223">
        <f>+U137+V146</f>
        <v>152</v>
      </c>
      <c r="W137" s="223">
        <f>+V137+W146</f>
        <v>161</v>
      </c>
      <c r="X137" s="264">
        <f t="shared" ref="X137" si="698">+W137</f>
        <v>161</v>
      </c>
      <c r="Y137" s="223">
        <f>+X137+Y146</f>
        <v>170</v>
      </c>
      <c r="Z137" s="223">
        <f>+Y137+Z146</f>
        <v>179</v>
      </c>
      <c r="AA137" s="264">
        <f t="shared" ref="AA137" si="699">+Z137</f>
        <v>179</v>
      </c>
      <c r="AB137" s="223">
        <f>+AA137+AB146</f>
        <v>188</v>
      </c>
      <c r="AC137" s="223">
        <f>+AB137+AC146</f>
        <v>197</v>
      </c>
      <c r="AD137" s="264">
        <f t="shared" ref="AD137" si="700">+AC137</f>
        <v>197</v>
      </c>
      <c r="AE137" s="223">
        <f>+AD137+AE146</f>
        <v>206</v>
      </c>
      <c r="AF137" s="223">
        <f>+AE137+AF146</f>
        <v>215</v>
      </c>
      <c r="AG137" s="264">
        <f t="shared" ref="AG137" si="701">+AF137</f>
        <v>215</v>
      </c>
      <c r="AH137" s="223">
        <f>+AG137+AH146</f>
        <v>224</v>
      </c>
      <c r="AI137" s="223">
        <f>+AH137+AI146</f>
        <v>233</v>
      </c>
      <c r="AJ137" s="264">
        <f t="shared" si="692"/>
        <v>233</v>
      </c>
      <c r="AK137" s="223">
        <f>+AJ137+AK146</f>
        <v>242</v>
      </c>
      <c r="AL137" s="223">
        <f>+AK137+AL146</f>
        <v>251</v>
      </c>
      <c r="AM137" s="264">
        <f t="shared" si="693"/>
        <v>251</v>
      </c>
      <c r="AN137" s="223">
        <f>+AM137+AN146</f>
        <v>260</v>
      </c>
      <c r="AO137" s="223">
        <f>+AN137+AO146</f>
        <v>269</v>
      </c>
      <c r="AP137" s="264">
        <f t="shared" si="694"/>
        <v>269</v>
      </c>
      <c r="AQ137" s="223">
        <f>+AP137+AQ146</f>
        <v>278</v>
      </c>
      <c r="AR137" s="223">
        <f>+AQ137+AR146</f>
        <v>287</v>
      </c>
      <c r="AS137" s="264">
        <f t="shared" si="695"/>
        <v>287</v>
      </c>
      <c r="AT137" s="223">
        <f>+AS137+AT146</f>
        <v>296</v>
      </c>
      <c r="AU137" s="223">
        <f>+AT137+AU146</f>
        <v>305</v>
      </c>
      <c r="AV137" s="264">
        <f t="shared" si="696"/>
        <v>305</v>
      </c>
      <c r="AW137" s="223">
        <f>+AV137+AW146</f>
        <v>314</v>
      </c>
      <c r="AX137" s="223">
        <f>+AW137+AX146</f>
        <v>323</v>
      </c>
      <c r="AY137" s="264">
        <f t="shared" si="697"/>
        <v>323</v>
      </c>
    </row>
    <row r="138" spans="1:51" s="17" customFormat="1" ht="12" customHeight="1" x14ac:dyDescent="0.2">
      <c r="B138" s="161" t="s">
        <v>380</v>
      </c>
      <c r="C138" s="265"/>
      <c r="D138" s="168"/>
      <c r="E138" s="168"/>
      <c r="F138" s="356">
        <v>122</v>
      </c>
      <c r="G138" s="168"/>
      <c r="H138" s="168"/>
      <c r="I138" s="356">
        <v>140</v>
      </c>
      <c r="J138" s="168"/>
      <c r="K138" s="168"/>
      <c r="L138" s="281">
        <f>SUM(L136:L137)</f>
        <v>150</v>
      </c>
      <c r="M138" s="266">
        <f t="shared" ref="M138:R138" si="702">SUM(M136:M137)</f>
        <v>157</v>
      </c>
      <c r="N138" s="266">
        <f t="shared" si="702"/>
        <v>171</v>
      </c>
      <c r="O138" s="281">
        <f t="shared" si="702"/>
        <v>171</v>
      </c>
      <c r="P138" s="266">
        <f t="shared" si="702"/>
        <v>183</v>
      </c>
      <c r="Q138" s="266">
        <f t="shared" si="702"/>
        <v>194</v>
      </c>
      <c r="R138" s="281">
        <f t="shared" si="702"/>
        <v>194</v>
      </c>
      <c r="S138" s="266">
        <f t="shared" ref="S138:U138" si="703">SUM(S136:S137)</f>
        <v>210</v>
      </c>
      <c r="T138" s="266">
        <f t="shared" si="703"/>
        <v>224</v>
      </c>
      <c r="U138" s="281">
        <f t="shared" si="703"/>
        <v>224</v>
      </c>
      <c r="V138" s="266">
        <f t="shared" ref="V138" si="704">SUM(V136:V137)</f>
        <v>239</v>
      </c>
      <c r="W138" s="266">
        <f t="shared" ref="W138" si="705">SUM(W136:W137)</f>
        <v>254</v>
      </c>
      <c r="X138" s="281">
        <f t="shared" ref="X138" si="706">SUM(X136:X137)</f>
        <v>254</v>
      </c>
      <c r="Y138" s="266">
        <f t="shared" ref="Y138" si="707">SUM(Y136:Y137)</f>
        <v>269</v>
      </c>
      <c r="Z138" s="266">
        <f t="shared" ref="Z138" si="708">SUM(Z136:Z137)</f>
        <v>284</v>
      </c>
      <c r="AA138" s="281">
        <f t="shared" ref="AA138" si="709">SUM(AA136:AA137)</f>
        <v>284</v>
      </c>
      <c r="AB138" s="266">
        <f t="shared" ref="AB138" si="710">SUM(AB136:AB137)</f>
        <v>299</v>
      </c>
      <c r="AC138" s="266">
        <f t="shared" ref="AC138" si="711">SUM(AC136:AC137)</f>
        <v>314</v>
      </c>
      <c r="AD138" s="281">
        <f t="shared" ref="AD138" si="712">SUM(AD136:AD137)</f>
        <v>314</v>
      </c>
      <c r="AE138" s="266">
        <f t="shared" ref="AE138" si="713">SUM(AE136:AE137)</f>
        <v>329</v>
      </c>
      <c r="AF138" s="266">
        <f t="shared" ref="AF138" si="714">SUM(AF136:AF137)</f>
        <v>344</v>
      </c>
      <c r="AG138" s="281">
        <f t="shared" ref="AG138" si="715">SUM(AG136:AG137)</f>
        <v>344</v>
      </c>
      <c r="AH138" s="266">
        <f t="shared" ref="AH138" si="716">SUM(AH136:AH137)</f>
        <v>359</v>
      </c>
      <c r="AI138" s="266">
        <f t="shared" ref="AI138" si="717">SUM(AI136:AI137)</f>
        <v>374</v>
      </c>
      <c r="AJ138" s="281">
        <f t="shared" ref="AJ138:AL138" si="718">SUM(AJ136:AJ137)</f>
        <v>374</v>
      </c>
      <c r="AK138" s="266">
        <f t="shared" si="718"/>
        <v>389</v>
      </c>
      <c r="AL138" s="266">
        <f t="shared" si="718"/>
        <v>404</v>
      </c>
      <c r="AM138" s="281">
        <f t="shared" ref="AM138:AO138" si="719">SUM(AM136:AM137)</f>
        <v>404</v>
      </c>
      <c r="AN138" s="266">
        <f t="shared" si="719"/>
        <v>419</v>
      </c>
      <c r="AO138" s="266">
        <f t="shared" si="719"/>
        <v>434</v>
      </c>
      <c r="AP138" s="281">
        <f t="shared" ref="AP138:AR138" si="720">SUM(AP136:AP137)</f>
        <v>434</v>
      </c>
      <c r="AQ138" s="266">
        <f t="shared" si="720"/>
        <v>449</v>
      </c>
      <c r="AR138" s="266">
        <f t="shared" si="720"/>
        <v>464</v>
      </c>
      <c r="AS138" s="281">
        <f t="shared" ref="AS138:AU138" si="721">SUM(AS136:AS137)</f>
        <v>464</v>
      </c>
      <c r="AT138" s="266">
        <f t="shared" si="721"/>
        <v>479</v>
      </c>
      <c r="AU138" s="266">
        <f t="shared" si="721"/>
        <v>494</v>
      </c>
      <c r="AV138" s="281">
        <f t="shared" ref="AV138:AX138" si="722">SUM(AV136:AV137)</f>
        <v>494</v>
      </c>
      <c r="AW138" s="266">
        <f t="shared" si="722"/>
        <v>509</v>
      </c>
      <c r="AX138" s="266">
        <f t="shared" si="722"/>
        <v>524</v>
      </c>
      <c r="AY138" s="281">
        <f t="shared" ref="AY138" si="723">SUM(AY136:AY137)</f>
        <v>524</v>
      </c>
    </row>
    <row r="139" spans="1:51" s="17" customFormat="1" ht="12" customHeight="1" x14ac:dyDescent="0.2">
      <c r="B139" s="6" t="s">
        <v>384</v>
      </c>
      <c r="C139" s="130"/>
      <c r="D139" s="142"/>
      <c r="E139" s="142"/>
      <c r="F139" s="382">
        <v>11</v>
      </c>
      <c r="G139" s="142"/>
      <c r="H139" s="142"/>
      <c r="I139" s="382">
        <v>12</v>
      </c>
      <c r="J139" s="142"/>
      <c r="K139" s="142"/>
      <c r="L139" s="382">
        <v>13</v>
      </c>
      <c r="M139" s="142"/>
      <c r="N139" s="142"/>
      <c r="O139" s="134">
        <v>16</v>
      </c>
      <c r="P139" s="221">
        <v>16</v>
      </c>
      <c r="Q139" s="263">
        <f>R139</f>
        <v>17</v>
      </c>
      <c r="R139" s="262">
        <v>17</v>
      </c>
      <c r="S139" s="221">
        <v>20</v>
      </c>
      <c r="T139" s="263">
        <f>U139</f>
        <v>21</v>
      </c>
      <c r="U139" s="262">
        <v>21</v>
      </c>
      <c r="V139" s="223">
        <f>+U139+V148</f>
        <v>22</v>
      </c>
      <c r="W139" s="223">
        <f>+V139+W148</f>
        <v>23</v>
      </c>
      <c r="X139" s="264">
        <f t="shared" ref="X139:AJ140" si="724">+W139</f>
        <v>23</v>
      </c>
      <c r="Y139" s="223">
        <f>+X139+Y148</f>
        <v>24</v>
      </c>
      <c r="Z139" s="223">
        <f>+Y139+Z148</f>
        <v>25</v>
      </c>
      <c r="AA139" s="264">
        <f t="shared" si="724"/>
        <v>25</v>
      </c>
      <c r="AB139" s="223">
        <f>+AA139+AB148</f>
        <v>26</v>
      </c>
      <c r="AC139" s="223">
        <f>+AB139+AC148</f>
        <v>27</v>
      </c>
      <c r="AD139" s="264">
        <f t="shared" si="724"/>
        <v>27</v>
      </c>
      <c r="AE139" s="223">
        <f>+AD139+AE148</f>
        <v>28</v>
      </c>
      <c r="AF139" s="223">
        <f>+AE139+AF148</f>
        <v>29</v>
      </c>
      <c r="AG139" s="264">
        <f t="shared" si="724"/>
        <v>29</v>
      </c>
      <c r="AH139" s="223">
        <f>+AG139+AH148</f>
        <v>30</v>
      </c>
      <c r="AI139" s="223">
        <f>+AH139+AI148</f>
        <v>31</v>
      </c>
      <c r="AJ139" s="264">
        <f t="shared" si="724"/>
        <v>31</v>
      </c>
      <c r="AK139" s="223">
        <f>+AJ139+AK148</f>
        <v>32</v>
      </c>
      <c r="AL139" s="223">
        <f>+AK139+AL148</f>
        <v>33</v>
      </c>
      <c r="AM139" s="264">
        <f t="shared" ref="AM139:AM140" si="725">+AL139</f>
        <v>33</v>
      </c>
      <c r="AN139" s="223">
        <f>+AM139+AN148</f>
        <v>34</v>
      </c>
      <c r="AO139" s="223">
        <f>+AN139+AO148</f>
        <v>35</v>
      </c>
      <c r="AP139" s="264">
        <f t="shared" ref="AP139:AP140" si="726">+AO139</f>
        <v>35</v>
      </c>
      <c r="AQ139" s="223">
        <f>+AP139+AQ148</f>
        <v>36</v>
      </c>
      <c r="AR139" s="223">
        <f>+AQ139+AR148</f>
        <v>37</v>
      </c>
      <c r="AS139" s="264">
        <f t="shared" ref="AS139:AS140" si="727">+AR139</f>
        <v>37</v>
      </c>
      <c r="AT139" s="223">
        <f>+AS139+AT148</f>
        <v>38</v>
      </c>
      <c r="AU139" s="223">
        <f>+AT139+AU148</f>
        <v>39</v>
      </c>
      <c r="AV139" s="264">
        <f t="shared" ref="AV139:AV140" si="728">+AU139</f>
        <v>39</v>
      </c>
      <c r="AW139" s="223">
        <f>+AV139+AW148</f>
        <v>40</v>
      </c>
      <c r="AX139" s="223">
        <f>+AW139+AX148</f>
        <v>41</v>
      </c>
      <c r="AY139" s="264">
        <f t="shared" ref="AY139:AY140" si="729">+AX139</f>
        <v>41</v>
      </c>
    </row>
    <row r="140" spans="1:51" s="17" customFormat="1" ht="12" customHeight="1" x14ac:dyDescent="0.2">
      <c r="B140" s="6" t="s">
        <v>385</v>
      </c>
      <c r="C140" s="130"/>
      <c r="D140" s="142"/>
      <c r="E140" s="142"/>
      <c r="F140" s="382">
        <v>4</v>
      </c>
      <c r="G140" s="142"/>
      <c r="H140" s="142"/>
      <c r="I140" s="382">
        <v>4</v>
      </c>
      <c r="J140" s="142"/>
      <c r="K140" s="142"/>
      <c r="L140" s="382">
        <v>4</v>
      </c>
      <c r="M140" s="142"/>
      <c r="N140" s="142"/>
      <c r="O140" s="134">
        <v>4</v>
      </c>
      <c r="P140" s="221">
        <v>5</v>
      </c>
      <c r="Q140" s="263">
        <f>R140</f>
        <v>5</v>
      </c>
      <c r="R140" s="262">
        <v>5</v>
      </c>
      <c r="S140" s="221">
        <v>5</v>
      </c>
      <c r="T140" s="263">
        <f>U140</f>
        <v>5</v>
      </c>
      <c r="U140" s="262">
        <v>5</v>
      </c>
      <c r="V140" s="223">
        <f>+U140+V149</f>
        <v>6</v>
      </c>
      <c r="W140" s="223">
        <f>+V140+W149</f>
        <v>7</v>
      </c>
      <c r="X140" s="264">
        <f t="shared" si="724"/>
        <v>7</v>
      </c>
      <c r="Y140" s="223">
        <f>+X140+Y149</f>
        <v>8</v>
      </c>
      <c r="Z140" s="223">
        <f>+Y140+Z149</f>
        <v>9</v>
      </c>
      <c r="AA140" s="264">
        <f t="shared" si="724"/>
        <v>9</v>
      </c>
      <c r="AB140" s="223">
        <f>+AA140+AB149</f>
        <v>10</v>
      </c>
      <c r="AC140" s="223">
        <f>+AB140+AC149</f>
        <v>11</v>
      </c>
      <c r="AD140" s="264">
        <f t="shared" si="724"/>
        <v>11</v>
      </c>
      <c r="AE140" s="223">
        <f>+AD140+AE149</f>
        <v>12</v>
      </c>
      <c r="AF140" s="223">
        <f>+AE140+AF149</f>
        <v>13</v>
      </c>
      <c r="AG140" s="264">
        <f t="shared" si="724"/>
        <v>13</v>
      </c>
      <c r="AH140" s="223">
        <f>+AG140+AH149</f>
        <v>14</v>
      </c>
      <c r="AI140" s="223">
        <f>+AH140+AI149</f>
        <v>15</v>
      </c>
      <c r="AJ140" s="264">
        <f t="shared" si="724"/>
        <v>15</v>
      </c>
      <c r="AK140" s="223">
        <f>+AJ140+AK149</f>
        <v>16</v>
      </c>
      <c r="AL140" s="223">
        <f>+AK140+AL149</f>
        <v>17</v>
      </c>
      <c r="AM140" s="264">
        <f t="shared" si="725"/>
        <v>17</v>
      </c>
      <c r="AN140" s="223">
        <f>+AM140+AN149</f>
        <v>18</v>
      </c>
      <c r="AO140" s="223">
        <f>+AN140+AO149</f>
        <v>19</v>
      </c>
      <c r="AP140" s="264">
        <f t="shared" si="726"/>
        <v>19</v>
      </c>
      <c r="AQ140" s="223">
        <f>+AP140+AQ149</f>
        <v>20</v>
      </c>
      <c r="AR140" s="223">
        <f>+AQ140+AR149</f>
        <v>21</v>
      </c>
      <c r="AS140" s="264">
        <f t="shared" si="727"/>
        <v>21</v>
      </c>
      <c r="AT140" s="223">
        <f>+AS140+AT149</f>
        <v>22</v>
      </c>
      <c r="AU140" s="223">
        <f>+AT140+AU149</f>
        <v>23</v>
      </c>
      <c r="AV140" s="264">
        <f t="shared" si="728"/>
        <v>23</v>
      </c>
      <c r="AW140" s="223">
        <f>+AV140+AW149</f>
        <v>24</v>
      </c>
      <c r="AX140" s="223">
        <f>+AW140+AX149</f>
        <v>25</v>
      </c>
      <c r="AY140" s="264">
        <f t="shared" si="729"/>
        <v>25</v>
      </c>
    </row>
    <row r="141" spans="1:51" s="17" customFormat="1" ht="12" customHeight="1" x14ac:dyDescent="0.2">
      <c r="B141" s="161" t="s">
        <v>376</v>
      </c>
      <c r="C141" s="268"/>
      <c r="D141" s="233"/>
      <c r="E141" s="233"/>
      <c r="F141" s="281">
        <f t="shared" ref="F141" si="730">SUM(F138:F140)</f>
        <v>137</v>
      </c>
      <c r="G141" s="233"/>
      <c r="H141" s="233"/>
      <c r="I141" s="281">
        <f t="shared" ref="I141" si="731">SUM(I138:I140)</f>
        <v>156</v>
      </c>
      <c r="J141" s="233"/>
      <c r="K141" s="233"/>
      <c r="L141" s="281">
        <f t="shared" ref="L141" si="732">SUM(L138:L140)</f>
        <v>167</v>
      </c>
      <c r="M141" s="233"/>
      <c r="N141" s="233"/>
      <c r="O141" s="281">
        <f t="shared" ref="O141:Q141" si="733">SUM(O138:O140)</f>
        <v>191</v>
      </c>
      <c r="P141" s="282">
        <f t="shared" si="733"/>
        <v>204</v>
      </c>
      <c r="Q141" s="282">
        <f t="shared" si="733"/>
        <v>216</v>
      </c>
      <c r="R141" s="281">
        <f>SUM(R138:R140)</f>
        <v>216</v>
      </c>
      <c r="S141" s="282">
        <f t="shared" ref="S141:T141" si="734">SUM(S138:S140)</f>
        <v>235</v>
      </c>
      <c r="T141" s="282">
        <f t="shared" si="734"/>
        <v>250</v>
      </c>
      <c r="U141" s="281">
        <f>SUM(U138:U140)</f>
        <v>250</v>
      </c>
      <c r="V141" s="282">
        <f t="shared" ref="V141" si="735">SUM(V138:V140)</f>
        <v>267</v>
      </c>
      <c r="W141" s="282">
        <f t="shared" ref="W141" si="736">SUM(W138:W140)</f>
        <v>284</v>
      </c>
      <c r="X141" s="281">
        <f t="shared" ref="X141" si="737">SUM(X138:X140)</f>
        <v>284</v>
      </c>
      <c r="Y141" s="282">
        <f t="shared" ref="Y141" si="738">SUM(Y138:Y140)</f>
        <v>301</v>
      </c>
      <c r="Z141" s="282">
        <f t="shared" ref="Z141" si="739">SUM(Z138:Z140)</f>
        <v>318</v>
      </c>
      <c r="AA141" s="281">
        <f t="shared" ref="AA141" si="740">SUM(AA138:AA140)</f>
        <v>318</v>
      </c>
      <c r="AB141" s="282">
        <f t="shared" ref="AB141" si="741">SUM(AB138:AB140)</f>
        <v>335</v>
      </c>
      <c r="AC141" s="282">
        <f t="shared" ref="AC141" si="742">SUM(AC138:AC140)</f>
        <v>352</v>
      </c>
      <c r="AD141" s="281">
        <f t="shared" ref="AD141" si="743">SUM(AD138:AD140)</f>
        <v>352</v>
      </c>
      <c r="AE141" s="282">
        <f t="shared" ref="AE141" si="744">SUM(AE138:AE140)</f>
        <v>369</v>
      </c>
      <c r="AF141" s="282">
        <f t="shared" ref="AF141" si="745">SUM(AF138:AF140)</f>
        <v>386</v>
      </c>
      <c r="AG141" s="281">
        <f t="shared" ref="AG141" si="746">SUM(AG138:AG140)</f>
        <v>386</v>
      </c>
      <c r="AH141" s="282">
        <f t="shared" ref="AH141" si="747">SUM(AH138:AH140)</f>
        <v>403</v>
      </c>
      <c r="AI141" s="282">
        <f t="shared" ref="AI141" si="748">SUM(AI138:AI140)</f>
        <v>420</v>
      </c>
      <c r="AJ141" s="281">
        <f t="shared" ref="AJ141:AL141" si="749">SUM(AJ138:AJ140)</f>
        <v>420</v>
      </c>
      <c r="AK141" s="282">
        <f t="shared" si="749"/>
        <v>437</v>
      </c>
      <c r="AL141" s="282">
        <f t="shared" si="749"/>
        <v>454</v>
      </c>
      <c r="AM141" s="281">
        <f t="shared" ref="AM141:AO141" si="750">SUM(AM138:AM140)</f>
        <v>454</v>
      </c>
      <c r="AN141" s="282">
        <f t="shared" si="750"/>
        <v>471</v>
      </c>
      <c r="AO141" s="282">
        <f t="shared" si="750"/>
        <v>488</v>
      </c>
      <c r="AP141" s="281">
        <f t="shared" ref="AP141:AR141" si="751">SUM(AP138:AP140)</f>
        <v>488</v>
      </c>
      <c r="AQ141" s="282">
        <f t="shared" si="751"/>
        <v>505</v>
      </c>
      <c r="AR141" s="282">
        <f t="shared" si="751"/>
        <v>522</v>
      </c>
      <c r="AS141" s="281">
        <f t="shared" ref="AS141:AU141" si="752">SUM(AS138:AS140)</f>
        <v>522</v>
      </c>
      <c r="AT141" s="282">
        <f t="shared" si="752"/>
        <v>539</v>
      </c>
      <c r="AU141" s="282">
        <f t="shared" si="752"/>
        <v>556</v>
      </c>
      <c r="AV141" s="281">
        <f t="shared" ref="AV141:AX141" si="753">SUM(AV138:AV140)</f>
        <v>556</v>
      </c>
      <c r="AW141" s="282">
        <f t="shared" si="753"/>
        <v>573</v>
      </c>
      <c r="AX141" s="282">
        <f t="shared" si="753"/>
        <v>590</v>
      </c>
      <c r="AY141" s="281">
        <f t="shared" ref="AY141" si="754">SUM(AY138:AY140)</f>
        <v>590</v>
      </c>
    </row>
    <row r="142" spans="1:51" s="17" customFormat="1" ht="12" customHeight="1" x14ac:dyDescent="0.2">
      <c r="B142" s="6"/>
      <c r="C142" s="130"/>
      <c r="D142" s="142"/>
      <c r="E142" s="142"/>
      <c r="F142" s="143"/>
      <c r="G142" s="142"/>
      <c r="H142" s="142"/>
      <c r="I142" s="143"/>
      <c r="J142" s="142"/>
      <c r="K142" s="142"/>
      <c r="L142" s="143"/>
      <c r="M142" s="142"/>
      <c r="N142" s="142"/>
      <c r="O142" s="143"/>
      <c r="P142" s="142"/>
      <c r="Q142" s="142"/>
      <c r="R142" s="143"/>
      <c r="S142" s="142"/>
      <c r="T142" s="142"/>
      <c r="U142" s="143"/>
      <c r="V142" s="223"/>
      <c r="W142" s="223"/>
      <c r="X142" s="264"/>
      <c r="Y142" s="223"/>
      <c r="Z142" s="223"/>
      <c r="AA142" s="264"/>
      <c r="AB142" s="223"/>
      <c r="AC142" s="223"/>
      <c r="AD142" s="264"/>
      <c r="AE142" s="223"/>
      <c r="AF142" s="223"/>
      <c r="AG142" s="264"/>
      <c r="AH142" s="223"/>
      <c r="AI142" s="223"/>
      <c r="AJ142" s="264"/>
      <c r="AK142" s="223"/>
      <c r="AL142" s="223"/>
      <c r="AM142" s="264"/>
      <c r="AN142" s="223"/>
      <c r="AO142" s="223"/>
      <c r="AP142" s="264"/>
      <c r="AQ142" s="223"/>
      <c r="AR142" s="223"/>
      <c r="AS142" s="264"/>
      <c r="AT142" s="223"/>
      <c r="AU142" s="223"/>
      <c r="AV142" s="264"/>
      <c r="AW142" s="223"/>
      <c r="AX142" s="223"/>
      <c r="AY142" s="264"/>
    </row>
    <row r="143" spans="1:51" s="17" customFormat="1" ht="12" customHeight="1" x14ac:dyDescent="0.2">
      <c r="A143" s="138"/>
      <c r="B143" s="6"/>
      <c r="C143" s="130"/>
      <c r="D143" s="142"/>
      <c r="E143" s="142"/>
      <c r="F143" s="143"/>
      <c r="G143" s="142"/>
      <c r="H143" s="142"/>
      <c r="I143" s="143"/>
      <c r="J143" s="142"/>
      <c r="K143" s="142"/>
      <c r="L143" s="143"/>
      <c r="M143" s="142"/>
      <c r="N143" s="142"/>
      <c r="O143" s="143"/>
      <c r="P143" s="142"/>
      <c r="Q143" s="142"/>
      <c r="R143" s="143"/>
      <c r="S143" s="142"/>
      <c r="T143" s="142"/>
      <c r="U143" s="143"/>
      <c r="V143" s="142"/>
      <c r="W143" s="223"/>
      <c r="X143" s="297"/>
      <c r="Y143" s="223"/>
      <c r="Z143" s="223"/>
      <c r="AA143" s="264"/>
      <c r="AB143" s="223"/>
      <c r="AC143" s="223"/>
      <c r="AD143" s="264"/>
      <c r="AE143" s="223"/>
      <c r="AF143" s="223"/>
      <c r="AG143" s="264"/>
      <c r="AH143" s="223"/>
      <c r="AI143" s="223"/>
      <c r="AJ143" s="264"/>
      <c r="AK143" s="223"/>
      <c r="AL143" s="358"/>
      <c r="AM143" s="264"/>
      <c r="AN143" s="223"/>
      <c r="AO143" s="223"/>
      <c r="AP143" s="264"/>
      <c r="AQ143" s="223"/>
      <c r="AR143" s="223"/>
      <c r="AS143" s="264"/>
      <c r="AT143" s="223"/>
      <c r="AU143" s="223"/>
      <c r="AV143" s="264"/>
      <c r="AW143" s="223"/>
      <c r="AX143" s="223"/>
      <c r="AY143" s="264"/>
    </row>
    <row r="144" spans="1:51" s="17" customFormat="1" ht="12" customHeight="1" x14ac:dyDescent="0.2">
      <c r="A144" s="138"/>
      <c r="B144" s="10" t="s">
        <v>319</v>
      </c>
      <c r="C144" s="130"/>
      <c r="D144" s="142"/>
      <c r="E144" s="142"/>
      <c r="F144" s="143"/>
      <c r="G144" s="142"/>
      <c r="H144" s="142"/>
      <c r="I144" s="143"/>
      <c r="J144" s="142"/>
      <c r="K144" s="142"/>
      <c r="L144" s="143"/>
      <c r="M144" s="142"/>
      <c r="N144" s="142"/>
      <c r="O144" s="143"/>
      <c r="P144" s="142"/>
      <c r="Q144" s="142"/>
      <c r="R144" s="143"/>
      <c r="S144" s="142"/>
      <c r="T144" s="142"/>
      <c r="U144" s="143"/>
      <c r="V144" s="223"/>
      <c r="W144" s="223"/>
      <c r="X144" s="264"/>
      <c r="Y144" s="223"/>
      <c r="Z144" s="223"/>
      <c r="AA144" s="264"/>
      <c r="AB144" s="223"/>
      <c r="AC144" s="223"/>
      <c r="AD144" s="264"/>
      <c r="AE144" s="223"/>
      <c r="AF144" s="223"/>
      <c r="AG144" s="297"/>
      <c r="AH144" s="223"/>
      <c r="AI144" s="223"/>
      <c r="AJ144" s="264"/>
      <c r="AK144" s="223"/>
      <c r="AL144" s="223"/>
      <c r="AM144" s="264"/>
      <c r="AN144" s="223"/>
      <c r="AO144" s="223"/>
      <c r="AP144" s="264"/>
      <c r="AQ144" s="223"/>
      <c r="AR144" s="223"/>
      <c r="AS144" s="264"/>
      <c r="AT144" s="223"/>
      <c r="AU144" s="223"/>
      <c r="AV144" s="264"/>
      <c r="AW144" s="223"/>
      <c r="AX144" s="223"/>
      <c r="AY144" s="264"/>
    </row>
    <row r="145" spans="1:51" s="17" customFormat="1" ht="12" customHeight="1" x14ac:dyDescent="0.2">
      <c r="A145" s="138"/>
      <c r="B145" s="6" t="s">
        <v>378</v>
      </c>
      <c r="C145" s="130"/>
      <c r="D145" s="142"/>
      <c r="E145" s="142"/>
      <c r="F145" s="143"/>
      <c r="G145" s="142"/>
      <c r="H145" s="142"/>
      <c r="I145" s="143"/>
      <c r="J145" s="142"/>
      <c r="K145" s="142"/>
      <c r="L145" s="143"/>
      <c r="M145" s="223">
        <f>+M136-L136</f>
        <v>5</v>
      </c>
      <c r="N145" s="223">
        <f>+N136-M136</f>
        <v>4</v>
      </c>
      <c r="O145" s="264">
        <f>+O136-L136</f>
        <v>9</v>
      </c>
      <c r="P145" s="223">
        <f>+P136-O136</f>
        <v>7</v>
      </c>
      <c r="Q145" s="223">
        <f>+Q136-P136</f>
        <v>2</v>
      </c>
      <c r="R145" s="264">
        <f>+R136-O136</f>
        <v>9</v>
      </c>
      <c r="S145" s="223">
        <f>+S136-R136</f>
        <v>10</v>
      </c>
      <c r="T145" s="223">
        <f>+T136-S136</f>
        <v>7</v>
      </c>
      <c r="U145" s="264">
        <f>+U136-R136</f>
        <v>17</v>
      </c>
      <c r="V145" s="283">
        <v>6</v>
      </c>
      <c r="W145" s="283">
        <v>6</v>
      </c>
      <c r="X145" s="264">
        <f t="shared" ref="X145:X146" si="755">+W145+V145</f>
        <v>12</v>
      </c>
      <c r="Y145" s="283">
        <v>6</v>
      </c>
      <c r="Z145" s="283">
        <v>6</v>
      </c>
      <c r="AA145" s="264">
        <f t="shared" ref="AA145:AA146" si="756">+Z145+Y145</f>
        <v>12</v>
      </c>
      <c r="AB145" s="283">
        <v>6</v>
      </c>
      <c r="AC145" s="283">
        <v>6</v>
      </c>
      <c r="AD145" s="264">
        <f t="shared" ref="AD145:AD146" si="757">+AC145+AB145</f>
        <v>12</v>
      </c>
      <c r="AE145" s="283">
        <v>6</v>
      </c>
      <c r="AF145" s="283">
        <v>6</v>
      </c>
      <c r="AG145" s="264">
        <f t="shared" ref="AG145:AG146" si="758">+AF145+AE145</f>
        <v>12</v>
      </c>
      <c r="AH145" s="283">
        <v>6</v>
      </c>
      <c r="AI145" s="283">
        <v>6</v>
      </c>
      <c r="AJ145" s="264">
        <f t="shared" ref="AJ145:AJ146" si="759">+AI145+AH145</f>
        <v>12</v>
      </c>
      <c r="AK145" s="283">
        <v>6</v>
      </c>
      <c r="AL145" s="283">
        <v>6</v>
      </c>
      <c r="AM145" s="264">
        <f t="shared" ref="AM145:AM146" si="760">+AL145+AK145</f>
        <v>12</v>
      </c>
      <c r="AN145" s="283">
        <v>6</v>
      </c>
      <c r="AO145" s="283">
        <v>6</v>
      </c>
      <c r="AP145" s="264">
        <f t="shared" ref="AP145:AP146" si="761">+AO145+AN145</f>
        <v>12</v>
      </c>
      <c r="AQ145" s="283">
        <v>6</v>
      </c>
      <c r="AR145" s="283">
        <v>6</v>
      </c>
      <c r="AS145" s="264">
        <f t="shared" ref="AS145:AS146" si="762">+AR145+AQ145</f>
        <v>12</v>
      </c>
      <c r="AT145" s="283">
        <v>6</v>
      </c>
      <c r="AU145" s="283">
        <v>6</v>
      </c>
      <c r="AV145" s="264">
        <f t="shared" ref="AV145:AV146" si="763">+AU145+AT145</f>
        <v>12</v>
      </c>
      <c r="AW145" s="283">
        <v>6</v>
      </c>
      <c r="AX145" s="283">
        <v>6</v>
      </c>
      <c r="AY145" s="264">
        <f t="shared" ref="AY145:AY146" si="764">+AX145+AW145</f>
        <v>12</v>
      </c>
    </row>
    <row r="146" spans="1:51" s="17" customFormat="1" ht="12" customHeight="1" x14ac:dyDescent="0.2">
      <c r="A146" s="138"/>
      <c r="B146" s="6" t="s">
        <v>379</v>
      </c>
      <c r="C146" s="130"/>
      <c r="D146" s="142"/>
      <c r="E146" s="142"/>
      <c r="F146" s="143"/>
      <c r="G146" s="142"/>
      <c r="H146" s="142"/>
      <c r="I146" s="143"/>
      <c r="J146" s="142"/>
      <c r="K146" s="142"/>
      <c r="L146" s="143"/>
      <c r="M146" s="223">
        <f>+M137-L137</f>
        <v>2</v>
      </c>
      <c r="N146" s="223">
        <f>+N137-M137</f>
        <v>10</v>
      </c>
      <c r="O146" s="264">
        <f>+O137-L137</f>
        <v>12</v>
      </c>
      <c r="P146" s="223">
        <f>+P137-O137</f>
        <v>5</v>
      </c>
      <c r="Q146" s="223">
        <f>+Q137-P137</f>
        <v>9</v>
      </c>
      <c r="R146" s="264">
        <f>+R137-O137</f>
        <v>14</v>
      </c>
      <c r="S146" s="223">
        <f>+S137-R137</f>
        <v>6</v>
      </c>
      <c r="T146" s="223">
        <f>+T137-S137</f>
        <v>7</v>
      </c>
      <c r="U146" s="264">
        <f>+U137-R137</f>
        <v>13</v>
      </c>
      <c r="V146" s="283">
        <v>9</v>
      </c>
      <c r="W146" s="283">
        <v>9</v>
      </c>
      <c r="X146" s="264">
        <f t="shared" si="755"/>
        <v>18</v>
      </c>
      <c r="Y146" s="283">
        <v>9</v>
      </c>
      <c r="Z146" s="283">
        <v>9</v>
      </c>
      <c r="AA146" s="264">
        <f t="shared" si="756"/>
        <v>18</v>
      </c>
      <c r="AB146" s="283">
        <v>9</v>
      </c>
      <c r="AC146" s="283">
        <v>9</v>
      </c>
      <c r="AD146" s="264">
        <f t="shared" si="757"/>
        <v>18</v>
      </c>
      <c r="AE146" s="283">
        <v>9</v>
      </c>
      <c r="AF146" s="283">
        <v>9</v>
      </c>
      <c r="AG146" s="264">
        <f t="shared" si="758"/>
        <v>18</v>
      </c>
      <c r="AH146" s="283">
        <v>9</v>
      </c>
      <c r="AI146" s="283">
        <v>9</v>
      </c>
      <c r="AJ146" s="264">
        <f t="shared" si="759"/>
        <v>18</v>
      </c>
      <c r="AK146" s="283">
        <v>9</v>
      </c>
      <c r="AL146" s="283">
        <v>9</v>
      </c>
      <c r="AM146" s="264">
        <f t="shared" si="760"/>
        <v>18</v>
      </c>
      <c r="AN146" s="283">
        <v>9</v>
      </c>
      <c r="AO146" s="283">
        <v>9</v>
      </c>
      <c r="AP146" s="264">
        <f t="shared" si="761"/>
        <v>18</v>
      </c>
      <c r="AQ146" s="283">
        <v>9</v>
      </c>
      <c r="AR146" s="283">
        <v>9</v>
      </c>
      <c r="AS146" s="264">
        <f t="shared" si="762"/>
        <v>18</v>
      </c>
      <c r="AT146" s="283">
        <v>9</v>
      </c>
      <c r="AU146" s="283">
        <v>9</v>
      </c>
      <c r="AV146" s="264">
        <f t="shared" si="763"/>
        <v>18</v>
      </c>
      <c r="AW146" s="283">
        <v>9</v>
      </c>
      <c r="AX146" s="283">
        <v>9</v>
      </c>
      <c r="AY146" s="264">
        <f t="shared" si="764"/>
        <v>18</v>
      </c>
    </row>
    <row r="147" spans="1:51" s="17" customFormat="1" ht="12" customHeight="1" x14ac:dyDescent="0.2">
      <c r="A147" s="138"/>
      <c r="B147" s="161" t="s">
        <v>380</v>
      </c>
      <c r="C147" s="265"/>
      <c r="D147" s="168"/>
      <c r="E147" s="168"/>
      <c r="F147" s="169"/>
      <c r="G147" s="168"/>
      <c r="H147" s="168"/>
      <c r="I147" s="281">
        <f>+I138-F138</f>
        <v>18</v>
      </c>
      <c r="J147" s="168"/>
      <c r="K147" s="168"/>
      <c r="L147" s="281">
        <f>+L138-I138</f>
        <v>10</v>
      </c>
      <c r="M147" s="266">
        <f t="shared" ref="M147:Q147" si="765">SUM(M145:M146)</f>
        <v>7</v>
      </c>
      <c r="N147" s="266">
        <f t="shared" si="765"/>
        <v>14</v>
      </c>
      <c r="O147" s="281">
        <f t="shared" si="765"/>
        <v>21</v>
      </c>
      <c r="P147" s="266">
        <f t="shared" si="765"/>
        <v>12</v>
      </c>
      <c r="Q147" s="266">
        <f t="shared" si="765"/>
        <v>11</v>
      </c>
      <c r="R147" s="281">
        <f>SUM(R145:R146)</f>
        <v>23</v>
      </c>
      <c r="S147" s="266">
        <f t="shared" ref="S147:T147" si="766">SUM(S145:S146)</f>
        <v>16</v>
      </c>
      <c r="T147" s="266">
        <f t="shared" si="766"/>
        <v>14</v>
      </c>
      <c r="U147" s="281">
        <f>SUM(U145:U146)</f>
        <v>30</v>
      </c>
      <c r="V147" s="266">
        <f t="shared" ref="V147" si="767">SUM(V145:V146)</f>
        <v>15</v>
      </c>
      <c r="W147" s="266">
        <f t="shared" ref="W147" si="768">SUM(W145:W146)</f>
        <v>15</v>
      </c>
      <c r="X147" s="384">
        <f t="shared" ref="X147" si="769">SUM(X145:X146)</f>
        <v>30</v>
      </c>
      <c r="Y147" s="266">
        <f t="shared" ref="Y147" si="770">SUM(Y145:Y146)</f>
        <v>15</v>
      </c>
      <c r="Z147" s="266">
        <f t="shared" ref="Z147" si="771">SUM(Z145:Z146)</f>
        <v>15</v>
      </c>
      <c r="AA147" s="281">
        <f t="shared" ref="AA147" si="772">SUM(AA145:AA146)</f>
        <v>30</v>
      </c>
      <c r="AB147" s="266">
        <f t="shared" ref="AB147" si="773">SUM(AB145:AB146)</f>
        <v>15</v>
      </c>
      <c r="AC147" s="266">
        <f t="shared" ref="AC147" si="774">SUM(AC145:AC146)</f>
        <v>15</v>
      </c>
      <c r="AD147" s="281">
        <f t="shared" ref="AD147" si="775">SUM(AD145:AD146)</f>
        <v>30</v>
      </c>
      <c r="AE147" s="266">
        <f t="shared" ref="AE147" si="776">SUM(AE145:AE146)</f>
        <v>15</v>
      </c>
      <c r="AF147" s="266">
        <f t="shared" ref="AF147" si="777">SUM(AF145:AF146)</f>
        <v>15</v>
      </c>
      <c r="AG147" s="384">
        <f>SUM(AG145:AG146)</f>
        <v>30</v>
      </c>
      <c r="AH147" s="266">
        <f t="shared" ref="AH147" si="778">SUM(AH145:AH146)</f>
        <v>15</v>
      </c>
      <c r="AI147" s="266">
        <f t="shared" ref="AI147" si="779">SUM(AI145:AI146)</f>
        <v>15</v>
      </c>
      <c r="AJ147" s="281">
        <f t="shared" ref="AJ147:AL147" si="780">SUM(AJ145:AJ146)</f>
        <v>30</v>
      </c>
      <c r="AK147" s="266">
        <f t="shared" si="780"/>
        <v>15</v>
      </c>
      <c r="AL147" s="266">
        <f t="shared" si="780"/>
        <v>15</v>
      </c>
      <c r="AM147" s="281">
        <f t="shared" ref="AM147:AO147" si="781">SUM(AM145:AM146)</f>
        <v>30</v>
      </c>
      <c r="AN147" s="266">
        <f t="shared" si="781"/>
        <v>15</v>
      </c>
      <c r="AO147" s="266">
        <f t="shared" si="781"/>
        <v>15</v>
      </c>
      <c r="AP147" s="281">
        <f t="shared" ref="AP147:AR147" si="782">SUM(AP145:AP146)</f>
        <v>30</v>
      </c>
      <c r="AQ147" s="266">
        <f t="shared" si="782"/>
        <v>15</v>
      </c>
      <c r="AR147" s="266">
        <f t="shared" si="782"/>
        <v>15</v>
      </c>
      <c r="AS147" s="281">
        <f t="shared" ref="AS147:AU147" si="783">SUM(AS145:AS146)</f>
        <v>30</v>
      </c>
      <c r="AT147" s="266">
        <f t="shared" si="783"/>
        <v>15</v>
      </c>
      <c r="AU147" s="266">
        <f t="shared" si="783"/>
        <v>15</v>
      </c>
      <c r="AV147" s="281">
        <f t="shared" ref="AV147:AX147" si="784">SUM(AV145:AV146)</f>
        <v>30</v>
      </c>
      <c r="AW147" s="266">
        <f t="shared" si="784"/>
        <v>15</v>
      </c>
      <c r="AX147" s="266">
        <f t="shared" si="784"/>
        <v>15</v>
      </c>
      <c r="AY147" s="281">
        <f t="shared" ref="AY147" si="785">SUM(AY145:AY146)</f>
        <v>30</v>
      </c>
    </row>
    <row r="148" spans="1:51" s="17" customFormat="1" ht="12" customHeight="1" x14ac:dyDescent="0.2">
      <c r="A148" s="138"/>
      <c r="B148" s="6" t="s">
        <v>381</v>
      </c>
      <c r="C148" s="130"/>
      <c r="D148" s="142"/>
      <c r="E148" s="142"/>
      <c r="F148" s="143"/>
      <c r="G148" s="142"/>
      <c r="H148" s="142"/>
      <c r="I148" s="143"/>
      <c r="J148" s="142"/>
      <c r="K148" s="142"/>
      <c r="L148" s="143"/>
      <c r="M148" s="142"/>
      <c r="N148" s="142"/>
      <c r="O148" s="143"/>
      <c r="P148" s="223">
        <f>+P139-O139</f>
        <v>0</v>
      </c>
      <c r="Q148" s="223">
        <f>+Q139-P139</f>
        <v>1</v>
      </c>
      <c r="R148" s="264">
        <f>+R139-O139</f>
        <v>1</v>
      </c>
      <c r="S148" s="223">
        <f>+S139-R139</f>
        <v>3</v>
      </c>
      <c r="T148" s="223">
        <f>+T139-S139</f>
        <v>1</v>
      </c>
      <c r="U148" s="264">
        <f>+U139-R139</f>
        <v>4</v>
      </c>
      <c r="V148" s="283">
        <v>1</v>
      </c>
      <c r="W148" s="283">
        <v>1</v>
      </c>
      <c r="X148" s="264">
        <f t="shared" ref="X148:X149" si="786">+W148+V148</f>
        <v>2</v>
      </c>
      <c r="Y148" s="283">
        <v>1</v>
      </c>
      <c r="Z148" s="283">
        <v>1</v>
      </c>
      <c r="AA148" s="264">
        <f t="shared" ref="AA148:AA149" si="787">+Z148+Y148</f>
        <v>2</v>
      </c>
      <c r="AB148" s="283">
        <v>1</v>
      </c>
      <c r="AC148" s="283">
        <v>1</v>
      </c>
      <c r="AD148" s="264">
        <f t="shared" ref="AD148:AD149" si="788">+AC148+AB148</f>
        <v>2</v>
      </c>
      <c r="AE148" s="283">
        <v>1</v>
      </c>
      <c r="AF148" s="283">
        <v>1</v>
      </c>
      <c r="AG148" s="264">
        <f t="shared" ref="AG148:AG149" si="789">+AF148+AE148</f>
        <v>2</v>
      </c>
      <c r="AH148" s="283">
        <v>1</v>
      </c>
      <c r="AI148" s="283">
        <v>1</v>
      </c>
      <c r="AJ148" s="264">
        <f t="shared" ref="AJ148:AJ149" si="790">+AI148+AH148</f>
        <v>2</v>
      </c>
      <c r="AK148" s="283">
        <v>1</v>
      </c>
      <c r="AL148" s="283">
        <v>1</v>
      </c>
      <c r="AM148" s="264">
        <f t="shared" ref="AM148:AM149" si="791">+AL148+AK148</f>
        <v>2</v>
      </c>
      <c r="AN148" s="283">
        <v>1</v>
      </c>
      <c r="AO148" s="283">
        <v>1</v>
      </c>
      <c r="AP148" s="264">
        <f t="shared" ref="AP148:AP149" si="792">+AO148+AN148</f>
        <v>2</v>
      </c>
      <c r="AQ148" s="283">
        <v>1</v>
      </c>
      <c r="AR148" s="283">
        <v>1</v>
      </c>
      <c r="AS148" s="264">
        <f t="shared" ref="AS148:AS149" si="793">+AR148+AQ148</f>
        <v>2</v>
      </c>
      <c r="AT148" s="283">
        <v>1</v>
      </c>
      <c r="AU148" s="283">
        <v>1</v>
      </c>
      <c r="AV148" s="264">
        <f t="shared" ref="AV148:AV149" si="794">+AU148+AT148</f>
        <v>2</v>
      </c>
      <c r="AW148" s="283">
        <v>1</v>
      </c>
      <c r="AX148" s="283">
        <v>1</v>
      </c>
      <c r="AY148" s="264">
        <f t="shared" ref="AY148:AY149" si="795">+AX148+AW148</f>
        <v>2</v>
      </c>
    </row>
    <row r="149" spans="1:51" s="17" customFormat="1" ht="12" customHeight="1" x14ac:dyDescent="0.2">
      <c r="A149" s="138"/>
      <c r="B149" s="6" t="s">
        <v>382</v>
      </c>
      <c r="C149" s="130"/>
      <c r="D149" s="142"/>
      <c r="E149" s="142"/>
      <c r="F149" s="143"/>
      <c r="G149" s="142"/>
      <c r="H149" s="142"/>
      <c r="I149" s="143"/>
      <c r="J149" s="142"/>
      <c r="K149" s="142"/>
      <c r="L149" s="143"/>
      <c r="M149" s="142"/>
      <c r="N149" s="142"/>
      <c r="O149" s="143"/>
      <c r="P149" s="223">
        <f>+P140-O140</f>
        <v>1</v>
      </c>
      <c r="Q149" s="223">
        <f>+Q140-P140</f>
        <v>0</v>
      </c>
      <c r="R149" s="264">
        <f>+R140-O140</f>
        <v>1</v>
      </c>
      <c r="S149" s="223">
        <f>+S140-R140</f>
        <v>0</v>
      </c>
      <c r="T149" s="223">
        <f>+T140-S140</f>
        <v>0</v>
      </c>
      <c r="U149" s="264">
        <f>+U140-R140</f>
        <v>0</v>
      </c>
      <c r="V149" s="283">
        <v>1</v>
      </c>
      <c r="W149" s="283">
        <v>1</v>
      </c>
      <c r="X149" s="264">
        <f t="shared" si="786"/>
        <v>2</v>
      </c>
      <c r="Y149" s="283">
        <v>1</v>
      </c>
      <c r="Z149" s="283">
        <v>1</v>
      </c>
      <c r="AA149" s="264">
        <f t="shared" si="787"/>
        <v>2</v>
      </c>
      <c r="AB149" s="283">
        <v>1</v>
      </c>
      <c r="AC149" s="283">
        <v>1</v>
      </c>
      <c r="AD149" s="264">
        <f t="shared" si="788"/>
        <v>2</v>
      </c>
      <c r="AE149" s="283">
        <v>1</v>
      </c>
      <c r="AF149" s="283">
        <v>1</v>
      </c>
      <c r="AG149" s="264">
        <f t="shared" si="789"/>
        <v>2</v>
      </c>
      <c r="AH149" s="283">
        <v>1</v>
      </c>
      <c r="AI149" s="283">
        <v>1</v>
      </c>
      <c r="AJ149" s="264">
        <f t="shared" si="790"/>
        <v>2</v>
      </c>
      <c r="AK149" s="283">
        <v>1</v>
      </c>
      <c r="AL149" s="283">
        <v>1</v>
      </c>
      <c r="AM149" s="264">
        <f t="shared" si="791"/>
        <v>2</v>
      </c>
      <c r="AN149" s="283">
        <v>1</v>
      </c>
      <c r="AO149" s="283">
        <v>1</v>
      </c>
      <c r="AP149" s="264">
        <f t="shared" si="792"/>
        <v>2</v>
      </c>
      <c r="AQ149" s="283">
        <v>1</v>
      </c>
      <c r="AR149" s="283">
        <v>1</v>
      </c>
      <c r="AS149" s="264">
        <f t="shared" si="793"/>
        <v>2</v>
      </c>
      <c r="AT149" s="283">
        <v>1</v>
      </c>
      <c r="AU149" s="283">
        <v>1</v>
      </c>
      <c r="AV149" s="264">
        <f t="shared" si="794"/>
        <v>2</v>
      </c>
      <c r="AW149" s="283">
        <v>1</v>
      </c>
      <c r="AX149" s="283">
        <v>1</v>
      </c>
      <c r="AY149" s="264">
        <f t="shared" si="795"/>
        <v>2</v>
      </c>
    </row>
    <row r="150" spans="1:51" s="17" customFormat="1" ht="12" customHeight="1" x14ac:dyDescent="0.2">
      <c r="A150" s="138"/>
      <c r="B150" s="161" t="s">
        <v>376</v>
      </c>
      <c r="C150" s="268"/>
      <c r="D150" s="233"/>
      <c r="E150" s="233"/>
      <c r="F150" s="169"/>
      <c r="G150" s="233"/>
      <c r="H150" s="233"/>
      <c r="I150" s="169"/>
      <c r="J150" s="233"/>
      <c r="K150" s="233"/>
      <c r="L150" s="169"/>
      <c r="M150" s="233"/>
      <c r="N150" s="233"/>
      <c r="O150" s="169"/>
      <c r="P150" s="282">
        <f t="shared" ref="P150:Q150" si="796">SUM(P147:P149)</f>
        <v>13</v>
      </c>
      <c r="Q150" s="282">
        <f t="shared" si="796"/>
        <v>12</v>
      </c>
      <c r="R150" s="281">
        <f>SUM(R147:R149)</f>
        <v>25</v>
      </c>
      <c r="S150" s="282">
        <f t="shared" ref="S150:T150" si="797">SUM(S147:S149)</f>
        <v>19</v>
      </c>
      <c r="T150" s="282">
        <f t="shared" si="797"/>
        <v>15</v>
      </c>
      <c r="U150" s="281">
        <f>SUM(U147:U149)</f>
        <v>34</v>
      </c>
      <c r="V150" s="282">
        <f t="shared" ref="V150" si="798">SUM(V147:V149)</f>
        <v>17</v>
      </c>
      <c r="W150" s="282">
        <f t="shared" ref="W150" si="799">SUM(W147:W149)</f>
        <v>17</v>
      </c>
      <c r="X150" s="281">
        <f t="shared" ref="X150" si="800">SUM(X147:X149)</f>
        <v>34</v>
      </c>
      <c r="Y150" s="282">
        <f t="shared" ref="Y150" si="801">SUM(Y147:Y149)</f>
        <v>17</v>
      </c>
      <c r="Z150" s="282">
        <f t="shared" ref="Z150" si="802">SUM(Z147:Z149)</f>
        <v>17</v>
      </c>
      <c r="AA150" s="281">
        <f t="shared" ref="AA150" si="803">SUM(AA147:AA149)</f>
        <v>34</v>
      </c>
      <c r="AB150" s="282">
        <f t="shared" ref="AB150" si="804">SUM(AB147:AB149)</f>
        <v>17</v>
      </c>
      <c r="AC150" s="282">
        <f t="shared" ref="AC150" si="805">SUM(AC147:AC149)</f>
        <v>17</v>
      </c>
      <c r="AD150" s="281">
        <f t="shared" ref="AD150" si="806">SUM(AD147:AD149)</f>
        <v>34</v>
      </c>
      <c r="AE150" s="282">
        <f t="shared" ref="AE150" si="807">SUM(AE147:AE149)</f>
        <v>17</v>
      </c>
      <c r="AF150" s="282">
        <f t="shared" ref="AF150:AG150" si="808">SUM(AF147:AF149)</f>
        <v>17</v>
      </c>
      <c r="AG150" s="281">
        <f t="shared" si="808"/>
        <v>34</v>
      </c>
      <c r="AH150" s="282">
        <f t="shared" ref="AH150" si="809">SUM(AH147:AH149)</f>
        <v>17</v>
      </c>
      <c r="AI150" s="282">
        <f t="shared" ref="AI150" si="810">SUM(AI147:AI149)</f>
        <v>17</v>
      </c>
      <c r="AJ150" s="281">
        <f t="shared" ref="AJ150:AL150" si="811">SUM(AJ147:AJ149)</f>
        <v>34</v>
      </c>
      <c r="AK150" s="282">
        <f t="shared" si="811"/>
        <v>17</v>
      </c>
      <c r="AL150" s="282">
        <f t="shared" si="811"/>
        <v>17</v>
      </c>
      <c r="AM150" s="281">
        <f t="shared" ref="AM150:AO150" si="812">SUM(AM147:AM149)</f>
        <v>34</v>
      </c>
      <c r="AN150" s="282">
        <f t="shared" si="812"/>
        <v>17</v>
      </c>
      <c r="AO150" s="282">
        <f t="shared" si="812"/>
        <v>17</v>
      </c>
      <c r="AP150" s="281">
        <f t="shared" ref="AP150:AR150" si="813">SUM(AP147:AP149)</f>
        <v>34</v>
      </c>
      <c r="AQ150" s="282">
        <f t="shared" si="813"/>
        <v>17</v>
      </c>
      <c r="AR150" s="282">
        <f t="shared" si="813"/>
        <v>17</v>
      </c>
      <c r="AS150" s="281">
        <f t="shared" ref="AS150:AU150" si="814">SUM(AS147:AS149)</f>
        <v>34</v>
      </c>
      <c r="AT150" s="282">
        <f t="shared" si="814"/>
        <v>17</v>
      </c>
      <c r="AU150" s="282">
        <f t="shared" si="814"/>
        <v>17</v>
      </c>
      <c r="AV150" s="281">
        <f t="shared" ref="AV150:AX150" si="815">SUM(AV147:AV149)</f>
        <v>34</v>
      </c>
      <c r="AW150" s="282">
        <f t="shared" si="815"/>
        <v>17</v>
      </c>
      <c r="AX150" s="282">
        <f t="shared" si="815"/>
        <v>17</v>
      </c>
      <c r="AY150" s="281">
        <f t="shared" ref="AY150" si="816">SUM(AY147:AY149)</f>
        <v>34</v>
      </c>
    </row>
    <row r="151" spans="1:51" s="17" customFormat="1" ht="12" customHeight="1" x14ac:dyDescent="0.2">
      <c r="A151" s="138"/>
      <c r="B151" s="6"/>
      <c r="C151" s="130"/>
      <c r="D151" s="142"/>
      <c r="E151" s="142"/>
      <c r="F151" s="143"/>
      <c r="G151" s="142"/>
      <c r="H151" s="142"/>
      <c r="I151" s="143"/>
      <c r="J151" s="142"/>
      <c r="K151" s="142"/>
      <c r="L151" s="143"/>
      <c r="M151" s="142"/>
      <c r="N151" s="142"/>
      <c r="O151" s="143"/>
      <c r="P151" s="142"/>
      <c r="Q151" s="142"/>
      <c r="R151" s="143"/>
      <c r="S151" s="142"/>
      <c r="T151" s="142"/>
      <c r="U151" s="143"/>
      <c r="V151" s="223"/>
      <c r="W151" s="223"/>
      <c r="X151" s="264"/>
      <c r="Y151" s="223"/>
      <c r="Z151" s="223"/>
      <c r="AA151" s="264"/>
      <c r="AB151" s="223"/>
      <c r="AC151" s="223"/>
      <c r="AD151" s="264"/>
      <c r="AE151" s="223"/>
      <c r="AF151" s="223"/>
      <c r="AG151" s="264"/>
      <c r="AH151" s="223"/>
      <c r="AI151" s="223"/>
      <c r="AJ151" s="264"/>
      <c r="AK151" s="223"/>
      <c r="AL151" s="223"/>
      <c r="AM151" s="264"/>
      <c r="AN151" s="223"/>
      <c r="AO151" s="223"/>
      <c r="AP151" s="264"/>
      <c r="AQ151" s="223"/>
      <c r="AR151" s="223"/>
      <c r="AS151" s="264"/>
      <c r="AT151" s="223"/>
      <c r="AU151" s="223"/>
      <c r="AV151" s="264"/>
      <c r="AW151" s="223"/>
      <c r="AX151" s="223"/>
      <c r="AY151" s="264"/>
    </row>
    <row r="152" spans="1:51" s="17" customFormat="1" ht="12" customHeight="1" x14ac:dyDescent="0.2">
      <c r="A152" s="138"/>
      <c r="B152" s="6" t="s">
        <v>484</v>
      </c>
      <c r="C152" s="130"/>
      <c r="D152" s="142"/>
      <c r="E152" s="142"/>
      <c r="F152" s="143"/>
      <c r="G152" s="142"/>
      <c r="H152" s="142"/>
      <c r="I152" s="143"/>
      <c r="J152" s="142"/>
      <c r="K152" s="142"/>
      <c r="L152" s="143"/>
      <c r="M152" s="358">
        <f t="shared" ref="M152:N152" si="817">+M146/M147</f>
        <v>0.2857142857142857</v>
      </c>
      <c r="N152" s="358">
        <f t="shared" si="817"/>
        <v>0.7142857142857143</v>
      </c>
      <c r="O152" s="297">
        <f>+O146/O147</f>
        <v>0.5714285714285714</v>
      </c>
      <c r="P152" s="358">
        <f t="shared" ref="P152:AJ152" si="818">+P146/P147</f>
        <v>0.41666666666666669</v>
      </c>
      <c r="Q152" s="358">
        <f t="shared" si="818"/>
        <v>0.81818181818181823</v>
      </c>
      <c r="R152" s="297">
        <f t="shared" si="818"/>
        <v>0.60869565217391308</v>
      </c>
      <c r="S152" s="358">
        <f t="shared" ref="S152:U152" si="819">+S146/S147</f>
        <v>0.375</v>
      </c>
      <c r="T152" s="358">
        <f t="shared" si="819"/>
        <v>0.5</v>
      </c>
      <c r="U152" s="297">
        <f t="shared" si="819"/>
        <v>0.43333333333333335</v>
      </c>
      <c r="V152" s="358">
        <f t="shared" si="818"/>
        <v>0.6</v>
      </c>
      <c r="W152" s="358">
        <f t="shared" si="818"/>
        <v>0.6</v>
      </c>
      <c r="X152" s="297">
        <f t="shared" si="818"/>
        <v>0.6</v>
      </c>
      <c r="Y152" s="358">
        <f t="shared" si="818"/>
        <v>0.6</v>
      </c>
      <c r="Z152" s="358">
        <f t="shared" si="818"/>
        <v>0.6</v>
      </c>
      <c r="AA152" s="297">
        <f t="shared" si="818"/>
        <v>0.6</v>
      </c>
      <c r="AB152" s="358">
        <f t="shared" si="818"/>
        <v>0.6</v>
      </c>
      <c r="AC152" s="358">
        <f t="shared" si="818"/>
        <v>0.6</v>
      </c>
      <c r="AD152" s="297">
        <f t="shared" si="818"/>
        <v>0.6</v>
      </c>
      <c r="AE152" s="358">
        <f t="shared" si="818"/>
        <v>0.6</v>
      </c>
      <c r="AF152" s="358">
        <f t="shared" si="818"/>
        <v>0.6</v>
      </c>
      <c r="AG152" s="297">
        <f t="shared" si="818"/>
        <v>0.6</v>
      </c>
      <c r="AH152" s="358">
        <f t="shared" si="818"/>
        <v>0.6</v>
      </c>
      <c r="AI152" s="358">
        <f t="shared" si="818"/>
        <v>0.6</v>
      </c>
      <c r="AJ152" s="297">
        <f t="shared" si="818"/>
        <v>0.6</v>
      </c>
      <c r="AK152" s="358">
        <f t="shared" ref="AK152:AM152" si="820">+AK146/AK147</f>
        <v>0.6</v>
      </c>
      <c r="AL152" s="358">
        <f t="shared" si="820"/>
        <v>0.6</v>
      </c>
      <c r="AM152" s="297">
        <f t="shared" si="820"/>
        <v>0.6</v>
      </c>
      <c r="AN152" s="358">
        <f t="shared" ref="AN152:AP152" si="821">+AN146/AN147</f>
        <v>0.6</v>
      </c>
      <c r="AO152" s="358">
        <f t="shared" si="821"/>
        <v>0.6</v>
      </c>
      <c r="AP152" s="297">
        <f t="shared" si="821"/>
        <v>0.6</v>
      </c>
      <c r="AQ152" s="358">
        <f t="shared" ref="AQ152:AS152" si="822">+AQ146/AQ147</f>
        <v>0.6</v>
      </c>
      <c r="AR152" s="358">
        <f t="shared" si="822"/>
        <v>0.6</v>
      </c>
      <c r="AS152" s="297">
        <f t="shared" si="822"/>
        <v>0.6</v>
      </c>
      <c r="AT152" s="358">
        <f t="shared" ref="AT152:AV152" si="823">+AT146/AT147</f>
        <v>0.6</v>
      </c>
      <c r="AU152" s="358">
        <f t="shared" si="823"/>
        <v>0.6</v>
      </c>
      <c r="AV152" s="297">
        <f t="shared" si="823"/>
        <v>0.6</v>
      </c>
      <c r="AW152" s="358">
        <f t="shared" ref="AW152:AY152" si="824">+AW146/AW147</f>
        <v>0.6</v>
      </c>
      <c r="AX152" s="358">
        <f t="shared" si="824"/>
        <v>0.6</v>
      </c>
      <c r="AY152" s="297">
        <f t="shared" si="824"/>
        <v>0.6</v>
      </c>
    </row>
    <row r="153" spans="1:51" s="17" customFormat="1" ht="12" customHeight="1" x14ac:dyDescent="0.2">
      <c r="A153" s="138"/>
      <c r="B153" s="6"/>
      <c r="C153" s="130"/>
      <c r="D153" s="142"/>
      <c r="E153" s="142"/>
      <c r="F153" s="143"/>
      <c r="G153" s="142"/>
      <c r="H153" s="142"/>
      <c r="I153" s="143"/>
      <c r="J153" s="142"/>
      <c r="K153" s="142"/>
      <c r="L153" s="143"/>
      <c r="M153" s="142"/>
      <c r="N153" s="142"/>
      <c r="O153" s="143"/>
      <c r="P153" s="142"/>
      <c r="Q153" s="142"/>
      <c r="R153" s="143"/>
      <c r="S153" s="142"/>
      <c r="T153" s="142"/>
      <c r="U153" s="143"/>
      <c r="V153" s="223"/>
      <c r="W153" s="223"/>
      <c r="X153" s="264"/>
      <c r="Y153" s="223"/>
      <c r="Z153" s="223"/>
      <c r="AA153" s="264"/>
      <c r="AB153" s="223"/>
      <c r="AC153" s="223"/>
      <c r="AD153" s="264"/>
      <c r="AE153" s="223"/>
      <c r="AF153" s="223"/>
      <c r="AG153" s="264"/>
      <c r="AH153" s="223"/>
      <c r="AI153" s="223"/>
      <c r="AJ153" s="264"/>
      <c r="AK153" s="223"/>
      <c r="AL153" s="223"/>
      <c r="AM153" s="264"/>
      <c r="AN153" s="223"/>
      <c r="AO153" s="223"/>
      <c r="AP153" s="264"/>
      <c r="AQ153" s="223"/>
      <c r="AR153" s="223"/>
      <c r="AS153" s="264"/>
      <c r="AT153" s="223"/>
      <c r="AU153" s="223"/>
      <c r="AV153" s="264"/>
      <c r="AW153" s="223"/>
      <c r="AX153" s="223"/>
      <c r="AY153" s="264"/>
    </row>
    <row r="154" spans="1:51" s="17" customFormat="1" ht="12" customHeight="1" x14ac:dyDescent="0.2">
      <c r="A154" s="138"/>
      <c r="B154" s="6" t="s">
        <v>394</v>
      </c>
      <c r="C154" s="130"/>
      <c r="D154" s="142"/>
      <c r="E154" s="142"/>
      <c r="F154" s="143"/>
      <c r="G154" s="142"/>
      <c r="H154" s="142"/>
      <c r="I154" s="143"/>
      <c r="J154" s="142"/>
      <c r="K154" s="142"/>
      <c r="L154" s="143"/>
      <c r="M154" s="142"/>
      <c r="N154" s="142"/>
      <c r="O154" s="143"/>
      <c r="P154" s="221">
        <v>95</v>
      </c>
      <c r="Q154" s="142"/>
      <c r="R154" s="262">
        <v>91</v>
      </c>
      <c r="S154" s="221">
        <v>103</v>
      </c>
      <c r="T154" s="142"/>
      <c r="U154" s="262">
        <v>98</v>
      </c>
      <c r="V154" s="142"/>
      <c r="W154" s="142"/>
      <c r="X154" s="143"/>
      <c r="Y154" s="142"/>
      <c r="Z154" s="142"/>
      <c r="AA154" s="143"/>
      <c r="AB154" s="142"/>
      <c r="AC154" s="142"/>
      <c r="AD154" s="143"/>
      <c r="AE154" s="142"/>
      <c r="AF154" s="142"/>
      <c r="AG154" s="143"/>
      <c r="AH154" s="142"/>
      <c r="AI154" s="142"/>
      <c r="AJ154" s="143"/>
      <c r="AK154" s="142"/>
      <c r="AL154" s="142"/>
      <c r="AM154" s="143"/>
      <c r="AN154" s="142"/>
      <c r="AO154" s="142"/>
      <c r="AP154" s="143"/>
      <c r="AQ154" s="142"/>
      <c r="AR154" s="142"/>
      <c r="AS154" s="143"/>
      <c r="AT154" s="142"/>
      <c r="AU154" s="142"/>
      <c r="AV154" s="143"/>
      <c r="AW154" s="142"/>
      <c r="AX154" s="142"/>
      <c r="AY154" s="143"/>
    </row>
    <row r="155" spans="1:51" s="17" customFormat="1" ht="12" customHeight="1" x14ac:dyDescent="0.2">
      <c r="A155" s="138"/>
      <c r="B155" s="6" t="s">
        <v>393</v>
      </c>
      <c r="C155" s="130"/>
      <c r="D155" s="142"/>
      <c r="E155" s="142"/>
      <c r="F155" s="143"/>
      <c r="G155" s="142"/>
      <c r="H155" s="142"/>
      <c r="I155" s="143"/>
      <c r="J155" s="142"/>
      <c r="K155" s="142"/>
      <c r="L155" s="143"/>
      <c r="M155" s="142"/>
      <c r="N155" s="142"/>
      <c r="O155" s="143"/>
      <c r="P155" s="142"/>
      <c r="Q155" s="142"/>
      <c r="R155" s="262">
        <v>46</v>
      </c>
      <c r="S155" s="221">
        <v>32</v>
      </c>
      <c r="T155" s="142"/>
      <c r="U155" s="262">
        <v>43</v>
      </c>
      <c r="V155" s="142"/>
      <c r="W155" s="142"/>
      <c r="X155" s="143"/>
      <c r="Y155" s="142"/>
      <c r="Z155" s="142"/>
      <c r="AA155" s="143"/>
      <c r="AB155" s="142"/>
      <c r="AC155" s="142"/>
      <c r="AD155" s="143"/>
      <c r="AE155" s="142"/>
      <c r="AF155" s="142"/>
      <c r="AG155" s="143"/>
      <c r="AH155" s="142"/>
      <c r="AI155" s="142"/>
      <c r="AJ155" s="143"/>
      <c r="AK155" s="142"/>
      <c r="AL155" s="142"/>
      <c r="AM155" s="143"/>
      <c r="AN155" s="142"/>
      <c r="AO155" s="142"/>
      <c r="AP155" s="143"/>
      <c r="AQ155" s="142"/>
      <c r="AR155" s="142"/>
      <c r="AS155" s="143"/>
      <c r="AT155" s="142"/>
      <c r="AU155" s="142"/>
      <c r="AV155" s="143"/>
      <c r="AW155" s="142"/>
      <c r="AX155" s="142"/>
      <c r="AY155" s="143"/>
    </row>
    <row r="156" spans="1:51" s="17" customFormat="1" ht="12" customHeight="1" x14ac:dyDescent="0.2">
      <c r="A156" s="138"/>
      <c r="B156" s="6"/>
      <c r="C156" s="130"/>
      <c r="D156" s="142"/>
      <c r="E156" s="142"/>
      <c r="F156" s="143"/>
      <c r="G156" s="142"/>
      <c r="H156" s="142"/>
      <c r="I156" s="143"/>
      <c r="J156" s="142"/>
      <c r="K156" s="142"/>
      <c r="L156" s="143"/>
      <c r="M156" s="142"/>
      <c r="N156" s="142"/>
      <c r="O156" s="143"/>
      <c r="P156" s="142"/>
      <c r="Q156" s="142"/>
      <c r="R156" s="143"/>
      <c r="S156" s="142"/>
      <c r="T156" s="142"/>
      <c r="U156" s="143"/>
      <c r="V156" s="142"/>
      <c r="W156" s="142"/>
      <c r="X156" s="143"/>
      <c r="Y156" s="142"/>
      <c r="Z156" s="142"/>
      <c r="AA156" s="143"/>
      <c r="AB156" s="142"/>
      <c r="AC156" s="142"/>
      <c r="AD156" s="143"/>
      <c r="AE156" s="142"/>
      <c r="AF156" s="142"/>
      <c r="AG156" s="143"/>
      <c r="AH156" s="142"/>
      <c r="AI156" s="142"/>
      <c r="AJ156" s="143"/>
      <c r="AK156" s="142"/>
      <c r="AL156" s="142"/>
      <c r="AM156" s="143"/>
      <c r="AN156" s="142"/>
      <c r="AO156" s="142"/>
      <c r="AP156" s="143"/>
      <c r="AQ156" s="142"/>
      <c r="AR156" s="142"/>
      <c r="AS156" s="143"/>
      <c r="AT156" s="142"/>
      <c r="AU156" s="142"/>
      <c r="AV156" s="143"/>
      <c r="AW156" s="142"/>
      <c r="AX156" s="142"/>
      <c r="AY156" s="143"/>
    </row>
    <row r="157" spans="1:51" s="17" customFormat="1" ht="12" customHeight="1" x14ac:dyDescent="0.2">
      <c r="A157" s="138"/>
      <c r="B157" s="6"/>
      <c r="C157" s="130"/>
      <c r="D157" s="142"/>
      <c r="E157" s="142"/>
      <c r="F157" s="143"/>
      <c r="G157" s="142"/>
      <c r="H157" s="142"/>
      <c r="I157" s="143"/>
      <c r="J157" s="142"/>
      <c r="K157" s="142"/>
      <c r="L157" s="143"/>
      <c r="M157" s="142"/>
      <c r="N157" s="142"/>
      <c r="O157" s="143"/>
      <c r="P157" s="142"/>
      <c r="Q157" s="142"/>
      <c r="R157" s="143"/>
      <c r="S157" s="142"/>
      <c r="T157" s="142"/>
      <c r="U157" s="143"/>
      <c r="V157" s="142"/>
      <c r="W157" s="142"/>
      <c r="X157" s="143"/>
      <c r="Y157" s="142"/>
      <c r="Z157" s="142"/>
      <c r="AA157" s="143"/>
      <c r="AB157" s="142"/>
      <c r="AC157" s="142"/>
      <c r="AD157" s="143"/>
      <c r="AE157" s="142"/>
      <c r="AF157" s="142"/>
      <c r="AG157" s="143"/>
      <c r="AH157" s="142"/>
      <c r="AI157" s="142"/>
      <c r="AJ157" s="143"/>
      <c r="AK157" s="142"/>
      <c r="AL157" s="142"/>
      <c r="AM157" s="143"/>
      <c r="AN157" s="142"/>
      <c r="AO157" s="142"/>
      <c r="AP157" s="143"/>
      <c r="AQ157" s="142"/>
      <c r="AR157" s="142"/>
      <c r="AS157" s="143"/>
      <c r="AT157" s="142"/>
      <c r="AU157" s="142"/>
      <c r="AV157" s="143"/>
      <c r="AW157" s="142"/>
      <c r="AX157" s="142"/>
      <c r="AY157" s="143"/>
    </row>
    <row r="158" spans="1:51" s="17" customFormat="1" ht="12" customHeight="1" x14ac:dyDescent="0.2">
      <c r="A158" s="138"/>
      <c r="B158" s="10" t="s">
        <v>404</v>
      </c>
      <c r="C158" s="130"/>
      <c r="D158" s="142"/>
      <c r="E158" s="142"/>
      <c r="F158" s="143"/>
      <c r="G158" s="142"/>
      <c r="H158" s="142"/>
      <c r="I158" s="143"/>
      <c r="J158" s="142"/>
      <c r="K158" s="142"/>
      <c r="L158" s="143"/>
      <c r="M158" s="142"/>
      <c r="N158" s="142"/>
      <c r="O158" s="143"/>
      <c r="P158" s="142"/>
      <c r="Q158" s="142"/>
      <c r="R158" s="143"/>
      <c r="S158" s="142"/>
      <c r="T158" s="142"/>
      <c r="U158" s="143"/>
      <c r="V158" s="142"/>
      <c r="W158" s="142"/>
      <c r="X158" s="143"/>
      <c r="Y158" s="142"/>
      <c r="Z158" s="142"/>
      <c r="AA158" s="143"/>
      <c r="AB158" s="142"/>
      <c r="AC158" s="142"/>
      <c r="AD158" s="143"/>
      <c r="AE158" s="142"/>
      <c r="AF158" s="142"/>
      <c r="AG158" s="143"/>
      <c r="AH158" s="142"/>
      <c r="AI158" s="142"/>
      <c r="AJ158" s="143"/>
      <c r="AK158" s="142"/>
      <c r="AL158" s="142"/>
      <c r="AM158" s="143"/>
      <c r="AN158" s="142"/>
      <c r="AO158" s="142"/>
      <c r="AP158" s="143"/>
      <c r="AQ158" s="142"/>
      <c r="AR158" s="142"/>
      <c r="AS158" s="143"/>
      <c r="AT158" s="142"/>
      <c r="AU158" s="142"/>
      <c r="AV158" s="143"/>
      <c r="AW158" s="142"/>
      <c r="AX158" s="142"/>
      <c r="AY158" s="143"/>
    </row>
    <row r="159" spans="1:51" s="17" customFormat="1" ht="12" customHeight="1" x14ac:dyDescent="0.2">
      <c r="A159" s="138"/>
      <c r="B159" s="6" t="s">
        <v>402</v>
      </c>
      <c r="C159" s="130"/>
      <c r="D159" s="142"/>
      <c r="E159" s="142"/>
      <c r="F159" s="143"/>
      <c r="G159" s="142"/>
      <c r="H159" s="142"/>
      <c r="I159" s="143"/>
      <c r="J159" s="142"/>
      <c r="K159" s="142"/>
      <c r="L159" s="143"/>
      <c r="M159" s="298">
        <f t="shared" ref="M159:N161" si="825">M61/AVERAGE(L136:M136)</f>
        <v>2.0750309278350514</v>
      </c>
      <c r="N159" s="298">
        <f t="shared" si="825"/>
        <v>2.1006792452830187</v>
      </c>
      <c r="O159" s="300">
        <f>O61/AVERAGE(L136,O136)</f>
        <v>4.197524752475247</v>
      </c>
      <c r="P159" s="298">
        <f t="shared" ref="P159:Q164" si="826">P61/AVERAGE(O136:P136)</f>
        <v>2.3345982905982909</v>
      </c>
      <c r="Q159" s="298">
        <f t="shared" si="826"/>
        <v>2.2587777777777776</v>
      </c>
      <c r="R159" s="300">
        <f t="shared" ref="R159:R164" si="827">R61/AVERAGE(O136,R136)</f>
        <v>4.6870084033613448</v>
      </c>
      <c r="S159" s="298">
        <f t="shared" ref="S159:T164" si="828">S61/AVERAGE(R136:S136)</f>
        <v>2.551463768115942</v>
      </c>
      <c r="T159" s="298">
        <f t="shared" si="828"/>
        <v>2.3699483870967741</v>
      </c>
      <c r="U159" s="300">
        <f t="shared" ref="U159:U164" si="829">U61/AVERAGE(R136,U136)</f>
        <v>4.9616827586206895</v>
      </c>
      <c r="V159" s="298">
        <f t="shared" ref="V159:W164" si="830">V61/AVERAGE(U136:V136)</f>
        <v>2.604686610309396</v>
      </c>
      <c r="W159" s="298">
        <f t="shared" si="830"/>
        <v>2.508673225229658</v>
      </c>
      <c r="X159" s="300">
        <f t="shared" ref="X159:X164" si="831">X61/AVERAGE(U136,X136)</f>
        <v>5.1100490291569942</v>
      </c>
      <c r="Y159" s="298">
        <f t="shared" ref="Y159:Z164" si="832">Y61/AVERAGE(X136:Y136)</f>
        <v>2.7086708183477142</v>
      </c>
      <c r="Z159" s="298">
        <f t="shared" si="832"/>
        <v>2.610910526037368</v>
      </c>
      <c r="AA159" s="300">
        <f t="shared" ref="AA159:AA164" si="833">AA61/AVERAGE(X136,AA136)</f>
        <v>5.3166189112847686</v>
      </c>
      <c r="AB159" s="298">
        <f t="shared" ref="AB159:AC164" si="834">AB61/AVERAGE(AA136:AB136)</f>
        <v>2.8209853537498959</v>
      </c>
      <c r="AC159" s="298">
        <f t="shared" si="834"/>
        <v>2.7207760805035321</v>
      </c>
      <c r="AD159" s="300">
        <f t="shared" ref="AD159:AD164" si="835">AD61/AVERAGE(AA136,AD136)</f>
        <v>5.5390530755170397</v>
      </c>
      <c r="AE159" s="298">
        <f t="shared" ref="AE159:AF164" si="836">AE61/AVERAGE(AD136:AE136)</f>
        <v>2.9028498945030097</v>
      </c>
      <c r="AF159" s="298">
        <f t="shared" si="836"/>
        <v>2.8008421421765921</v>
      </c>
      <c r="AG159" s="300">
        <f t="shared" ref="AG159:AG164" si="837">AG61/AVERAGE(AD136,AG136)</f>
        <v>5.7012040427204216</v>
      </c>
      <c r="AH159" s="298">
        <f t="shared" ref="AH159:AI164" si="838">AH61/AVERAGE(AG136:AH136)</f>
        <v>2.9893164857901802</v>
      </c>
      <c r="AI159" s="298">
        <f t="shared" si="838"/>
        <v>2.8851619641146069</v>
      </c>
      <c r="AJ159" s="300">
        <f t="shared" ref="AJ159:AJ164" si="839">AJ61/AVERAGE(AG136,AJ136)</f>
        <v>5.8721639049786631</v>
      </c>
      <c r="AK159" s="298">
        <f t="shared" ref="AK159:AL164" si="840">AK61/AVERAGE(AJ136:AK136)</f>
        <v>3.0801591327154334</v>
      </c>
      <c r="AL159" s="298">
        <f t="shared" si="840"/>
        <v>2.9735740358911622</v>
      </c>
      <c r="AM159" s="300">
        <f t="shared" ref="AM159:AM164" si="841">AM61/AVERAGE(AJ136,AM136)</f>
        <v>6.0515579625489577</v>
      </c>
      <c r="AN159" s="298">
        <f t="shared" ref="AN159:AO164" si="842">AN61/AVERAGE(AM136:AN136)</f>
        <v>3.1752533897146189</v>
      </c>
      <c r="AO159" s="298">
        <f t="shared" si="842"/>
        <v>3.065995366790935</v>
      </c>
      <c r="AP159" s="300">
        <f t="shared" ref="AP159:AP164" si="843">AP61/AVERAGE(AM136,AP136)</f>
        <v>6.2391872843749185</v>
      </c>
      <c r="AQ159" s="298">
        <f t="shared" ref="AQ159:AR164" si="844">AQ61/AVERAGE(AP136:AQ136)</f>
        <v>3.2745427468049502</v>
      </c>
      <c r="AR159" s="298">
        <f t="shared" si="844"/>
        <v>3.1623967023313546</v>
      </c>
      <c r="AS159" s="300">
        <f t="shared" ref="AS159:AS164" si="845">AS61/AVERAGE(AP136,AS136)</f>
        <v>6.4349719746718561</v>
      </c>
      <c r="AT159" s="298">
        <f t="shared" ref="AT159:AU164" si="846">AT61/AVERAGE(AS136:AT136)</f>
        <v>3.3780182016572331</v>
      </c>
      <c r="AU159" s="298">
        <f t="shared" si="846"/>
        <v>3.262787150604769</v>
      </c>
      <c r="AV159" s="300">
        <f t="shared" ref="AV159:AV164" si="847">AV61/AVERAGE(AS136,AV136)</f>
        <v>6.6389163186381914</v>
      </c>
      <c r="AW159" s="298">
        <f t="shared" ref="AW159:AX164" si="848">AW61/AVERAGE(AV136:AW136)</f>
        <v>3.4857053494062971</v>
      </c>
      <c r="AX159" s="298">
        <f t="shared" si="848"/>
        <v>3.3672043002466747</v>
      </c>
      <c r="AY159" s="300">
        <f t="shared" ref="AY159:AY164" si="849">AY61/AVERAGE(AV136,AY136)</f>
        <v>6.851086556588978</v>
      </c>
    </row>
    <row r="160" spans="1:51" s="17" customFormat="1" ht="12" customHeight="1" x14ac:dyDescent="0.2">
      <c r="A160" s="138"/>
      <c r="B160" s="6" t="s">
        <v>405</v>
      </c>
      <c r="C160" s="130"/>
      <c r="D160" s="142"/>
      <c r="E160" s="142"/>
      <c r="F160" s="143"/>
      <c r="G160" s="142"/>
      <c r="H160" s="142"/>
      <c r="I160" s="143"/>
      <c r="J160" s="142"/>
      <c r="K160" s="142"/>
      <c r="L160" s="143"/>
      <c r="M160" s="298">
        <f t="shared" si="825"/>
        <v>2.2310571428571424</v>
      </c>
      <c r="N160" s="298">
        <f t="shared" si="825"/>
        <v>2.312288288288288</v>
      </c>
      <c r="O160" s="300">
        <f>O62/AVERAGE(L137,O137)</f>
        <v>4.4629545454545454</v>
      </c>
      <c r="P160" s="298">
        <f t="shared" si="826"/>
        <v>2.5487426160337554</v>
      </c>
      <c r="Q160" s="298">
        <f t="shared" si="826"/>
        <v>2.4995776892430279</v>
      </c>
      <c r="R160" s="300">
        <f t="shared" si="827"/>
        <v>5.0058780487804873</v>
      </c>
      <c r="S160" s="298">
        <f t="shared" si="828"/>
        <v>2.7232255639097747</v>
      </c>
      <c r="T160" s="298">
        <f t="shared" si="828"/>
        <v>2.6716057347670246</v>
      </c>
      <c r="U160" s="300">
        <f t="shared" si="829"/>
        <v>5.3837216117216116</v>
      </c>
      <c r="V160" s="298">
        <f t="shared" si="830"/>
        <v>2.806065284718072</v>
      </c>
      <c r="W160" s="298">
        <f t="shared" si="830"/>
        <v>2.7049369631267131</v>
      </c>
      <c r="X160" s="300">
        <f t="shared" si="831"/>
        <v>5.508008317271357</v>
      </c>
      <c r="Y160" s="298">
        <f t="shared" si="832"/>
        <v>2.9227024982413439</v>
      </c>
      <c r="Z160" s="298">
        <f t="shared" si="832"/>
        <v>2.8189756322659525</v>
      </c>
      <c r="AA160" s="300">
        <f t="shared" si="833"/>
        <v>5.7389324193491245</v>
      </c>
      <c r="AB160" s="298">
        <f t="shared" si="834"/>
        <v>3.0474396219950353</v>
      </c>
      <c r="AC160" s="298">
        <f t="shared" si="834"/>
        <v>2.9405763725881671</v>
      </c>
      <c r="AD160" s="300">
        <f t="shared" si="835"/>
        <v>5.9854580976559104</v>
      </c>
      <c r="AE160" s="298">
        <f t="shared" si="836"/>
        <v>3.1386659367647072</v>
      </c>
      <c r="AF160" s="298">
        <f t="shared" si="836"/>
        <v>3.0294894629468523</v>
      </c>
      <c r="AG160" s="300">
        <f t="shared" si="837"/>
        <v>6.1657704767398096</v>
      </c>
      <c r="AH160" s="298">
        <f t="shared" si="838"/>
        <v>3.2344142354609975</v>
      </c>
      <c r="AI160" s="298">
        <f t="shared" si="838"/>
        <v>3.1226411066224022</v>
      </c>
      <c r="AJ160" s="300">
        <f t="shared" si="839"/>
        <v>6.3548098997629818</v>
      </c>
      <c r="AK160" s="298">
        <f t="shared" si="840"/>
        <v>3.3345748094426573</v>
      </c>
      <c r="AL160" s="298">
        <f t="shared" si="840"/>
        <v>3.2199604551784806</v>
      </c>
      <c r="AM160" s="300">
        <f t="shared" si="841"/>
        <v>6.5524040059674649</v>
      </c>
      <c r="AN160" s="298">
        <f t="shared" si="842"/>
        <v>3.4391024534909009</v>
      </c>
      <c r="AO160" s="298">
        <f t="shared" si="842"/>
        <v>3.3214279634887878</v>
      </c>
      <c r="AP160" s="300">
        <f t="shared" si="843"/>
        <v>6.7584937431142666</v>
      </c>
      <c r="AQ160" s="298">
        <f t="shared" si="844"/>
        <v>3.5479975590473125</v>
      </c>
      <c r="AR160" s="298">
        <f t="shared" si="844"/>
        <v>3.4270610933230863</v>
      </c>
      <c r="AS160" s="300">
        <f t="shared" si="845"/>
        <v>6.9731010477093953</v>
      </c>
      <c r="AT160" s="298">
        <f t="shared" si="846"/>
        <v>3.661294056604798</v>
      </c>
      <c r="AU160" s="298">
        <f t="shared" si="846"/>
        <v>3.5369050473924979</v>
      </c>
      <c r="AV160" s="300">
        <f t="shared" si="847"/>
        <v>7.196308054870757</v>
      </c>
      <c r="AW160" s="298">
        <f t="shared" si="848"/>
        <v>3.7790514851405081</v>
      </c>
      <c r="AX160" s="298">
        <f t="shared" si="848"/>
        <v>3.6510265931358945</v>
      </c>
      <c r="AY160" s="300">
        <f t="shared" si="849"/>
        <v>7.4282433266393939</v>
      </c>
    </row>
    <row r="161" spans="1:51" s="17" customFormat="1" ht="12" customHeight="1" x14ac:dyDescent="0.2">
      <c r="A161" s="138"/>
      <c r="B161" s="161" t="s">
        <v>406</v>
      </c>
      <c r="C161" s="265"/>
      <c r="D161" s="168"/>
      <c r="E161" s="168"/>
      <c r="F161" s="301"/>
      <c r="G161" s="168"/>
      <c r="H161" s="168"/>
      <c r="I161" s="301">
        <f>I63/AVERAGE(F138,I138)</f>
        <v>3.2061068702290076</v>
      </c>
      <c r="J161" s="168"/>
      <c r="K161" s="168"/>
      <c r="L161" s="301">
        <f>L63/AVERAGE(I138,L138)</f>
        <v>3.692413793103448</v>
      </c>
      <c r="M161" s="299">
        <f t="shared" si="825"/>
        <v>2.1817589576547229</v>
      </c>
      <c r="N161" s="299">
        <f t="shared" si="825"/>
        <v>2.2439024390243905</v>
      </c>
      <c r="O161" s="301">
        <f>O63/AVERAGE(L138,O138)</f>
        <v>4.3794392523364483</v>
      </c>
      <c r="P161" s="299">
        <f t="shared" si="826"/>
        <v>2.4779661016949155</v>
      </c>
      <c r="Q161" s="299">
        <f t="shared" si="826"/>
        <v>2.4190981432360741</v>
      </c>
      <c r="R161" s="301">
        <f t="shared" si="827"/>
        <v>4.9019178082191779</v>
      </c>
      <c r="S161" s="299">
        <f t="shared" si="828"/>
        <v>2.6645544554455447</v>
      </c>
      <c r="T161" s="299">
        <f t="shared" si="828"/>
        <v>2.5638709677419351</v>
      </c>
      <c r="U161" s="301">
        <f t="shared" si="829"/>
        <v>5.2373205741626787</v>
      </c>
      <c r="V161" s="299">
        <f t="shared" si="830"/>
        <v>2.7329948369844703</v>
      </c>
      <c r="W161" s="299">
        <f t="shared" si="830"/>
        <v>2.6332788032454353</v>
      </c>
      <c r="X161" s="301">
        <f t="shared" si="831"/>
        <v>5.3631444759912332</v>
      </c>
      <c r="Y161" s="299">
        <f t="shared" si="832"/>
        <v>2.8441287266551547</v>
      </c>
      <c r="Z161" s="299">
        <f t="shared" si="832"/>
        <v>2.7422210541997116</v>
      </c>
      <c r="AA161" s="301">
        <f t="shared" si="833"/>
        <v>5.5835084888719075</v>
      </c>
      <c r="AB161" s="299">
        <f t="shared" si="834"/>
        <v>2.963538898254126</v>
      </c>
      <c r="AC161" s="299">
        <f t="shared" si="834"/>
        <v>2.8588235722695754</v>
      </c>
      <c r="AD161" s="301">
        <f t="shared" si="835"/>
        <v>5.8197358319120482</v>
      </c>
      <c r="AE161" s="299">
        <f t="shared" si="836"/>
        <v>3.0506475073046646</v>
      </c>
      <c r="AF161" s="299">
        <f t="shared" si="836"/>
        <v>2.9438741214400088</v>
      </c>
      <c r="AG161" s="301">
        <f t="shared" si="837"/>
        <v>5.9920875849939597</v>
      </c>
      <c r="AH161" s="299">
        <f t="shared" si="838"/>
        <v>3.142371837291587</v>
      </c>
      <c r="AI161" s="299">
        <f t="shared" si="838"/>
        <v>3.0332219479155107</v>
      </c>
      <c r="AJ161" s="301">
        <f t="shared" si="839"/>
        <v>6.173313495039074</v>
      </c>
      <c r="AK161" s="299">
        <f t="shared" si="840"/>
        <v>3.238543728318882</v>
      </c>
      <c r="AL161" s="299">
        <f t="shared" si="840"/>
        <v>3.1267499560786125</v>
      </c>
      <c r="AM161" s="301">
        <f t="shared" si="841"/>
        <v>6.3631382774776943</v>
      </c>
      <c r="AN161" s="299">
        <f t="shared" si="842"/>
        <v>3.3390770489973409</v>
      </c>
      <c r="AO161" s="299">
        <f t="shared" si="842"/>
        <v>3.2244055000302834</v>
      </c>
      <c r="AP161" s="301">
        <f t="shared" si="843"/>
        <v>6.5614299556690243</v>
      </c>
      <c r="AQ161" s="299">
        <f t="shared" si="844"/>
        <v>3.4439422737546357</v>
      </c>
      <c r="AR161" s="299">
        <f t="shared" si="844"/>
        <v>3.3261813473590967</v>
      </c>
      <c r="AS161" s="301">
        <f t="shared" si="845"/>
        <v>6.7681565677775035</v>
      </c>
      <c r="AT161" s="299">
        <f t="shared" si="846"/>
        <v>3.5531505700924719</v>
      </c>
      <c r="AU161" s="299">
        <f t="shared" si="846"/>
        <v>3.4321035493400469</v>
      </c>
      <c r="AV161" s="301">
        <f t="shared" si="847"/>
        <v>6.9833588111743907</v>
      </c>
      <c r="AW161" s="299">
        <f t="shared" si="848"/>
        <v>3.6667434929950078</v>
      </c>
      <c r="AX161" s="299">
        <f t="shared" si="848"/>
        <v>3.5422234682722631</v>
      </c>
      <c r="AY161" s="301">
        <f t="shared" si="849"/>
        <v>7.2071321868361888</v>
      </c>
    </row>
    <row r="162" spans="1:51" s="17" customFormat="1" ht="12" customHeight="1" x14ac:dyDescent="0.2">
      <c r="A162" s="138"/>
      <c r="B162" s="6" t="s">
        <v>407</v>
      </c>
      <c r="C162" s="130"/>
      <c r="D162" s="142"/>
      <c r="E162" s="142"/>
      <c r="F162" s="300"/>
      <c r="G162" s="142"/>
      <c r="H162" s="142"/>
      <c r="I162" s="300">
        <f>I64/AVERAGE(F139,I139)</f>
        <v>1.9130434782608696</v>
      </c>
      <c r="J162" s="142"/>
      <c r="K162" s="142"/>
      <c r="L162" s="300">
        <f>L64/AVERAGE(I139,L139)</f>
        <v>2.512</v>
      </c>
      <c r="M162" s="298"/>
      <c r="N162" s="298"/>
      <c r="O162" s="300">
        <f>O64/AVERAGE(L139,O139)</f>
        <v>2.9724137931034482</v>
      </c>
      <c r="P162" s="298">
        <f t="shared" si="826"/>
        <v>1.3875</v>
      </c>
      <c r="Q162" s="298">
        <f t="shared" si="826"/>
        <v>1.4666666666666666</v>
      </c>
      <c r="R162" s="300">
        <f t="shared" si="827"/>
        <v>2.812121212121212</v>
      </c>
      <c r="S162" s="298">
        <f t="shared" si="828"/>
        <v>1.6321081081081081</v>
      </c>
      <c r="T162" s="298">
        <f t="shared" si="828"/>
        <v>1.6832195121951219</v>
      </c>
      <c r="U162" s="300">
        <f t="shared" si="829"/>
        <v>3.405263157894737</v>
      </c>
      <c r="V162" s="298">
        <f t="shared" si="830"/>
        <v>1.6150279069767439</v>
      </c>
      <c r="W162" s="298">
        <f t="shared" si="830"/>
        <v>1.7636399999999999</v>
      </c>
      <c r="X162" s="300">
        <f t="shared" si="831"/>
        <v>3.3820454545454548</v>
      </c>
      <c r="Y162" s="298">
        <f t="shared" si="832"/>
        <v>1.6992155319148934</v>
      </c>
      <c r="Z162" s="298">
        <f t="shared" si="832"/>
        <v>1.8626197959183672</v>
      </c>
      <c r="AA162" s="300">
        <f t="shared" si="833"/>
        <v>3.5652395833333324</v>
      </c>
      <c r="AB162" s="298">
        <f t="shared" si="834"/>
        <v>1.800835284313725</v>
      </c>
      <c r="AC162" s="298">
        <f t="shared" si="834"/>
        <v>1.9803514245283016</v>
      </c>
      <c r="AD162" s="300">
        <f t="shared" si="835"/>
        <v>3.7846389423076916</v>
      </c>
      <c r="AE162" s="298">
        <f t="shared" si="836"/>
        <v>1.9203452622727266</v>
      </c>
      <c r="AF162" s="298">
        <f t="shared" si="836"/>
        <v>2.1175863039473679</v>
      </c>
      <c r="AG162" s="300">
        <f t="shared" si="837"/>
        <v>4.0414537276785705</v>
      </c>
      <c r="AH162" s="298">
        <f t="shared" si="838"/>
        <v>2.0586752176059315</v>
      </c>
      <c r="AI162" s="298">
        <f t="shared" si="838"/>
        <v>2.2755374135040976</v>
      </c>
      <c r="AJ162" s="300">
        <f t="shared" si="839"/>
        <v>4.3378270010416644</v>
      </c>
      <c r="AK162" s="298">
        <f t="shared" si="840"/>
        <v>2.2171605319771817</v>
      </c>
      <c r="AL162" s="298">
        <f t="shared" si="840"/>
        <v>2.4558299931894219</v>
      </c>
      <c r="AM162" s="300">
        <f t="shared" si="841"/>
        <v>4.676719735498045</v>
      </c>
      <c r="AN162" s="298">
        <f t="shared" si="842"/>
        <v>2.3975116498768179</v>
      </c>
      <c r="AO162" s="298">
        <f t="shared" si="842"/>
        <v>2.6604824926218735</v>
      </c>
      <c r="AP162" s="300">
        <f t="shared" si="843"/>
        <v>5.0618613607743539</v>
      </c>
      <c r="AQ162" s="298">
        <f t="shared" si="844"/>
        <v>2.6018066566620957</v>
      </c>
      <c r="AR162" s="298">
        <f t="shared" si="844"/>
        <v>2.8919080245143238</v>
      </c>
      <c r="AS162" s="300">
        <f t="shared" si="845"/>
        <v>5.4977438668410343</v>
      </c>
      <c r="AT162" s="298">
        <f t="shared" si="846"/>
        <v>2.8325001802194678</v>
      </c>
      <c r="AU162" s="298">
        <f t="shared" si="846"/>
        <v>3.1529308916620455</v>
      </c>
      <c r="AV162" s="300">
        <f t="shared" si="847"/>
        <v>5.9896472654531268</v>
      </c>
      <c r="AW162" s="298">
        <f t="shared" si="848"/>
        <v>3.0924448170117604</v>
      </c>
      <c r="AX162" s="298">
        <f t="shared" si="848"/>
        <v>3.4468151908231373</v>
      </c>
      <c r="AY162" s="300">
        <f t="shared" si="849"/>
        <v>6.5436896375075406</v>
      </c>
    </row>
    <row r="163" spans="1:51" s="17" customFormat="1" ht="12" customHeight="1" x14ac:dyDescent="0.2">
      <c r="A163" s="138"/>
      <c r="B163" s="6" t="s">
        <v>408</v>
      </c>
      <c r="C163" s="130"/>
      <c r="D163" s="142"/>
      <c r="E163" s="142"/>
      <c r="F163" s="300"/>
      <c r="G163" s="142"/>
      <c r="H163" s="142"/>
      <c r="I163" s="300">
        <f>I65/AVERAGE(F140,I140)</f>
        <v>1.25</v>
      </c>
      <c r="J163" s="142"/>
      <c r="K163" s="142"/>
      <c r="L163" s="300">
        <f>L65/AVERAGE(I140,L140)</f>
        <v>1.45</v>
      </c>
      <c r="M163" s="298"/>
      <c r="N163" s="298"/>
      <c r="O163" s="300">
        <f>O65/AVERAGE(L140,O140)</f>
        <v>1.75</v>
      </c>
      <c r="P163" s="298">
        <f t="shared" si="826"/>
        <v>0.93333333333333335</v>
      </c>
      <c r="Q163" s="298">
        <f t="shared" si="826"/>
        <v>0.74</v>
      </c>
      <c r="R163" s="300">
        <f t="shared" si="827"/>
        <v>1.7555555555555555</v>
      </c>
      <c r="S163" s="298">
        <f t="shared" si="828"/>
        <v>0.92120000000000002</v>
      </c>
      <c r="T163" s="298">
        <f t="shared" si="828"/>
        <v>0.89879999999999993</v>
      </c>
      <c r="U163" s="300">
        <f t="shared" si="829"/>
        <v>1.8199999999999998</v>
      </c>
      <c r="V163" s="298">
        <f t="shared" si="830"/>
        <v>0.92120000000000002</v>
      </c>
      <c r="W163" s="298">
        <f t="shared" si="830"/>
        <v>0.89880000000000004</v>
      </c>
      <c r="X163" s="300">
        <f t="shared" si="831"/>
        <v>1.8181333333333332</v>
      </c>
      <c r="Y163" s="298">
        <f t="shared" si="832"/>
        <v>0.90072888888888891</v>
      </c>
      <c r="Z163" s="298">
        <f t="shared" si="832"/>
        <v>0.88369411764705874</v>
      </c>
      <c r="AA163" s="300">
        <f t="shared" si="833"/>
        <v>1.7833583333333332</v>
      </c>
      <c r="AB163" s="298">
        <f t="shared" si="834"/>
        <v>0.88887719298245604</v>
      </c>
      <c r="AC163" s="298">
        <f t="shared" si="834"/>
        <v>0.8743428571428572</v>
      </c>
      <c r="AD163" s="300">
        <f t="shared" si="835"/>
        <v>1.762493333333333</v>
      </c>
      <c r="AE163" s="298">
        <f t="shared" si="836"/>
        <v>0.88114782608695641</v>
      </c>
      <c r="AF163" s="298">
        <f t="shared" si="836"/>
        <v>0.86798399999999998</v>
      </c>
      <c r="AG163" s="300">
        <f t="shared" si="837"/>
        <v>1.7485833333333332</v>
      </c>
      <c r="AH163" s="298">
        <f t="shared" si="838"/>
        <v>0.87570864197530862</v>
      </c>
      <c r="AI163" s="298">
        <f t="shared" si="838"/>
        <v>0.86337931034482751</v>
      </c>
      <c r="AJ163" s="300">
        <f t="shared" si="839"/>
        <v>1.7386476190476188</v>
      </c>
      <c r="AK163" s="298">
        <f t="shared" si="840"/>
        <v>0.87167311827956984</v>
      </c>
      <c r="AL163" s="298">
        <f t="shared" si="840"/>
        <v>0.85989090909090904</v>
      </c>
      <c r="AM163" s="300">
        <f t="shared" si="841"/>
        <v>1.731195833333333</v>
      </c>
      <c r="AN163" s="298">
        <f t="shared" si="842"/>
        <v>0.86855999999999989</v>
      </c>
      <c r="AO163" s="298">
        <f t="shared" si="842"/>
        <v>0.85715675675675662</v>
      </c>
      <c r="AP163" s="300">
        <f t="shared" si="843"/>
        <v>1.7253999999999996</v>
      </c>
      <c r="AQ163" s="298">
        <f t="shared" si="844"/>
        <v>0.86608547008546999</v>
      </c>
      <c r="AR163" s="298">
        <f t="shared" si="844"/>
        <v>0.85495609756097535</v>
      </c>
      <c r="AS163" s="300">
        <f t="shared" si="845"/>
        <v>1.720763333333333</v>
      </c>
      <c r="AT163" s="298">
        <f t="shared" si="846"/>
        <v>0.86407131782945745</v>
      </c>
      <c r="AU163" s="298">
        <f t="shared" si="846"/>
        <v>0.85314666666666639</v>
      </c>
      <c r="AV163" s="300">
        <f t="shared" si="847"/>
        <v>1.7169696969696966</v>
      </c>
      <c r="AW163" s="298">
        <f t="shared" si="848"/>
        <v>0.86240000000000006</v>
      </c>
      <c r="AX163" s="298">
        <f t="shared" si="848"/>
        <v>0.85163265306122427</v>
      </c>
      <c r="AY163" s="300">
        <f t="shared" si="849"/>
        <v>1.7138083333333334</v>
      </c>
    </row>
    <row r="164" spans="1:51" s="17" customFormat="1" ht="12" customHeight="1" x14ac:dyDescent="0.2">
      <c r="A164" s="138"/>
      <c r="B164" s="161" t="s">
        <v>415</v>
      </c>
      <c r="C164" s="268"/>
      <c r="D164" s="233"/>
      <c r="E164" s="233"/>
      <c r="F164" s="169"/>
      <c r="G164" s="233"/>
      <c r="H164" s="233"/>
      <c r="I164" s="169"/>
      <c r="J164" s="233"/>
      <c r="K164" s="233"/>
      <c r="L164" s="169"/>
      <c r="M164" s="302"/>
      <c r="N164" s="302"/>
      <c r="O164" s="301"/>
      <c r="P164" s="302">
        <f t="shared" si="826"/>
        <v>2.3544303797468356</v>
      </c>
      <c r="Q164" s="302">
        <f t="shared" si="826"/>
        <v>2.3042857142857143</v>
      </c>
      <c r="R164" s="301">
        <f t="shared" si="827"/>
        <v>4.6628992628992627</v>
      </c>
      <c r="S164" s="302">
        <f t="shared" si="828"/>
        <v>2.5411973392461196</v>
      </c>
      <c r="T164" s="302">
        <f t="shared" si="828"/>
        <v>2.4550927835051541</v>
      </c>
      <c r="U164" s="301">
        <f t="shared" si="829"/>
        <v>5.0145922746781109</v>
      </c>
      <c r="V164" s="302">
        <f t="shared" si="830"/>
        <v>2.6014623008197484</v>
      </c>
      <c r="W164" s="302">
        <f t="shared" si="830"/>
        <v>2.5213333030852993</v>
      </c>
      <c r="X164" s="301">
        <f t="shared" si="831"/>
        <v>5.1202446807561968</v>
      </c>
      <c r="Y164" s="302">
        <f t="shared" si="832"/>
        <v>2.7023134826905624</v>
      </c>
      <c r="Z164" s="302">
        <f t="shared" si="832"/>
        <v>2.6215499401816484</v>
      </c>
      <c r="AA164" s="301">
        <f t="shared" si="833"/>
        <v>5.3215827248279393</v>
      </c>
      <c r="AB164" s="302">
        <f t="shared" si="834"/>
        <v>2.8123651513764503</v>
      </c>
      <c r="AC164" s="302">
        <f t="shared" si="834"/>
        <v>2.7303910848635367</v>
      </c>
      <c r="AD164" s="301">
        <f t="shared" si="835"/>
        <v>5.540676297238913</v>
      </c>
      <c r="AE164" s="302">
        <f t="shared" si="836"/>
        <v>2.8952173878251029</v>
      </c>
      <c r="AF164" s="302">
        <f t="shared" si="836"/>
        <v>2.8127540437802994</v>
      </c>
      <c r="AG164" s="301">
        <f t="shared" si="837"/>
        <v>5.7060718694797092</v>
      </c>
      <c r="AH164" s="302">
        <f t="shared" si="838"/>
        <v>2.9837685333182113</v>
      </c>
      <c r="AI164" s="302">
        <f t="shared" si="838"/>
        <v>2.900604459350935</v>
      </c>
      <c r="AJ164" s="301">
        <f t="shared" si="839"/>
        <v>5.8826189117045757</v>
      </c>
      <c r="AK164" s="302">
        <f t="shared" si="840"/>
        <v>3.077843459613228</v>
      </c>
      <c r="AL164" s="302">
        <f t="shared" si="840"/>
        <v>2.9938474351601032</v>
      </c>
      <c r="AM164" s="301">
        <f t="shared" si="841"/>
        <v>6.0700571048240137</v>
      </c>
      <c r="AN164" s="302">
        <f t="shared" si="842"/>
        <v>3.1773981533692526</v>
      </c>
      <c r="AO164" s="302">
        <f t="shared" si="842"/>
        <v>3.0924984186827333</v>
      </c>
      <c r="AP164" s="301">
        <f t="shared" si="843"/>
        <v>6.2683644112349244</v>
      </c>
      <c r="AQ164" s="302">
        <f t="shared" si="844"/>
        <v>3.2824840218345273</v>
      </c>
      <c r="AR164" s="302">
        <f t="shared" si="844"/>
        <v>3.1966563348864661</v>
      </c>
      <c r="AS164" s="301">
        <f t="shared" si="845"/>
        <v>6.4776957322872146</v>
      </c>
      <c r="AT164" s="302">
        <f t="shared" si="846"/>
        <v>3.3932267368334852</v>
      </c>
      <c r="AU164" s="302">
        <f t="shared" si="846"/>
        <v>3.3064877006080757</v>
      </c>
      <c r="AV164" s="301">
        <f t="shared" si="847"/>
        <v>6.6983465676680618</v>
      </c>
      <c r="AW164" s="302">
        <f t="shared" si="848"/>
        <v>3.5098136970929334</v>
      </c>
      <c r="AX164" s="302">
        <f t="shared" si="848"/>
        <v>3.4222174317987291</v>
      </c>
      <c r="AY164" s="301">
        <f t="shared" si="849"/>
        <v>6.9307317078532673</v>
      </c>
    </row>
    <row r="165" spans="1:51" s="17" customFormat="1" ht="12" customHeight="1" x14ac:dyDescent="0.2">
      <c r="A165" s="138"/>
      <c r="B165" s="6"/>
      <c r="C165" s="130"/>
      <c r="D165" s="142"/>
      <c r="E165" s="142"/>
      <c r="F165" s="143"/>
      <c r="G165" s="142"/>
      <c r="H165" s="142"/>
      <c r="I165" s="143"/>
      <c r="J165" s="142"/>
      <c r="K165" s="142"/>
      <c r="L165" s="143"/>
      <c r="M165" s="142"/>
      <c r="N165" s="142"/>
      <c r="O165" s="143"/>
      <c r="P165" s="142"/>
      <c r="Q165" s="142"/>
      <c r="R165" s="143"/>
      <c r="S165" s="142"/>
      <c r="T165" s="142"/>
      <c r="U165" s="143"/>
      <c r="V165" s="142"/>
      <c r="W165" s="142"/>
      <c r="X165" s="143"/>
      <c r="Y165" s="142"/>
      <c r="Z165" s="142"/>
      <c r="AA165" s="143"/>
      <c r="AB165" s="142"/>
      <c r="AC165" s="142"/>
      <c r="AD165" s="143"/>
      <c r="AE165" s="142"/>
      <c r="AF165" s="142"/>
      <c r="AG165" s="143"/>
      <c r="AH165" s="142"/>
      <c r="AI165" s="142"/>
      <c r="AJ165" s="143"/>
      <c r="AK165" s="142"/>
      <c r="AL165" s="142"/>
      <c r="AM165" s="143"/>
      <c r="AN165" s="142"/>
      <c r="AO165" s="142"/>
      <c r="AP165" s="143"/>
      <c r="AQ165" s="142"/>
      <c r="AR165" s="142"/>
      <c r="AS165" s="143"/>
      <c r="AT165" s="142"/>
      <c r="AU165" s="142"/>
      <c r="AV165" s="143"/>
      <c r="AW165" s="142"/>
      <c r="AX165" s="142"/>
      <c r="AY165" s="143"/>
    </row>
    <row r="166" spans="1:51" s="194" customFormat="1" ht="12" customHeight="1" x14ac:dyDescent="0.2">
      <c r="A166" s="190"/>
      <c r="B166" s="8" t="s">
        <v>403</v>
      </c>
      <c r="C166" s="131"/>
      <c r="D166" s="191"/>
      <c r="E166" s="191"/>
      <c r="F166" s="271"/>
      <c r="G166" s="191"/>
      <c r="H166" s="191"/>
      <c r="I166" s="271"/>
      <c r="J166" s="191"/>
      <c r="K166" s="191"/>
      <c r="L166" s="271"/>
      <c r="M166" s="191"/>
      <c r="N166" s="191"/>
      <c r="O166" s="271"/>
      <c r="P166" s="222">
        <f>P159/M159-1</f>
        <v>0.12509084046957053</v>
      </c>
      <c r="Q166" s="222">
        <f t="shared" ref="Q166:AJ166" si="850">Q159/N159-1</f>
        <v>7.526067239906431E-2</v>
      </c>
      <c r="R166" s="193">
        <f t="shared" si="850"/>
        <v>0.11661245132561837</v>
      </c>
      <c r="S166" s="222">
        <f>S159/P159-1</f>
        <v>9.2891988480842569E-2</v>
      </c>
      <c r="T166" s="222">
        <f t="shared" ref="T166:T168" si="851">T159/Q159-1</f>
        <v>4.9217152042450252E-2</v>
      </c>
      <c r="U166" s="193">
        <f t="shared" ref="U166:U170" si="852">U159/R159-1</f>
        <v>5.8603341752568427E-2</v>
      </c>
      <c r="V166" s="222">
        <f t="shared" si="850"/>
        <v>2.0859728779434983E-2</v>
      </c>
      <c r="W166" s="222">
        <f t="shared" si="850"/>
        <v>5.8534961726666168E-2</v>
      </c>
      <c r="X166" s="193">
        <f t="shared" si="850"/>
        <v>2.9902409677145414E-2</v>
      </c>
      <c r="Y166" s="222">
        <f t="shared" si="850"/>
        <v>3.992196513267543E-2</v>
      </c>
      <c r="Z166" s="222">
        <f t="shared" si="850"/>
        <v>4.0753534489670562E-2</v>
      </c>
      <c r="AA166" s="193">
        <f t="shared" si="850"/>
        <v>4.0424246606857395E-2</v>
      </c>
      <c r="AB166" s="222">
        <f t="shared" si="850"/>
        <v>4.1464815377858733E-2</v>
      </c>
      <c r="AC166" s="222">
        <f t="shared" si="850"/>
        <v>4.2079402327474424E-2</v>
      </c>
      <c r="AD166" s="193">
        <f t="shared" si="850"/>
        <v>4.1837522670685301E-2</v>
      </c>
      <c r="AE166" s="222">
        <f t="shared" si="850"/>
        <v>2.9019838987923929E-2</v>
      </c>
      <c r="AF166" s="222">
        <f t="shared" si="850"/>
        <v>2.9427655677655817E-2</v>
      </c>
      <c r="AG166" s="193">
        <f t="shared" si="850"/>
        <v>2.9274131334848352E-2</v>
      </c>
      <c r="AH166" s="222">
        <f t="shared" si="850"/>
        <v>2.9786793816279689E-2</v>
      </c>
      <c r="AI166" s="222">
        <f t="shared" si="850"/>
        <v>3.0105167538106326E-2</v>
      </c>
      <c r="AJ166" s="193">
        <f t="shared" si="850"/>
        <v>2.9986624049446409E-2</v>
      </c>
      <c r="AK166" s="222">
        <f t="shared" ref="AK166:AK171" si="853">AK159/AH159-1</f>
        <v>3.0389103113396265E-2</v>
      </c>
      <c r="AL166" s="222">
        <f t="shared" ref="AL166:AL171" si="854">AL159/AI159-1</f>
        <v>3.0643711817990527E-2</v>
      </c>
      <c r="AM166" s="193">
        <f t="shared" ref="AM166:AM171" si="855">AM159/AJ159-1</f>
        <v>3.0549906384288228E-2</v>
      </c>
      <c r="AN166" s="222">
        <f t="shared" ref="AN166:AN171" si="856">AN159/AK159-1</f>
        <v>3.0873163658707403E-2</v>
      </c>
      <c r="AO166" s="222">
        <f t="shared" ref="AO166:AO171" si="857">AO159/AL159-1</f>
        <v>3.108089113781709E-2</v>
      </c>
      <c r="AP166" s="193">
        <f t="shared" ref="AP166:AP171" si="858">AP159/AM159-1</f>
        <v>3.1005126776796121E-2</v>
      </c>
      <c r="AQ166" s="222">
        <f t="shared" ref="AQ166:AQ171" si="859">AQ159/AN159-1</f>
        <v>3.1269742884757701E-2</v>
      </c>
      <c r="AR166" s="222">
        <f t="shared" ref="AR166:AR171" si="860">AR159/AO159-1</f>
        <v>3.1442100853961596E-2</v>
      </c>
      <c r="AS166" s="193">
        <f t="shared" ref="AS166:AS171" si="861">AS159/AP159-1</f>
        <v>3.1379838650981151E-2</v>
      </c>
      <c r="AT166" s="222">
        <f t="shared" ref="AT166:AT171" si="862">AT159/AQ159-1</f>
        <v>3.1599970699190516E-2</v>
      </c>
      <c r="AU166" s="222">
        <f t="shared" ref="AU166:AU171" si="863">AU159/AR159-1</f>
        <v>3.1745052162306386E-2</v>
      </c>
      <c r="AV166" s="193">
        <f t="shared" ref="AV166:AV171" si="864">AV159/AS159-1</f>
        <v>3.1693120773340411E-2</v>
      </c>
      <c r="AW166" s="222">
        <f t="shared" ref="AW166:AW171" si="865">AW159/AT159-1</f>
        <v>3.1878794405617361E-2</v>
      </c>
      <c r="AX166" s="222">
        <f t="shared" ref="AX166:AX171" si="866">AX159/AU159-1</f>
        <v>3.2002439884119216E-2</v>
      </c>
      <c r="AY166" s="193">
        <f t="shared" ref="AY166:AY171" si="867">AY159/AV159-1</f>
        <v>3.1958564887335061E-2</v>
      </c>
    </row>
    <row r="167" spans="1:51" s="194" customFormat="1" ht="12" customHeight="1" x14ac:dyDescent="0.2">
      <c r="A167" s="190"/>
      <c r="B167" s="8" t="s">
        <v>409</v>
      </c>
      <c r="C167" s="131"/>
      <c r="D167" s="191"/>
      <c r="E167" s="191"/>
      <c r="F167" s="271"/>
      <c r="G167" s="191"/>
      <c r="H167" s="191"/>
      <c r="I167" s="271"/>
      <c r="J167" s="191"/>
      <c r="K167" s="191"/>
      <c r="L167" s="271"/>
      <c r="M167" s="191"/>
      <c r="N167" s="191"/>
      <c r="O167" s="271"/>
      <c r="P167" s="222">
        <f t="shared" ref="P167:AJ167" si="868">P160/M160-1</f>
        <v>0.14239235162295216</v>
      </c>
      <c r="Q167" s="222">
        <f t="shared" si="868"/>
        <v>8.0997426619923818E-2</v>
      </c>
      <c r="R167" s="193">
        <f t="shared" si="868"/>
        <v>0.121651138902793</v>
      </c>
      <c r="S167" s="222">
        <f t="shared" si="868"/>
        <v>6.8458441734513764E-2</v>
      </c>
      <c r="T167" s="222">
        <f t="shared" si="851"/>
        <v>6.8822844060547617E-2</v>
      </c>
      <c r="U167" s="193">
        <f t="shared" si="852"/>
        <v>7.547997759017977E-2</v>
      </c>
      <c r="V167" s="222">
        <f t="shared" si="868"/>
        <v>3.0419705920123441E-2</v>
      </c>
      <c r="W167" s="222">
        <f t="shared" si="868"/>
        <v>1.2476103013978168E-2</v>
      </c>
      <c r="X167" s="193">
        <f t="shared" si="868"/>
        <v>2.3085648648538015E-2</v>
      </c>
      <c r="Y167" s="222">
        <f t="shared" si="868"/>
        <v>4.156610830064511E-2</v>
      </c>
      <c r="Z167" s="222">
        <f t="shared" si="868"/>
        <v>4.2159455356556297E-2</v>
      </c>
      <c r="AA167" s="193">
        <f t="shared" si="868"/>
        <v>4.1925154933710518E-2</v>
      </c>
      <c r="AB167" s="222">
        <f t="shared" si="868"/>
        <v>4.2678693376677401E-2</v>
      </c>
      <c r="AC167" s="222">
        <f t="shared" si="868"/>
        <v>4.3136499276678508E-2</v>
      </c>
      <c r="AD167" s="193">
        <f t="shared" si="868"/>
        <v>4.2956713948331338E-2</v>
      </c>
      <c r="AE167" s="222">
        <f t="shared" si="868"/>
        <v>2.9935396951342952E-2</v>
      </c>
      <c r="AF167" s="222">
        <f t="shared" si="868"/>
        <v>3.023661999991778E-2</v>
      </c>
      <c r="AG167" s="193">
        <f t="shared" si="868"/>
        <v>3.0125075832460491E-2</v>
      </c>
      <c r="AH167" s="222">
        <f t="shared" si="868"/>
        <v>3.0506049584552608E-2</v>
      </c>
      <c r="AI167" s="222">
        <f t="shared" si="868"/>
        <v>3.0748297630630805E-2</v>
      </c>
      <c r="AJ167" s="193">
        <f t="shared" si="868"/>
        <v>3.065949725769368E-2</v>
      </c>
      <c r="AK167" s="222">
        <f t="shared" si="853"/>
        <v>3.096714480276952E-2</v>
      </c>
      <c r="AL167" s="222">
        <f t="shared" si="854"/>
        <v>3.1165716850933167E-2</v>
      </c>
      <c r="AM167" s="193">
        <f t="shared" si="855"/>
        <v>3.1093629757807939E-2</v>
      </c>
      <c r="AN167" s="222">
        <f t="shared" si="856"/>
        <v>3.1346618391120851E-2</v>
      </c>
      <c r="AO167" s="222">
        <f t="shared" si="857"/>
        <v>3.1512035542897054E-2</v>
      </c>
      <c r="AP167" s="193">
        <f t="shared" si="858"/>
        <v>3.1452538176692135E-2</v>
      </c>
      <c r="AQ167" s="222">
        <f t="shared" si="859"/>
        <v>3.1663815495196035E-2</v>
      </c>
      <c r="AR167" s="222">
        <f t="shared" si="860"/>
        <v>3.1803528782043067E-2</v>
      </c>
      <c r="AS167" s="193">
        <f t="shared" si="861"/>
        <v>3.175371802537752E-2</v>
      </c>
      <c r="AT167" s="222">
        <f t="shared" si="862"/>
        <v>3.1932518462021386E-2</v>
      </c>
      <c r="AU167" s="222">
        <f t="shared" si="863"/>
        <v>3.2051939279232444E-2</v>
      </c>
      <c r="AV167" s="193">
        <f t="shared" si="864"/>
        <v>3.2009719296220984E-2</v>
      </c>
      <c r="AW167" s="222">
        <f t="shared" si="865"/>
        <v>3.2162789089087651E-2</v>
      </c>
      <c r="AX167" s="222">
        <f t="shared" si="866"/>
        <v>3.2265934260104157E-2</v>
      </c>
      <c r="AY167" s="193">
        <f t="shared" si="867"/>
        <v>3.2229758648485429E-2</v>
      </c>
    </row>
    <row r="168" spans="1:51" s="274" customFormat="1" ht="12" customHeight="1" x14ac:dyDescent="0.2">
      <c r="B168" s="276" t="s">
        <v>410</v>
      </c>
      <c r="C168" s="277"/>
      <c r="D168" s="278"/>
      <c r="E168" s="278"/>
      <c r="F168" s="279"/>
      <c r="G168" s="278"/>
      <c r="H168" s="278"/>
      <c r="I168" s="279"/>
      <c r="J168" s="278"/>
      <c r="K168" s="278"/>
      <c r="L168" s="279">
        <f t="shared" ref="L168:L170" si="869">L161/I161-1</f>
        <v>0.15168144499178982</v>
      </c>
      <c r="M168" s="280"/>
      <c r="N168" s="280"/>
      <c r="O168" s="279">
        <f t="shared" ref="O168:AJ170" si="870">O161/L161-1</f>
        <v>0.18606404854087599</v>
      </c>
      <c r="P168" s="280">
        <f t="shared" si="870"/>
        <v>0.1357652929536266</v>
      </c>
      <c r="Q168" s="280">
        <f t="shared" si="870"/>
        <v>7.8076346442163436E-2</v>
      </c>
      <c r="R168" s="279">
        <f t="shared" si="870"/>
        <v>0.1193026151930261</v>
      </c>
      <c r="S168" s="280">
        <f t="shared" si="870"/>
        <v>7.5298993647654688E-2</v>
      </c>
      <c r="T168" s="280">
        <f t="shared" si="851"/>
        <v>5.9845783814374665E-2</v>
      </c>
      <c r="U168" s="279">
        <f t="shared" si="852"/>
        <v>6.8422764123282853E-2</v>
      </c>
      <c r="V168" s="280">
        <f t="shared" si="870"/>
        <v>2.5685488018101443E-2</v>
      </c>
      <c r="W168" s="280">
        <f t="shared" si="870"/>
        <v>2.707150101419864E-2</v>
      </c>
      <c r="X168" s="279">
        <f t="shared" si="870"/>
        <v>2.4024479702327683E-2</v>
      </c>
      <c r="Y168" s="280">
        <f t="shared" si="870"/>
        <v>4.0663775930622315E-2</v>
      </c>
      <c r="Z168" s="280">
        <f t="shared" si="870"/>
        <v>4.137133174808838E-2</v>
      </c>
      <c r="AA168" s="279">
        <f t="shared" si="870"/>
        <v>4.1088584107170867E-2</v>
      </c>
      <c r="AB168" s="280">
        <f t="shared" si="870"/>
        <v>4.1984798535966483E-2</v>
      </c>
      <c r="AC168" s="280">
        <f t="shared" si="870"/>
        <v>4.2521195689635194E-2</v>
      </c>
      <c r="AD168" s="279">
        <f t="shared" si="870"/>
        <v>4.2308047621123723E-2</v>
      </c>
      <c r="AE168" s="280">
        <f t="shared" si="870"/>
        <v>2.9393442111340651E-2</v>
      </c>
      <c r="AF168" s="280">
        <f t="shared" si="870"/>
        <v>2.9750191650656177E-2</v>
      </c>
      <c r="AG168" s="279">
        <f t="shared" si="870"/>
        <v>2.9615047496972968E-2</v>
      </c>
      <c r="AH168" s="280">
        <f t="shared" si="870"/>
        <v>3.006716763155759E-2</v>
      </c>
      <c r="AI168" s="280">
        <f t="shared" si="870"/>
        <v>3.0350423554046824E-2</v>
      </c>
      <c r="AJ168" s="279">
        <f t="shared" si="870"/>
        <v>3.0244202454410063E-2</v>
      </c>
      <c r="AK168" s="280">
        <f t="shared" si="853"/>
        <v>3.0604873008977185E-2</v>
      </c>
      <c r="AL168" s="280">
        <f t="shared" si="854"/>
        <v>3.0834541543317107E-2</v>
      </c>
      <c r="AM168" s="279">
        <f t="shared" si="855"/>
        <v>3.0749253636829676E-2</v>
      </c>
      <c r="AN168" s="280">
        <f t="shared" si="856"/>
        <v>3.1042755359256935E-2</v>
      </c>
      <c r="AO168" s="280">
        <f t="shared" si="857"/>
        <v>3.1232284424222101E-2</v>
      </c>
      <c r="AP168" s="279">
        <f t="shared" si="858"/>
        <v>3.1162559973461956E-2</v>
      </c>
      <c r="AQ168" s="280">
        <f t="shared" si="859"/>
        <v>3.1405452230814479E-2</v>
      </c>
      <c r="AR168" s="280">
        <f t="shared" si="860"/>
        <v>3.1564220854932046E-2</v>
      </c>
      <c r="AS168" s="279">
        <f t="shared" si="861"/>
        <v>3.1506335281361819E-2</v>
      </c>
      <c r="AT168" s="280">
        <f t="shared" si="862"/>
        <v>3.171025750637102E-2</v>
      </c>
      <c r="AU168" s="280">
        <f t="shared" si="863"/>
        <v>3.1844987064535646E-2</v>
      </c>
      <c r="AV168" s="279">
        <f t="shared" si="864"/>
        <v>3.1796286217940395E-2</v>
      </c>
      <c r="AW168" s="280">
        <f t="shared" si="865"/>
        <v>3.1969633895807537E-2</v>
      </c>
      <c r="AX168" s="280">
        <f t="shared" si="866"/>
        <v>3.2085255397783952E-2</v>
      </c>
      <c r="AY168" s="279">
        <f t="shared" si="867"/>
        <v>3.2043803234587998E-2</v>
      </c>
    </row>
    <row r="169" spans="1:51" s="194" customFormat="1" ht="12" customHeight="1" x14ac:dyDescent="0.2">
      <c r="A169" s="190"/>
      <c r="B169" s="8" t="s">
        <v>411</v>
      </c>
      <c r="C169" s="131"/>
      <c r="D169" s="191"/>
      <c r="E169" s="191"/>
      <c r="F169" s="271"/>
      <c r="G169" s="191"/>
      <c r="H169" s="191"/>
      <c r="I169" s="193"/>
      <c r="J169" s="191"/>
      <c r="K169" s="191"/>
      <c r="L169" s="193">
        <f t="shared" si="869"/>
        <v>0.31309090909090909</v>
      </c>
      <c r="M169" s="191"/>
      <c r="N169" s="191"/>
      <c r="O169" s="193">
        <f t="shared" si="870"/>
        <v>0.18328574566220079</v>
      </c>
      <c r="P169" s="222"/>
      <c r="Q169" s="222"/>
      <c r="R169" s="193">
        <f t="shared" ref="R169:AJ169" si="871">R162/O162-1</f>
        <v>-5.3926738381494754E-2</v>
      </c>
      <c r="S169" s="222">
        <f t="shared" si="871"/>
        <v>0.1762941319698077</v>
      </c>
      <c r="T169" s="222"/>
      <c r="U169" s="193">
        <f t="shared" si="852"/>
        <v>0.21092332123411994</v>
      </c>
      <c r="V169" s="222">
        <f t="shared" si="871"/>
        <v>-1.0465116279069986E-2</v>
      </c>
      <c r="W169" s="222">
        <f t="shared" si="871"/>
        <v>4.7777777777777697E-2</v>
      </c>
      <c r="X169" s="193">
        <f t="shared" si="871"/>
        <v>-6.8181818181818343E-3</v>
      </c>
      <c r="Y169" s="222">
        <f t="shared" si="871"/>
        <v>5.2127659574468188E-2</v>
      </c>
      <c r="Z169" s="222">
        <f t="shared" si="871"/>
        <v>5.6122448979591955E-2</v>
      </c>
      <c r="AA169" s="193">
        <f t="shared" si="871"/>
        <v>5.4166666666666252E-2</v>
      </c>
      <c r="AB169" s="222">
        <f t="shared" si="871"/>
        <v>5.9803921568627239E-2</v>
      </c>
      <c r="AC169" s="222">
        <f t="shared" si="871"/>
        <v>6.3207547169811251E-2</v>
      </c>
      <c r="AD169" s="193">
        <f t="shared" si="871"/>
        <v>6.1538461538461542E-2</v>
      </c>
      <c r="AE169" s="222">
        <f t="shared" si="871"/>
        <v>6.6363636363636402E-2</v>
      </c>
      <c r="AF169" s="222">
        <f t="shared" si="871"/>
        <v>6.929824561403497E-2</v>
      </c>
      <c r="AG169" s="193">
        <f t="shared" si="871"/>
        <v>6.7857142857142838E-2</v>
      </c>
      <c r="AH169" s="222">
        <f t="shared" si="871"/>
        <v>7.2033898305084776E-2</v>
      </c>
      <c r="AI169" s="222">
        <f t="shared" si="871"/>
        <v>7.459016393442619E-2</v>
      </c>
      <c r="AJ169" s="193">
        <f t="shared" si="871"/>
        <v>7.3333333333333028E-2</v>
      </c>
      <c r="AK169" s="222">
        <f t="shared" si="853"/>
        <v>7.6984126984126933E-2</v>
      </c>
      <c r="AL169" s="222">
        <f t="shared" si="854"/>
        <v>7.9230769230768994E-2</v>
      </c>
      <c r="AM169" s="193">
        <f t="shared" si="855"/>
        <v>7.8125000000000222E-2</v>
      </c>
      <c r="AN169" s="222">
        <f t="shared" si="856"/>
        <v>8.1343283582089532E-2</v>
      </c>
      <c r="AO169" s="222">
        <f t="shared" si="857"/>
        <v>8.3333333333333259E-2</v>
      </c>
      <c r="AP169" s="193">
        <f t="shared" si="858"/>
        <v>8.2352941176470518E-2</v>
      </c>
      <c r="AQ169" s="222">
        <f t="shared" si="859"/>
        <v>8.5211267605633578E-2</v>
      </c>
      <c r="AR169" s="222">
        <f t="shared" si="860"/>
        <v>8.6986301369862851E-2</v>
      </c>
      <c r="AS169" s="193">
        <f t="shared" si="861"/>
        <v>8.6111111111111027E-2</v>
      </c>
      <c r="AT169" s="222">
        <f t="shared" si="862"/>
        <v>8.8666666666666449E-2</v>
      </c>
      <c r="AU169" s="222">
        <f t="shared" si="863"/>
        <v>9.0259740259740262E-2</v>
      </c>
      <c r="AV169" s="193">
        <f t="shared" si="864"/>
        <v>8.9473684210526372E-2</v>
      </c>
      <c r="AW169" s="222">
        <f t="shared" si="865"/>
        <v>9.1772151898734E-2</v>
      </c>
      <c r="AX169" s="222">
        <f t="shared" si="866"/>
        <v>9.3209876543209891E-2</v>
      </c>
      <c r="AY169" s="193">
        <f t="shared" si="867"/>
        <v>9.2500000000000027E-2</v>
      </c>
    </row>
    <row r="170" spans="1:51" s="194" customFormat="1" ht="12" customHeight="1" x14ac:dyDescent="0.2">
      <c r="A170" s="190"/>
      <c r="B170" s="8" t="s">
        <v>412</v>
      </c>
      <c r="C170" s="131"/>
      <c r="D170" s="191"/>
      <c r="E170" s="191"/>
      <c r="F170" s="271"/>
      <c r="G170" s="191"/>
      <c r="H170" s="191"/>
      <c r="I170" s="193"/>
      <c r="J170" s="191"/>
      <c r="K170" s="191"/>
      <c r="L170" s="193">
        <f t="shared" si="869"/>
        <v>0.15999999999999992</v>
      </c>
      <c r="M170" s="191"/>
      <c r="N170" s="191"/>
      <c r="O170" s="193">
        <f t="shared" si="870"/>
        <v>0.2068965517241379</v>
      </c>
      <c r="P170" s="222"/>
      <c r="Q170" s="222"/>
      <c r="R170" s="193">
        <f t="shared" ref="R170:AJ170" si="872">R163/O163-1</f>
        <v>3.1746031746031633E-3</v>
      </c>
      <c r="S170" s="222">
        <f t="shared" si="872"/>
        <v>-1.3000000000000012E-2</v>
      </c>
      <c r="T170" s="222"/>
      <c r="U170" s="193">
        <f t="shared" si="852"/>
        <v>3.6708860759493644E-2</v>
      </c>
      <c r="V170" s="222">
        <f t="shared" si="872"/>
        <v>0</v>
      </c>
      <c r="W170" s="222">
        <f t="shared" si="872"/>
        <v>0</v>
      </c>
      <c r="X170" s="193">
        <f t="shared" si="872"/>
        <v>-1.0256410256410664E-3</v>
      </c>
      <c r="Y170" s="222">
        <f t="shared" si="872"/>
        <v>-2.2222222222222254E-2</v>
      </c>
      <c r="Z170" s="222">
        <f t="shared" si="872"/>
        <v>-1.6806722689075793E-2</v>
      </c>
      <c r="AA170" s="193">
        <f t="shared" si="872"/>
        <v>-1.9126760046934588E-2</v>
      </c>
      <c r="AB170" s="222">
        <f t="shared" si="872"/>
        <v>-1.3157894736842257E-2</v>
      </c>
      <c r="AC170" s="222">
        <f t="shared" si="872"/>
        <v>-1.058201058201047E-2</v>
      </c>
      <c r="AD170" s="193">
        <f t="shared" si="872"/>
        <v>-1.1699835983607798E-2</v>
      </c>
      <c r="AE170" s="222">
        <f t="shared" si="872"/>
        <v>-8.6956521739131043E-3</v>
      </c>
      <c r="AF170" s="222">
        <f t="shared" si="872"/>
        <v>-7.2727272727273196E-3</v>
      </c>
      <c r="AG170" s="193">
        <f t="shared" si="872"/>
        <v>-7.8922284339608684E-3</v>
      </c>
      <c r="AH170" s="222">
        <f t="shared" si="872"/>
        <v>-6.1728395061727559E-3</v>
      </c>
      <c r="AI170" s="222">
        <f t="shared" si="872"/>
        <v>-5.3050397877985045E-3</v>
      </c>
      <c r="AJ170" s="193">
        <f t="shared" si="872"/>
        <v>-5.682150856816115E-3</v>
      </c>
      <c r="AK170" s="222">
        <f t="shared" si="853"/>
        <v>-4.6082949308756671E-3</v>
      </c>
      <c r="AL170" s="222">
        <f t="shared" si="854"/>
        <v>-4.0404040404040664E-3</v>
      </c>
      <c r="AM170" s="193">
        <f t="shared" si="855"/>
        <v>-4.2859666516942285E-3</v>
      </c>
      <c r="AN170" s="222">
        <f t="shared" si="856"/>
        <v>-3.5714285714286698E-3</v>
      </c>
      <c r="AO170" s="222">
        <f t="shared" si="857"/>
        <v>-3.1796502384738856E-3</v>
      </c>
      <c r="AP170" s="193">
        <f t="shared" si="858"/>
        <v>-3.3478785136479283E-3</v>
      </c>
      <c r="AQ170" s="222">
        <f t="shared" si="859"/>
        <v>-2.8490028490028019E-3</v>
      </c>
      <c r="AR170" s="222">
        <f t="shared" si="860"/>
        <v>-2.5673940949937357E-3</v>
      </c>
      <c r="AS170" s="193">
        <f t="shared" si="861"/>
        <v>-2.6872995633862029E-3</v>
      </c>
      <c r="AT170" s="222">
        <f t="shared" si="862"/>
        <v>-2.3255813953486637E-3</v>
      </c>
      <c r="AU170" s="222">
        <f t="shared" si="863"/>
        <v>-2.1164021164021829E-3</v>
      </c>
      <c r="AV170" s="193">
        <f t="shared" si="864"/>
        <v>-2.2046241282278611E-3</v>
      </c>
      <c r="AW170" s="222">
        <f t="shared" si="865"/>
        <v>-1.9342359767892114E-3</v>
      </c>
      <c r="AX170" s="222">
        <f t="shared" si="866"/>
        <v>-1.7746228926353025E-3</v>
      </c>
      <c r="AY170" s="193">
        <f t="shared" si="867"/>
        <v>-1.84124602894431E-3</v>
      </c>
    </row>
    <row r="171" spans="1:51" s="274" customFormat="1" ht="12" customHeight="1" x14ac:dyDescent="0.2">
      <c r="B171" s="161" t="s">
        <v>414</v>
      </c>
      <c r="C171" s="277"/>
      <c r="D171" s="278"/>
      <c r="E171" s="278"/>
      <c r="F171" s="279"/>
      <c r="G171" s="278"/>
      <c r="H171" s="278"/>
      <c r="I171" s="279"/>
      <c r="J171" s="278"/>
      <c r="K171" s="278"/>
      <c r="L171" s="279"/>
      <c r="M171" s="280"/>
      <c r="N171" s="280"/>
      <c r="O171" s="279"/>
      <c r="P171" s="280"/>
      <c r="Q171" s="280"/>
      <c r="R171" s="279"/>
      <c r="S171" s="280">
        <f t="shared" ref="S171:AJ171" si="873">S164/P164-1</f>
        <v>7.932575161528721E-2</v>
      </c>
      <c r="T171" s="280"/>
      <c r="U171" s="279"/>
      <c r="V171" s="280">
        <f t="shared" si="873"/>
        <v>2.3715183643119753E-2</v>
      </c>
      <c r="W171" s="280">
        <f t="shared" si="873"/>
        <v>2.6980861996414252E-2</v>
      </c>
      <c r="X171" s="279">
        <f t="shared" si="873"/>
        <v>2.1068992311018553E-2</v>
      </c>
      <c r="Y171" s="280">
        <f t="shared" si="873"/>
        <v>3.8767112573199647E-2</v>
      </c>
      <c r="Z171" s="280">
        <f t="shared" si="873"/>
        <v>3.9747476850330088E-2</v>
      </c>
      <c r="AA171" s="279">
        <f t="shared" si="873"/>
        <v>3.9321957567466814E-2</v>
      </c>
      <c r="AB171" s="280">
        <f t="shared" si="873"/>
        <v>4.0724982275673893E-2</v>
      </c>
      <c r="AC171" s="280">
        <f t="shared" si="873"/>
        <v>4.1517860489183267E-2</v>
      </c>
      <c r="AD171" s="279">
        <f t="shared" si="873"/>
        <v>4.1170753841481833E-2</v>
      </c>
      <c r="AE171" s="280">
        <f t="shared" si="873"/>
        <v>2.9459985453205606E-2</v>
      </c>
      <c r="AF171" s="280">
        <f t="shared" si="873"/>
        <v>3.0165260710584008E-2</v>
      </c>
      <c r="AG171" s="279">
        <f t="shared" si="873"/>
        <v>2.9851152344564591E-2</v>
      </c>
      <c r="AH171" s="280">
        <f t="shared" si="873"/>
        <v>3.0585318347935431E-2</v>
      </c>
      <c r="AI171" s="280">
        <f t="shared" si="873"/>
        <v>3.1232882151532193E-2</v>
      </c>
      <c r="AJ171" s="279">
        <f t="shared" si="873"/>
        <v>3.094020654895191E-2</v>
      </c>
      <c r="AK171" s="280">
        <f t="shared" si="853"/>
        <v>3.1528895503967647E-2</v>
      </c>
      <c r="AL171" s="280">
        <f t="shared" si="854"/>
        <v>3.2146049940926069E-2</v>
      </c>
      <c r="AM171" s="279">
        <f t="shared" si="855"/>
        <v>3.1863052142727444E-2</v>
      </c>
      <c r="AN171" s="280">
        <f t="shared" si="856"/>
        <v>3.2345600113312667E-2</v>
      </c>
      <c r="AO171" s="280">
        <f t="shared" si="857"/>
        <v>3.2951239386503461E-2</v>
      </c>
      <c r="AP171" s="279">
        <f t="shared" si="858"/>
        <v>3.2669759606266613E-2</v>
      </c>
      <c r="AQ171" s="280">
        <f t="shared" si="859"/>
        <v>3.3072930552893842E-2</v>
      </c>
      <c r="AR171" s="280">
        <f t="shared" si="860"/>
        <v>3.3680830869462275E-2</v>
      </c>
      <c r="AS171" s="279">
        <f t="shared" si="861"/>
        <v>3.3394886978348248E-2</v>
      </c>
      <c r="AT171" s="280">
        <f t="shared" si="862"/>
        <v>3.3737472676886204E-2</v>
      </c>
      <c r="AU171" s="280">
        <f t="shared" si="863"/>
        <v>3.4358202513974812E-2</v>
      </c>
      <c r="AV171" s="279">
        <f t="shared" si="864"/>
        <v>3.4063167598478383E-2</v>
      </c>
      <c r="AW171" s="280">
        <f t="shared" si="865"/>
        <v>3.4358729699343948E-2</v>
      </c>
      <c r="AX171" s="280">
        <f t="shared" si="866"/>
        <v>3.5000804983901901E-2</v>
      </c>
      <c r="AY171" s="279">
        <f t="shared" si="867"/>
        <v>3.4692910830695922E-2</v>
      </c>
    </row>
    <row r="172" spans="1:51" s="17" customFormat="1" ht="12" customHeight="1" x14ac:dyDescent="0.2">
      <c r="A172" s="138"/>
      <c r="B172" s="6"/>
      <c r="C172" s="130"/>
      <c r="D172" s="142"/>
      <c r="E172" s="142"/>
      <c r="F172" s="143"/>
      <c r="G172" s="142"/>
      <c r="H172" s="142"/>
      <c r="I172" s="143"/>
      <c r="J172" s="142"/>
      <c r="K172" s="142"/>
      <c r="L172" s="143"/>
      <c r="M172" s="142"/>
      <c r="N172" s="142"/>
      <c r="O172" s="143"/>
      <c r="P172" s="142"/>
      <c r="Q172" s="142"/>
      <c r="R172" s="143"/>
      <c r="S172" s="142"/>
      <c r="T172" s="142"/>
      <c r="U172" s="143"/>
      <c r="V172" s="142"/>
      <c r="W172" s="142"/>
      <c r="X172" s="143"/>
      <c r="Y172" s="142"/>
      <c r="Z172" s="142"/>
      <c r="AA172" s="143"/>
      <c r="AB172" s="142"/>
      <c r="AC172" s="142"/>
      <c r="AD172" s="143"/>
      <c r="AE172" s="142"/>
      <c r="AF172" s="142"/>
      <c r="AG172" s="143"/>
      <c r="AH172" s="142"/>
      <c r="AI172" s="142"/>
      <c r="AJ172" s="143"/>
      <c r="AK172" s="142"/>
      <c r="AL172" s="142"/>
      <c r="AM172" s="143"/>
      <c r="AN172" s="142"/>
      <c r="AO172" s="142"/>
      <c r="AP172" s="143"/>
      <c r="AQ172" s="142"/>
      <c r="AR172" s="142"/>
      <c r="AS172" s="143"/>
      <c r="AT172" s="142"/>
      <c r="AU172" s="142"/>
      <c r="AV172" s="143"/>
      <c r="AW172" s="142"/>
      <c r="AX172" s="142"/>
      <c r="AY172" s="143"/>
    </row>
    <row r="173" spans="1:51" s="17" customFormat="1" ht="12" customHeight="1" x14ac:dyDescent="0.2">
      <c r="A173" s="138"/>
      <c r="B173" s="6"/>
      <c r="C173" s="130"/>
      <c r="D173" s="142"/>
      <c r="E173" s="142"/>
      <c r="F173" s="143"/>
      <c r="G173" s="142"/>
      <c r="H173" s="142"/>
      <c r="I173" s="143"/>
      <c r="J173" s="142"/>
      <c r="K173" s="142"/>
      <c r="L173" s="143"/>
      <c r="M173" s="142"/>
      <c r="N173" s="142"/>
      <c r="O173" s="143"/>
      <c r="P173" s="142"/>
      <c r="Q173" s="142"/>
      <c r="R173" s="143"/>
      <c r="S173" s="142"/>
      <c r="T173" s="142"/>
      <c r="U173" s="143"/>
      <c r="V173" s="142"/>
      <c r="W173" s="142"/>
      <c r="X173" s="143"/>
      <c r="Y173" s="142"/>
      <c r="Z173" s="142"/>
      <c r="AA173" s="143"/>
      <c r="AB173" s="142"/>
      <c r="AC173" s="142"/>
      <c r="AD173" s="143"/>
      <c r="AE173" s="142"/>
      <c r="AF173" s="142"/>
      <c r="AG173" s="143"/>
      <c r="AH173" s="142"/>
      <c r="AI173" s="142"/>
      <c r="AJ173" s="143"/>
      <c r="AK173" s="142"/>
      <c r="AL173" s="142"/>
      <c r="AM173" s="143"/>
      <c r="AN173" s="142"/>
      <c r="AO173" s="142"/>
      <c r="AP173" s="143"/>
      <c r="AQ173" s="142"/>
      <c r="AR173" s="142"/>
      <c r="AS173" s="143"/>
      <c r="AT173" s="142"/>
      <c r="AU173" s="142"/>
      <c r="AV173" s="143"/>
      <c r="AW173" s="142"/>
      <c r="AX173" s="142"/>
      <c r="AY173" s="143"/>
    </row>
    <row r="174" spans="1:51" s="17" customFormat="1" ht="12" customHeight="1" x14ac:dyDescent="0.2">
      <c r="A174" s="138"/>
      <c r="B174" s="10" t="s">
        <v>454</v>
      </c>
      <c r="C174" s="130"/>
      <c r="D174" s="142"/>
      <c r="E174" s="142"/>
      <c r="F174" s="143"/>
      <c r="G174" s="142"/>
      <c r="H174" s="142"/>
      <c r="I174" s="143"/>
      <c r="J174" s="142"/>
      <c r="K174" s="142"/>
      <c r="L174" s="143"/>
      <c r="M174" s="142"/>
      <c r="N174" s="142"/>
      <c r="O174" s="143"/>
      <c r="P174" s="142"/>
      <c r="Q174" s="142"/>
      <c r="R174" s="143"/>
      <c r="S174" s="142"/>
      <c r="T174" s="142"/>
      <c r="U174" s="143"/>
      <c r="V174" s="142"/>
      <c r="W174" s="142"/>
      <c r="X174" s="143"/>
      <c r="Y174" s="142"/>
      <c r="Z174" s="142"/>
      <c r="AA174" s="143"/>
      <c r="AB174" s="142"/>
      <c r="AC174" s="142"/>
      <c r="AD174" s="143"/>
      <c r="AE174" s="142"/>
      <c r="AF174" s="142"/>
      <c r="AG174" s="143"/>
      <c r="AH174" s="142"/>
      <c r="AI174" s="142"/>
      <c r="AJ174" s="143"/>
      <c r="AK174" s="142"/>
      <c r="AL174" s="142"/>
      <c r="AM174" s="143"/>
      <c r="AN174" s="142"/>
      <c r="AO174" s="142"/>
      <c r="AP174" s="143"/>
      <c r="AQ174" s="142"/>
      <c r="AR174" s="142"/>
      <c r="AS174" s="143"/>
      <c r="AT174" s="142"/>
      <c r="AU174" s="142"/>
      <c r="AV174" s="143"/>
      <c r="AW174" s="142"/>
      <c r="AX174" s="142"/>
      <c r="AY174" s="143"/>
    </row>
    <row r="175" spans="1:51" s="17" customFormat="1" ht="12" customHeight="1" x14ac:dyDescent="0.2">
      <c r="A175" s="138"/>
      <c r="B175" s="6" t="s">
        <v>458</v>
      </c>
      <c r="C175" s="130"/>
      <c r="D175" s="142"/>
      <c r="E175" s="142"/>
      <c r="F175" s="143"/>
      <c r="G175" s="142"/>
      <c r="H175" s="142"/>
      <c r="I175" s="143"/>
      <c r="J175" s="142"/>
      <c r="K175" s="142"/>
      <c r="L175" s="143"/>
      <c r="M175" s="298">
        <f>M70/AVERAGE(L136:M136)</f>
        <v>0.28453608247422679</v>
      </c>
      <c r="N175" s="298">
        <f>N70/AVERAGE(M136:N136)</f>
        <v>0.3138490566037736</v>
      </c>
      <c r="O175" s="300">
        <f>O70/AVERAGE(L136,O136)</f>
        <v>0.60265346534653463</v>
      </c>
      <c r="P175" s="298">
        <f>P70/AVERAGE(O136:P136)</f>
        <v>0.40854700854700854</v>
      </c>
      <c r="Q175" s="298">
        <f>Q70/AVERAGE(P136:Q136)</f>
        <v>0.39128571428571435</v>
      </c>
      <c r="R175" s="300">
        <f>R70/AVERAGE(O136,R136)</f>
        <v>0.81598319327731095</v>
      </c>
      <c r="S175" s="298">
        <f>S70/AVERAGE(R136:S136)</f>
        <v>0.4597246376811594</v>
      </c>
      <c r="T175" s="298">
        <f>T70/AVERAGE(S136:T136)</f>
        <v>0.42087741935483863</v>
      </c>
      <c r="U175" s="300">
        <f>U70/AVERAGE(R136,U136)</f>
        <v>0.88743448275862069</v>
      </c>
      <c r="V175" s="298">
        <f>V70/AVERAGE(U136:V136)</f>
        <v>0.48186702290723826</v>
      </c>
      <c r="W175" s="298">
        <f>W70/AVERAGE(V136:W136)</f>
        <v>0.45156118054133842</v>
      </c>
      <c r="X175" s="300">
        <f>X70/AVERAGE(U136,X136)</f>
        <v>0.93238317440147678</v>
      </c>
      <c r="Y175" s="298">
        <f>Y70/AVERAGE(X136:Y136)</f>
        <v>0.51464745548606572</v>
      </c>
      <c r="Z175" s="298">
        <f>Z70/AVERAGE(Y136:Z136)</f>
        <v>0.48301844731691307</v>
      </c>
      <c r="AA175" s="300">
        <f>AA70/AVERAGE(X136,AA136)</f>
        <v>0.99670744800997413</v>
      </c>
      <c r="AB175" s="298">
        <f>AB70/AVERAGE(AA136:AB136)</f>
        <v>0.55009214398122974</v>
      </c>
      <c r="AC175" s="298">
        <f>AC70/AVERAGE(AB136:AC136)</f>
        <v>0.51694745529567121</v>
      </c>
      <c r="AD175" s="300">
        <f>AD70/AVERAGE(AA136,AD136)</f>
        <v>1.0661437968799938</v>
      </c>
      <c r="AE175" s="298">
        <f>AE70/AVERAGE(AD136:AE136)</f>
        <v>0.58056997890060202</v>
      </c>
      <c r="AF175" s="298">
        <f>AF70/AVERAGE(AE136:AF136)</f>
        <v>0.54616421772443546</v>
      </c>
      <c r="AG175" s="300">
        <f>AG70/AVERAGE(AD136,AG136)</f>
        <v>1.1258950317183016</v>
      </c>
      <c r="AH175" s="298">
        <f>AH70/AVERAGE(AG136:AH136)</f>
        <v>0.61280987958698696</v>
      </c>
      <c r="AI175" s="298">
        <f>AI70/AVERAGE(AH136:AI136)</f>
        <v>0.5770323928229214</v>
      </c>
      <c r="AJ175" s="300">
        <f>AJ70/AVERAGE(AG136,AJ136)</f>
        <v>1.1890472171484845</v>
      </c>
      <c r="AK175" s="298">
        <f>AK70/AVERAGE(AJ136:AK136)</f>
        <v>0.64683341787024107</v>
      </c>
      <c r="AL175" s="298">
        <f>AL70/AVERAGE(AK136:AL136)</f>
        <v>0.62445054753714402</v>
      </c>
      <c r="AM175" s="300">
        <f>AM70/AVERAGE(AJ136,AM136)</f>
        <v>1.2708271721352808</v>
      </c>
      <c r="AN175" s="298">
        <f>AN70/AVERAGE(AM136:AN136)</f>
        <v>0.66680321184006996</v>
      </c>
      <c r="AO175" s="298">
        <f>AO70/AVERAGE(AN136:AO136)</f>
        <v>0.64385902702609632</v>
      </c>
      <c r="AP175" s="300">
        <f>AP70/AVERAGE(AM136,AP136)</f>
        <v>1.3102293297187328</v>
      </c>
      <c r="AQ175" s="298">
        <f>AQ70/AVERAGE(AP136:AQ136)</f>
        <v>0.6876539768290395</v>
      </c>
      <c r="AR175" s="298">
        <f>AR70/AVERAGE(AQ136:AR136)</f>
        <v>0.66410330748958446</v>
      </c>
      <c r="AS175" s="300">
        <f>AS70/AVERAGE(AP136,AS136)</f>
        <v>1.3513441146810898</v>
      </c>
      <c r="AT175" s="298">
        <f>AT70/AVERAGE(AS136:AT136)</f>
        <v>0.70938382234801889</v>
      </c>
      <c r="AU175" s="298">
        <f>AU70/AVERAGE(AT136:AU136)</f>
        <v>0.68518530162700142</v>
      </c>
      <c r="AV175" s="300">
        <f>AV70/AVERAGE(AS136,AV136)</f>
        <v>1.3941724269140201</v>
      </c>
      <c r="AW175" s="298">
        <f>AW70/AVERAGE(AV136:AW136)</f>
        <v>0.73199812337532233</v>
      </c>
      <c r="AX175" s="298">
        <f>AX70/AVERAGE(AW136:AX136)</f>
        <v>0.70711290305180163</v>
      </c>
      <c r="AY175" s="300">
        <f>AY70/AVERAGE(AV136,AY136)</f>
        <v>1.4387281768836853</v>
      </c>
    </row>
    <row r="176" spans="1:51" s="194" customFormat="1" ht="12" customHeight="1" x14ac:dyDescent="0.2">
      <c r="A176" s="190"/>
      <c r="B176" s="8" t="s">
        <v>459</v>
      </c>
      <c r="C176" s="131"/>
      <c r="D176" s="191"/>
      <c r="E176" s="191"/>
      <c r="F176" s="271"/>
      <c r="G176" s="191"/>
      <c r="H176" s="191"/>
      <c r="I176" s="271"/>
      <c r="J176" s="191"/>
      <c r="K176" s="191"/>
      <c r="L176" s="271"/>
      <c r="M176" s="191"/>
      <c r="N176" s="191"/>
      <c r="O176" s="271"/>
      <c r="P176" s="222">
        <f>+P175/M175-1</f>
        <v>0.43583550105289248</v>
      </c>
      <c r="Q176" s="222">
        <f t="shared" ref="Q176:R176" si="874">+Q175/N175-1</f>
        <v>0.24673216647486229</v>
      </c>
      <c r="R176" s="193">
        <f t="shared" si="874"/>
        <v>0.35398407243557228</v>
      </c>
      <c r="S176" s="222">
        <f>+S175/P175-1</f>
        <v>0.12526741859195911</v>
      </c>
      <c r="T176" s="222">
        <f t="shared" ref="T176" si="875">+T175/Q175-1</f>
        <v>7.5626847566217625E-2</v>
      </c>
      <c r="U176" s="193">
        <f t="shared" ref="U176" si="876">+U175/R175-1</f>
        <v>8.7564658279704499E-2</v>
      </c>
      <c r="V176" s="222">
        <f t="shared" ref="V176" si="877">+V175/S175-1</f>
        <v>4.8164451959252341E-2</v>
      </c>
      <c r="W176" s="222">
        <f t="shared" ref="W176" si="878">+W175/T175-1</f>
        <v>7.2904270401426663E-2</v>
      </c>
      <c r="X176" s="193">
        <f t="shared" ref="X176:Y176" si="879">+X175/U175-1</f>
        <v>5.0650152226597633E-2</v>
      </c>
      <c r="Y176" s="222">
        <f t="shared" si="879"/>
        <v>6.8027964190315426E-2</v>
      </c>
      <c r="Z176" s="222">
        <f t="shared" ref="Z176" si="880">+Z175/W175-1</f>
        <v>6.9663354892161466E-2</v>
      </c>
      <c r="AA176" s="193">
        <f t="shared" ref="AA176:AB176" si="881">+AA175/X175-1</f>
        <v>6.898909737382275E-2</v>
      </c>
      <c r="AB176" s="222">
        <f t="shared" si="881"/>
        <v>6.8871784203591968E-2</v>
      </c>
      <c r="AC176" s="222">
        <f t="shared" ref="AC176" si="882">+AC175/Z175-1</f>
        <v>7.0243710498487433E-2</v>
      </c>
      <c r="AD176" s="193">
        <f t="shared" ref="AD176:AE176" si="883">+AD175/AA175-1</f>
        <v>6.9665726897753411E-2</v>
      </c>
      <c r="AE176" s="222">
        <f t="shared" si="883"/>
        <v>5.540496306453746E-2</v>
      </c>
      <c r="AF176" s="222">
        <f t="shared" ref="AF176" si="884">+AF175/AC175-1</f>
        <v>5.6517857142857064E-2</v>
      </c>
      <c r="AG176" s="193">
        <f t="shared" ref="AG176:AH176" si="885">+AG175/AD175-1</f>
        <v>5.6044255018099953E-2</v>
      </c>
      <c r="AH176" s="222">
        <f t="shared" si="885"/>
        <v>5.5531463661686598E-2</v>
      </c>
      <c r="AI176" s="222">
        <f t="shared" ref="AI176" si="886">+AI175/AF175-1</f>
        <v>5.6518120551903861E-2</v>
      </c>
      <c r="AJ176" s="193">
        <f t="shared" ref="AJ176" si="887">+AJ175/AG175-1</f>
        <v>5.6090651127398861E-2</v>
      </c>
      <c r="AK176" s="222">
        <f t="shared" ref="AK176" si="888">+AK175/AH175-1</f>
        <v>5.5520544652747361E-2</v>
      </c>
      <c r="AL176" s="222">
        <f t="shared" ref="AL176" si="889">+AL175/AI175-1</f>
        <v>8.2175897408889753E-2</v>
      </c>
      <c r="AM176" s="193">
        <f t="shared" ref="AM176" si="890">+AM175/AJ175-1</f>
        <v>6.8777718670345989E-2</v>
      </c>
      <c r="AN176" s="222">
        <f t="shared" ref="AN176" si="891">+AN175/AK175-1</f>
        <v>3.0873163658707181E-2</v>
      </c>
      <c r="AO176" s="222">
        <f t="shared" ref="AO176" si="892">+AO175/AL175-1</f>
        <v>3.108089113781709E-2</v>
      </c>
      <c r="AP176" s="193">
        <f t="shared" ref="AP176" si="893">+AP175/AM175-1</f>
        <v>3.1005126776796343E-2</v>
      </c>
      <c r="AQ176" s="222">
        <f t="shared" ref="AQ176" si="894">+AQ175/AN175-1</f>
        <v>3.1269742884757701E-2</v>
      </c>
      <c r="AR176" s="222">
        <f t="shared" ref="AR176" si="895">+AR175/AO175-1</f>
        <v>3.1442100853961596E-2</v>
      </c>
      <c r="AS176" s="193">
        <f t="shared" ref="AS176" si="896">+AS175/AP175-1</f>
        <v>3.1379838650981151E-2</v>
      </c>
      <c r="AT176" s="222">
        <f t="shared" ref="AT176" si="897">+AT175/AQ175-1</f>
        <v>3.1599970699190294E-2</v>
      </c>
      <c r="AU176" s="222">
        <f t="shared" ref="AU176" si="898">+AU175/AR175-1</f>
        <v>3.1745052162306164E-2</v>
      </c>
      <c r="AV176" s="193">
        <f t="shared" ref="AV176" si="899">+AV175/AS175-1</f>
        <v>3.1693120773340189E-2</v>
      </c>
      <c r="AW176" s="222">
        <f t="shared" ref="AW176" si="900">+AW175/AT175-1</f>
        <v>3.1878794405617361E-2</v>
      </c>
      <c r="AX176" s="222">
        <f t="shared" ref="AX176" si="901">+AX175/AU175-1</f>
        <v>3.2002439884119216E-2</v>
      </c>
      <c r="AY176" s="193">
        <f t="shared" ref="AY176" si="902">+AY175/AV175-1</f>
        <v>3.1958564887335061E-2</v>
      </c>
    </row>
    <row r="177" spans="1:51" s="17" customFormat="1" ht="12" customHeight="1" x14ac:dyDescent="0.2">
      <c r="A177" s="138"/>
      <c r="B177" s="6"/>
      <c r="C177" s="130"/>
      <c r="D177" s="142"/>
      <c r="E177" s="142"/>
      <c r="F177" s="143"/>
      <c r="G177" s="142"/>
      <c r="H177" s="142"/>
      <c r="I177" s="143"/>
      <c r="J177" s="142"/>
      <c r="K177" s="142"/>
      <c r="L177" s="143"/>
      <c r="M177" s="142"/>
      <c r="N177" s="142"/>
      <c r="O177" s="143"/>
      <c r="P177" s="142"/>
      <c r="Q177" s="142"/>
      <c r="R177" s="143"/>
      <c r="S177" s="142"/>
      <c r="T177" s="142"/>
      <c r="U177" s="143"/>
      <c r="V177" s="142"/>
      <c r="W177" s="142"/>
      <c r="X177" s="143"/>
      <c r="Y177" s="142"/>
      <c r="Z177" s="142"/>
      <c r="AA177" s="143"/>
      <c r="AB177" s="142"/>
      <c r="AC177" s="142"/>
      <c r="AD177" s="143"/>
      <c r="AE177" s="142"/>
      <c r="AF177" s="142"/>
      <c r="AG177" s="143"/>
      <c r="AH177" s="142"/>
      <c r="AI177" s="142"/>
      <c r="AJ177" s="143"/>
      <c r="AK177" s="142"/>
      <c r="AL177" s="142"/>
      <c r="AM177" s="143"/>
      <c r="AN177" s="142"/>
      <c r="AO177" s="142"/>
      <c r="AP177" s="143"/>
      <c r="AQ177" s="142"/>
      <c r="AR177" s="142"/>
      <c r="AS177" s="143"/>
      <c r="AT177" s="142"/>
      <c r="AU177" s="142"/>
      <c r="AV177" s="143"/>
      <c r="AW177" s="142"/>
      <c r="AX177" s="142"/>
      <c r="AY177" s="143"/>
    </row>
    <row r="178" spans="1:51" s="17" customFormat="1" ht="12" customHeight="1" x14ac:dyDescent="0.2">
      <c r="A178" s="138"/>
      <c r="B178" s="6" t="s">
        <v>461</v>
      </c>
      <c r="C178" s="130"/>
      <c r="D178" s="142"/>
      <c r="E178" s="142"/>
      <c r="F178" s="143"/>
      <c r="G178" s="142"/>
      <c r="H178" s="142"/>
      <c r="I178" s="143"/>
      <c r="J178" s="142"/>
      <c r="K178" s="142"/>
      <c r="L178" s="143"/>
      <c r="M178" s="298">
        <f>M72/AVERAGE(L137:M137)</f>
        <v>0.16620476190476191</v>
      </c>
      <c r="N178" s="298">
        <f>N72/AVERAGE(M137:N137)</f>
        <v>0.18215315315315317</v>
      </c>
      <c r="O178" s="300">
        <f>O72/AVERAGE(L137,O137)</f>
        <v>0.34245909090909094</v>
      </c>
      <c r="P178" s="298">
        <f>P72/AVERAGE(O137:P137)</f>
        <v>0.19827848101265819</v>
      </c>
      <c r="Q178" s="298">
        <f>Q72/AVERAGE(P137:Q137)</f>
        <v>0.2111633466135458</v>
      </c>
      <c r="R178" s="300">
        <f>R72/AVERAGE(O137,R137)</f>
        <v>0.4064796747967479</v>
      </c>
      <c r="S178" s="298">
        <f>S72/AVERAGE(R137:S137)</f>
        <v>0.23302278195488721</v>
      </c>
      <c r="T178" s="298">
        <f>T72/AVERAGE(S137:T137)</f>
        <v>0.23821842293906811</v>
      </c>
      <c r="U178" s="300">
        <f>U72/AVERAGE(R137,U137)</f>
        <v>0.4705018315018315</v>
      </c>
      <c r="V178" s="298">
        <f>V72/AVERAGE(U137:V137)</f>
        <v>0.25956103883642168</v>
      </c>
      <c r="W178" s="298">
        <f>W72/AVERAGE(V137:W137)</f>
        <v>0.25020666908922096</v>
      </c>
      <c r="X178" s="300">
        <f>X72/AVERAGE(U137,X137)</f>
        <v>0.50949076934760051</v>
      </c>
      <c r="Y178" s="298">
        <f>Y72/AVERAGE(X137:Y137)</f>
        <v>0.27765673733292767</v>
      </c>
      <c r="Z178" s="298">
        <f>Z72/AVERAGE(Y137:Z137)</f>
        <v>0.27485012414593041</v>
      </c>
      <c r="AA178" s="300">
        <f>AA72/AVERAGE(X137,AA137)</f>
        <v>0.55243256877684932</v>
      </c>
      <c r="AB178" s="298">
        <f>AB72/AVERAGE(AA137:AB137)</f>
        <v>0.3047439621995035</v>
      </c>
      <c r="AC178" s="298">
        <f>AC72/AVERAGE(AB137:AC137)</f>
        <v>0.30140907819028712</v>
      </c>
      <c r="AD178" s="300">
        <f>AD72/AVERAGE(AA137,AD137)</f>
        <v>0.60607321603850617</v>
      </c>
      <c r="AE178" s="298">
        <f>AE72/AVERAGE(AD137:AE137)</f>
        <v>0.32955992336029422</v>
      </c>
      <c r="AF178" s="298">
        <f>AF72/AVERAGE(AE137:AF137)</f>
        <v>0.32567011726678663</v>
      </c>
      <c r="AG178" s="300">
        <f>AG72/AVERAGE(AD137,AG137)</f>
        <v>0.6551450691347469</v>
      </c>
      <c r="AH178" s="298">
        <f>AH72/AVERAGE(AG137:AH137)</f>
        <v>0.3557855659007097</v>
      </c>
      <c r="AI178" s="298">
        <f>AI72/AVERAGE(AH137:AI137)</f>
        <v>0.34349052172846428</v>
      </c>
      <c r="AJ178" s="300">
        <f>AJ72/AVERAGE(AG137,AJ137)</f>
        <v>0.6990290889739279</v>
      </c>
      <c r="AK178" s="298">
        <f>AK72/AVERAGE(AJ137:AK137)</f>
        <v>0.37513966606229893</v>
      </c>
      <c r="AL178" s="298">
        <f>AL72/AVERAGE(AK137:AL137)</f>
        <v>0.36224555120757906</v>
      </c>
      <c r="AM178" s="300">
        <f>AM72/AVERAGE(AJ137,AM137)</f>
        <v>0.73714545067133974</v>
      </c>
      <c r="AN178" s="298">
        <f>AN72/AVERAGE(AM137:AN137)</f>
        <v>0.39549678215145362</v>
      </c>
      <c r="AO178" s="298">
        <f>AO72/AVERAGE(AN137:AO137)</f>
        <v>0.38196421580121059</v>
      </c>
      <c r="AP178" s="300">
        <f>AP72/AVERAGE(AM137,AP137)</f>
        <v>0.77722678045814075</v>
      </c>
      <c r="AQ178" s="298">
        <f>AQ72/AVERAGE(AP137:AQ137)</f>
        <v>0.41688971318805923</v>
      </c>
      <c r="AR178" s="298">
        <f>AR72/AVERAGE(AQ137:AR137)</f>
        <v>0.40267967846546265</v>
      </c>
      <c r="AS178" s="300">
        <f>AS72/AVERAGE(AP137,AS137)</f>
        <v>0.81933937310585403</v>
      </c>
      <c r="AT178" s="298">
        <f>AT72/AVERAGE(AS137:AT137)</f>
        <v>0.43935528679257579</v>
      </c>
      <c r="AU178" s="298">
        <f>AU72/AVERAGE(AT137:AU137)</f>
        <v>0.42442860568709972</v>
      </c>
      <c r="AV178" s="300">
        <f>AV72/AVERAGE(AS137,AV137)</f>
        <v>0.86355696658449088</v>
      </c>
      <c r="AW178" s="298">
        <f>AW72/AVERAGE(AV137:AW137)</f>
        <v>0.46293380692971225</v>
      </c>
      <c r="AX178" s="298">
        <f>AX72/AVERAGE(AW137:AX137)</f>
        <v>0.44725075765914712</v>
      </c>
      <c r="AY178" s="300">
        <f>AY72/AVERAGE(AV137,AY137)</f>
        <v>0.90995980751332584</v>
      </c>
    </row>
    <row r="179" spans="1:51" s="194" customFormat="1" ht="12" customHeight="1" x14ac:dyDescent="0.2">
      <c r="A179" s="190"/>
      <c r="B179" s="8" t="s">
        <v>462</v>
      </c>
      <c r="C179" s="131"/>
      <c r="D179" s="191"/>
      <c r="E179" s="191"/>
      <c r="F179" s="271"/>
      <c r="G179" s="191"/>
      <c r="H179" s="191"/>
      <c r="I179" s="271"/>
      <c r="J179" s="191"/>
      <c r="K179" s="191"/>
      <c r="L179" s="271"/>
      <c r="M179" s="191"/>
      <c r="N179" s="191"/>
      <c r="O179" s="271"/>
      <c r="P179" s="222">
        <f>+P178/M178-1</f>
        <v>0.19297713699848784</v>
      </c>
      <c r="Q179" s="222">
        <f t="shared" ref="Q179" si="903">+Q178/N178-1</f>
        <v>0.1592626477127248</v>
      </c>
      <c r="R179" s="193">
        <f t="shared" ref="R179" si="904">+R178/O178-1</f>
        <v>0.18694374185748175</v>
      </c>
      <c r="S179" s="222">
        <f>+S178/P178-1</f>
        <v>0.17522981195327469</v>
      </c>
      <c r="T179" s="222">
        <f t="shared" ref="T179" si="905">+T178/Q178-1</f>
        <v>0.12812392282755569</v>
      </c>
      <c r="U179" s="193">
        <f t="shared" ref="U179" si="906">+U178/R178-1</f>
        <v>0.15750395573184961</v>
      </c>
      <c r="V179" s="222">
        <f t="shared" ref="V179" si="907">+V178/S178-1</f>
        <v>0.11388696272054721</v>
      </c>
      <c r="W179" s="222">
        <f t="shared" ref="W179" si="908">+W178/T178-1</f>
        <v>5.0324597074589805E-2</v>
      </c>
      <c r="X179" s="193">
        <f t="shared" ref="X179:Y179" si="909">+X178/U178-1</f>
        <v>8.2866707917623073E-2</v>
      </c>
      <c r="Y179" s="222">
        <f t="shared" si="909"/>
        <v>6.9716543660121921E-2</v>
      </c>
      <c r="Z179" s="222">
        <f t="shared" ref="Z179" si="910">+Z178/W178-1</f>
        <v>9.8492398889343136E-2</v>
      </c>
      <c r="AA179" s="193">
        <f t="shared" ref="AA179:AB179" si="911">+AA178/X178-1</f>
        <v>8.4283763343221185E-2</v>
      </c>
      <c r="AB179" s="222">
        <f t="shared" si="911"/>
        <v>9.7556519343870773E-2</v>
      </c>
      <c r="AC179" s="222">
        <f t="shared" ref="AC179" si="912">+AC178/Z178-1</f>
        <v>9.6630678726764341E-2</v>
      </c>
      <c r="AD179" s="193">
        <f t="shared" ref="AD179:AE179" si="913">+AD178/AA178-1</f>
        <v>9.7098995050967973E-2</v>
      </c>
      <c r="AE179" s="222">
        <f t="shared" si="913"/>
        <v>8.1432166798909966E-2</v>
      </c>
      <c r="AF179" s="222">
        <f t="shared" ref="AF179" si="914">+AF178/AC178-1</f>
        <v>8.0492064877962566E-2</v>
      </c>
      <c r="AG179" s="193">
        <f t="shared" ref="AG179:AH179" si="915">+AG178/AD178-1</f>
        <v>8.096687297450722E-2</v>
      </c>
      <c r="AH179" s="222">
        <f t="shared" si="915"/>
        <v>7.9577766231436087E-2</v>
      </c>
      <c r="AI179" s="222">
        <f t="shared" ref="AI179" si="916">+AI178/AF178-1</f>
        <v>5.4719188273203878E-2</v>
      </c>
      <c r="AJ179" s="193">
        <f t="shared" ref="AJ179" si="917">+AJ178/AG178-1</f>
        <v>6.698366805559397E-2</v>
      </c>
      <c r="AK179" s="222">
        <f t="shared" ref="AK179" si="918">+AK178/AH178-1</f>
        <v>5.4398216275559852E-2</v>
      </c>
      <c r="AL179" s="222">
        <f t="shared" ref="AL179" si="919">+AL178/AI178-1</f>
        <v>5.4601301324817886E-2</v>
      </c>
      <c r="AM179" s="193">
        <f t="shared" ref="AM179" si="920">+AM178/AJ178-1</f>
        <v>5.4527575888667412E-2</v>
      </c>
      <c r="AN179" s="222">
        <f t="shared" ref="AN179" si="921">+AN178/AK178-1</f>
        <v>5.4265432133145941E-2</v>
      </c>
      <c r="AO179" s="222">
        <f t="shared" ref="AO179" si="922">+AO178/AL178-1</f>
        <v>5.4434525221628061E-2</v>
      </c>
      <c r="AP179" s="193">
        <f t="shared" ref="AP179" si="923">+AP178/AM178-1</f>
        <v>5.4373705691729945E-2</v>
      </c>
      <c r="AQ179" s="222">
        <f t="shared" ref="AQ179" si="924">+AQ178/AN178-1</f>
        <v>5.4091289745091586E-2</v>
      </c>
      <c r="AR179" s="222">
        <f t="shared" ref="AR179" si="925">+AR178/AO178-1</f>
        <v>5.423404027730494E-2</v>
      </c>
      <c r="AS179" s="193">
        <f t="shared" ref="AS179" si="926">+AS178/AP178-1</f>
        <v>5.4183146678103089E-2</v>
      </c>
      <c r="AT179" s="222">
        <f t="shared" ref="AT179" si="927">+AT178/AQ178-1</f>
        <v>5.388852949312839E-2</v>
      </c>
      <c r="AU179" s="222">
        <f t="shared" ref="AU179" si="928">+AU178/AR178-1</f>
        <v>5.4010491178790421E-2</v>
      </c>
      <c r="AV179" s="193">
        <f t="shared" ref="AV179" si="929">+AV178/AS178-1</f>
        <v>5.396737289826814E-2</v>
      </c>
      <c r="AW179" s="222">
        <f t="shared" ref="AW179" si="930">+AW178/AT178-1</f>
        <v>5.3666180528443519E-2</v>
      </c>
      <c r="AX179" s="222">
        <f t="shared" ref="AX179" si="931">+AX178/AU178-1</f>
        <v>5.377147455718978E-2</v>
      </c>
      <c r="AY179" s="193">
        <f t="shared" ref="AY179" si="932">+AY178/AV178-1</f>
        <v>5.3734545286995727E-2</v>
      </c>
    </row>
    <row r="180" spans="1:51" s="17" customFormat="1" ht="12" customHeight="1" x14ac:dyDescent="0.2">
      <c r="A180" s="138"/>
      <c r="B180" s="6"/>
      <c r="C180" s="130"/>
      <c r="D180" s="142"/>
      <c r="E180" s="142"/>
      <c r="F180" s="143"/>
      <c r="G180" s="142"/>
      <c r="H180" s="142"/>
      <c r="I180" s="143"/>
      <c r="J180" s="142"/>
      <c r="K180" s="142"/>
      <c r="L180" s="143"/>
      <c r="M180" s="142"/>
      <c r="N180" s="142"/>
      <c r="O180" s="143"/>
      <c r="P180" s="142"/>
      <c r="Q180" s="142"/>
      <c r="R180" s="143"/>
      <c r="S180" s="142"/>
      <c r="T180" s="142"/>
      <c r="U180" s="143"/>
      <c r="V180" s="142"/>
      <c r="W180" s="142"/>
      <c r="X180" s="143"/>
      <c r="Y180" s="142"/>
      <c r="Z180" s="142"/>
      <c r="AA180" s="143"/>
      <c r="AB180" s="142"/>
      <c r="AC180" s="142"/>
      <c r="AD180" s="143"/>
      <c r="AE180" s="142"/>
      <c r="AF180" s="142"/>
      <c r="AG180" s="143"/>
      <c r="AH180" s="142"/>
      <c r="AI180" s="142"/>
      <c r="AJ180" s="143"/>
      <c r="AK180" s="142"/>
      <c r="AL180" s="142"/>
      <c r="AM180" s="143"/>
      <c r="AN180" s="142"/>
      <c r="AO180" s="142"/>
      <c r="AP180" s="143"/>
      <c r="AQ180" s="142"/>
      <c r="AR180" s="142"/>
      <c r="AS180" s="143"/>
      <c r="AT180" s="142"/>
      <c r="AU180" s="142"/>
      <c r="AV180" s="143"/>
      <c r="AW180" s="142"/>
      <c r="AX180" s="142"/>
      <c r="AY180" s="143"/>
    </row>
    <row r="181" spans="1:51" s="17" customFormat="1" ht="12" customHeight="1" x14ac:dyDescent="0.2">
      <c r="A181" s="138"/>
      <c r="B181" s="6" t="s">
        <v>463</v>
      </c>
      <c r="C181" s="130"/>
      <c r="D181" s="142"/>
      <c r="E181" s="142"/>
      <c r="F181" s="143"/>
      <c r="G181" s="142"/>
      <c r="H181" s="142"/>
      <c r="I181" s="143"/>
      <c r="J181" s="142"/>
      <c r="K181" s="142"/>
      <c r="L181" s="143"/>
      <c r="M181" s="298"/>
      <c r="N181" s="298"/>
      <c r="O181" s="300"/>
      <c r="P181" s="298">
        <f>P77/AVERAGE(O138+O139+O140,P138+P139+P140)</f>
        <v>0.12506329113924047</v>
      </c>
      <c r="Q181" s="298">
        <f>Q77/AVERAGE(P138+P139+P140,Q138+Q139+Q140)</f>
        <v>0.13239523809523809</v>
      </c>
      <c r="R181" s="300">
        <f>R77/AVERAGE(O138+O139+O140,R138+R139+R140)</f>
        <v>0.25800000000000001</v>
      </c>
      <c r="S181" s="298">
        <f>S77/AVERAGE(R138+R139+R140,S138+S139+S140)</f>
        <v>0.14694456762749444</v>
      </c>
      <c r="T181" s="298">
        <f>T77/AVERAGE(S138+S139+S140,T138+T139+T140)</f>
        <v>0.14125773195876287</v>
      </c>
      <c r="U181" s="300">
        <f>U77/AVERAGE(R138+R139+R140,U138+U139+U140)</f>
        <v>0.28923175965665232</v>
      </c>
      <c r="V181" s="298">
        <f>V77/AVERAGE(U138+U139+U140,V138+V139+V140)</f>
        <v>0.1547674485489231</v>
      </c>
      <c r="W181" s="298">
        <f>W77/AVERAGE(V138+V139+V140,W138+W139+W140)</f>
        <v>0.14912662222473186</v>
      </c>
      <c r="X181" s="300">
        <f>X77/AVERAGE(U138+U139+U140,X138+X139+X140)</f>
        <v>0.30371449390565636</v>
      </c>
      <c r="Y181" s="298">
        <f>Y77/AVERAGE(X138+X139+X140,Y138+Y139+Y140)</f>
        <v>0.16399020123021871</v>
      </c>
      <c r="Z181" s="298">
        <f>Z77/AVERAGE(Y138+Y139+Y140,Z138+Z139+Z140)</f>
        <v>0.16221516429310592</v>
      </c>
      <c r="AA181" s="300">
        <f>AA77/AVERAGE(X138+X139+X140,AA138+AA139+AA140)</f>
        <v>0.32615523989553241</v>
      </c>
      <c r="AB181" s="298">
        <f>AB77/AVERAGE(AA138+AA139+AA140,AB138+AB139+AB140)</f>
        <v>0.17843948191773629</v>
      </c>
      <c r="AC181" s="298">
        <f>AC77/AVERAGE(AB138+AB139+AB140,AC138+AC139+AC140)</f>
        <v>0.17647370348912061</v>
      </c>
      <c r="AD181" s="300">
        <f>AD77/AVERAGE(AA138+AA139+AA140,AD138+AD139+AD140)</f>
        <v>0.35486330744672784</v>
      </c>
      <c r="AE181" s="298">
        <f>AE77/AVERAGE(AD138+AD139+AD140,AE138+AE139+AE140)</f>
        <v>0.19168054178171789</v>
      </c>
      <c r="AF181" s="298">
        <f>AF77/AVERAGE(AE138+AE139+AE140,AF138+AF139+AF140)</f>
        <v>0.18950475025986938</v>
      </c>
      <c r="AG181" s="300">
        <f>AG77/AVERAGE(AD138+AD139+AD140,AG138+AG139+AG140)</f>
        <v>0.38113517218268289</v>
      </c>
      <c r="AH181" s="298">
        <f>AH77/AVERAGE(AG138+AG139+AG140,AH138+AH139+AH140)</f>
        <v>0.20578912252881554</v>
      </c>
      <c r="AI181" s="298">
        <f>AI77/AVERAGE(AH138+AH139+AH140,AI138+AI139+AI140)</f>
        <v>0.19903762697913233</v>
      </c>
      <c r="AJ181" s="300">
        <f>AJ77/AVERAGE(AG138+AG139+AG140,AJ138+AJ139+AJ140)</f>
        <v>0.40468434823704885</v>
      </c>
      <c r="AK181" s="298">
        <f>AK77/AVERAGE(AJ138+AJ139+AJ140,AK138+AK139+AK140)</f>
        <v>0.21615952165278307</v>
      </c>
      <c r="AL181" s="298">
        <f>AL77/AVERAGE(AK138+AK139+AK140,AL138+AL139+AL140)</f>
        <v>0.20918771173784381</v>
      </c>
      <c r="AM181" s="300">
        <f>AM77/AVERAGE(AJ138+AJ139+AJ140,AM138+AM139+AM140)</f>
        <v>0.42521162610395186</v>
      </c>
      <c r="AN181" s="298">
        <f>AN77/AVERAGE(AM138+AM139+AM140,AN138+AN139+AN140)</f>
        <v>0.22717793021000901</v>
      </c>
      <c r="AO181" s="298">
        <f>AO77/AVERAGE(AN138+AN139+AN140,AO138+AO139+AO140)</f>
        <v>0.21996022913154928</v>
      </c>
      <c r="AP181" s="300">
        <f>AP77/AVERAGE(AM138+AM139+AM140,AP138+AP139+AP140)</f>
        <v>0.44700790358961157</v>
      </c>
      <c r="AQ181" s="298">
        <f>AQ77/AVERAGE(AP138+AP139+AP140,AQ138+AQ139+AQ140)</f>
        <v>0.2388532354672139</v>
      </c>
      <c r="AR181" s="298">
        <f>AR77/AVERAGE(AQ138+AQ139+AQ140,AR138+AR139+AR140)</f>
        <v>0.23136746990710014</v>
      </c>
      <c r="AS181" s="300">
        <f>AS77/AVERAGE(AP138+AP139+AP140,AS138+AS139+AS140)</f>
        <v>0.47009470734013398</v>
      </c>
      <c r="AT181" s="298">
        <f>AT77/AVERAGE(AS138+AS139+AS140,AT138+AT139+AT140)</f>
        <v>0.25120075575562184</v>
      </c>
      <c r="AU181" s="298">
        <f>AU77/AVERAGE(AT138+AT139+AT140,AU138+AU139+AU140)</f>
        <v>0.24342721700624542</v>
      </c>
      <c r="AV181" s="300">
        <f>AV77/AVERAGE(AS138+AS139+AS140,AV138+AV139+AV140)</f>
        <v>0.4945053844884541</v>
      </c>
      <c r="AW181" s="298">
        <f>AW77/AVERAGE(AV138+AV139+AV140,AW138+AW139+AW140)</f>
        <v>0.26424093004520538</v>
      </c>
      <c r="AX181" s="298">
        <f>AX77/AVERAGE(AW138+AW139+AW140,AX138+AX139+AX140)</f>
        <v>0.25616177571536436</v>
      </c>
      <c r="AY181" s="300">
        <f>AY77/AVERAGE(AV138+AV139+AV140,AY138+AY139+AY140)</f>
        <v>0.520282857921471</v>
      </c>
    </row>
    <row r="182" spans="1:51" s="194" customFormat="1" ht="12" customHeight="1" x14ac:dyDescent="0.2">
      <c r="A182" s="190"/>
      <c r="B182" s="8" t="s">
        <v>464</v>
      </c>
      <c r="C182" s="131"/>
      <c r="D182" s="191"/>
      <c r="E182" s="191"/>
      <c r="F182" s="271"/>
      <c r="G182" s="191"/>
      <c r="H182" s="191"/>
      <c r="I182" s="271"/>
      <c r="J182" s="191"/>
      <c r="K182" s="191"/>
      <c r="L182" s="271"/>
      <c r="M182" s="191"/>
      <c r="N182" s="191"/>
      <c r="O182" s="271"/>
      <c r="P182" s="222"/>
      <c r="Q182" s="222"/>
      <c r="R182" s="193"/>
      <c r="S182" s="222"/>
      <c r="T182" s="222"/>
      <c r="U182" s="193"/>
      <c r="V182" s="222">
        <f t="shared" ref="V182" si="933">+V181/S181-1</f>
        <v>5.3236952190432341E-2</v>
      </c>
      <c r="W182" s="222">
        <f t="shared" ref="W182" si="934">+W181/T181-1</f>
        <v>5.5705908319879649E-2</v>
      </c>
      <c r="X182" s="193">
        <f t="shared" ref="X182:Y182" si="935">+X181/U181-1</f>
        <v>5.0073111840126083E-2</v>
      </c>
      <c r="Y182" s="222">
        <f t="shared" si="935"/>
        <v>5.9591036537506969E-2</v>
      </c>
      <c r="Z182" s="222">
        <f t="shared" ref="Z182" si="936">+Z181/W181-1</f>
        <v>8.7767977797081675E-2</v>
      </c>
      <c r="AA182" s="193">
        <f t="shared" ref="AA182:AB182" si="937">+AA181/X181-1</f>
        <v>7.3887636053506567E-2</v>
      </c>
      <c r="AB182" s="222">
        <f t="shared" si="937"/>
        <v>8.8110634532564847E-2</v>
      </c>
      <c r="AC182" s="222">
        <f t="shared" ref="AC182" si="938">+AC181/Z181-1</f>
        <v>8.7898928920424391E-2</v>
      </c>
      <c r="AD182" s="193">
        <f t="shared" ref="AD182:AE182" si="939">+AD181/AA181-1</f>
        <v>8.801964230404713E-2</v>
      </c>
      <c r="AE182" s="222">
        <f t="shared" si="939"/>
        <v>7.4204765232875891E-2</v>
      </c>
      <c r="AF182" s="222">
        <f t="shared" ref="AF182" si="940">+AF181/AC181-1</f>
        <v>7.3841294839444016E-2</v>
      </c>
      <c r="AG182" s="193">
        <f t="shared" ref="AG182:AH182" si="941">+AG181/AD181-1</f>
        <v>7.4033759435381929E-2</v>
      </c>
      <c r="AH182" s="222">
        <f t="shared" si="941"/>
        <v>7.3604658125206113E-2</v>
      </c>
      <c r="AI182" s="222">
        <f t="shared" ref="AI182" si="942">+AI181/AF181-1</f>
        <v>5.0304157052477372E-2</v>
      </c>
      <c r="AJ182" s="193">
        <f t="shared" ref="AJ182" si="943">+AJ181/AG181-1</f>
        <v>6.1786940101866472E-2</v>
      </c>
      <c r="AK182" s="222">
        <f t="shared" ref="AK182" si="944">+AK181/AH181-1</f>
        <v>5.0393329815162646E-2</v>
      </c>
      <c r="AL182" s="222">
        <f t="shared" ref="AL182" si="945">+AL181/AI181-1</f>
        <v>5.0995808746130411E-2</v>
      </c>
      <c r="AM182" s="193">
        <f t="shared" ref="AM182" si="946">+AM181/AJ181-1</f>
        <v>5.0724170470954011E-2</v>
      </c>
      <c r="AN182" s="222">
        <f t="shared" ref="AN182" si="947">+AN181/AK181-1</f>
        <v>5.0973505460124136E-2</v>
      </c>
      <c r="AO182" s="222">
        <f t="shared" ref="AO182" si="948">+AO181/AL181-1</f>
        <v>5.1496893886413764E-2</v>
      </c>
      <c r="AP182" s="193">
        <f t="shared" ref="AP182" si="949">+AP181/AM181-1</f>
        <v>5.125983427445413E-2</v>
      </c>
      <c r="AQ182" s="222">
        <f t="shared" ref="AQ182" si="950">+AQ181/AN181-1</f>
        <v>5.139277942365239E-2</v>
      </c>
      <c r="AR182" s="222">
        <f t="shared" ref="AR182" si="951">+AR181/AO181-1</f>
        <v>5.1860469597568182E-2</v>
      </c>
      <c r="AS182" s="193">
        <f t="shared" ref="AS182" si="952">+AS181/AP181-1</f>
        <v>5.1647417338996027E-2</v>
      </c>
      <c r="AT182" s="222">
        <f t="shared" ref="AT182" si="953">+AT181/AQ181-1</f>
        <v>5.1695009549505677E-2</v>
      </c>
      <c r="AU182" s="222">
        <f t="shared" ref="AU182" si="954">+AU181/AR181-1</f>
        <v>5.2123779993737074E-2</v>
      </c>
      <c r="AV182" s="193">
        <f t="shared" ref="AV182" si="955">+AV181/AS181-1</f>
        <v>5.1927147375130822E-2</v>
      </c>
      <c r="AW182" s="222">
        <f t="shared" ref="AW182" si="956">+AW181/AT181-1</f>
        <v>5.1911365673873888E-2</v>
      </c>
      <c r="AX182" s="222">
        <f t="shared" ref="AX182" si="957">+AX181/AU181-1</f>
        <v>5.2313619100333497E-2</v>
      </c>
      <c r="AY182" s="193">
        <f t="shared" ref="AY182" si="958">+AY181/AV181-1</f>
        <v>5.2127791206323604E-2</v>
      </c>
    </row>
    <row r="183" spans="1:51" s="17" customFormat="1" ht="12" customHeight="1" x14ac:dyDescent="0.2">
      <c r="A183" s="138"/>
      <c r="B183" s="6"/>
      <c r="C183" s="130"/>
      <c r="D183" s="142"/>
      <c r="E183" s="142"/>
      <c r="F183" s="143"/>
      <c r="G183" s="142"/>
      <c r="H183" s="142"/>
      <c r="I183" s="143"/>
      <c r="J183" s="142"/>
      <c r="K183" s="142"/>
      <c r="L183" s="143"/>
      <c r="M183" s="142"/>
      <c r="N183" s="142"/>
      <c r="O183" s="143"/>
      <c r="P183" s="142"/>
      <c r="Q183" s="142"/>
      <c r="R183" s="143"/>
      <c r="S183" s="142"/>
      <c r="T183" s="142"/>
      <c r="U183" s="143"/>
      <c r="V183" s="142"/>
      <c r="W183" s="142"/>
      <c r="X183" s="143"/>
      <c r="Y183" s="142"/>
      <c r="Z183" s="142"/>
      <c r="AA183" s="143"/>
      <c r="AB183" s="142"/>
      <c r="AC183" s="142"/>
      <c r="AD183" s="143"/>
      <c r="AE183" s="142"/>
      <c r="AF183" s="142"/>
      <c r="AG183" s="143"/>
      <c r="AH183" s="142"/>
      <c r="AI183" s="142"/>
      <c r="AJ183" s="143"/>
      <c r="AK183" s="142"/>
      <c r="AL183" s="142"/>
      <c r="AM183" s="143"/>
      <c r="AN183" s="142"/>
      <c r="AO183" s="142"/>
      <c r="AP183" s="143"/>
      <c r="AQ183" s="142"/>
      <c r="AR183" s="142"/>
      <c r="AS183" s="143"/>
      <c r="AT183" s="142"/>
      <c r="AU183" s="142"/>
      <c r="AV183" s="143"/>
      <c r="AW183" s="142"/>
      <c r="AX183" s="142"/>
      <c r="AY183" s="143"/>
    </row>
    <row r="184" spans="1:51" s="17" customFormat="1" ht="12" customHeight="1" x14ac:dyDescent="0.2">
      <c r="A184" s="138"/>
      <c r="B184" s="6" t="s">
        <v>460</v>
      </c>
      <c r="C184" s="130"/>
      <c r="D184" s="142"/>
      <c r="E184" s="142"/>
      <c r="F184" s="143"/>
      <c r="G184" s="142"/>
      <c r="H184" s="142"/>
      <c r="I184" s="143"/>
      <c r="J184" s="142"/>
      <c r="K184" s="142"/>
      <c r="L184" s="143"/>
      <c r="M184" s="142"/>
      <c r="N184" s="142"/>
      <c r="O184" s="143"/>
      <c r="P184" s="298">
        <f>P82/AVERAGE(O141:P141)</f>
        <v>0.11696202531645571</v>
      </c>
      <c r="Q184" s="298">
        <f>Q82/AVERAGE(P141:Q141)</f>
        <v>0.10714285714285714</v>
      </c>
      <c r="R184" s="300">
        <f>R82/AVERAGE(O141,R141)</f>
        <v>0.22407862407862408</v>
      </c>
      <c r="S184" s="298">
        <f>S82/AVERAGE(R141:S141)</f>
        <v>0.14093569844789355</v>
      </c>
      <c r="T184" s="298">
        <f>T82/AVERAGE(S141:T141)</f>
        <v>0.14110927835051548</v>
      </c>
      <c r="U184" s="300">
        <f>U82/AVERAGE(R141,U141)</f>
        <v>0.2832618025751073</v>
      </c>
      <c r="V184" s="298">
        <f>V82/AVERAGE(U141:V141)</f>
        <v>0.16306757873375649</v>
      </c>
      <c r="W184" s="298">
        <f>W82/AVERAGE(V141:W141)</f>
        <v>0.15292607312752846</v>
      </c>
      <c r="X184" s="300">
        <f>X82/AVERAGE(U141,X141)</f>
        <v>0.31567079494123651</v>
      </c>
      <c r="Y184" s="298">
        <f>Y82/AVERAGE(X141:Y141)</f>
        <v>0.18157058030779441</v>
      </c>
      <c r="Z184" s="298">
        <f>Z82/AVERAGE(Y141:Z141)</f>
        <v>0.17459376869729593</v>
      </c>
      <c r="AA184" s="300">
        <f>AA82/AVERAGE(X141,AA141)</f>
        <v>0.3559673294081161</v>
      </c>
      <c r="AB184" s="298">
        <f>AB82/AVERAGE(AA141:AB141)</f>
        <v>0.2085317991185161</v>
      </c>
      <c r="AC184" s="298">
        <f>AC82/AVERAGE(AB141:AC141)</f>
        <v>0.20059593251553337</v>
      </c>
      <c r="AD184" s="300">
        <f>AD82/AVERAGE(AA141,AD141)</f>
        <v>0.40892637382471997</v>
      </c>
      <c r="AE184" s="298">
        <f>AE82/AVERAGE(AD141:AE141)</f>
        <v>0.23438415430849424</v>
      </c>
      <c r="AF184" s="298">
        <f>AF82/AVERAGE(AE141:AF141)</f>
        <v>0.22553741132972788</v>
      </c>
      <c r="AG184" s="300">
        <f>AG82/AVERAGE(AD141,AG141)</f>
        <v>0.45971777887583859</v>
      </c>
      <c r="AH184" s="298">
        <f>AH82/AVERAGE(AG141:AH141)</f>
        <v>0.26164734758782837</v>
      </c>
      <c r="AI184" s="298">
        <f>AI82/AVERAGE(AH141:AI141)</f>
        <v>0.2475200898185434</v>
      </c>
      <c r="AJ184" s="300">
        <f>AJ82/AVERAGE(AG141,AJ141)</f>
        <v>0.50886946794969956</v>
      </c>
      <c r="AK184" s="298">
        <f>AK82/AVERAGE(AJ141:AK141)</f>
        <v>0.2642503884879755</v>
      </c>
      <c r="AL184" s="298">
        <f>AL82/AVERAGE(AK141:AL141)</f>
        <v>0.25477881241250416</v>
      </c>
      <c r="AM184" s="300">
        <f>AM82/AVERAGE(AJ141,AM141)</f>
        <v>0.51884497115988126</v>
      </c>
      <c r="AN184" s="298">
        <f>AN82/AVERAGE(AM141:AN141)</f>
        <v>0.27733195295751284</v>
      </c>
      <c r="AO184" s="298">
        <f>AO82/AVERAGE(AN141:AO141)</f>
        <v>0.26740183044858212</v>
      </c>
      <c r="AP184" s="300">
        <f>AP82/AVERAGE(AM141,AP141)</f>
        <v>0.54455457737355595</v>
      </c>
      <c r="AQ184" s="298">
        <f>AQ82/AVERAGE(AP141:AQ141)</f>
        <v>0.29099711397886002</v>
      </c>
      <c r="AR184" s="298">
        <f>AR82/AVERAGE(AQ141:AR141)</f>
        <v>0.2805834562073079</v>
      </c>
      <c r="AS184" s="300">
        <f>AS82/AVERAGE(AP141,AS141)</f>
        <v>0.5714052907979339</v>
      </c>
      <c r="AT184" s="298">
        <f>AT82/AVERAGE(AS141:AT141)</f>
        <v>0.30526902137048406</v>
      </c>
      <c r="AU184" s="298">
        <f>AU82/AVERAGE(AT141:AU141)</f>
        <v>0.29434567402553602</v>
      </c>
      <c r="AV184" s="300">
        <f>AV82/AVERAGE(AS141,AV141)</f>
        <v>0.59944243481636872</v>
      </c>
      <c r="AW184" s="298">
        <f>AW82/AVERAGE(AV141:AW141)</f>
        <v>0.32017130901344104</v>
      </c>
      <c r="AX184" s="298">
        <f>AX82/AVERAGE(AW141:AX141)</f>
        <v>0.3087108484440898</v>
      </c>
      <c r="AY184" s="300">
        <f>AY82/AVERAGE(AV141,AY141)</f>
        <v>0.62871215062535046</v>
      </c>
    </row>
    <row r="185" spans="1:51" s="17" customFormat="1" ht="12" customHeight="1" x14ac:dyDescent="0.2">
      <c r="A185" s="138"/>
      <c r="B185" s="8" t="s">
        <v>460</v>
      </c>
      <c r="C185" s="130"/>
      <c r="D185" s="142"/>
      <c r="E185" s="142"/>
      <c r="F185" s="143"/>
      <c r="G185" s="142"/>
      <c r="H185" s="142"/>
      <c r="I185" s="143"/>
      <c r="J185" s="142"/>
      <c r="K185" s="142"/>
      <c r="L185" s="143"/>
      <c r="M185" s="142"/>
      <c r="N185" s="142"/>
      <c r="O185" s="143"/>
      <c r="P185" s="222"/>
      <c r="Q185" s="222"/>
      <c r="R185" s="193"/>
      <c r="S185" s="222"/>
      <c r="T185" s="222"/>
      <c r="U185" s="193"/>
      <c r="V185" s="222">
        <f t="shared" ref="V185" si="959">+V184/S184-1</f>
        <v>0.15703530425292134</v>
      </c>
      <c r="W185" s="222">
        <f t="shared" ref="W185" si="960">+W184/T184-1</f>
        <v>8.3742152997622554E-2</v>
      </c>
      <c r="X185" s="193">
        <f t="shared" ref="X185:Y185" si="961">+X184/U184-1</f>
        <v>0.11441356395921365</v>
      </c>
      <c r="Y185" s="222">
        <f t="shared" si="961"/>
        <v>0.11346830386344364</v>
      </c>
      <c r="Z185" s="222">
        <f t="shared" ref="Z185" si="962">+Z184/W184-1</f>
        <v>0.14168738611170828</v>
      </c>
      <c r="AA185" s="193">
        <f t="shared" ref="AA185:AB185" si="963">+AA184/X184-1</f>
        <v>0.12765366677136214</v>
      </c>
      <c r="AB185" s="222">
        <f t="shared" si="963"/>
        <v>0.14848891689951982</v>
      </c>
      <c r="AC185" s="222">
        <f t="shared" ref="AC185" si="964">+AC184/Z184-1</f>
        <v>0.14892950654681725</v>
      </c>
      <c r="AD185" s="193">
        <f t="shared" ref="AD185:AE185" si="965">+AD184/AA184-1</f>
        <v>0.14877501400103599</v>
      </c>
      <c r="AE185" s="222">
        <f t="shared" si="965"/>
        <v>0.12397320360375974</v>
      </c>
      <c r="AF185" s="222">
        <f t="shared" ref="AF185" si="966">+AF184/AC184-1</f>
        <v>0.12433691202718244</v>
      </c>
      <c r="AG185" s="193">
        <f t="shared" ref="AG185:AH185" si="967">+AG184/AD184-1</f>
        <v>0.12420672351372852</v>
      </c>
      <c r="AH185" s="222">
        <f t="shared" si="967"/>
        <v>0.11631841478264171</v>
      </c>
      <c r="AI185" s="222">
        <f t="shared" ref="AI185" si="968">+AI184/AF184-1</f>
        <v>9.746799149289509E-2</v>
      </c>
      <c r="AJ185" s="193">
        <f t="shared" ref="AJ185" si="969">+AJ184/AG184-1</f>
        <v>0.10691709420952367</v>
      </c>
      <c r="AK185" s="222">
        <f t="shared" ref="AK185" si="970">+AK184/AH184-1</f>
        <v>9.9486615253125965E-3</v>
      </c>
      <c r="AL185" s="222">
        <f t="shared" ref="AL185" si="971">+AL184/AI184-1</f>
        <v>2.9325791693442405E-2</v>
      </c>
      <c r="AM185" s="193">
        <f t="shared" ref="AM185" si="972">+AM184/AJ184-1</f>
        <v>1.9603265352850174E-2</v>
      </c>
      <c r="AN185" s="222">
        <f t="shared" ref="AN185" si="973">+AN184/AK184-1</f>
        <v>4.9504428524738353E-2</v>
      </c>
      <c r="AO185" s="222">
        <f t="shared" ref="AO185" si="974">+AO184/AL184-1</f>
        <v>4.9545006967221639E-2</v>
      </c>
      <c r="AP185" s="193">
        <f t="shared" ref="AP185" si="975">+AP184/AM184-1</f>
        <v>4.9551614919193909E-2</v>
      </c>
      <c r="AQ185" s="222">
        <f t="shared" ref="AQ185" si="976">+AQ184/AN184-1</f>
        <v>4.9273662394901496E-2</v>
      </c>
      <c r="AR185" s="222">
        <f t="shared" ref="AR185" si="977">+AR184/AO184-1</f>
        <v>4.9295196433819521E-2</v>
      </c>
      <c r="AS185" s="193">
        <f t="shared" ref="AS185" si="978">+AS184/AP184-1</f>
        <v>4.9307662702757549E-2</v>
      </c>
      <c r="AT185" s="222">
        <f t="shared" ref="AT185" si="979">+AT184/AQ184-1</f>
        <v>4.9044841704721565E-2</v>
      </c>
      <c r="AU185" s="222">
        <f t="shared" ref="AU185" si="980">+AU184/AR184-1</f>
        <v>4.9048571873246738E-2</v>
      </c>
      <c r="AV185" s="193">
        <f t="shared" ref="AV185" si="981">+AV184/AS184-1</f>
        <v>4.9067001076035899E-2</v>
      </c>
      <c r="AW185" s="222">
        <f t="shared" ref="AW185" si="982">+AW184/AT184-1</f>
        <v>4.881690115837567E-2</v>
      </c>
      <c r="AX185" s="222">
        <f t="shared" ref="AX185" si="983">+AX184/AU184-1</f>
        <v>4.8803755876865917E-2</v>
      </c>
      <c r="AY185" s="193">
        <f t="shared" ref="AY185" si="984">+AY184/AV184-1</f>
        <v>4.8828234554245675E-2</v>
      </c>
    </row>
    <row r="186" spans="1:51" s="17" customFormat="1" ht="12" customHeight="1" x14ac:dyDescent="0.2">
      <c r="A186" s="138"/>
      <c r="B186" s="6"/>
      <c r="C186" s="130"/>
      <c r="D186" s="142"/>
      <c r="E186" s="142"/>
      <c r="F186" s="143"/>
      <c r="G186" s="142"/>
      <c r="H186" s="142"/>
      <c r="I186" s="143"/>
      <c r="J186" s="142"/>
      <c r="K186" s="142"/>
      <c r="L186" s="143"/>
      <c r="M186" s="142"/>
      <c r="N186" s="142"/>
      <c r="O186" s="143"/>
      <c r="P186" s="142"/>
      <c r="Q186" s="142"/>
      <c r="R186" s="143"/>
      <c r="S186" s="142"/>
      <c r="T186" s="142"/>
      <c r="U186" s="143"/>
      <c r="V186" s="142"/>
      <c r="W186" s="142"/>
      <c r="X186" s="143"/>
      <c r="Y186" s="142"/>
      <c r="Z186" s="142"/>
      <c r="AA186" s="143"/>
      <c r="AB186" s="142"/>
      <c r="AC186" s="142"/>
      <c r="AD186" s="143"/>
      <c r="AE186" s="142"/>
      <c r="AF186" s="142"/>
      <c r="AG186" s="143"/>
      <c r="AH186" s="142"/>
      <c r="AI186" s="142"/>
      <c r="AJ186" s="143"/>
      <c r="AK186" s="142"/>
      <c r="AL186" s="142"/>
      <c r="AM186" s="143"/>
      <c r="AN186" s="142"/>
      <c r="AO186" s="142"/>
      <c r="AP186" s="143"/>
      <c r="AQ186" s="142"/>
      <c r="AR186" s="142"/>
      <c r="AS186" s="143"/>
      <c r="AT186" s="142"/>
      <c r="AU186" s="142"/>
      <c r="AV186" s="143"/>
      <c r="AW186" s="142"/>
      <c r="AX186" s="142"/>
      <c r="AY186" s="143"/>
    </row>
    <row r="187" spans="1:51" s="17" customFormat="1" ht="12" customHeight="1" x14ac:dyDescent="0.2">
      <c r="A187" s="138"/>
      <c r="B187" s="6"/>
      <c r="C187" s="130"/>
      <c r="D187" s="142"/>
      <c r="E187" s="142"/>
      <c r="F187" s="143"/>
      <c r="G187" s="142"/>
      <c r="H187" s="142"/>
      <c r="I187" s="143"/>
      <c r="J187" s="142"/>
      <c r="K187" s="142"/>
      <c r="L187" s="143"/>
      <c r="M187" s="142"/>
      <c r="N187" s="142"/>
      <c r="O187" s="143"/>
      <c r="P187" s="142"/>
      <c r="Q187" s="142"/>
      <c r="R187" s="143"/>
      <c r="S187" s="142"/>
      <c r="T187" s="142"/>
      <c r="U187" s="143"/>
      <c r="V187" s="142"/>
      <c r="W187" s="142"/>
      <c r="X187" s="143"/>
      <c r="Y187" s="142"/>
      <c r="Z187" s="142"/>
      <c r="AA187" s="143"/>
      <c r="AB187" s="142"/>
      <c r="AC187" s="142"/>
      <c r="AD187" s="143"/>
      <c r="AE187" s="142"/>
      <c r="AF187" s="142"/>
      <c r="AG187" s="143"/>
      <c r="AH187" s="142"/>
      <c r="AI187" s="142"/>
      <c r="AJ187" s="143"/>
      <c r="AK187" s="142"/>
      <c r="AL187" s="142"/>
      <c r="AM187" s="143"/>
      <c r="AN187" s="142"/>
      <c r="AO187" s="142"/>
      <c r="AP187" s="143"/>
      <c r="AQ187" s="142"/>
      <c r="AR187" s="142"/>
      <c r="AS187" s="143"/>
      <c r="AT187" s="142"/>
      <c r="AU187" s="142"/>
      <c r="AV187" s="143"/>
      <c r="AW187" s="142"/>
      <c r="AX187" s="142"/>
      <c r="AY187" s="143"/>
    </row>
    <row r="188" spans="1:51" s="17" customFormat="1" ht="12" customHeight="1" x14ac:dyDescent="0.2">
      <c r="A188" s="14"/>
      <c r="B188" s="10" t="s">
        <v>321</v>
      </c>
      <c r="C188" s="130"/>
      <c r="D188" s="142"/>
      <c r="E188" s="142"/>
      <c r="F188" s="143"/>
      <c r="G188" s="142"/>
      <c r="H188" s="142"/>
      <c r="I188" s="143"/>
      <c r="J188" s="142"/>
      <c r="K188" s="142"/>
      <c r="L188" s="143"/>
      <c r="M188" s="142"/>
      <c r="N188" s="142"/>
      <c r="O188" s="143"/>
      <c r="P188" s="142"/>
      <c r="Q188" s="142"/>
      <c r="R188" s="143"/>
      <c r="S188" s="142"/>
      <c r="T188" s="142"/>
      <c r="U188" s="143"/>
      <c r="V188" s="142"/>
      <c r="W188" s="142"/>
      <c r="X188" s="143"/>
      <c r="Y188" s="142"/>
      <c r="Z188" s="142"/>
      <c r="AA188" s="143"/>
      <c r="AB188" s="142"/>
      <c r="AC188" s="142"/>
      <c r="AD188" s="143"/>
      <c r="AE188" s="142"/>
      <c r="AF188" s="142"/>
      <c r="AG188" s="143"/>
      <c r="AH188" s="142"/>
      <c r="AI188" s="142"/>
      <c r="AJ188" s="143"/>
      <c r="AK188" s="142"/>
      <c r="AL188" s="142"/>
      <c r="AM188" s="143"/>
      <c r="AN188" s="142"/>
      <c r="AO188" s="142"/>
      <c r="AP188" s="143"/>
      <c r="AQ188" s="142"/>
      <c r="AR188" s="142"/>
      <c r="AS188" s="143"/>
      <c r="AT188" s="142"/>
      <c r="AU188" s="142"/>
      <c r="AV188" s="143"/>
      <c r="AW188" s="142"/>
      <c r="AX188" s="142"/>
      <c r="AY188" s="143"/>
    </row>
    <row r="189" spans="1:51" s="194" customFormat="1" ht="12" customHeight="1" x14ac:dyDescent="0.2">
      <c r="A189" s="190"/>
      <c r="B189" s="8" t="s">
        <v>398</v>
      </c>
      <c r="C189" s="131"/>
      <c r="D189" s="191"/>
      <c r="E189" s="191"/>
      <c r="F189" s="271"/>
      <c r="G189" s="191"/>
      <c r="H189" s="191"/>
      <c r="I189" s="271"/>
      <c r="J189" s="191"/>
      <c r="K189" s="191"/>
      <c r="L189" s="272">
        <f t="shared" ref="L189:AY189" si="985">L61/L63</f>
        <v>0.26002428091146812</v>
      </c>
      <c r="M189" s="273">
        <f t="shared" si="985"/>
        <v>0.300504628247238</v>
      </c>
      <c r="N189" s="273">
        <f t="shared" si="985"/>
        <v>0.30254347826086958</v>
      </c>
      <c r="O189" s="272">
        <f t="shared" si="985"/>
        <v>0.30157205861431213</v>
      </c>
      <c r="P189" s="273">
        <f t="shared" si="985"/>
        <v>0.31138622891016871</v>
      </c>
      <c r="Q189" s="273">
        <f t="shared" si="985"/>
        <v>0.31206798245614037</v>
      </c>
      <c r="R189" s="272">
        <f t="shared" si="985"/>
        <v>0.31173373574782026</v>
      </c>
      <c r="S189" s="273">
        <f t="shared" ref="S189:U189" si="986">S61/S63</f>
        <v>0.32708642984542208</v>
      </c>
      <c r="T189" s="273">
        <f t="shared" si="986"/>
        <v>0.33012977209001371</v>
      </c>
      <c r="U189" s="272">
        <f t="shared" si="986"/>
        <v>0.32863329069979902</v>
      </c>
      <c r="V189" s="273">
        <f t="shared" si="985"/>
        <v>0.34581589958158993</v>
      </c>
      <c r="W189" s="273">
        <f t="shared" si="985"/>
        <v>0.34783464566929134</v>
      </c>
      <c r="X189" s="272">
        <f t="shared" si="985"/>
        <v>0.34683819889123391</v>
      </c>
      <c r="Y189" s="273">
        <f t="shared" si="985"/>
        <v>0.34962825278810405</v>
      </c>
      <c r="Z189" s="273">
        <f t="shared" si="985"/>
        <v>0.35123239436619719</v>
      </c>
      <c r="AA189" s="272">
        <f t="shared" si="985"/>
        <v>0.35043805849190712</v>
      </c>
      <c r="AB189" s="273">
        <f t="shared" si="985"/>
        <v>0.35267558528428089</v>
      </c>
      <c r="AC189" s="273">
        <f t="shared" si="985"/>
        <v>0.35398089171974517</v>
      </c>
      <c r="AD189" s="272">
        <f t="shared" si="985"/>
        <v>0.35333287350963893</v>
      </c>
      <c r="AE189" s="273">
        <f t="shared" si="985"/>
        <v>0.35516717325227959</v>
      </c>
      <c r="AF189" s="273">
        <f t="shared" si="985"/>
        <v>0.35625000000000001</v>
      </c>
      <c r="AG189" s="272">
        <f t="shared" si="985"/>
        <v>0.35571128641085531</v>
      </c>
      <c r="AH189" s="273">
        <f t="shared" si="985"/>
        <v>0.35724233983286907</v>
      </c>
      <c r="AI189" s="273">
        <f t="shared" si="985"/>
        <v>0.35815508021390369</v>
      </c>
      <c r="AJ189" s="272">
        <f t="shared" si="985"/>
        <v>0.35770017869444587</v>
      </c>
      <c r="AK189" s="273">
        <f t="shared" si="985"/>
        <v>0.35899742930591261</v>
      </c>
      <c r="AL189" s="273">
        <f t="shared" si="985"/>
        <v>0.35977722772277226</v>
      </c>
      <c r="AM189" s="272">
        <f t="shared" si="985"/>
        <v>0.35938799827095513</v>
      </c>
      <c r="AN189" s="273">
        <f t="shared" si="985"/>
        <v>0.36050119331742236</v>
      </c>
      <c r="AO189" s="273">
        <f t="shared" si="985"/>
        <v>0.36117511520737328</v>
      </c>
      <c r="AP189" s="272">
        <f t="shared" si="985"/>
        <v>0.3608382987348705</v>
      </c>
      <c r="AQ189" s="273">
        <f t="shared" si="985"/>
        <v>0.36180400890868597</v>
      </c>
      <c r="AR189" s="273">
        <f t="shared" si="985"/>
        <v>0.36239224137931036</v>
      </c>
      <c r="AS189" s="272">
        <f t="shared" si="985"/>
        <v>0.36209792202124169</v>
      </c>
      <c r="AT189" s="273">
        <f t="shared" si="985"/>
        <v>0.36294363256784962</v>
      </c>
      <c r="AU189" s="273">
        <f t="shared" si="985"/>
        <v>0.36346153846153845</v>
      </c>
      <c r="AV189" s="272">
        <f t="shared" si="985"/>
        <v>0.36320215260507088</v>
      </c>
      <c r="AW189" s="273">
        <f t="shared" si="985"/>
        <v>0.36394891944990176</v>
      </c>
      <c r="AX189" s="273">
        <f t="shared" si="985"/>
        <v>0.36440839694656485</v>
      </c>
      <c r="AY189" s="272">
        <f t="shared" si="985"/>
        <v>0.36417807493564713</v>
      </c>
    </row>
    <row r="190" spans="1:51" s="194" customFormat="1" ht="12" customHeight="1" x14ac:dyDescent="0.2">
      <c r="A190" s="190"/>
      <c r="B190" s="8" t="s">
        <v>399</v>
      </c>
      <c r="C190" s="131"/>
      <c r="D190" s="191"/>
      <c r="E190" s="191"/>
      <c r="F190" s="271"/>
      <c r="G190" s="191"/>
      <c r="H190" s="191"/>
      <c r="I190" s="271"/>
      <c r="J190" s="191"/>
      <c r="K190" s="191"/>
      <c r="L190" s="272">
        <f t="shared" ref="L190:AY190" si="987">+L62/L63</f>
        <v>0.73997571908853199</v>
      </c>
      <c r="M190" s="273">
        <f t="shared" si="987"/>
        <v>0.699495371752762</v>
      </c>
      <c r="N190" s="273">
        <f t="shared" si="987"/>
        <v>0.69745652173913042</v>
      </c>
      <c r="O190" s="272">
        <f t="shared" si="987"/>
        <v>0.69842794138568787</v>
      </c>
      <c r="P190" s="273">
        <f t="shared" si="987"/>
        <v>0.68861377108983124</v>
      </c>
      <c r="Q190" s="273">
        <f t="shared" si="987"/>
        <v>0.68793201754385969</v>
      </c>
      <c r="R190" s="272">
        <f t="shared" si="987"/>
        <v>0.68826626425217963</v>
      </c>
      <c r="S190" s="273">
        <f t="shared" ref="S190:U190" si="988">+S62/S63</f>
        <v>0.67291357015457787</v>
      </c>
      <c r="T190" s="273">
        <f t="shared" si="988"/>
        <v>0.66987022790998629</v>
      </c>
      <c r="U190" s="272">
        <f t="shared" si="988"/>
        <v>0.67136670930020093</v>
      </c>
      <c r="V190" s="273">
        <f t="shared" si="987"/>
        <v>0.65418410041841013</v>
      </c>
      <c r="W190" s="273">
        <f t="shared" si="987"/>
        <v>0.65216535433070866</v>
      </c>
      <c r="X190" s="272">
        <f t="shared" si="987"/>
        <v>0.65316180110876609</v>
      </c>
      <c r="Y190" s="273">
        <f t="shared" si="987"/>
        <v>0.65037174721189595</v>
      </c>
      <c r="Z190" s="273">
        <f t="shared" si="987"/>
        <v>0.64876760563380276</v>
      </c>
      <c r="AA190" s="272">
        <f t="shared" si="987"/>
        <v>0.64956194150809288</v>
      </c>
      <c r="AB190" s="273">
        <f t="shared" si="987"/>
        <v>0.64732441471571911</v>
      </c>
      <c r="AC190" s="273">
        <f t="shared" si="987"/>
        <v>0.64601910828025477</v>
      </c>
      <c r="AD190" s="272">
        <f t="shared" si="987"/>
        <v>0.64666712649036118</v>
      </c>
      <c r="AE190" s="273">
        <f t="shared" si="987"/>
        <v>0.64483282674772036</v>
      </c>
      <c r="AF190" s="273">
        <f t="shared" si="987"/>
        <v>0.64374999999999993</v>
      </c>
      <c r="AG190" s="272">
        <f t="shared" si="987"/>
        <v>0.64428871358914463</v>
      </c>
      <c r="AH190" s="273">
        <f t="shared" si="987"/>
        <v>0.64275766016713087</v>
      </c>
      <c r="AI190" s="273">
        <f t="shared" si="987"/>
        <v>0.64184491978609626</v>
      </c>
      <c r="AJ190" s="272">
        <f t="shared" si="987"/>
        <v>0.64229982130555419</v>
      </c>
      <c r="AK190" s="273">
        <f t="shared" si="987"/>
        <v>0.64100257069408739</v>
      </c>
      <c r="AL190" s="273">
        <f t="shared" si="987"/>
        <v>0.64022277227722768</v>
      </c>
      <c r="AM190" s="272">
        <f t="shared" si="987"/>
        <v>0.64061200172904498</v>
      </c>
      <c r="AN190" s="273">
        <f t="shared" si="987"/>
        <v>0.63949880668257764</v>
      </c>
      <c r="AO190" s="273">
        <f t="shared" si="987"/>
        <v>0.63882488479262667</v>
      </c>
      <c r="AP190" s="272">
        <f t="shared" si="987"/>
        <v>0.6391617012651295</v>
      </c>
      <c r="AQ190" s="273">
        <f t="shared" si="987"/>
        <v>0.63819599109131409</v>
      </c>
      <c r="AR190" s="273">
        <f t="shared" si="987"/>
        <v>0.63760775862068964</v>
      </c>
      <c r="AS190" s="272">
        <f t="shared" si="987"/>
        <v>0.63790207797875831</v>
      </c>
      <c r="AT190" s="273">
        <f t="shared" si="987"/>
        <v>0.63705636743215044</v>
      </c>
      <c r="AU190" s="273">
        <f t="shared" si="987"/>
        <v>0.6365384615384615</v>
      </c>
      <c r="AV190" s="272">
        <f t="shared" si="987"/>
        <v>0.63679784739492917</v>
      </c>
      <c r="AW190" s="273">
        <f t="shared" si="987"/>
        <v>0.63605108055009818</v>
      </c>
      <c r="AX190" s="273">
        <f t="shared" si="987"/>
        <v>0.63559160305343521</v>
      </c>
      <c r="AY190" s="272">
        <f t="shared" si="987"/>
        <v>0.63582192506435287</v>
      </c>
    </row>
    <row r="191" spans="1:51" s="194" customFormat="1" ht="12" customHeight="1" x14ac:dyDescent="0.2">
      <c r="A191" s="190"/>
      <c r="B191" s="8"/>
      <c r="C191" s="131"/>
      <c r="D191" s="191"/>
      <c r="E191" s="191"/>
      <c r="F191" s="271"/>
      <c r="G191" s="191"/>
      <c r="H191" s="191"/>
      <c r="I191" s="271"/>
      <c r="J191" s="191"/>
      <c r="K191" s="191"/>
      <c r="L191" s="271"/>
      <c r="M191" s="191"/>
      <c r="N191" s="191"/>
      <c r="O191" s="271"/>
      <c r="P191" s="191"/>
      <c r="Q191" s="191"/>
      <c r="R191" s="271"/>
      <c r="S191" s="191"/>
      <c r="T191" s="191"/>
      <c r="U191" s="271"/>
      <c r="V191" s="191"/>
      <c r="W191" s="191"/>
      <c r="X191" s="271"/>
      <c r="Y191" s="191"/>
      <c r="Z191" s="191"/>
      <c r="AA191" s="271"/>
      <c r="AB191" s="191"/>
      <c r="AC191" s="191"/>
      <c r="AD191" s="271"/>
      <c r="AE191" s="191"/>
      <c r="AF191" s="191"/>
      <c r="AG191" s="271"/>
      <c r="AH191" s="191"/>
      <c r="AI191" s="191"/>
      <c r="AJ191" s="271"/>
      <c r="AK191" s="191"/>
      <c r="AL191" s="191"/>
      <c r="AM191" s="271"/>
      <c r="AN191" s="191"/>
      <c r="AO191" s="191"/>
      <c r="AP191" s="271"/>
      <c r="AQ191" s="191"/>
      <c r="AR191" s="191"/>
      <c r="AS191" s="271"/>
      <c r="AT191" s="191"/>
      <c r="AU191" s="191"/>
      <c r="AV191" s="271"/>
      <c r="AW191" s="191"/>
      <c r="AX191" s="191"/>
      <c r="AY191" s="271"/>
    </row>
    <row r="192" spans="1:51" s="194" customFormat="1" ht="12" customHeight="1" x14ac:dyDescent="0.2">
      <c r="A192" s="190"/>
      <c r="B192" s="8" t="s">
        <v>400</v>
      </c>
      <c r="C192" s="131"/>
      <c r="D192" s="191"/>
      <c r="E192" s="191"/>
      <c r="F192" s="271"/>
      <c r="G192" s="191"/>
      <c r="H192" s="191"/>
      <c r="I192" s="271"/>
      <c r="J192" s="191"/>
      <c r="K192" s="191"/>
      <c r="L192" s="272">
        <f t="shared" ref="L192:AJ192" si="989">+L136/L138</f>
        <v>0.30666666666666664</v>
      </c>
      <c r="M192" s="273">
        <f t="shared" si="989"/>
        <v>0.32484076433121017</v>
      </c>
      <c r="N192" s="273">
        <f t="shared" si="989"/>
        <v>0.32163742690058478</v>
      </c>
      <c r="O192" s="272">
        <f t="shared" si="989"/>
        <v>0.32163742690058478</v>
      </c>
      <c r="P192" s="273">
        <f t="shared" si="989"/>
        <v>0.33879781420765026</v>
      </c>
      <c r="Q192" s="273">
        <f t="shared" si="989"/>
        <v>0.32989690721649484</v>
      </c>
      <c r="R192" s="272">
        <f t="shared" si="989"/>
        <v>0.32989690721649484</v>
      </c>
      <c r="S192" s="273">
        <f t="shared" ref="S192:U192" si="990">+S136/S138</f>
        <v>0.35238095238095241</v>
      </c>
      <c r="T192" s="273">
        <f t="shared" si="990"/>
        <v>0.36160714285714285</v>
      </c>
      <c r="U192" s="272">
        <f t="shared" si="990"/>
        <v>0.36160714285714285</v>
      </c>
      <c r="V192" s="273">
        <f t="shared" si="989"/>
        <v>0.36401673640167365</v>
      </c>
      <c r="W192" s="273">
        <f t="shared" si="989"/>
        <v>0.36614173228346458</v>
      </c>
      <c r="X192" s="272">
        <f t="shared" si="989"/>
        <v>0.36614173228346458</v>
      </c>
      <c r="Y192" s="273">
        <f t="shared" si="989"/>
        <v>0.36802973977695169</v>
      </c>
      <c r="Z192" s="273">
        <f t="shared" si="989"/>
        <v>0.36971830985915494</v>
      </c>
      <c r="AA192" s="272">
        <f t="shared" si="989"/>
        <v>0.36971830985915494</v>
      </c>
      <c r="AB192" s="273">
        <f t="shared" si="989"/>
        <v>0.37123745819397991</v>
      </c>
      <c r="AC192" s="273">
        <f t="shared" si="989"/>
        <v>0.37261146496815284</v>
      </c>
      <c r="AD192" s="272">
        <f t="shared" si="989"/>
        <v>0.37261146496815284</v>
      </c>
      <c r="AE192" s="273">
        <f t="shared" si="989"/>
        <v>0.37386018237082069</v>
      </c>
      <c r="AF192" s="273">
        <f t="shared" si="989"/>
        <v>0.375</v>
      </c>
      <c r="AG192" s="272">
        <f t="shared" si="989"/>
        <v>0.375</v>
      </c>
      <c r="AH192" s="273">
        <f t="shared" si="989"/>
        <v>0.37604456824512533</v>
      </c>
      <c r="AI192" s="273">
        <f t="shared" si="989"/>
        <v>0.3770053475935829</v>
      </c>
      <c r="AJ192" s="272">
        <f t="shared" si="989"/>
        <v>0.3770053475935829</v>
      </c>
      <c r="AK192" s="273">
        <f t="shared" ref="AK192:AM192" si="991">+AK136/AK138</f>
        <v>0.37789203084832906</v>
      </c>
      <c r="AL192" s="273">
        <f t="shared" si="991"/>
        <v>0.37871287128712872</v>
      </c>
      <c r="AM192" s="272">
        <f t="shared" si="991"/>
        <v>0.37871287128712872</v>
      </c>
      <c r="AN192" s="273">
        <f t="shared" ref="AN192:AP192" si="992">+AN136/AN138</f>
        <v>0.37947494033412887</v>
      </c>
      <c r="AO192" s="273">
        <f t="shared" si="992"/>
        <v>0.38018433179723504</v>
      </c>
      <c r="AP192" s="272">
        <f t="shared" si="992"/>
        <v>0.38018433179723504</v>
      </c>
      <c r="AQ192" s="273">
        <f t="shared" ref="AQ192:AS192" si="993">+AQ136/AQ138</f>
        <v>0.38084632516703787</v>
      </c>
      <c r="AR192" s="273">
        <f t="shared" si="993"/>
        <v>0.38146551724137934</v>
      </c>
      <c r="AS192" s="272">
        <f t="shared" si="993"/>
        <v>0.38146551724137934</v>
      </c>
      <c r="AT192" s="273">
        <f t="shared" ref="AT192:AV192" si="994">+AT136/AT138</f>
        <v>0.38204592901878914</v>
      </c>
      <c r="AU192" s="273">
        <f t="shared" si="994"/>
        <v>0.38259109311740891</v>
      </c>
      <c r="AV192" s="272">
        <f t="shared" si="994"/>
        <v>0.38259109311740891</v>
      </c>
      <c r="AW192" s="273">
        <f t="shared" ref="AW192:AY192" si="995">+AW136/AW138</f>
        <v>0.38310412573673869</v>
      </c>
      <c r="AX192" s="273">
        <f t="shared" si="995"/>
        <v>0.38358778625954199</v>
      </c>
      <c r="AY192" s="272">
        <f t="shared" si="995"/>
        <v>0.38358778625954199</v>
      </c>
    </row>
    <row r="193" spans="1:51" s="194" customFormat="1" ht="12" customHeight="1" x14ac:dyDescent="0.2">
      <c r="A193" s="190"/>
      <c r="B193" s="8" t="s">
        <v>401</v>
      </c>
      <c r="C193" s="131"/>
      <c r="D193" s="191"/>
      <c r="E193" s="191"/>
      <c r="F193" s="271"/>
      <c r="G193" s="191"/>
      <c r="H193" s="191"/>
      <c r="I193" s="271"/>
      <c r="J193" s="191"/>
      <c r="K193" s="191"/>
      <c r="L193" s="272">
        <f t="shared" ref="L193:AJ193" si="996">+L137/L138</f>
        <v>0.69333333333333336</v>
      </c>
      <c r="M193" s="273">
        <f t="shared" si="996"/>
        <v>0.67515923566878977</v>
      </c>
      <c r="N193" s="273">
        <f t="shared" si="996"/>
        <v>0.67836257309941517</v>
      </c>
      <c r="O193" s="272">
        <f t="shared" si="996"/>
        <v>0.67836257309941517</v>
      </c>
      <c r="P193" s="273">
        <f t="shared" si="996"/>
        <v>0.66120218579234968</v>
      </c>
      <c r="Q193" s="273">
        <f t="shared" si="996"/>
        <v>0.67010309278350511</v>
      </c>
      <c r="R193" s="272">
        <f t="shared" si="996"/>
        <v>0.67010309278350511</v>
      </c>
      <c r="S193" s="273">
        <f t="shared" ref="S193:U193" si="997">+S137/S138</f>
        <v>0.64761904761904765</v>
      </c>
      <c r="T193" s="273">
        <f t="shared" si="997"/>
        <v>0.6383928571428571</v>
      </c>
      <c r="U193" s="272">
        <f t="shared" si="997"/>
        <v>0.6383928571428571</v>
      </c>
      <c r="V193" s="273">
        <f t="shared" si="996"/>
        <v>0.63598326359832635</v>
      </c>
      <c r="W193" s="273">
        <f t="shared" si="996"/>
        <v>0.63385826771653542</v>
      </c>
      <c r="X193" s="272">
        <f t="shared" si="996"/>
        <v>0.63385826771653542</v>
      </c>
      <c r="Y193" s="273">
        <f t="shared" si="996"/>
        <v>0.63197026022304836</v>
      </c>
      <c r="Z193" s="273">
        <f t="shared" si="996"/>
        <v>0.63028169014084512</v>
      </c>
      <c r="AA193" s="272">
        <f t="shared" si="996"/>
        <v>0.63028169014084512</v>
      </c>
      <c r="AB193" s="273">
        <f t="shared" si="996"/>
        <v>0.62876254180602009</v>
      </c>
      <c r="AC193" s="273">
        <f t="shared" si="996"/>
        <v>0.62738853503184711</v>
      </c>
      <c r="AD193" s="272">
        <f t="shared" si="996"/>
        <v>0.62738853503184711</v>
      </c>
      <c r="AE193" s="273">
        <f t="shared" si="996"/>
        <v>0.62613981762917936</v>
      </c>
      <c r="AF193" s="273">
        <f t="shared" si="996"/>
        <v>0.625</v>
      </c>
      <c r="AG193" s="272">
        <f t="shared" si="996"/>
        <v>0.625</v>
      </c>
      <c r="AH193" s="273">
        <f t="shared" si="996"/>
        <v>0.62395543175487467</v>
      </c>
      <c r="AI193" s="273">
        <f t="shared" si="996"/>
        <v>0.62299465240641716</v>
      </c>
      <c r="AJ193" s="272">
        <f t="shared" si="996"/>
        <v>0.62299465240641716</v>
      </c>
      <c r="AK193" s="273">
        <f t="shared" ref="AK193:AM193" si="998">+AK137/AK138</f>
        <v>0.62210796915167099</v>
      </c>
      <c r="AL193" s="273">
        <f t="shared" si="998"/>
        <v>0.62128712871287128</v>
      </c>
      <c r="AM193" s="272">
        <f t="shared" si="998"/>
        <v>0.62128712871287128</v>
      </c>
      <c r="AN193" s="273">
        <f t="shared" ref="AN193:AP193" si="999">+AN137/AN138</f>
        <v>0.62052505966587113</v>
      </c>
      <c r="AO193" s="273">
        <f t="shared" si="999"/>
        <v>0.61981566820276501</v>
      </c>
      <c r="AP193" s="272">
        <f t="shared" si="999"/>
        <v>0.61981566820276501</v>
      </c>
      <c r="AQ193" s="273">
        <f t="shared" ref="AQ193:AS193" si="1000">+AQ137/AQ138</f>
        <v>0.61915367483296213</v>
      </c>
      <c r="AR193" s="273">
        <f t="shared" si="1000"/>
        <v>0.61853448275862066</v>
      </c>
      <c r="AS193" s="272">
        <f t="shared" si="1000"/>
        <v>0.61853448275862066</v>
      </c>
      <c r="AT193" s="273">
        <f t="shared" ref="AT193:AV193" si="1001">+AT137/AT138</f>
        <v>0.6179540709812108</v>
      </c>
      <c r="AU193" s="273">
        <f t="shared" si="1001"/>
        <v>0.61740890688259109</v>
      </c>
      <c r="AV193" s="272">
        <f t="shared" si="1001"/>
        <v>0.61740890688259109</v>
      </c>
      <c r="AW193" s="273">
        <f t="shared" ref="AW193:AY193" si="1002">+AW137/AW138</f>
        <v>0.61689587426326131</v>
      </c>
      <c r="AX193" s="273">
        <f t="shared" si="1002"/>
        <v>0.61641221374045807</v>
      </c>
      <c r="AY193" s="272">
        <f t="shared" si="1002"/>
        <v>0.61641221374045807</v>
      </c>
    </row>
    <row r="194" spans="1:51" s="17" customFormat="1" ht="12" customHeight="1" x14ac:dyDescent="0.2">
      <c r="A194" s="138"/>
      <c r="B194" s="6"/>
      <c r="C194" s="130"/>
      <c r="D194" s="142"/>
      <c r="E194" s="142"/>
      <c r="F194" s="143"/>
      <c r="G194" s="142"/>
      <c r="H194" s="142"/>
      <c r="I194" s="143"/>
      <c r="J194" s="142"/>
      <c r="K194" s="142"/>
      <c r="L194" s="143"/>
      <c r="M194" s="142"/>
      <c r="N194" s="142"/>
      <c r="O194" s="143"/>
      <c r="P194" s="142"/>
      <c r="Q194" s="142"/>
      <c r="R194" s="143"/>
      <c r="S194" s="142"/>
      <c r="T194" s="142"/>
      <c r="U194" s="143"/>
      <c r="V194" s="142"/>
      <c r="W194" s="142"/>
      <c r="X194" s="143"/>
      <c r="Y194" s="142"/>
      <c r="Z194" s="142"/>
      <c r="AA194" s="143"/>
      <c r="AB194" s="142"/>
      <c r="AC194" s="142"/>
      <c r="AD194" s="143"/>
      <c r="AE194" s="142"/>
      <c r="AF194" s="142"/>
      <c r="AG194" s="143"/>
      <c r="AH194" s="142"/>
      <c r="AI194" s="142"/>
      <c r="AJ194" s="143"/>
      <c r="AK194" s="142"/>
      <c r="AL194" s="142"/>
      <c r="AM194" s="143"/>
      <c r="AN194" s="142"/>
      <c r="AO194" s="142"/>
      <c r="AP194" s="143"/>
      <c r="AQ194" s="142"/>
      <c r="AR194" s="142"/>
      <c r="AS194" s="143"/>
      <c r="AT194" s="142"/>
      <c r="AU194" s="142"/>
      <c r="AV194" s="143"/>
      <c r="AW194" s="142"/>
      <c r="AX194" s="142"/>
      <c r="AY194" s="143"/>
    </row>
    <row r="195" spans="1:51" s="17" customFormat="1" ht="12" customHeight="1" x14ac:dyDescent="0.2">
      <c r="A195" s="138"/>
      <c r="B195" s="6"/>
      <c r="C195" s="130"/>
      <c r="D195" s="142"/>
      <c r="E195" s="142"/>
      <c r="F195" s="143"/>
      <c r="G195" s="142"/>
      <c r="H195" s="142"/>
      <c r="I195" s="143"/>
      <c r="J195" s="142"/>
      <c r="K195" s="142"/>
      <c r="L195" s="143"/>
      <c r="M195" s="142"/>
      <c r="N195" s="142"/>
      <c r="O195" s="143"/>
      <c r="P195" s="142"/>
      <c r="Q195" s="142"/>
      <c r="R195" s="143"/>
      <c r="S195" s="142"/>
      <c r="T195" s="142"/>
      <c r="U195" s="143"/>
      <c r="V195" s="142"/>
      <c r="W195" s="142"/>
      <c r="X195" s="143"/>
      <c r="Y195" s="142"/>
      <c r="Z195" s="142"/>
      <c r="AA195" s="143"/>
      <c r="AB195" s="142"/>
      <c r="AC195" s="142"/>
      <c r="AD195" s="143"/>
      <c r="AE195" s="142"/>
      <c r="AF195" s="142"/>
      <c r="AG195" s="143"/>
      <c r="AH195" s="142"/>
      <c r="AI195" s="142"/>
      <c r="AJ195" s="143"/>
      <c r="AK195" s="142"/>
      <c r="AL195" s="142"/>
      <c r="AM195" s="143"/>
      <c r="AN195" s="142"/>
      <c r="AO195" s="142"/>
      <c r="AP195" s="143"/>
      <c r="AQ195" s="142"/>
      <c r="AR195" s="142"/>
      <c r="AS195" s="143"/>
      <c r="AT195" s="142"/>
      <c r="AU195" s="142"/>
      <c r="AV195" s="143"/>
      <c r="AW195" s="142"/>
      <c r="AX195" s="142"/>
      <c r="AY195" s="143"/>
    </row>
    <row r="196" spans="1:51" s="17" customFormat="1" ht="12" customHeight="1" x14ac:dyDescent="0.2">
      <c r="A196" s="14"/>
      <c r="B196" s="10" t="s">
        <v>422</v>
      </c>
      <c r="C196" s="130"/>
      <c r="D196" s="142"/>
      <c r="E196" s="142"/>
      <c r="F196" s="143"/>
      <c r="G196" s="142"/>
      <c r="H196" s="142"/>
      <c r="I196" s="143"/>
      <c r="J196" s="142"/>
      <c r="K196" s="142"/>
      <c r="L196" s="143"/>
      <c r="M196" s="142"/>
      <c r="N196" s="142"/>
      <c r="O196" s="143"/>
      <c r="P196" s="142"/>
      <c r="Q196" s="142"/>
      <c r="R196" s="143"/>
      <c r="S196" s="142"/>
      <c r="T196" s="142"/>
      <c r="U196" s="143"/>
      <c r="V196" s="142"/>
      <c r="W196" s="142"/>
      <c r="X196" s="143"/>
      <c r="Y196" s="142"/>
      <c r="Z196" s="142"/>
      <c r="AA196" s="143"/>
      <c r="AB196" s="142"/>
      <c r="AC196" s="142"/>
      <c r="AD196" s="143"/>
      <c r="AE196" s="142"/>
      <c r="AF196" s="142"/>
      <c r="AG196" s="143"/>
      <c r="AH196" s="142"/>
      <c r="AI196" s="142"/>
      <c r="AJ196" s="143"/>
      <c r="AK196" s="142"/>
      <c r="AL196" s="142"/>
      <c r="AM196" s="143"/>
      <c r="AN196" s="142"/>
      <c r="AO196" s="142"/>
      <c r="AP196" s="143"/>
      <c r="AQ196" s="142"/>
      <c r="AR196" s="142"/>
      <c r="AS196" s="143"/>
      <c r="AT196" s="142"/>
      <c r="AU196" s="142"/>
      <c r="AV196" s="143"/>
      <c r="AW196" s="142"/>
      <c r="AX196" s="142"/>
      <c r="AY196" s="143"/>
    </row>
    <row r="197" spans="1:51" s="194" customFormat="1" ht="12" customHeight="1" x14ac:dyDescent="0.2">
      <c r="A197" s="190"/>
      <c r="B197" s="8" t="s">
        <v>369</v>
      </c>
      <c r="C197" s="131"/>
      <c r="D197" s="191"/>
      <c r="E197" s="191"/>
      <c r="F197" s="271"/>
      <c r="G197" s="191"/>
      <c r="H197" s="191"/>
      <c r="I197" s="271"/>
      <c r="J197" s="191"/>
      <c r="K197" s="191"/>
      <c r="L197" s="271"/>
      <c r="M197" s="273">
        <f>M63/O63</f>
        <v>0.47645468772229332</v>
      </c>
      <c r="N197" s="273">
        <f>N63/O63</f>
        <v>0.52354531227770662</v>
      </c>
      <c r="O197" s="272">
        <f>O63/O63</f>
        <v>1</v>
      </c>
      <c r="P197" s="273">
        <f>P63/R63</f>
        <v>0.49027498323272972</v>
      </c>
      <c r="Q197" s="273">
        <f>Q63/R63</f>
        <v>0.50972501676727022</v>
      </c>
      <c r="R197" s="272">
        <f>R63/R63</f>
        <v>1</v>
      </c>
      <c r="S197" s="273">
        <f>S63/U63</f>
        <v>0.49172300383701811</v>
      </c>
      <c r="T197" s="273">
        <f>T63/U63</f>
        <v>0.50827699616298183</v>
      </c>
      <c r="U197" s="272">
        <f>U63/U63</f>
        <v>1</v>
      </c>
      <c r="V197" s="273">
        <f>V63/X63</f>
        <v>0.49359688379234956</v>
      </c>
      <c r="W197" s="273">
        <f>W63/X63</f>
        <v>0.50640311620765044</v>
      </c>
      <c r="X197" s="272">
        <f>X63/X63</f>
        <v>1</v>
      </c>
      <c r="Y197" s="273">
        <f>Y63/AA63</f>
        <v>0.49517815954520511</v>
      </c>
      <c r="Z197" s="273">
        <f>Z63/AA63</f>
        <v>0.50482184045479495</v>
      </c>
      <c r="AA197" s="272">
        <f>AA63/AA63</f>
        <v>1</v>
      </c>
      <c r="AB197" s="273">
        <f>AB63/AD63</f>
        <v>0.4964491038273191</v>
      </c>
      <c r="AC197" s="273">
        <f>AC63/AD63</f>
        <v>0.5035508961726809</v>
      </c>
      <c r="AD197" s="272">
        <f>AD63/AD63</f>
        <v>1</v>
      </c>
      <c r="AE197" s="273">
        <f>AE63/AG63</f>
        <v>0.49750672513290928</v>
      </c>
      <c r="AF197" s="273">
        <f>AF63/AG63</f>
        <v>0.50249327486709072</v>
      </c>
      <c r="AG197" s="272">
        <f>AG63/AG63</f>
        <v>1</v>
      </c>
      <c r="AH197" s="273">
        <f>AH63/AJ63</f>
        <v>0.49839092135072155</v>
      </c>
      <c r="AI197" s="273">
        <f>AI63/AJ63</f>
        <v>0.50160907864927839</v>
      </c>
      <c r="AJ197" s="272">
        <f>AJ63/AJ63</f>
        <v>1</v>
      </c>
      <c r="AK197" s="273">
        <f>AK63/AM63</f>
        <v>0.49914111570611092</v>
      </c>
      <c r="AL197" s="273">
        <f>AL63/AM63</f>
        <v>0.50085888429388925</v>
      </c>
      <c r="AM197" s="272">
        <f>AM63/AM63</f>
        <v>1</v>
      </c>
      <c r="AN197" s="273">
        <f>AN63/AP63</f>
        <v>0.49978562430629236</v>
      </c>
      <c r="AO197" s="273">
        <f>AO63/AP63</f>
        <v>0.50021437569370775</v>
      </c>
      <c r="AP197" s="272">
        <f>AP63/AP63</f>
        <v>1</v>
      </c>
      <c r="AQ197" s="273">
        <f>AQ63/AS63</f>
        <v>0.50034531034347196</v>
      </c>
      <c r="AR197" s="273">
        <f>AR63/AS63</f>
        <v>0.49965468965652804</v>
      </c>
      <c r="AS197" s="272">
        <f>AS63/AS63</f>
        <v>1</v>
      </c>
      <c r="AT197" s="273">
        <f>AT63/AV63</f>
        <v>0.50083588472044249</v>
      </c>
      <c r="AU197" s="273">
        <f>AU63/AV63</f>
        <v>0.49916411527955751</v>
      </c>
      <c r="AV197" s="272">
        <f>AV63/AV63</f>
        <v>1</v>
      </c>
      <c r="AW197" s="273">
        <f>AW63/AY63</f>
        <v>0.50126940403055764</v>
      </c>
      <c r="AX197" s="273">
        <f>AX63/AY63</f>
        <v>0.49873059596944241</v>
      </c>
      <c r="AY197" s="272">
        <f>AY63/AY63</f>
        <v>1</v>
      </c>
    </row>
    <row r="198" spans="1:51" s="194" customFormat="1" ht="12" customHeight="1" x14ac:dyDescent="0.2">
      <c r="A198" s="190"/>
      <c r="B198" s="8" t="s">
        <v>372</v>
      </c>
      <c r="C198" s="131"/>
      <c r="D198" s="191"/>
      <c r="E198" s="191"/>
      <c r="F198" s="271"/>
      <c r="G198" s="191"/>
      <c r="H198" s="191"/>
      <c r="I198" s="271"/>
      <c r="J198" s="191"/>
      <c r="K198" s="191"/>
      <c r="L198" s="271"/>
      <c r="M198" s="273">
        <f>M64/O64</f>
        <v>0.49883990719257537</v>
      </c>
      <c r="N198" s="273">
        <f>N64/O64</f>
        <v>0.50116009280742457</v>
      </c>
      <c r="O198" s="272">
        <f>O64/O64</f>
        <v>1</v>
      </c>
      <c r="P198" s="273">
        <f>P64/R64</f>
        <v>0.47844827586206895</v>
      </c>
      <c r="Q198" s="273">
        <f>Q64/R64</f>
        <v>0.52155172413793105</v>
      </c>
      <c r="R198" s="272">
        <f>R64/R64</f>
        <v>1</v>
      </c>
      <c r="S198" s="273">
        <f>S64/U64</f>
        <v>0.46667697063369395</v>
      </c>
      <c r="T198" s="273">
        <f>T64/U64</f>
        <v>0.53332302936630605</v>
      </c>
      <c r="U198" s="272">
        <f>U64/U64</f>
        <v>1</v>
      </c>
      <c r="V198" s="273">
        <f>V64/X64</f>
        <v>0.4666769706336939</v>
      </c>
      <c r="W198" s="273">
        <f>W64/X64</f>
        <v>0.53332302936630605</v>
      </c>
      <c r="X198" s="272">
        <f>X64/X64</f>
        <v>1</v>
      </c>
      <c r="Y198" s="273">
        <f>Y64/AA64</f>
        <v>0.46667697063369401</v>
      </c>
      <c r="Z198" s="273">
        <f>Z64/AA64</f>
        <v>0.53332302936630605</v>
      </c>
      <c r="AA198" s="272">
        <f>AA64/AA64</f>
        <v>1</v>
      </c>
      <c r="AB198" s="273">
        <f>AB64/AD64</f>
        <v>0.46667697063369395</v>
      </c>
      <c r="AC198" s="273">
        <f>AC64/AD64</f>
        <v>0.53332302936630605</v>
      </c>
      <c r="AD198" s="272">
        <f>AD64/AD64</f>
        <v>1</v>
      </c>
      <c r="AE198" s="273">
        <f>AE64/AG64</f>
        <v>0.46667697063369395</v>
      </c>
      <c r="AF198" s="273">
        <f>AF64/AG64</f>
        <v>0.53332302936630605</v>
      </c>
      <c r="AG198" s="272">
        <f>AG64/AG64</f>
        <v>1</v>
      </c>
      <c r="AH198" s="273">
        <f>AH64/AJ64</f>
        <v>0.46667697063369401</v>
      </c>
      <c r="AI198" s="273">
        <f>AI64/AJ64</f>
        <v>0.53332302936630605</v>
      </c>
      <c r="AJ198" s="272">
        <f>AJ64/AJ64</f>
        <v>1</v>
      </c>
      <c r="AK198" s="273">
        <f>AK64/AM64</f>
        <v>0.46667697063369395</v>
      </c>
      <c r="AL198" s="273">
        <f>AL64/AM64</f>
        <v>0.53332302936630593</v>
      </c>
      <c r="AM198" s="272">
        <f>AM64/AM64</f>
        <v>1</v>
      </c>
      <c r="AN198" s="273">
        <f>AN64/AP64</f>
        <v>0.46667697063369395</v>
      </c>
      <c r="AO198" s="273">
        <f>AO64/AP64</f>
        <v>0.53332302936630593</v>
      </c>
      <c r="AP198" s="272">
        <f>AP64/AP64</f>
        <v>1</v>
      </c>
      <c r="AQ198" s="273">
        <f>AQ64/AS64</f>
        <v>0.46667697063369395</v>
      </c>
      <c r="AR198" s="273">
        <f>AR64/AS64</f>
        <v>0.53332302936630605</v>
      </c>
      <c r="AS198" s="272">
        <f>AS64/AS64</f>
        <v>1</v>
      </c>
      <c r="AT198" s="273">
        <f>AT64/AV64</f>
        <v>0.4666769706336939</v>
      </c>
      <c r="AU198" s="273">
        <f>AU64/AV64</f>
        <v>0.53332302936630605</v>
      </c>
      <c r="AV198" s="272">
        <f>AV64/AV64</f>
        <v>1</v>
      </c>
      <c r="AW198" s="273">
        <f>AW64/AY64</f>
        <v>0.4666769706336939</v>
      </c>
      <c r="AX198" s="273">
        <f>AX64/AY64</f>
        <v>0.53332302936630605</v>
      </c>
      <c r="AY198" s="272">
        <f>AY64/AY64</f>
        <v>1</v>
      </c>
    </row>
    <row r="199" spans="1:51" s="194" customFormat="1" ht="12" customHeight="1" x14ac:dyDescent="0.2">
      <c r="A199" s="190"/>
      <c r="B199" s="8" t="s">
        <v>370</v>
      </c>
      <c r="C199" s="131"/>
      <c r="D199" s="191"/>
      <c r="E199" s="191"/>
      <c r="F199" s="271"/>
      <c r="G199" s="191"/>
      <c r="H199" s="191"/>
      <c r="I199" s="271"/>
      <c r="J199" s="191"/>
      <c r="K199" s="191"/>
      <c r="L199" s="271"/>
      <c r="M199" s="273">
        <f>M65/O65</f>
        <v>0.45714285714285718</v>
      </c>
      <c r="N199" s="273">
        <f>N65/O65</f>
        <v>0.54285714285714282</v>
      </c>
      <c r="O199" s="272">
        <f>O65/O65</f>
        <v>1</v>
      </c>
      <c r="P199" s="273">
        <f>P65/R65</f>
        <v>0.53164556962025311</v>
      </c>
      <c r="Q199" s="273">
        <f>Q65/R65</f>
        <v>0.46835443037974683</v>
      </c>
      <c r="R199" s="272">
        <f>R65/R65</f>
        <v>1</v>
      </c>
      <c r="S199" s="273">
        <f>S65/U65</f>
        <v>0.50615384615384618</v>
      </c>
      <c r="T199" s="273">
        <f>T65/U65</f>
        <v>0.49384615384615382</v>
      </c>
      <c r="U199" s="272">
        <f>U65/U65</f>
        <v>1</v>
      </c>
      <c r="V199" s="273">
        <f>V65/X65</f>
        <v>0.46445071868583165</v>
      </c>
      <c r="W199" s="273">
        <f>W65/X65</f>
        <v>0.53554928131416846</v>
      </c>
      <c r="X199" s="272">
        <f>X65/X65</f>
        <v>1</v>
      </c>
      <c r="Y199" s="273">
        <f>Y65/AA65</f>
        <v>0.47350738073765331</v>
      </c>
      <c r="Z199" s="273">
        <f>Z65/AA65</f>
        <v>0.52649261926234681</v>
      </c>
      <c r="AA199" s="272">
        <f>AA65/AA65</f>
        <v>1</v>
      </c>
      <c r="AB199" s="273">
        <f>AB65/AD65</f>
        <v>0.47911292335857536</v>
      </c>
      <c r="AC199" s="273">
        <f>AC65/AD65</f>
        <v>0.52088707664142475</v>
      </c>
      <c r="AD199" s="272">
        <f>AD65/AD65</f>
        <v>1</v>
      </c>
      <c r="AE199" s="273">
        <f>AE65/AG65</f>
        <v>0.48292427202973837</v>
      </c>
      <c r="AF199" s="273">
        <f>AF65/AG65</f>
        <v>0.51707572797026169</v>
      </c>
      <c r="AG199" s="272">
        <f>AG65/AG65</f>
        <v>1</v>
      </c>
      <c r="AH199" s="273">
        <f>AH65/AJ65</f>
        <v>0.48568400179668936</v>
      </c>
      <c r="AI199" s="273">
        <f>AI65/AJ65</f>
        <v>0.51431599820331075</v>
      </c>
      <c r="AJ199" s="272">
        <f>AJ65/AJ65</f>
        <v>1</v>
      </c>
      <c r="AK199" s="273">
        <f>AK65/AM65</f>
        <v>0.48777458741188057</v>
      </c>
      <c r="AL199" s="273">
        <f>AL65/AM65</f>
        <v>0.51222541258811949</v>
      </c>
      <c r="AM199" s="272">
        <f>AM65/AM65</f>
        <v>1</v>
      </c>
      <c r="AN199" s="273">
        <f>AN65/AP65</f>
        <v>0.48941308295660912</v>
      </c>
      <c r="AO199" s="273">
        <f>AO65/AP65</f>
        <v>0.51058691704339099</v>
      </c>
      <c r="AP199" s="272">
        <f>AP65/AP65</f>
        <v>1</v>
      </c>
      <c r="AQ199" s="273">
        <f>AQ65/AS65</f>
        <v>0.49073182637937818</v>
      </c>
      <c r="AR199" s="273">
        <f>AR65/AS65</f>
        <v>0.50926817362062182</v>
      </c>
      <c r="AS199" s="272">
        <f>AS65/AS65</f>
        <v>1</v>
      </c>
      <c r="AT199" s="273">
        <f>AT65/AV65</f>
        <v>0.49181609601129556</v>
      </c>
      <c r="AU199" s="273">
        <f>AU65/AV65</f>
        <v>0.5081839039887045</v>
      </c>
      <c r="AV199" s="272">
        <f>AV65/AV65</f>
        <v>1</v>
      </c>
      <c r="AW199" s="273">
        <f>AW65/AY65</f>
        <v>0.49272332086921428</v>
      </c>
      <c r="AX199" s="273">
        <f>AX65/AY65</f>
        <v>0.50727667913078556</v>
      </c>
      <c r="AY199" s="272">
        <f>AY65/AY65</f>
        <v>1</v>
      </c>
    </row>
    <row r="200" spans="1:51" s="194" customFormat="1" ht="12" customHeight="1" x14ac:dyDescent="0.2">
      <c r="A200" s="190"/>
      <c r="B200" s="318" t="s">
        <v>371</v>
      </c>
      <c r="C200" s="311"/>
      <c r="D200" s="312"/>
      <c r="E200" s="312"/>
      <c r="F200" s="235"/>
      <c r="G200" s="312"/>
      <c r="H200" s="312"/>
      <c r="I200" s="235"/>
      <c r="J200" s="312"/>
      <c r="K200" s="312"/>
      <c r="L200" s="235"/>
      <c r="M200" s="313">
        <f>M66/O66</f>
        <v>0.47755644090305438</v>
      </c>
      <c r="N200" s="313">
        <f>N66/O66</f>
        <v>0.52244355909694562</v>
      </c>
      <c r="O200" s="236">
        <f>O66/O66</f>
        <v>1</v>
      </c>
      <c r="P200" s="313">
        <f>P66/R66</f>
        <v>0.49004110022130892</v>
      </c>
      <c r="Q200" s="313">
        <f>Q66/R66</f>
        <v>0.50995889977869113</v>
      </c>
      <c r="R200" s="236">
        <f>R66/R66</f>
        <v>1</v>
      </c>
      <c r="S200" s="313">
        <f>S66/U66</f>
        <v>0.49044847654912704</v>
      </c>
      <c r="T200" s="313">
        <f>T66/U66</f>
        <v>0.50955152345087296</v>
      </c>
      <c r="U200" s="236">
        <f>U66/U66</f>
        <v>1</v>
      </c>
      <c r="V200" s="313">
        <f>V66/X66</f>
        <v>0.49189919029795887</v>
      </c>
      <c r="W200" s="313">
        <f>W66/X66</f>
        <v>0.5081008097020413</v>
      </c>
      <c r="X200" s="236">
        <f>X66/X66</f>
        <v>1</v>
      </c>
      <c r="Y200" s="313">
        <f>Y66/AA66</f>
        <v>0.49346264831255521</v>
      </c>
      <c r="Z200" s="313">
        <f>Z66/AA66</f>
        <v>0.50653735168744485</v>
      </c>
      <c r="AA200" s="236">
        <f>AA66/AA66</f>
        <v>1</v>
      </c>
      <c r="AB200" s="313">
        <f>AB66/AD66</f>
        <v>0.49470614877395186</v>
      </c>
      <c r="AC200" s="313">
        <f>AC66/AD66</f>
        <v>0.5052938512260482</v>
      </c>
      <c r="AD200" s="236">
        <f>AD66/AD66</f>
        <v>1</v>
      </c>
      <c r="AE200" s="313">
        <f>AE66/AG66</f>
        <v>0.49570447990772815</v>
      </c>
      <c r="AF200" s="313">
        <f>AF66/AG66</f>
        <v>0.50429552009227185</v>
      </c>
      <c r="AG200" s="236">
        <f>AG66/AG66</f>
        <v>1</v>
      </c>
      <c r="AH200" s="313">
        <f>AH66/AJ66</f>
        <v>0.49651957639100425</v>
      </c>
      <c r="AI200" s="313">
        <f>AI66/AJ66</f>
        <v>0.50348042360899581</v>
      </c>
      <c r="AJ200" s="236">
        <f>AJ66/AJ66</f>
        <v>1</v>
      </c>
      <c r="AK200" s="313">
        <f>AK66/AM66</f>
        <v>0.49719086445385818</v>
      </c>
      <c r="AL200" s="313">
        <f>AL66/AM66</f>
        <v>0.50280913554614193</v>
      </c>
      <c r="AM200" s="236">
        <f>AM66/AM66</f>
        <v>1</v>
      </c>
      <c r="AN200" s="313">
        <f>AN66/AP66</f>
        <v>0.49774652021101479</v>
      </c>
      <c r="AO200" s="313">
        <f>AO66/AP66</f>
        <v>0.50225347978898538</v>
      </c>
      <c r="AP200" s="236">
        <f>AP66/AP66</f>
        <v>1</v>
      </c>
      <c r="AQ200" s="313">
        <f>AQ66/AS66</f>
        <v>0.49820714404479127</v>
      </c>
      <c r="AR200" s="313">
        <f>AR66/AS66</f>
        <v>0.50179285595520862</v>
      </c>
      <c r="AS200" s="236">
        <f>AS66/AS66</f>
        <v>1</v>
      </c>
      <c r="AT200" s="313">
        <f>AT66/AV66</f>
        <v>0.49858807786630233</v>
      </c>
      <c r="AU200" s="313">
        <f>AU66/AV66</f>
        <v>0.50141192213369767</v>
      </c>
      <c r="AV200" s="236">
        <f>AV66/AV66</f>
        <v>1</v>
      </c>
      <c r="AW200" s="313">
        <f>AW66/AY66</f>
        <v>0.4989009160466269</v>
      </c>
      <c r="AX200" s="313">
        <f>AX66/AY66</f>
        <v>0.5010990839533731</v>
      </c>
      <c r="AY200" s="236">
        <f>AY66/AY66</f>
        <v>1</v>
      </c>
    </row>
    <row r="201" spans="1:51" s="194" customFormat="1" ht="12" customHeight="1" x14ac:dyDescent="0.2">
      <c r="A201" s="190"/>
      <c r="B201" s="8"/>
      <c r="C201" s="131"/>
      <c r="D201" s="191"/>
      <c r="E201" s="191"/>
      <c r="F201" s="271"/>
      <c r="G201" s="191"/>
      <c r="H201" s="191"/>
      <c r="I201" s="271"/>
      <c r="J201" s="191"/>
      <c r="K201" s="191"/>
      <c r="L201" s="271"/>
      <c r="M201" s="273"/>
      <c r="N201" s="273"/>
      <c r="O201" s="272"/>
      <c r="P201" s="273"/>
      <c r="Q201" s="273"/>
      <c r="R201" s="272"/>
      <c r="S201" s="273"/>
      <c r="T201" s="273"/>
      <c r="U201" s="272"/>
      <c r="V201" s="273"/>
      <c r="W201" s="273"/>
      <c r="X201" s="272"/>
      <c r="Y201" s="273"/>
      <c r="Z201" s="273"/>
      <c r="AA201" s="272"/>
      <c r="AB201" s="273"/>
      <c r="AC201" s="273"/>
      <c r="AD201" s="272"/>
      <c r="AE201" s="273"/>
      <c r="AF201" s="273"/>
      <c r="AG201" s="272"/>
      <c r="AH201" s="273"/>
      <c r="AI201" s="273"/>
      <c r="AJ201" s="272"/>
      <c r="AK201" s="273"/>
      <c r="AL201" s="273"/>
      <c r="AM201" s="272"/>
      <c r="AN201" s="273"/>
      <c r="AO201" s="273"/>
      <c r="AP201" s="272"/>
      <c r="AQ201" s="273"/>
      <c r="AR201" s="273"/>
      <c r="AS201" s="272"/>
      <c r="AT201" s="273"/>
      <c r="AU201" s="273"/>
      <c r="AV201" s="272"/>
      <c r="AW201" s="273"/>
      <c r="AX201" s="273"/>
      <c r="AY201" s="272"/>
    </row>
    <row r="202" spans="1:51" s="194" customFormat="1" ht="12" customHeight="1" x14ac:dyDescent="0.2">
      <c r="A202" s="190"/>
      <c r="B202" s="8" t="s">
        <v>427</v>
      </c>
      <c r="C202" s="131"/>
      <c r="D202" s="191"/>
      <c r="E202" s="191"/>
      <c r="F202" s="271"/>
      <c r="G202" s="191"/>
      <c r="H202" s="191"/>
      <c r="I202" s="271"/>
      <c r="J202" s="191"/>
      <c r="K202" s="191"/>
      <c r="L202" s="271"/>
      <c r="M202" s="273">
        <f>M70/O70</f>
        <v>0.45344023132023398</v>
      </c>
      <c r="N202" s="273">
        <f>N70/O70</f>
        <v>0.54655976867976608</v>
      </c>
      <c r="O202" s="272">
        <f>O70/O70</f>
        <v>1</v>
      </c>
      <c r="P202" s="273">
        <f>P70/R70</f>
        <v>0.492265864760767</v>
      </c>
      <c r="Q202" s="273">
        <f>Q70/R70</f>
        <v>0.50773413523923305</v>
      </c>
      <c r="R202" s="272">
        <f>R70/R70</f>
        <v>1</v>
      </c>
      <c r="S202" s="273">
        <f>S70/U70</f>
        <v>0.4930291114254185</v>
      </c>
      <c r="T202" s="273">
        <f>T70/U70</f>
        <v>0.5069708885745815</v>
      </c>
      <c r="U202" s="272">
        <f>U70/U70</f>
        <v>1</v>
      </c>
      <c r="V202" s="273">
        <f>V70/X70</f>
        <v>0.49899111378507599</v>
      </c>
      <c r="W202" s="273">
        <f>W70/X70</f>
        <v>0.5010088862149239</v>
      </c>
      <c r="X202" s="272">
        <f>X70/X70</f>
        <v>1</v>
      </c>
      <c r="Y202" s="273">
        <f>Y70/AA70</f>
        <v>0.50070066100489297</v>
      </c>
      <c r="Z202" s="273">
        <f>Z70/AA70</f>
        <v>0.49929933899510709</v>
      </c>
      <c r="AA202" s="272">
        <f>AA70/AA70</f>
        <v>1</v>
      </c>
      <c r="AB202" s="273">
        <f>AB70/AD70</f>
        <v>0.50201932450837983</v>
      </c>
      <c r="AC202" s="273">
        <f>AC70/AD70</f>
        <v>0.49798067549162028</v>
      </c>
      <c r="AD202" s="272">
        <f>AD70/AD70</f>
        <v>1</v>
      </c>
      <c r="AE202" s="273">
        <f>AE70/AG70</f>
        <v>0.50307508209566187</v>
      </c>
      <c r="AF202" s="273">
        <f>AF70/AG70</f>
        <v>0.49692491790433813</v>
      </c>
      <c r="AG202" s="272">
        <f>AG70/AG70</f>
        <v>1</v>
      </c>
      <c r="AH202" s="273">
        <f>AH70/AJ70</f>
        <v>0.50392606249883387</v>
      </c>
      <c r="AI202" s="273">
        <f>AI70/AJ70</f>
        <v>0.49607393750116624</v>
      </c>
      <c r="AJ202" s="272">
        <f>AJ70/AJ70</f>
        <v>1</v>
      </c>
      <c r="AK202" s="273">
        <f>AK70/AM70</f>
        <v>0.49859866846271544</v>
      </c>
      <c r="AL202" s="273">
        <f>AL70/AM70</f>
        <v>0.50140133153728461</v>
      </c>
      <c r="AM202" s="272">
        <f>AM70/AM70</f>
        <v>1</v>
      </c>
      <c r="AN202" s="273">
        <f>AN70/AP70</f>
        <v>0.49931871033926878</v>
      </c>
      <c r="AO202" s="273">
        <f>AO70/AP70</f>
        <v>0.50068128966073122</v>
      </c>
      <c r="AP202" s="272">
        <f>AP70/AP70</f>
        <v>1</v>
      </c>
      <c r="AQ202" s="273">
        <f>AQ70/AS70</f>
        <v>0.49993918250187919</v>
      </c>
      <c r="AR202" s="273">
        <f>AR70/AS70</f>
        <v>0.5000608174981207</v>
      </c>
      <c r="AS202" s="272">
        <f>AS70/AS70</f>
        <v>1</v>
      </c>
      <c r="AT202" s="273">
        <f>AT70/AV70</f>
        <v>0.50047939974195055</v>
      </c>
      <c r="AU202" s="273">
        <f>AU70/AV70</f>
        <v>0.49952060025804951</v>
      </c>
      <c r="AV202" s="272">
        <f>AV70/AV70</f>
        <v>1</v>
      </c>
      <c r="AW202" s="273">
        <f>AW70/AY70</f>
        <v>0.50095398516908385</v>
      </c>
      <c r="AX202" s="273">
        <f>AX70/AY70</f>
        <v>0.4990460148309161</v>
      </c>
      <c r="AY202" s="272">
        <f>AY70/AY70</f>
        <v>1</v>
      </c>
    </row>
    <row r="203" spans="1:51" s="194" customFormat="1" ht="12" customHeight="1" x14ac:dyDescent="0.2">
      <c r="A203" s="190"/>
      <c r="B203" s="8" t="s">
        <v>429</v>
      </c>
      <c r="C203" s="131"/>
      <c r="D203" s="191"/>
      <c r="E203" s="191"/>
      <c r="F203" s="271"/>
      <c r="G203" s="191"/>
      <c r="H203" s="191"/>
      <c r="I203" s="271"/>
      <c r="J203" s="191"/>
      <c r="K203" s="191"/>
      <c r="L203" s="271"/>
      <c r="M203" s="273">
        <f>M75/O75</f>
        <v>0.46459671481885806</v>
      </c>
      <c r="N203" s="273">
        <f>N75/O75</f>
        <v>0.535403285181142</v>
      </c>
      <c r="O203" s="272">
        <f>O75/O75</f>
        <v>1</v>
      </c>
      <c r="P203" s="273">
        <f>P75/R75</f>
        <v>0.47049635543214158</v>
      </c>
      <c r="Q203" s="273">
        <f>Q75/R75</f>
        <v>0.52950364456785837</v>
      </c>
      <c r="R203" s="272">
        <f>R75/R75</f>
        <v>1</v>
      </c>
      <c r="S203" s="273">
        <f>S75/U75</f>
        <v>0.48212279624331572</v>
      </c>
      <c r="T203" s="273">
        <f>T75/U75</f>
        <v>0.51787720375668433</v>
      </c>
      <c r="U203" s="272">
        <f>U75/U75</f>
        <v>1</v>
      </c>
      <c r="V203" s="273">
        <f>V75/X75</f>
        <v>0.49335036201941057</v>
      </c>
      <c r="W203" s="273">
        <f>W75/X75</f>
        <v>0.50664963798058948</v>
      </c>
      <c r="X203" s="272">
        <f>X75/X75</f>
        <v>1</v>
      </c>
      <c r="Y203" s="273">
        <f>Y75/AA75</f>
        <v>0.48853754802936977</v>
      </c>
      <c r="Z203" s="273">
        <f>Z75/AA75</f>
        <v>0.51146245197063023</v>
      </c>
      <c r="AA203" s="272">
        <f>AA75/AA75</f>
        <v>1</v>
      </c>
      <c r="AB203" s="273">
        <f>AB75/AD75</f>
        <v>0.49002519510457787</v>
      </c>
      <c r="AC203" s="273">
        <f>AC75/AD75</f>
        <v>0.50997480489542224</v>
      </c>
      <c r="AD203" s="272">
        <f>AD75/AD75</f>
        <v>1</v>
      </c>
      <c r="AE203" s="273">
        <f>AE75/AG75</f>
        <v>0.4912837937295802</v>
      </c>
      <c r="AF203" s="273">
        <f>AF75/AG75</f>
        <v>0.5087162062704198</v>
      </c>
      <c r="AG203" s="272">
        <f>AG75/AG75</f>
        <v>1</v>
      </c>
      <c r="AH203" s="273">
        <f>AH75/AJ75</f>
        <v>0.49778487134270771</v>
      </c>
      <c r="AI203" s="273">
        <f>AI75/AJ75</f>
        <v>0.50221512865729234</v>
      </c>
      <c r="AJ203" s="272">
        <f>AJ75/AJ75</f>
        <v>1</v>
      </c>
      <c r="AK203" s="273">
        <f>AK75/AM75</f>
        <v>0.49846235319515791</v>
      </c>
      <c r="AL203" s="273">
        <f>AL75/AM75</f>
        <v>0.50153764680484214</v>
      </c>
      <c r="AM203" s="272">
        <f>AM75/AM75</f>
        <v>1</v>
      </c>
      <c r="AN203" s="273">
        <f>AN75/AP75</f>
        <v>0.49904014448413347</v>
      </c>
      <c r="AO203" s="273">
        <f>AO75/AP75</f>
        <v>0.50095985551586653</v>
      </c>
      <c r="AP203" s="272">
        <f>AP75/AP75</f>
        <v>1</v>
      </c>
      <c r="AQ203" s="273">
        <f>AQ75/AS75</f>
        <v>0.49953660370897451</v>
      </c>
      <c r="AR203" s="273">
        <f>AR75/AS75</f>
        <v>0.50046339629102532</v>
      </c>
      <c r="AS203" s="272">
        <f>AS75/AS75</f>
        <v>1</v>
      </c>
      <c r="AT203" s="273">
        <f>AT75/AV75</f>
        <v>0.49996563098995161</v>
      </c>
      <c r="AU203" s="273">
        <f>AU75/AV75</f>
        <v>0.50003436901004839</v>
      </c>
      <c r="AV203" s="272">
        <f>AV75/AV75</f>
        <v>1</v>
      </c>
      <c r="AW203" s="273">
        <f>AW75/AY75</f>
        <v>0.50033792326754223</v>
      </c>
      <c r="AX203" s="273">
        <f>AX75/AY75</f>
        <v>0.49966207673245744</v>
      </c>
      <c r="AY203" s="272">
        <f>AY75/AY75</f>
        <v>1</v>
      </c>
    </row>
    <row r="204" spans="1:51" s="194" customFormat="1" ht="12" customHeight="1" x14ac:dyDescent="0.2">
      <c r="A204" s="190"/>
      <c r="B204" s="8" t="s">
        <v>420</v>
      </c>
      <c r="C204" s="131"/>
      <c r="D204" s="191"/>
      <c r="E204" s="191"/>
      <c r="F204" s="271"/>
      <c r="G204" s="191"/>
      <c r="H204" s="191"/>
      <c r="I204" s="271"/>
      <c r="J204" s="191"/>
      <c r="K204" s="191"/>
      <c r="L204" s="271"/>
      <c r="M204" s="273">
        <f>M77/O77</f>
        <v>0.46430268323789037</v>
      </c>
      <c r="N204" s="273">
        <f>N77/O77</f>
        <v>0.53569731676210952</v>
      </c>
      <c r="O204" s="272">
        <f>O77/O77</f>
        <v>1</v>
      </c>
      <c r="P204" s="273">
        <f>P77/R77</f>
        <v>0.47044930765860993</v>
      </c>
      <c r="Q204" s="273">
        <f>Q77/R77</f>
        <v>0.52955069234139007</v>
      </c>
      <c r="R204" s="272">
        <f>R77/R77</f>
        <v>1</v>
      </c>
      <c r="S204" s="273">
        <f>S77/U77</f>
        <v>0.49169770444124589</v>
      </c>
      <c r="T204" s="273">
        <f>T77/U77</f>
        <v>0.50830229555875417</v>
      </c>
      <c r="U204" s="272">
        <f>U77/U77</f>
        <v>1</v>
      </c>
      <c r="V204" s="273">
        <f>V77/X77</f>
        <v>0.49335938175534805</v>
      </c>
      <c r="W204" s="273">
        <f>W77/X77</f>
        <v>0.50664061824465201</v>
      </c>
      <c r="X204" s="272">
        <f>X77/X77</f>
        <v>1</v>
      </c>
      <c r="Y204" s="273">
        <f>Y77/AA77</f>
        <v>0.4885993821679111</v>
      </c>
      <c r="Z204" s="273">
        <f>Z77/AA77</f>
        <v>0.5114006178320889</v>
      </c>
      <c r="AA204" s="272">
        <f>AA77/AA77</f>
        <v>1</v>
      </c>
      <c r="AB204" s="273">
        <f>AB77/AD77</f>
        <v>0.49008141818004841</v>
      </c>
      <c r="AC204" s="273">
        <f>AC77/AD77</f>
        <v>0.50991858181995164</v>
      </c>
      <c r="AD204" s="272">
        <f>AD77/AD77</f>
        <v>1</v>
      </c>
      <c r="AE204" s="273">
        <f>AE77/AG77</f>
        <v>0.491335227014848</v>
      </c>
      <c r="AF204" s="273">
        <f>AF77/AG77</f>
        <v>0.508664772985152</v>
      </c>
      <c r="AG204" s="272">
        <f>AG77/AG77</f>
        <v>1</v>
      </c>
      <c r="AH204" s="273">
        <f>AH77/AJ77</f>
        <v>0.49779206446428587</v>
      </c>
      <c r="AI204" s="273">
        <f>AI77/AJ77</f>
        <v>0.50220793553571408</v>
      </c>
      <c r="AJ204" s="272">
        <f>AJ77/AJ77</f>
        <v>1</v>
      </c>
      <c r="AK204" s="273">
        <f>AK77/AM77</f>
        <v>0.49846954509034191</v>
      </c>
      <c r="AL204" s="273">
        <f>AL77/AM77</f>
        <v>0.50153045490965809</v>
      </c>
      <c r="AM204" s="272">
        <f>AM77/AM77</f>
        <v>1</v>
      </c>
      <c r="AN204" s="273">
        <f>AN77/AP77</f>
        <v>0.49904736446823039</v>
      </c>
      <c r="AO204" s="273">
        <f>AO77/AP77</f>
        <v>0.50095263553176961</v>
      </c>
      <c r="AP204" s="272">
        <f>AP77/AP77</f>
        <v>1</v>
      </c>
      <c r="AQ204" s="273">
        <f>AQ77/AS77</f>
        <v>0.49954387874907624</v>
      </c>
      <c r="AR204" s="273">
        <f>AR77/AS77</f>
        <v>0.50045612125092354</v>
      </c>
      <c r="AS204" s="272">
        <f>AS77/AS77</f>
        <v>1</v>
      </c>
      <c r="AT204" s="273">
        <f>AT77/AV77</f>
        <v>0.49997298628932829</v>
      </c>
      <c r="AU204" s="273">
        <f>AU77/AV77</f>
        <v>0.50002701371067171</v>
      </c>
      <c r="AV204" s="272">
        <f>AV77/AV77</f>
        <v>1</v>
      </c>
      <c r="AW204" s="273">
        <f>AW77/AY77</f>
        <v>0.50034538272659868</v>
      </c>
      <c r="AX204" s="273">
        <f>AX77/AY77</f>
        <v>0.49965461727340088</v>
      </c>
      <c r="AY204" s="272">
        <f>AY77/AY77</f>
        <v>1</v>
      </c>
    </row>
    <row r="205" spans="1:51" s="194" customFormat="1" ht="12" customHeight="1" x14ac:dyDescent="0.2">
      <c r="A205" s="190"/>
      <c r="B205" s="318" t="s">
        <v>424</v>
      </c>
      <c r="C205" s="311"/>
      <c r="D205" s="312"/>
      <c r="E205" s="312"/>
      <c r="F205" s="235"/>
      <c r="G205" s="312"/>
      <c r="H205" s="312"/>
      <c r="I205" s="235"/>
      <c r="J205" s="312"/>
      <c r="K205" s="312"/>
      <c r="L205" s="235"/>
      <c r="M205" s="313">
        <f>M82/O82</f>
        <v>0.43648208469055377</v>
      </c>
      <c r="N205" s="313">
        <f>N82/O82</f>
        <v>0.56351791530944617</v>
      </c>
      <c r="O205" s="236">
        <f>O82/O82</f>
        <v>1</v>
      </c>
      <c r="P205" s="313">
        <f>P82/R82</f>
        <v>0.50657894736842102</v>
      </c>
      <c r="Q205" s="313">
        <f>Q82/R82</f>
        <v>0.49342105263157893</v>
      </c>
      <c r="R205" s="236">
        <f>R82/R82</f>
        <v>1</v>
      </c>
      <c r="S205" s="313">
        <f>S82/U82</f>
        <v>0.48153030303030303</v>
      </c>
      <c r="T205" s="313">
        <f>T82/U82</f>
        <v>0.51846969696969702</v>
      </c>
      <c r="U205" s="236">
        <f>U82/U82</f>
        <v>1</v>
      </c>
      <c r="V205" s="313">
        <f>V82/X82</f>
        <v>0.50012953780997371</v>
      </c>
      <c r="W205" s="313">
        <f>W82/X82</f>
        <v>0.49987046219002618</v>
      </c>
      <c r="X205" s="236">
        <f>X82/X82</f>
        <v>1</v>
      </c>
      <c r="Y205" s="313">
        <f>Y82/AA82</f>
        <v>0.49567237585305207</v>
      </c>
      <c r="Z205" s="313">
        <f>Z82/AA82</f>
        <v>0.50432762414694798</v>
      </c>
      <c r="AA205" s="236">
        <f>AA82/AA82</f>
        <v>1</v>
      </c>
      <c r="AB205" s="313">
        <f>AB82/AD82</f>
        <v>0.49701048104777851</v>
      </c>
      <c r="AC205" s="313">
        <f>AC82/AD82</f>
        <v>0.50298951895222166</v>
      </c>
      <c r="AD205" s="236">
        <f>AD82/AD82</f>
        <v>1</v>
      </c>
      <c r="AE205" s="313">
        <f>AE82/AG82</f>
        <v>0.49809920748119013</v>
      </c>
      <c r="AF205" s="313">
        <f>AF82/AG82</f>
        <v>0.50190079251880981</v>
      </c>
      <c r="AG205" s="236">
        <f>AG82/AG82</f>
        <v>1</v>
      </c>
      <c r="AH205" s="313">
        <f>AH82/AJ82</f>
        <v>0.50332894230696446</v>
      </c>
      <c r="AI205" s="313">
        <f>AI82/AJ82</f>
        <v>0.49667105769303554</v>
      </c>
      <c r="AJ205" s="236">
        <f>AJ82/AJ82</f>
        <v>1</v>
      </c>
      <c r="AK205" s="313">
        <f>AK82/AM82</f>
        <v>0.49939870518635582</v>
      </c>
      <c r="AL205" s="313">
        <f>AL82/AM82</f>
        <v>0.50060129481364424</v>
      </c>
      <c r="AM205" s="236">
        <f>AM82/AM82</f>
        <v>1</v>
      </c>
      <c r="AN205" s="313">
        <f>AN82/AP82</f>
        <v>0.50009133186177801</v>
      </c>
      <c r="AO205" s="313">
        <f>AO82/AP82</f>
        <v>0.49990866813822193</v>
      </c>
      <c r="AP205" s="236">
        <f>AP82/AP82</f>
        <v>1</v>
      </c>
      <c r="AQ205" s="313">
        <f>AQ82/AS82</f>
        <v>0.50069389864058245</v>
      </c>
      <c r="AR205" s="313">
        <f>AR82/AS82</f>
        <v>0.4993061013594175</v>
      </c>
      <c r="AS205" s="236">
        <f>AS82/AS82</f>
        <v>1</v>
      </c>
      <c r="AT205" s="313">
        <f>AT82/AV82</f>
        <v>0.5012240182601797</v>
      </c>
      <c r="AU205" s="313">
        <f>AU82/AV82</f>
        <v>0.49877598173982041</v>
      </c>
      <c r="AV205" s="236">
        <f>AV82/AV82</f>
        <v>1</v>
      </c>
      <c r="AW205" s="313">
        <f>AW82/AY82</f>
        <v>0.50169512640680425</v>
      </c>
      <c r="AX205" s="313">
        <f>AX82/AY82</f>
        <v>0.49830487359319531</v>
      </c>
      <c r="AY205" s="236">
        <f>AY82/AY82</f>
        <v>1</v>
      </c>
    </row>
    <row r="206" spans="1:51" s="17" customFormat="1" ht="12" customHeight="1" x14ac:dyDescent="0.2">
      <c r="A206" s="138"/>
      <c r="B206" s="6"/>
      <c r="C206" s="130"/>
      <c r="D206" s="142"/>
      <c r="E206" s="142"/>
      <c r="F206" s="143"/>
      <c r="G206" s="142"/>
      <c r="H206" s="142"/>
      <c r="I206" s="143"/>
      <c r="J206" s="142"/>
      <c r="K206" s="142"/>
      <c r="L206" s="143"/>
      <c r="M206" s="142"/>
      <c r="N206" s="142"/>
      <c r="O206" s="143"/>
      <c r="P206" s="142"/>
      <c r="Q206" s="142"/>
      <c r="R206" s="143"/>
      <c r="S206" s="142"/>
      <c r="T206" s="142"/>
      <c r="U206" s="143"/>
      <c r="V206" s="142"/>
      <c r="W206" s="142"/>
      <c r="X206" s="143"/>
      <c r="Y206" s="142"/>
      <c r="Z206" s="142"/>
      <c r="AA206" s="143"/>
      <c r="AB206" s="142"/>
      <c r="AC206" s="142"/>
      <c r="AD206" s="143"/>
      <c r="AE206" s="142"/>
      <c r="AF206" s="142"/>
      <c r="AG206" s="143"/>
      <c r="AH206" s="142"/>
      <c r="AI206" s="142"/>
      <c r="AJ206" s="143"/>
      <c r="AK206" s="142"/>
      <c r="AL206" s="142"/>
      <c r="AM206" s="143"/>
      <c r="AN206" s="142"/>
      <c r="AO206" s="142"/>
      <c r="AP206" s="143"/>
      <c r="AQ206" s="142"/>
      <c r="AR206" s="142"/>
      <c r="AS206" s="143"/>
      <c r="AT206" s="142"/>
      <c r="AU206" s="142"/>
      <c r="AV206" s="143"/>
      <c r="AW206" s="142"/>
      <c r="AX206" s="142"/>
      <c r="AY206" s="143"/>
    </row>
    <row r="207" spans="1:51" s="17" customFormat="1" ht="12" customHeight="1" x14ac:dyDescent="0.2">
      <c r="A207" s="138"/>
      <c r="B207" s="6"/>
      <c r="C207" s="130"/>
      <c r="D207" s="142"/>
      <c r="E207" s="142"/>
      <c r="F207" s="143"/>
      <c r="G207" s="142"/>
      <c r="H207" s="142"/>
      <c r="I207" s="143"/>
      <c r="J207" s="142"/>
      <c r="K207" s="142"/>
      <c r="L207" s="143"/>
      <c r="M207" s="142"/>
      <c r="N207" s="142"/>
      <c r="O207" s="143"/>
      <c r="P207" s="142"/>
      <c r="Q207" s="142"/>
      <c r="R207" s="143"/>
      <c r="S207" s="142"/>
      <c r="T207" s="142"/>
      <c r="U207" s="143"/>
      <c r="V207" s="142"/>
      <c r="W207" s="142"/>
      <c r="X207" s="143"/>
      <c r="Y207" s="142"/>
      <c r="Z207" s="142"/>
      <c r="AA207" s="143"/>
      <c r="AB207" s="142"/>
      <c r="AC207" s="142"/>
      <c r="AD207" s="143"/>
      <c r="AE207" s="142"/>
      <c r="AF207" s="142"/>
      <c r="AG207" s="143"/>
      <c r="AH207" s="142"/>
      <c r="AI207" s="142"/>
      <c r="AJ207" s="143"/>
      <c r="AK207" s="142"/>
      <c r="AL207" s="142"/>
      <c r="AM207" s="143"/>
      <c r="AN207" s="142"/>
      <c r="AO207" s="142"/>
      <c r="AP207" s="143"/>
      <c r="AQ207" s="142"/>
      <c r="AR207" s="142"/>
      <c r="AS207" s="143"/>
      <c r="AT207" s="142"/>
      <c r="AU207" s="142"/>
      <c r="AV207" s="143"/>
      <c r="AW207" s="142"/>
      <c r="AX207" s="142"/>
      <c r="AY207" s="143"/>
    </row>
    <row r="208" spans="1:51" s="17" customFormat="1" ht="12" customHeight="1" x14ac:dyDescent="0.2">
      <c r="A208" s="14"/>
      <c r="B208" s="16" t="s">
        <v>437</v>
      </c>
      <c r="C208" s="130"/>
      <c r="D208" s="142"/>
      <c r="E208" s="142"/>
      <c r="F208" s="143"/>
      <c r="G208" s="142"/>
      <c r="H208" s="142"/>
      <c r="I208" s="143"/>
      <c r="J208" s="142"/>
      <c r="K208" s="142"/>
      <c r="L208" s="143"/>
      <c r="M208" s="142"/>
      <c r="N208" s="142"/>
      <c r="O208" s="143"/>
      <c r="P208" s="142"/>
      <c r="Q208" s="142"/>
      <c r="R208" s="143"/>
      <c r="S208" s="142"/>
      <c r="T208" s="142"/>
      <c r="U208" s="143"/>
      <c r="V208" s="142"/>
      <c r="W208" s="142"/>
      <c r="X208" s="143"/>
      <c r="Y208" s="142"/>
      <c r="Z208" s="142"/>
      <c r="AA208" s="143"/>
      <c r="AB208" s="142"/>
      <c r="AC208" s="142"/>
      <c r="AD208" s="143"/>
      <c r="AE208" s="142"/>
      <c r="AF208" s="142"/>
      <c r="AG208" s="143"/>
      <c r="AH208" s="142"/>
      <c r="AI208" s="142"/>
      <c r="AJ208" s="143"/>
      <c r="AK208" s="142"/>
      <c r="AL208" s="142"/>
      <c r="AM208" s="143"/>
      <c r="AN208" s="142"/>
      <c r="AO208" s="142"/>
      <c r="AP208" s="143"/>
      <c r="AQ208" s="142"/>
      <c r="AR208" s="142"/>
      <c r="AS208" s="143"/>
      <c r="AT208" s="142"/>
      <c r="AU208" s="142"/>
      <c r="AV208" s="143"/>
      <c r="AW208" s="142"/>
      <c r="AX208" s="142"/>
      <c r="AY208" s="143"/>
    </row>
    <row r="209" spans="1:51" s="17" customFormat="1" ht="12" customHeight="1" x14ac:dyDescent="0.2">
      <c r="A209" s="14"/>
      <c r="B209" s="10" t="s">
        <v>413</v>
      </c>
      <c r="C209" s="130"/>
      <c r="D209" s="142"/>
      <c r="E209" s="142"/>
      <c r="F209" s="143"/>
      <c r="G209" s="142"/>
      <c r="H209" s="142"/>
      <c r="I209" s="143"/>
      <c r="J209" s="142"/>
      <c r="K209" s="142"/>
      <c r="L209" s="143"/>
      <c r="M209" s="142"/>
      <c r="N209" s="142"/>
      <c r="O209" s="143"/>
      <c r="P209" s="142"/>
      <c r="Q209" s="142"/>
      <c r="R209" s="143"/>
      <c r="S209" s="142"/>
      <c r="T209" s="142"/>
      <c r="U209" s="143"/>
      <c r="V209" s="142"/>
      <c r="W209" s="142"/>
      <c r="X209" s="143"/>
      <c r="Y209" s="142"/>
      <c r="Z209" s="142"/>
      <c r="AA209" s="143"/>
      <c r="AB209" s="142"/>
      <c r="AC209" s="142"/>
      <c r="AD209" s="143"/>
      <c r="AE209" s="142"/>
      <c r="AF209" s="142"/>
      <c r="AG209" s="143"/>
      <c r="AH209" s="142"/>
      <c r="AI209" s="142"/>
      <c r="AJ209" s="143"/>
      <c r="AK209" s="142"/>
      <c r="AL209" s="142"/>
      <c r="AM209" s="143"/>
      <c r="AN209" s="142"/>
      <c r="AO209" s="142"/>
      <c r="AP209" s="143"/>
      <c r="AQ209" s="142"/>
      <c r="AR209" s="142"/>
      <c r="AS209" s="143"/>
      <c r="AT209" s="142"/>
      <c r="AU209" s="142"/>
      <c r="AV209" s="143"/>
      <c r="AW209" s="142"/>
      <c r="AX209" s="142"/>
      <c r="AY209" s="143"/>
    </row>
    <row r="210" spans="1:51" ht="12" customHeight="1" x14ac:dyDescent="0.2">
      <c r="A210" s="138"/>
      <c r="B210" s="6" t="s">
        <v>554</v>
      </c>
      <c r="C210" s="215"/>
      <c r="D210" s="227"/>
      <c r="E210" s="227"/>
      <c r="F210" s="228"/>
      <c r="G210" s="227"/>
      <c r="H210" s="227"/>
      <c r="I210" s="132">
        <v>2.4910000000000001</v>
      </c>
      <c r="J210" s="227"/>
      <c r="K210" s="227"/>
      <c r="L210" s="241">
        <v>2.5</v>
      </c>
      <c r="M210" s="242">
        <v>1.5</v>
      </c>
      <c r="N210" s="243">
        <f>O210-M210</f>
        <v>4.5</v>
      </c>
      <c r="O210" s="244">
        <v>6</v>
      </c>
      <c r="P210" s="242">
        <v>5.6</v>
      </c>
      <c r="Q210" s="243">
        <f>R210-P210</f>
        <v>5.234</v>
      </c>
      <c r="R210" s="405">
        <v>10.834</v>
      </c>
      <c r="S210" s="404">
        <v>4.907</v>
      </c>
      <c r="T210" s="243">
        <f>U210-S210</f>
        <v>7.39900000000004</v>
      </c>
      <c r="U210" s="405">
        <f>1180.706-U66</f>
        <v>12.30600000000004</v>
      </c>
      <c r="V210" s="243">
        <f t="shared" ref="V210:W210" si="1003">+S210*(1+V222)</f>
        <v>7.6058500000000002</v>
      </c>
      <c r="W210" s="243">
        <f t="shared" si="1003"/>
        <v>7.768950000000042</v>
      </c>
      <c r="X210" s="245">
        <f t="shared" ref="X210:X211" si="1004">+W210+V210</f>
        <v>15.374800000000043</v>
      </c>
      <c r="Y210" s="243">
        <f t="shared" ref="Y210:Z210" si="1005">+V210*(1+Y222)</f>
        <v>9.77895</v>
      </c>
      <c r="Z210" s="243">
        <f t="shared" si="1005"/>
        <v>9.7111875000000527</v>
      </c>
      <c r="AA210" s="245">
        <f t="shared" ref="AA210:AA211" si="1006">+Z210+Y210</f>
        <v>19.490137500000053</v>
      </c>
      <c r="AB210" s="243">
        <f t="shared" ref="AB210:AC210" si="1007">+Y210*(1+AB222)</f>
        <v>11.408775</v>
      </c>
      <c r="AC210" s="243">
        <f t="shared" si="1007"/>
        <v>10.682306250000059</v>
      </c>
      <c r="AD210" s="245">
        <f t="shared" ref="AD210:AD211" si="1008">+AC210+AB210</f>
        <v>22.091081250000059</v>
      </c>
      <c r="AE210" s="243">
        <f t="shared" ref="AE210:AF210" si="1009">+AB210*(1+AE222)</f>
        <v>12.549652500000001</v>
      </c>
      <c r="AF210" s="243">
        <f t="shared" si="1009"/>
        <v>11.750536875000066</v>
      </c>
      <c r="AG210" s="245">
        <f t="shared" ref="AG210:AG211" si="1010">+AF210+AE210</f>
        <v>24.300189375000066</v>
      </c>
      <c r="AH210" s="243">
        <f t="shared" ref="AH210:AI210" si="1011">+AE210*(1+AH222)</f>
        <v>13.804617750000002</v>
      </c>
      <c r="AI210" s="243">
        <f t="shared" si="1011"/>
        <v>12.925590562500073</v>
      </c>
      <c r="AJ210" s="245">
        <f t="shared" ref="AJ210:AJ211" si="1012">+AI210+AH210</f>
        <v>26.730208312500075</v>
      </c>
      <c r="AK210" s="243">
        <f t="shared" ref="AK210" si="1013">+AH210*(1+AK222)</f>
        <v>15.185079525000003</v>
      </c>
      <c r="AL210" s="243">
        <f t="shared" ref="AL210" si="1014">+AI210*(1+AL222)</f>
        <v>14.218149618750081</v>
      </c>
      <c r="AM210" s="245">
        <f t="shared" ref="AM210:AM211" si="1015">+AL210+AK210</f>
        <v>29.403229143750082</v>
      </c>
      <c r="AN210" s="243">
        <f t="shared" ref="AN210" si="1016">+AK210*(1+AN222)</f>
        <v>16.703587477500005</v>
      </c>
      <c r="AO210" s="243">
        <f t="shared" ref="AO210" si="1017">+AL210*(1+AO222)</f>
        <v>15.63996458062509</v>
      </c>
      <c r="AP210" s="245">
        <f t="shared" ref="AP210:AP211" si="1018">+AO210+AN210</f>
        <v>32.343552058125098</v>
      </c>
      <c r="AQ210" s="243">
        <f t="shared" ref="AQ210" si="1019">+AN210*(1+AQ222)</f>
        <v>18.373946225250005</v>
      </c>
      <c r="AR210" s="243">
        <f t="shared" ref="AR210" si="1020">+AO210*(1+AR222)</f>
        <v>17.203961038687602</v>
      </c>
      <c r="AS210" s="245">
        <f t="shared" ref="AS210:AS211" si="1021">+AR210+AQ210</f>
        <v>35.577907263937604</v>
      </c>
      <c r="AT210" s="243">
        <f t="shared" ref="AT210" si="1022">+AQ210*(1+AT222)</f>
        <v>20.211340847775009</v>
      </c>
      <c r="AU210" s="243">
        <f t="shared" ref="AU210" si="1023">+AR210*(1+AU222)</f>
        <v>18.924357142556364</v>
      </c>
      <c r="AV210" s="245">
        <f t="shared" ref="AV210:AV211" si="1024">+AU210+AT210</f>
        <v>39.135697990331373</v>
      </c>
      <c r="AW210" s="243">
        <f t="shared" ref="AW210" si="1025">+AT210*(1+AW222)</f>
        <v>22.232474932552513</v>
      </c>
      <c r="AX210" s="243">
        <f t="shared" ref="AX210" si="1026">+AU210*(1+AX222)</f>
        <v>20.816792856812</v>
      </c>
      <c r="AY210" s="245">
        <f t="shared" ref="AY210:AY211" si="1027">+AX210+AW210</f>
        <v>43.049267789364514</v>
      </c>
    </row>
    <row r="211" spans="1:51" s="17" customFormat="1" ht="12" customHeight="1" x14ac:dyDescent="0.2">
      <c r="A211" s="138"/>
      <c r="B211" s="6" t="s">
        <v>438</v>
      </c>
      <c r="C211" s="269"/>
      <c r="D211" s="270"/>
      <c r="E211" s="270"/>
      <c r="F211" s="143"/>
      <c r="G211" s="270"/>
      <c r="H211" s="270"/>
      <c r="I211" s="143"/>
      <c r="J211" s="270"/>
      <c r="K211" s="270"/>
      <c r="L211" s="143">
        <f t="shared" ref="L211:Q211" si="1028">+L212-L210</f>
        <v>-2.9</v>
      </c>
      <c r="M211" s="142">
        <f t="shared" si="1028"/>
        <v>-1.7</v>
      </c>
      <c r="N211" s="142">
        <f t="shared" si="1028"/>
        <v>-5.0999999999999996</v>
      </c>
      <c r="O211" s="143">
        <f t="shared" si="1028"/>
        <v>-6.8</v>
      </c>
      <c r="P211" s="142">
        <f t="shared" si="1028"/>
        <v>-6.1</v>
      </c>
      <c r="Q211" s="142">
        <f t="shared" si="1028"/>
        <v>-5.734</v>
      </c>
      <c r="R211" s="143">
        <f>+R212-R210</f>
        <v>-11.834</v>
      </c>
      <c r="S211" s="142">
        <f t="shared" ref="S211:T211" si="1029">+S212-S210</f>
        <v>-6.226</v>
      </c>
      <c r="T211" s="142">
        <f t="shared" si="1029"/>
        <v>-11.182000000000041</v>
      </c>
      <c r="U211" s="143">
        <f>+U212-U210</f>
        <v>-17.40800000000004</v>
      </c>
      <c r="V211" s="142">
        <f t="shared" ref="V211:W211" si="1030">+V212-V210</f>
        <v>-11.408775</v>
      </c>
      <c r="W211" s="142">
        <f t="shared" si="1030"/>
        <v>-11.653425000000063</v>
      </c>
      <c r="X211" s="245">
        <f t="shared" si="1004"/>
        <v>-23.062200000000061</v>
      </c>
      <c r="Y211" s="142">
        <f t="shared" ref="Y211:Z211" si="1031">+Y212-Y210</f>
        <v>-14.179477500000001</v>
      </c>
      <c r="Z211" s="142">
        <f t="shared" si="1031"/>
        <v>-14.081221875000075</v>
      </c>
      <c r="AA211" s="245">
        <f t="shared" si="1006"/>
        <v>-28.260699375000076</v>
      </c>
      <c r="AB211" s="142">
        <f t="shared" ref="AB211:AC211" si="1032">+AB212-AB210</f>
        <v>-15.972284999999999</v>
      </c>
      <c r="AC211" s="142">
        <f t="shared" si="1032"/>
        <v>-14.955228750000082</v>
      </c>
      <c r="AD211" s="245">
        <f t="shared" si="1008"/>
        <v>-30.927513750000081</v>
      </c>
      <c r="AE211" s="142">
        <f t="shared" ref="AE211:AF211" si="1033">+AE212-AE210</f>
        <v>-17.569513499999999</v>
      </c>
      <c r="AF211" s="142">
        <f t="shared" si="1033"/>
        <v>-16.450751625000091</v>
      </c>
      <c r="AG211" s="245">
        <f t="shared" si="1010"/>
        <v>-34.020265125000094</v>
      </c>
      <c r="AH211" s="142">
        <f t="shared" ref="AH211:AI211" si="1034">+AH212-AH210</f>
        <v>-19.326464850000004</v>
      </c>
      <c r="AI211" s="142">
        <f t="shared" si="1034"/>
        <v>-18.095826787500101</v>
      </c>
      <c r="AJ211" s="245">
        <f t="shared" si="1012"/>
        <v>-37.422291637500109</v>
      </c>
      <c r="AK211" s="142">
        <f t="shared" ref="AK211:AL211" si="1035">+AK212-AK210</f>
        <v>-21.259111335000004</v>
      </c>
      <c r="AL211" s="142">
        <f t="shared" si="1035"/>
        <v>-19.905409466250113</v>
      </c>
      <c r="AM211" s="245">
        <f t="shared" si="1015"/>
        <v>-41.16452080125012</v>
      </c>
      <c r="AN211" s="142">
        <f t="shared" ref="AN211:AO211" si="1036">+AN212-AN210</f>
        <v>-23.385022468500008</v>
      </c>
      <c r="AO211" s="142">
        <f t="shared" si="1036"/>
        <v>-21.895950412875127</v>
      </c>
      <c r="AP211" s="245">
        <f t="shared" si="1018"/>
        <v>-45.280972881375135</v>
      </c>
      <c r="AQ211" s="142">
        <f t="shared" ref="AQ211:AR211" si="1037">+AQ212-AQ210</f>
        <v>-25.72352471535001</v>
      </c>
      <c r="AR211" s="142">
        <f t="shared" si="1037"/>
        <v>-24.085545454162641</v>
      </c>
      <c r="AS211" s="245">
        <f t="shared" si="1021"/>
        <v>-49.809070169512651</v>
      </c>
      <c r="AT211" s="142">
        <f t="shared" ref="AT211:AU211" si="1038">+AT212-AT210</f>
        <v>-28.295877186885015</v>
      </c>
      <c r="AU211" s="142">
        <f t="shared" si="1038"/>
        <v>-26.494099999578911</v>
      </c>
      <c r="AV211" s="245">
        <f t="shared" si="1024"/>
        <v>-54.789977186463929</v>
      </c>
      <c r="AW211" s="142">
        <f t="shared" ref="AW211:AX211" si="1039">+AW212-AW210</f>
        <v>-31.125464905573519</v>
      </c>
      <c r="AX211" s="142">
        <f t="shared" si="1039"/>
        <v>-29.143509999536803</v>
      </c>
      <c r="AY211" s="245">
        <f t="shared" si="1027"/>
        <v>-60.268974905110326</v>
      </c>
    </row>
    <row r="212" spans="1:51" s="17" customFormat="1" ht="12" customHeight="1" x14ac:dyDescent="0.2">
      <c r="A212" s="138"/>
      <c r="B212" s="161" t="s">
        <v>439</v>
      </c>
      <c r="C212" s="268"/>
      <c r="D212" s="233"/>
      <c r="E212" s="233"/>
      <c r="F212" s="154"/>
      <c r="G212" s="233"/>
      <c r="H212" s="233"/>
      <c r="I212" s="154"/>
      <c r="J212" s="162"/>
      <c r="K212" s="162"/>
      <c r="L212" s="154">
        <v>-0.4</v>
      </c>
      <c r="M212" s="303">
        <v>-0.2</v>
      </c>
      <c r="N212" s="47">
        <f>+O212-M212</f>
        <v>-0.60000000000000009</v>
      </c>
      <c r="O212" s="154">
        <v>-0.8</v>
      </c>
      <c r="P212" s="303">
        <v>-0.5</v>
      </c>
      <c r="Q212" s="47">
        <f>+R212-P212</f>
        <v>-0.5</v>
      </c>
      <c r="R212" s="304">
        <v>-1</v>
      </c>
      <c r="S212" s="303">
        <v>-1.319</v>
      </c>
      <c r="T212" s="47">
        <f>+U212-S212</f>
        <v>-3.7830000000000004</v>
      </c>
      <c r="U212" s="304">
        <v>-5.1020000000000003</v>
      </c>
      <c r="V212" s="168">
        <f t="shared" ref="V212:W212" si="1040">+V210*V229</f>
        <v>-3.8029250000000001</v>
      </c>
      <c r="W212" s="168">
        <f t="shared" si="1040"/>
        <v>-3.884475000000021</v>
      </c>
      <c r="X212" s="169">
        <f t="shared" ref="X212" si="1041">+X211+X210</f>
        <v>-7.687400000000018</v>
      </c>
      <c r="Y212" s="168">
        <f t="shared" ref="Y212:Z212" si="1042">+Y210*Y229</f>
        <v>-4.4005274999999999</v>
      </c>
      <c r="Z212" s="168">
        <f t="shared" si="1042"/>
        <v>-4.3700343750000235</v>
      </c>
      <c r="AA212" s="169">
        <f t="shared" ref="AA212" si="1043">+AA211+AA210</f>
        <v>-8.7705618750000234</v>
      </c>
      <c r="AB212" s="168">
        <f t="shared" ref="AB212:AC212" si="1044">+AB210*AB229</f>
        <v>-4.56351</v>
      </c>
      <c r="AC212" s="168">
        <f t="shared" si="1044"/>
        <v>-4.2729225000000239</v>
      </c>
      <c r="AD212" s="169">
        <f t="shared" ref="AD212" si="1045">+AD211+AD210</f>
        <v>-8.8364325000000221</v>
      </c>
      <c r="AE212" s="168">
        <f t="shared" ref="AE212:AF212" si="1046">+AE210*AE229</f>
        <v>-5.0198610000000006</v>
      </c>
      <c r="AF212" s="168">
        <f t="shared" si="1046"/>
        <v>-4.7002147500000264</v>
      </c>
      <c r="AG212" s="169">
        <f t="shared" ref="AG212" si="1047">+AG211+AG210</f>
        <v>-9.7200757500000279</v>
      </c>
      <c r="AH212" s="168">
        <f t="shared" ref="AH212:AI212" si="1048">+AH210*AH229</f>
        <v>-5.5218471000000013</v>
      </c>
      <c r="AI212" s="168">
        <f t="shared" si="1048"/>
        <v>-5.1702362250000293</v>
      </c>
      <c r="AJ212" s="169">
        <f t="shared" ref="AJ212" si="1049">+AJ211+AJ210</f>
        <v>-10.692083325000034</v>
      </c>
      <c r="AK212" s="168">
        <f t="shared" ref="AK212:AL212" si="1050">+AK210*AK229</f>
        <v>-6.074031810000001</v>
      </c>
      <c r="AL212" s="168">
        <f t="shared" si="1050"/>
        <v>-5.6872598475000329</v>
      </c>
      <c r="AM212" s="169">
        <f t="shared" ref="AM212" si="1051">+AM211+AM210</f>
        <v>-11.761291657500038</v>
      </c>
      <c r="AN212" s="168">
        <f t="shared" ref="AN212:AO212" si="1052">+AN210*AN229</f>
        <v>-6.6814349910000024</v>
      </c>
      <c r="AO212" s="168">
        <f t="shared" si="1052"/>
        <v>-6.2559858322500368</v>
      </c>
      <c r="AP212" s="169">
        <f t="shared" ref="AP212" si="1053">+AP211+AP210</f>
        <v>-12.937420823250037</v>
      </c>
      <c r="AQ212" s="168">
        <f t="shared" ref="AQ212:AR212" si="1054">+AQ210*AQ229</f>
        <v>-7.3495784901000025</v>
      </c>
      <c r="AR212" s="168">
        <f t="shared" si="1054"/>
        <v>-6.8815844154750412</v>
      </c>
      <c r="AS212" s="169">
        <f t="shared" ref="AS212" si="1055">+AS211+AS210</f>
        <v>-14.231162905575047</v>
      </c>
      <c r="AT212" s="168">
        <f t="shared" ref="AT212:AU212" si="1056">+AT210*AT229</f>
        <v>-8.084536339110004</v>
      </c>
      <c r="AU212" s="168">
        <f t="shared" si="1056"/>
        <v>-7.569742857022546</v>
      </c>
      <c r="AV212" s="169">
        <f t="shared" ref="AV212" si="1057">+AV211+AV210</f>
        <v>-15.654279196132556</v>
      </c>
      <c r="AW212" s="168">
        <f t="shared" ref="AW212:AX212" si="1058">+AW210*AW229</f>
        <v>-8.892989973021006</v>
      </c>
      <c r="AX212" s="168">
        <f t="shared" si="1058"/>
        <v>-8.3267171427248012</v>
      </c>
      <c r="AY212" s="169">
        <f t="shared" ref="AY212" si="1059">+AY211+AY210</f>
        <v>-17.219707115745813</v>
      </c>
    </row>
    <row r="213" spans="1:51" s="17" customFormat="1" ht="12" customHeight="1" x14ac:dyDescent="0.2">
      <c r="A213" s="138"/>
      <c r="B213" s="6" t="s">
        <v>423</v>
      </c>
      <c r="C213" s="269"/>
      <c r="D213" s="270"/>
      <c r="E213" s="270"/>
      <c r="F213" s="143"/>
      <c r="G213" s="270"/>
      <c r="H213" s="270"/>
      <c r="I213" s="132"/>
      <c r="J213" s="6"/>
      <c r="K213" s="6"/>
      <c r="L213" s="143">
        <f t="shared" ref="L213:Q213" si="1060">+L214-L212</f>
        <v>-2.5</v>
      </c>
      <c r="M213" s="142">
        <f t="shared" si="1060"/>
        <v>-1.5</v>
      </c>
      <c r="N213" s="142">
        <f t="shared" si="1060"/>
        <v>-1.996</v>
      </c>
      <c r="O213" s="143">
        <f t="shared" si="1060"/>
        <v>-3.4960000000000004</v>
      </c>
      <c r="P213" s="142">
        <f t="shared" si="1060"/>
        <v>-2.6</v>
      </c>
      <c r="Q213" s="142">
        <f t="shared" si="1060"/>
        <v>-2.9439999999999995</v>
      </c>
      <c r="R213" s="319">
        <f>+R214-R212</f>
        <v>-5.5439999999999996</v>
      </c>
      <c r="S213" s="142">
        <f t="shared" ref="S213:T213" si="1061">+S214-S212</f>
        <v>-3.6950000000000003</v>
      </c>
      <c r="T213" s="142">
        <f t="shared" si="1061"/>
        <v>-4.4270000000000005</v>
      </c>
      <c r="U213" s="319">
        <f>+U214-U212</f>
        <v>-8.1219999999999999</v>
      </c>
      <c r="V213" s="243">
        <f t="shared" ref="V213:W213" si="1062">+S213*(1+V226)</f>
        <v>-3.9721250000000001</v>
      </c>
      <c r="W213" s="243">
        <f t="shared" si="1062"/>
        <v>-4.7590250000000003</v>
      </c>
      <c r="X213" s="245">
        <f t="shared" ref="X213" si="1063">+W213+V213</f>
        <v>-8.7311499999999995</v>
      </c>
      <c r="Y213" s="243">
        <f t="shared" ref="Y213:Z213" si="1064">+V213*(1+Y226)</f>
        <v>-4.1707312500000002</v>
      </c>
      <c r="Z213" s="243">
        <f t="shared" si="1064"/>
        <v>-4.9969762500000003</v>
      </c>
      <c r="AA213" s="245">
        <f t="shared" ref="AA213" si="1065">+Z213+Y213</f>
        <v>-9.1677075000000006</v>
      </c>
      <c r="AB213" s="243">
        <f t="shared" ref="AB213:AC213" si="1066">+Y213*(1+AB226)</f>
        <v>-4.3792678125000002</v>
      </c>
      <c r="AC213" s="243">
        <f t="shared" si="1066"/>
        <v>-5.246825062500001</v>
      </c>
      <c r="AD213" s="245">
        <f t="shared" ref="AD213" si="1067">+AC213+AB213</f>
        <v>-9.6260928750000012</v>
      </c>
      <c r="AE213" s="243">
        <f t="shared" ref="AE213:AF213" si="1068">+AB213*(1+AE226)</f>
        <v>-4.5982312031250006</v>
      </c>
      <c r="AF213" s="243">
        <f t="shared" si="1068"/>
        <v>-5.5091663156250013</v>
      </c>
      <c r="AG213" s="245">
        <f t="shared" ref="AG213" si="1069">+AF213+AE213</f>
        <v>-10.107397518750002</v>
      </c>
      <c r="AH213" s="243">
        <f t="shared" ref="AH213:AI213" si="1070">+AE213*(1+AH226)</f>
        <v>-4.8281427632812504</v>
      </c>
      <c r="AI213" s="243">
        <f t="shared" si="1070"/>
        <v>-5.7846246314062517</v>
      </c>
      <c r="AJ213" s="245">
        <f t="shared" ref="AJ213" si="1071">+AI213+AH213</f>
        <v>-10.612767394687502</v>
      </c>
      <c r="AK213" s="243">
        <f t="shared" ref="AK213" si="1072">+AH213*(1+AK226)</f>
        <v>-5.0695499014453134</v>
      </c>
      <c r="AL213" s="243">
        <f t="shared" ref="AL213" si="1073">+AI213*(1+AL226)</f>
        <v>-6.0738558629765649</v>
      </c>
      <c r="AM213" s="245">
        <f t="shared" ref="AM213" si="1074">+AL213+AK213</f>
        <v>-11.143405764421878</v>
      </c>
      <c r="AN213" s="243">
        <f t="shared" ref="AN213" si="1075">+AK213*(1+AN226)</f>
        <v>-5.3230273965175794</v>
      </c>
      <c r="AO213" s="243">
        <f t="shared" ref="AO213" si="1076">+AL213*(1+AO226)</f>
        <v>-6.3775486561253931</v>
      </c>
      <c r="AP213" s="245">
        <f t="shared" ref="AP213" si="1077">+AO213+AN213</f>
        <v>-11.700576052642973</v>
      </c>
      <c r="AQ213" s="243">
        <f t="shared" ref="AQ213" si="1078">+AN213*(1+AQ226)</f>
        <v>-5.5891787663434584</v>
      </c>
      <c r="AR213" s="243">
        <f t="shared" ref="AR213" si="1079">+AO213*(1+AR226)</f>
        <v>-6.6964260889316627</v>
      </c>
      <c r="AS213" s="245">
        <f t="shared" ref="AS213" si="1080">+AR213+AQ213</f>
        <v>-12.285604855275121</v>
      </c>
      <c r="AT213" s="243">
        <f t="shared" ref="AT213" si="1081">+AQ213*(1+AT226)</f>
        <v>-5.8686377046606317</v>
      </c>
      <c r="AU213" s="243">
        <f t="shared" ref="AU213" si="1082">+AR213*(1+AU226)</f>
        <v>-7.031247393378246</v>
      </c>
      <c r="AV213" s="245">
        <f t="shared" ref="AV213" si="1083">+AU213+AT213</f>
        <v>-12.899885098038878</v>
      </c>
      <c r="AW213" s="243">
        <f t="shared" ref="AW213" si="1084">+AT213*(1+AW226)</f>
        <v>-6.1620695898936635</v>
      </c>
      <c r="AX213" s="243">
        <f t="shared" ref="AX213" si="1085">+AU213*(1+AX226)</f>
        <v>-7.3828097630471587</v>
      </c>
      <c r="AY213" s="245">
        <f t="shared" ref="AY213" si="1086">+AX213+AW213</f>
        <v>-13.544879352940821</v>
      </c>
    </row>
    <row r="214" spans="1:51" ht="12" customHeight="1" x14ac:dyDescent="0.2">
      <c r="A214" s="138"/>
      <c r="B214" s="216" t="s">
        <v>440</v>
      </c>
      <c r="C214" s="217"/>
      <c r="D214" s="173"/>
      <c r="E214" s="173"/>
      <c r="F214" s="170"/>
      <c r="G214" s="173"/>
      <c r="H214" s="173"/>
      <c r="I214" s="170"/>
      <c r="J214" s="173"/>
      <c r="K214" s="173"/>
      <c r="L214" s="320">
        <v>-2.9</v>
      </c>
      <c r="M214" s="321">
        <v>-1.7</v>
      </c>
      <c r="N214" s="173">
        <f>O214-M214</f>
        <v>-2.5960000000000001</v>
      </c>
      <c r="O214" s="320">
        <v>-4.2960000000000003</v>
      </c>
      <c r="P214" s="321">
        <v>-3.1</v>
      </c>
      <c r="Q214" s="173">
        <f>R214-P214</f>
        <v>-3.4439999999999995</v>
      </c>
      <c r="R214" s="320">
        <v>-6.5439999999999996</v>
      </c>
      <c r="S214" s="321">
        <v>-5.0140000000000002</v>
      </c>
      <c r="T214" s="173">
        <f>U214-S214</f>
        <v>-8.2100000000000009</v>
      </c>
      <c r="U214" s="320">
        <v>-13.224</v>
      </c>
      <c r="V214" s="173">
        <f t="shared" ref="V214:AJ214" si="1087">+V213+V212</f>
        <v>-7.7750500000000002</v>
      </c>
      <c r="W214" s="173">
        <f t="shared" si="1087"/>
        <v>-8.6435000000000208</v>
      </c>
      <c r="X214" s="415">
        <f t="shared" si="1087"/>
        <v>-16.418550000000018</v>
      </c>
      <c r="Y214" s="173">
        <f t="shared" si="1087"/>
        <v>-8.5712587500000001</v>
      </c>
      <c r="Z214" s="173">
        <f t="shared" si="1087"/>
        <v>-9.3670106250000238</v>
      </c>
      <c r="AA214" s="170">
        <f t="shared" si="1087"/>
        <v>-17.938269375000026</v>
      </c>
      <c r="AB214" s="173">
        <f t="shared" si="1087"/>
        <v>-8.942777812500001</v>
      </c>
      <c r="AC214" s="173">
        <f t="shared" si="1087"/>
        <v>-9.5197475625000259</v>
      </c>
      <c r="AD214" s="170">
        <f t="shared" si="1087"/>
        <v>-18.462525375000023</v>
      </c>
      <c r="AE214" s="173">
        <f t="shared" si="1087"/>
        <v>-9.618092203125002</v>
      </c>
      <c r="AF214" s="173">
        <f t="shared" si="1087"/>
        <v>-10.209381065625028</v>
      </c>
      <c r="AG214" s="170">
        <f t="shared" si="1087"/>
        <v>-19.82747326875003</v>
      </c>
      <c r="AH214" s="173">
        <f t="shared" si="1087"/>
        <v>-10.349989863281252</v>
      </c>
      <c r="AI214" s="173">
        <f t="shared" si="1087"/>
        <v>-10.954860856406281</v>
      </c>
      <c r="AJ214" s="170">
        <f t="shared" si="1087"/>
        <v>-21.304850719687536</v>
      </c>
      <c r="AK214" s="173">
        <f t="shared" ref="AK214:AM214" si="1088">+AK213+AK212</f>
        <v>-11.143581711445314</v>
      </c>
      <c r="AL214" s="173">
        <f t="shared" si="1088"/>
        <v>-11.761115710476599</v>
      </c>
      <c r="AM214" s="170">
        <f t="shared" si="1088"/>
        <v>-22.904697421921917</v>
      </c>
      <c r="AN214" s="173">
        <f t="shared" ref="AN214:AP214" si="1089">+AN213+AN212</f>
        <v>-12.004462387517581</v>
      </c>
      <c r="AO214" s="173">
        <f t="shared" si="1089"/>
        <v>-12.63353448837543</v>
      </c>
      <c r="AP214" s="170">
        <f t="shared" si="1089"/>
        <v>-24.637996875893009</v>
      </c>
      <c r="AQ214" s="173">
        <f t="shared" ref="AQ214:AS214" si="1090">+AQ213+AQ212</f>
        <v>-12.938757256443461</v>
      </c>
      <c r="AR214" s="173">
        <f t="shared" si="1090"/>
        <v>-13.578010504406704</v>
      </c>
      <c r="AS214" s="170">
        <f t="shared" si="1090"/>
        <v>-26.516767760850168</v>
      </c>
      <c r="AT214" s="173">
        <f t="shared" ref="AT214:AV214" si="1091">+AT213+AT212</f>
        <v>-13.953174043770636</v>
      </c>
      <c r="AU214" s="173">
        <f t="shared" si="1091"/>
        <v>-14.600990250400791</v>
      </c>
      <c r="AV214" s="170">
        <f t="shared" si="1091"/>
        <v>-28.554164294171436</v>
      </c>
      <c r="AW214" s="173">
        <f t="shared" ref="AW214:AY214" si="1092">+AW213+AW212</f>
        <v>-15.05505956291467</v>
      </c>
      <c r="AX214" s="173">
        <f t="shared" si="1092"/>
        <v>-15.709526905771959</v>
      </c>
      <c r="AY214" s="170">
        <f t="shared" si="1092"/>
        <v>-30.764586468686634</v>
      </c>
    </row>
    <row r="215" spans="1:51" s="17" customFormat="1" ht="12" customHeight="1" x14ac:dyDescent="0.2">
      <c r="A215" s="138"/>
      <c r="B215" s="6"/>
      <c r="C215" s="130"/>
      <c r="D215" s="142"/>
      <c r="E215" s="142"/>
      <c r="F215" s="143"/>
      <c r="G215" s="142"/>
      <c r="H215" s="142"/>
      <c r="I215" s="143"/>
      <c r="J215" s="142"/>
      <c r="K215" s="142"/>
      <c r="L215" s="143"/>
      <c r="M215" s="142"/>
      <c r="N215" s="142"/>
      <c r="O215" s="143"/>
      <c r="P215" s="142"/>
      <c r="Q215" s="142"/>
      <c r="R215" s="143"/>
      <c r="S215" s="142"/>
      <c r="T215" s="142"/>
      <c r="U215" s="143"/>
      <c r="V215" s="142"/>
      <c r="W215" s="142"/>
      <c r="X215" s="143"/>
      <c r="Y215" s="142"/>
      <c r="Z215" s="142"/>
      <c r="AA215" s="143"/>
      <c r="AB215" s="142"/>
      <c r="AC215" s="142"/>
      <c r="AD215" s="143"/>
      <c r="AE215" s="142"/>
      <c r="AF215" s="142"/>
      <c r="AG215" s="143"/>
      <c r="AH215" s="142"/>
      <c r="AI215" s="142"/>
      <c r="AJ215" s="143"/>
      <c r="AK215" s="142"/>
      <c r="AL215" s="142"/>
      <c r="AM215" s="143"/>
      <c r="AN215" s="142"/>
      <c r="AO215" s="142"/>
      <c r="AP215" s="143"/>
      <c r="AQ215" s="142"/>
      <c r="AR215" s="142"/>
      <c r="AS215" s="143"/>
      <c r="AT215" s="142"/>
      <c r="AU215" s="142"/>
      <c r="AV215" s="143"/>
      <c r="AW215" s="142"/>
      <c r="AX215" s="142"/>
      <c r="AY215" s="143"/>
    </row>
    <row r="216" spans="1:51" s="17" customFormat="1" ht="12" customHeight="1" x14ac:dyDescent="0.2">
      <c r="A216" s="138"/>
      <c r="B216" s="6" t="s">
        <v>436</v>
      </c>
      <c r="C216" s="130"/>
      <c r="D216" s="142"/>
      <c r="E216" s="142"/>
      <c r="F216" s="143"/>
      <c r="G216" s="142"/>
      <c r="H216" s="142"/>
      <c r="I216" s="143"/>
      <c r="J216" s="142"/>
      <c r="K216" s="142"/>
      <c r="L216" s="143">
        <f t="shared" ref="L216:Q216" si="1093">+L210</f>
        <v>2.5</v>
      </c>
      <c r="M216" s="142">
        <f t="shared" si="1093"/>
        <v>1.5</v>
      </c>
      <c r="N216" s="142">
        <f t="shared" si="1093"/>
        <v>4.5</v>
      </c>
      <c r="O216" s="143">
        <f t="shared" si="1093"/>
        <v>6</v>
      </c>
      <c r="P216" s="142">
        <f t="shared" si="1093"/>
        <v>5.6</v>
      </c>
      <c r="Q216" s="142">
        <f t="shared" si="1093"/>
        <v>5.234</v>
      </c>
      <c r="R216" s="143">
        <f>+R210</f>
        <v>10.834</v>
      </c>
      <c r="S216" s="404">
        <v>3.2320000000000002</v>
      </c>
      <c r="T216" s="142">
        <f t="shared" ref="T216" si="1094">+T210</f>
        <v>7.39900000000004</v>
      </c>
      <c r="U216" s="143">
        <f>+U210</f>
        <v>12.30600000000004</v>
      </c>
      <c r="V216" s="142">
        <f>+V210-V237</f>
        <v>6.435719230769231</v>
      </c>
      <c r="W216" s="142">
        <f>+W210-W237</f>
        <v>6.7330900000000362</v>
      </c>
      <c r="X216" s="143">
        <f>+W216+V216</f>
        <v>13.168809230769266</v>
      </c>
      <c r="Y216" s="142">
        <f t="shared" ref="Y216:Z216" si="1095">+Y210-Y237</f>
        <v>8.6284852941176471</v>
      </c>
      <c r="Z216" s="142">
        <f t="shared" si="1095"/>
        <v>8.6889572368421533</v>
      </c>
      <c r="AA216" s="143">
        <f t="shared" ref="AA216" si="1096">+Z216+Y216</f>
        <v>17.317442530959802</v>
      </c>
      <c r="AB216" s="142">
        <f t="shared" ref="AB216:AC216" si="1097">+AB210-AB237</f>
        <v>10.2678975</v>
      </c>
      <c r="AC216" s="142">
        <f t="shared" si="1097"/>
        <v>9.6140756250000532</v>
      </c>
      <c r="AD216" s="143">
        <f t="shared" ref="AD216" si="1098">+AC216+AB216</f>
        <v>19.881973125000052</v>
      </c>
      <c r="AE216" s="142">
        <f t="shared" ref="AE216:AF216" si="1099">+AE210-AE237</f>
        <v>11.294687250000001</v>
      </c>
      <c r="AF216" s="142">
        <f t="shared" si="1099"/>
        <v>10.575483187500058</v>
      </c>
      <c r="AG216" s="143">
        <f t="shared" ref="AG216" si="1100">+AF216+AE216</f>
        <v>21.870170437500057</v>
      </c>
      <c r="AH216" s="142">
        <f t="shared" ref="AH216:AI216" si="1101">+AH210-AH237</f>
        <v>12.424155975000001</v>
      </c>
      <c r="AI216" s="142">
        <f t="shared" si="1101"/>
        <v>11.633031506250065</v>
      </c>
      <c r="AJ216" s="143">
        <f t="shared" ref="AJ216" si="1102">+AI216+AH216</f>
        <v>24.057187481250068</v>
      </c>
      <c r="AK216" s="142">
        <f t="shared" ref="AK216:AL216" si="1103">+AK210-AK237</f>
        <v>13.666571572500002</v>
      </c>
      <c r="AL216" s="142">
        <f t="shared" si="1103"/>
        <v>12.796334656875073</v>
      </c>
      <c r="AM216" s="143">
        <f t="shared" ref="AM216" si="1104">+AL216+AK216</f>
        <v>26.462906229375076</v>
      </c>
      <c r="AN216" s="142">
        <f t="shared" ref="AN216:AO216" si="1105">+AN210-AN237</f>
        <v>15.033228729750004</v>
      </c>
      <c r="AO216" s="142">
        <f t="shared" si="1105"/>
        <v>14.075968122562582</v>
      </c>
      <c r="AP216" s="143">
        <f t="shared" ref="AP216" si="1106">+AO216+AN216</f>
        <v>29.109196852312586</v>
      </c>
      <c r="AQ216" s="142">
        <f t="shared" ref="AQ216:AR216" si="1107">+AQ210-AQ237</f>
        <v>16.536551602725005</v>
      </c>
      <c r="AR216" s="142">
        <f t="shared" si="1107"/>
        <v>15.483564934818842</v>
      </c>
      <c r="AS216" s="143">
        <f t="shared" ref="AS216" si="1108">+AR216+AQ216</f>
        <v>32.020116537543849</v>
      </c>
      <c r="AT216" s="142">
        <f t="shared" ref="AT216:AU216" si="1109">+AT210-AT237</f>
        <v>18.190206762997509</v>
      </c>
      <c r="AU216" s="142">
        <f t="shared" si="1109"/>
        <v>17.031921428300727</v>
      </c>
      <c r="AV216" s="143">
        <f t="shared" ref="AV216" si="1110">+AU216+AT216</f>
        <v>35.222128191298239</v>
      </c>
      <c r="AW216" s="142">
        <f t="shared" ref="AW216:AX216" si="1111">+AW210-AW237</f>
        <v>20.009227439297263</v>
      </c>
      <c r="AX216" s="142">
        <f t="shared" si="1111"/>
        <v>18.7351135711308</v>
      </c>
      <c r="AY216" s="143">
        <f t="shared" ref="AY216" si="1112">+AX216+AW216</f>
        <v>38.744341010428059</v>
      </c>
    </row>
    <row r="217" spans="1:51" s="412" customFormat="1" ht="12" customHeight="1" x14ac:dyDescent="0.2">
      <c r="B217" s="413" t="s">
        <v>555</v>
      </c>
      <c r="C217" s="414"/>
      <c r="D217" s="410"/>
      <c r="E217" s="410"/>
      <c r="F217" s="272"/>
      <c r="G217" s="410"/>
      <c r="H217" s="410"/>
      <c r="I217" s="272"/>
      <c r="J217" s="410"/>
      <c r="K217" s="410"/>
      <c r="L217" s="272">
        <f>+L216/L210</f>
        <v>1</v>
      </c>
      <c r="M217" s="410">
        <f t="shared" ref="M217:X217" si="1113">+M216/M210</f>
        <v>1</v>
      </c>
      <c r="N217" s="410">
        <f t="shared" si="1113"/>
        <v>1</v>
      </c>
      <c r="O217" s="272">
        <f t="shared" si="1113"/>
        <v>1</v>
      </c>
      <c r="P217" s="410">
        <f t="shared" si="1113"/>
        <v>1</v>
      </c>
      <c r="Q217" s="410">
        <f t="shared" si="1113"/>
        <v>1</v>
      </c>
      <c r="R217" s="272">
        <f t="shared" si="1113"/>
        <v>1</v>
      </c>
      <c r="S217" s="410">
        <f t="shared" si="1113"/>
        <v>0.65865090686773997</v>
      </c>
      <c r="T217" s="410">
        <f t="shared" ref="T217:U217" si="1114">+T216/T210</f>
        <v>1</v>
      </c>
      <c r="U217" s="272">
        <f t="shared" si="1114"/>
        <v>1</v>
      </c>
      <c r="V217" s="410">
        <f t="shared" si="1113"/>
        <v>0.84615384615384615</v>
      </c>
      <c r="W217" s="410">
        <f t="shared" si="1113"/>
        <v>0.8666666666666667</v>
      </c>
      <c r="X217" s="272">
        <f t="shared" si="1113"/>
        <v>0.8565190591597438</v>
      </c>
      <c r="Y217" s="410">
        <f t="shared" ref="Y217" si="1115">+Y216/Y210</f>
        <v>0.88235294117647056</v>
      </c>
      <c r="Z217" s="410">
        <f t="shared" ref="Z217" si="1116">+Z216/Z210</f>
        <v>0.89473684210526327</v>
      </c>
      <c r="AA217" s="272">
        <f t="shared" ref="AA217" si="1117">+AA216/AA210</f>
        <v>0.88852336372484575</v>
      </c>
      <c r="AB217" s="410">
        <f t="shared" ref="AB217" si="1118">+AB216/AB210</f>
        <v>0.9</v>
      </c>
      <c r="AC217" s="410">
        <f t="shared" ref="AC217" si="1119">+AC216/AC210</f>
        <v>0.9</v>
      </c>
      <c r="AD217" s="272">
        <f t="shared" ref="AD217" si="1120">+AD216/AD210</f>
        <v>0.89999999999999991</v>
      </c>
      <c r="AE217" s="410">
        <f t="shared" ref="AE217" si="1121">+AE216/AE210</f>
        <v>0.9</v>
      </c>
      <c r="AF217" s="410">
        <f t="shared" ref="AF217" si="1122">+AF216/AF210</f>
        <v>0.89999999999999991</v>
      </c>
      <c r="AG217" s="272">
        <f t="shared" ref="AG217" si="1123">+AG216/AG210</f>
        <v>0.89999999999999991</v>
      </c>
      <c r="AH217" s="410">
        <f t="shared" ref="AH217" si="1124">+AH216/AH210</f>
        <v>0.9</v>
      </c>
      <c r="AI217" s="410">
        <f t="shared" ref="AI217" si="1125">+AI216/AI210</f>
        <v>0.89999999999999991</v>
      </c>
      <c r="AJ217" s="272">
        <f t="shared" ref="AJ217" si="1126">+AJ216/AJ210</f>
        <v>0.9</v>
      </c>
      <c r="AK217" s="410">
        <f t="shared" ref="AK217" si="1127">+AK216/AK210</f>
        <v>0.9</v>
      </c>
      <c r="AL217" s="410">
        <f t="shared" ref="AL217" si="1128">+AL216/AL210</f>
        <v>0.9</v>
      </c>
      <c r="AM217" s="272">
        <f t="shared" ref="AM217" si="1129">+AM216/AM210</f>
        <v>0.9</v>
      </c>
      <c r="AN217" s="410">
        <f t="shared" ref="AN217" si="1130">+AN216/AN210</f>
        <v>0.9</v>
      </c>
      <c r="AO217" s="410">
        <f t="shared" ref="AO217" si="1131">+AO216/AO210</f>
        <v>0.9</v>
      </c>
      <c r="AP217" s="272">
        <f t="shared" ref="AP217" si="1132">+AP216/AP210</f>
        <v>0.89999999999999991</v>
      </c>
      <c r="AQ217" s="410">
        <f t="shared" ref="AQ217" si="1133">+AQ216/AQ210</f>
        <v>0.9</v>
      </c>
      <c r="AR217" s="410">
        <f t="shared" ref="AR217" si="1134">+AR216/AR210</f>
        <v>0.9</v>
      </c>
      <c r="AS217" s="272">
        <f t="shared" ref="AS217" si="1135">+AS216/AS210</f>
        <v>0.90000000000000013</v>
      </c>
      <c r="AT217" s="410">
        <f t="shared" ref="AT217" si="1136">+AT216/AT210</f>
        <v>0.9</v>
      </c>
      <c r="AU217" s="410">
        <f t="shared" ref="AU217" si="1137">+AU216/AU210</f>
        <v>0.9</v>
      </c>
      <c r="AV217" s="272">
        <f t="shared" ref="AV217" si="1138">+AV216/AV210</f>
        <v>0.90000000000000013</v>
      </c>
      <c r="AW217" s="410">
        <f t="shared" ref="AW217" si="1139">+AW216/AW210</f>
        <v>0.9</v>
      </c>
      <c r="AX217" s="410">
        <f t="shared" ref="AX217" si="1140">+AX216/AX210</f>
        <v>0.89999999999999991</v>
      </c>
      <c r="AY217" s="272">
        <f t="shared" ref="AY217" si="1141">+AY216/AY210</f>
        <v>0.89999999999999991</v>
      </c>
    </row>
    <row r="218" spans="1:51" s="17" customFormat="1" ht="12" customHeight="1" x14ac:dyDescent="0.2">
      <c r="A218" s="138"/>
      <c r="B218" s="6"/>
      <c r="C218" s="130"/>
      <c r="D218" s="142"/>
      <c r="E218" s="142"/>
      <c r="F218" s="143"/>
      <c r="G218" s="142"/>
      <c r="H218" s="142"/>
      <c r="I218" s="143"/>
      <c r="J218" s="142"/>
      <c r="K218" s="142"/>
      <c r="L218" s="143"/>
      <c r="M218" s="142"/>
      <c r="N218" s="142"/>
      <c r="O218" s="143"/>
      <c r="P218" s="142"/>
      <c r="Q218" s="142"/>
      <c r="R218" s="143"/>
      <c r="S218" s="142"/>
      <c r="T218" s="142"/>
      <c r="U218" s="143"/>
      <c r="V218" s="142"/>
      <c r="W218" s="142"/>
      <c r="X218" s="143"/>
      <c r="Y218" s="142"/>
      <c r="Z218" s="142"/>
      <c r="AA218" s="143"/>
      <c r="AB218" s="142"/>
      <c r="AC218" s="142"/>
      <c r="AD218" s="143"/>
      <c r="AE218" s="142"/>
      <c r="AF218" s="142"/>
      <c r="AG218" s="143"/>
      <c r="AH218" s="142"/>
      <c r="AI218" s="142"/>
      <c r="AJ218" s="143"/>
      <c r="AK218" s="142"/>
      <c r="AL218" s="142"/>
      <c r="AM218" s="143"/>
      <c r="AN218" s="142"/>
      <c r="AO218" s="142"/>
      <c r="AP218" s="143"/>
      <c r="AQ218" s="142"/>
      <c r="AR218" s="142"/>
      <c r="AS218" s="143"/>
      <c r="AT218" s="142"/>
      <c r="AU218" s="142"/>
      <c r="AV218" s="143"/>
      <c r="AW218" s="142"/>
      <c r="AX218" s="142"/>
      <c r="AY218" s="143"/>
    </row>
    <row r="219" spans="1:51" s="17" customFormat="1" ht="12" customHeight="1" x14ac:dyDescent="0.2">
      <c r="A219" s="14"/>
      <c r="B219" s="10" t="s">
        <v>450</v>
      </c>
      <c r="C219" s="130"/>
      <c r="D219" s="142"/>
      <c r="E219" s="142"/>
      <c r="F219" s="143"/>
      <c r="G219" s="142"/>
      <c r="H219" s="142"/>
      <c r="I219" s="143"/>
      <c r="J219" s="142"/>
      <c r="K219" s="142"/>
      <c r="L219" s="143"/>
      <c r="M219" s="142"/>
      <c r="N219" s="142"/>
      <c r="O219" s="143"/>
      <c r="P219" s="142"/>
      <c r="Q219" s="142"/>
      <c r="R219" s="143"/>
      <c r="S219" s="142"/>
      <c r="T219" s="142"/>
      <c r="U219" s="143"/>
      <c r="V219" s="142"/>
      <c r="W219" s="142"/>
      <c r="X219" s="143"/>
      <c r="Y219" s="142"/>
      <c r="Z219" s="142"/>
      <c r="AA219" s="143"/>
      <c r="AB219" s="142"/>
      <c r="AC219" s="142"/>
      <c r="AD219" s="143"/>
      <c r="AE219" s="142"/>
      <c r="AF219" s="142"/>
      <c r="AG219" s="143"/>
      <c r="AH219" s="142"/>
      <c r="AI219" s="142"/>
      <c r="AJ219" s="143"/>
      <c r="AK219" s="142"/>
      <c r="AL219" s="142"/>
      <c r="AM219" s="143"/>
      <c r="AN219" s="142"/>
      <c r="AO219" s="142"/>
      <c r="AP219" s="143"/>
      <c r="AQ219" s="142"/>
      <c r="AR219" s="142"/>
      <c r="AS219" s="143"/>
      <c r="AT219" s="142"/>
      <c r="AU219" s="142"/>
      <c r="AV219" s="143"/>
      <c r="AW219" s="142"/>
      <c r="AX219" s="142"/>
      <c r="AY219" s="143"/>
    </row>
    <row r="220" spans="1:51" s="194" customFormat="1" ht="12" customHeight="1" x14ac:dyDescent="0.2">
      <c r="A220" s="190"/>
      <c r="B220" s="149" t="s">
        <v>441</v>
      </c>
      <c r="C220" s="131"/>
      <c r="D220" s="191"/>
      <c r="E220" s="191"/>
      <c r="F220" s="271"/>
      <c r="G220" s="191"/>
      <c r="H220" s="191"/>
      <c r="I220" s="271"/>
      <c r="J220" s="191"/>
      <c r="K220" s="191"/>
      <c r="L220" s="271"/>
      <c r="M220" s="191"/>
      <c r="N220" s="191"/>
      <c r="O220" s="271"/>
      <c r="P220" s="191"/>
      <c r="Q220" s="191"/>
      <c r="R220" s="271"/>
      <c r="S220" s="191"/>
      <c r="T220" s="191"/>
      <c r="U220" s="271"/>
      <c r="V220" s="191"/>
      <c r="W220" s="191"/>
      <c r="X220" s="271"/>
      <c r="Y220" s="191"/>
      <c r="Z220" s="191"/>
      <c r="AA220" s="271"/>
      <c r="AB220" s="191"/>
      <c r="AC220" s="191"/>
      <c r="AD220" s="271"/>
      <c r="AE220" s="191"/>
      <c r="AF220" s="191"/>
      <c r="AG220" s="271"/>
      <c r="AH220" s="191"/>
      <c r="AI220" s="191"/>
      <c r="AJ220" s="271"/>
      <c r="AK220" s="191"/>
      <c r="AL220" s="191"/>
      <c r="AM220" s="271"/>
      <c r="AN220" s="191"/>
      <c r="AO220" s="191"/>
      <c r="AP220" s="271"/>
      <c r="AQ220" s="191"/>
      <c r="AR220" s="191"/>
      <c r="AS220" s="271"/>
      <c r="AT220" s="191"/>
      <c r="AU220" s="191"/>
      <c r="AV220" s="271"/>
      <c r="AW220" s="191"/>
      <c r="AX220" s="191"/>
      <c r="AY220" s="271"/>
    </row>
    <row r="221" spans="1:51" s="194" customFormat="1" ht="12" customHeight="1" x14ac:dyDescent="0.2">
      <c r="A221" s="190"/>
      <c r="B221" s="149" t="s">
        <v>442</v>
      </c>
      <c r="C221" s="131"/>
      <c r="D221" s="191"/>
      <c r="E221" s="191"/>
      <c r="F221" s="271"/>
      <c r="G221" s="191"/>
      <c r="H221" s="191"/>
      <c r="I221" s="271"/>
      <c r="J221" s="191"/>
      <c r="K221" s="191"/>
      <c r="L221" s="271"/>
      <c r="M221" s="191"/>
      <c r="N221" s="191"/>
      <c r="O221" s="271"/>
      <c r="P221" s="191"/>
      <c r="Q221" s="191"/>
      <c r="R221" s="271"/>
      <c r="S221" s="191"/>
      <c r="T221" s="191"/>
      <c r="U221" s="271"/>
      <c r="V221" s="291">
        <f>(0.5*V235+T235+0.5*S235)/S234</f>
        <v>0.625</v>
      </c>
      <c r="W221" s="291">
        <f>(0.5*W235+V235+0.5*T235)/T234</f>
        <v>0.41666666666666669</v>
      </c>
      <c r="X221" s="292">
        <f t="shared" ref="X221" si="1142">AVERAGE(V221:W221)</f>
        <v>0.52083333333333337</v>
      </c>
      <c r="Y221" s="291">
        <f>(0.5*Y235+W235+0.5*V235)/V234</f>
        <v>0.2857142857142857</v>
      </c>
      <c r="Z221" s="291">
        <f>(0.5*Z235+Y235+0.5*W235)/W234</f>
        <v>0.25</v>
      </c>
      <c r="AA221" s="292">
        <f t="shared" ref="AA221" si="1143">AVERAGE(Y221:Z221)</f>
        <v>0.26785714285714285</v>
      </c>
      <c r="AB221" s="291">
        <f>(0.5*AB235+Z235+0.5*Y235)/Y234</f>
        <v>0.16666666666666666</v>
      </c>
      <c r="AC221" s="291">
        <f>(0.5*AC235+AB235+0.5*Z235)/Z234</f>
        <v>0.05</v>
      </c>
      <c r="AD221" s="292">
        <f t="shared" ref="AD221" si="1144">AVERAGE(AB221:AC221)</f>
        <v>0.10833333333333334</v>
      </c>
      <c r="AE221" s="291">
        <f>(0.5*AE235+AC235+0.5*AB235)/AB234</f>
        <v>0</v>
      </c>
      <c r="AF221" s="291">
        <f>(0.5*AF235+AE235+0.5*AC235)/AC234</f>
        <v>0</v>
      </c>
      <c r="AG221" s="292">
        <f t="shared" ref="AG221" si="1145">AVERAGE(AE221:AF221)</f>
        <v>0</v>
      </c>
      <c r="AH221" s="291">
        <f>(0.5*AH235+AF235+0.5*AE235)/AE234</f>
        <v>0</v>
      </c>
      <c r="AI221" s="291">
        <f>(0.5*AI235+AH235+0.5*AF235)/AF234</f>
        <v>0</v>
      </c>
      <c r="AJ221" s="292">
        <f t="shared" ref="AJ221" si="1146">AVERAGE(AH221:AI221)</f>
        <v>0</v>
      </c>
      <c r="AK221" s="291">
        <f>(0.5*AK235+AI235+0.5*AH235)/AH234</f>
        <v>0</v>
      </c>
      <c r="AL221" s="291">
        <f>(0.5*AL235+AK235+0.5*AI235)/AI234</f>
        <v>0</v>
      </c>
      <c r="AM221" s="292">
        <f t="shared" ref="AM221" si="1147">AVERAGE(AK221:AL221)</f>
        <v>0</v>
      </c>
      <c r="AN221" s="291">
        <f>(0.5*AN235+AL235+0.5*AK235)/AK234</f>
        <v>0</v>
      </c>
      <c r="AO221" s="291">
        <f>(0.5*AO235+AN235+0.5*AL235)/AL234</f>
        <v>0</v>
      </c>
      <c r="AP221" s="292">
        <f t="shared" ref="AP221" si="1148">AVERAGE(AN221:AO221)</f>
        <v>0</v>
      </c>
      <c r="AQ221" s="291">
        <f>(0.5*AQ235+AO235+0.5*AN235)/AN234</f>
        <v>0</v>
      </c>
      <c r="AR221" s="291">
        <f>(0.5*AR235+AQ235+0.5*AO235)/AO234</f>
        <v>0</v>
      </c>
      <c r="AS221" s="292">
        <f t="shared" ref="AS221" si="1149">AVERAGE(AQ221:AR221)</f>
        <v>0</v>
      </c>
      <c r="AT221" s="291">
        <f>(0.5*AT235+AR235+0.5*AQ235)/AQ234</f>
        <v>0</v>
      </c>
      <c r="AU221" s="291">
        <f>(0.5*AU235+AT235+0.5*AR235)/AR234</f>
        <v>0</v>
      </c>
      <c r="AV221" s="292">
        <f t="shared" ref="AV221" si="1150">AVERAGE(AT221:AU221)</f>
        <v>0</v>
      </c>
      <c r="AW221" s="291">
        <f>(0.5*AW235+AU235+0.5*AT235)/AT234</f>
        <v>0</v>
      </c>
      <c r="AX221" s="291">
        <f>(0.5*AX235+AW235+0.5*AU235)/AU234</f>
        <v>0</v>
      </c>
      <c r="AY221" s="292">
        <f t="shared" ref="AY221" si="1151">AVERAGE(AW221:AX221)</f>
        <v>0</v>
      </c>
    </row>
    <row r="222" spans="1:51" s="274" customFormat="1" ht="12" customHeight="1" x14ac:dyDescent="0.2">
      <c r="B222" s="315" t="s">
        <v>443</v>
      </c>
      <c r="C222" s="333"/>
      <c r="D222" s="334"/>
      <c r="E222" s="334"/>
      <c r="F222" s="335"/>
      <c r="G222" s="334"/>
      <c r="H222" s="334"/>
      <c r="I222" s="335"/>
      <c r="J222" s="334"/>
      <c r="K222" s="334"/>
      <c r="L222" s="335"/>
      <c r="M222" s="336"/>
      <c r="N222" s="336"/>
      <c r="O222" s="335">
        <f t="shared" ref="O222:S222" si="1152">O210/L210-1</f>
        <v>1.4</v>
      </c>
      <c r="P222" s="336">
        <f t="shared" si="1152"/>
        <v>2.7333333333333329</v>
      </c>
      <c r="Q222" s="336">
        <f t="shared" si="1152"/>
        <v>0.16311111111111121</v>
      </c>
      <c r="R222" s="335">
        <f>R210/O210-1</f>
        <v>0.80566666666666653</v>
      </c>
      <c r="S222" s="336">
        <f t="shared" si="1152"/>
        <v>-0.12374999999999992</v>
      </c>
      <c r="T222" s="336">
        <f t="shared" ref="T222" si="1153">T210/Q210-1</f>
        <v>0.41364157432175008</v>
      </c>
      <c r="U222" s="335">
        <f>U210/R210-1</f>
        <v>0.1358685619346538</v>
      </c>
      <c r="V222" s="337">
        <v>0.55000000000000004</v>
      </c>
      <c r="W222" s="337">
        <v>0.05</v>
      </c>
      <c r="X222" s="335">
        <f>X210/U210-1</f>
        <v>0.24937428896473213</v>
      </c>
      <c r="Y222" s="337">
        <f>+Y221</f>
        <v>0.2857142857142857</v>
      </c>
      <c r="Z222" s="337">
        <f>+Z221</f>
        <v>0.25</v>
      </c>
      <c r="AA222" s="335">
        <f>AA210/X210-1</f>
        <v>0.26766770949865992</v>
      </c>
      <c r="AB222" s="337">
        <f>+AB221</f>
        <v>0.16666666666666666</v>
      </c>
      <c r="AC222" s="337">
        <v>0.1</v>
      </c>
      <c r="AD222" s="335">
        <f>AD210/AA210-1</f>
        <v>0.13344922528124803</v>
      </c>
      <c r="AE222" s="337">
        <v>0.1</v>
      </c>
      <c r="AF222" s="337">
        <v>0.1</v>
      </c>
      <c r="AG222" s="335">
        <f>AG210/AD210-1</f>
        <v>0.10000000000000009</v>
      </c>
      <c r="AH222" s="337">
        <v>0.1</v>
      </c>
      <c r="AI222" s="337">
        <v>0.1</v>
      </c>
      <c r="AJ222" s="335">
        <f>AJ210/AG210-1</f>
        <v>0.10000000000000009</v>
      </c>
      <c r="AK222" s="337">
        <v>0.1</v>
      </c>
      <c r="AL222" s="337">
        <v>0.1</v>
      </c>
      <c r="AM222" s="335">
        <f>AM210/AJ210-1</f>
        <v>9.9999999999999867E-2</v>
      </c>
      <c r="AN222" s="337">
        <v>0.1</v>
      </c>
      <c r="AO222" s="337">
        <v>0.1</v>
      </c>
      <c r="AP222" s="335">
        <f>AP210/AM210-1</f>
        <v>0.10000000000000031</v>
      </c>
      <c r="AQ222" s="337">
        <v>0.1</v>
      </c>
      <c r="AR222" s="337">
        <v>0.1</v>
      </c>
      <c r="AS222" s="335">
        <f>AS210/AP210-1</f>
        <v>9.9999999999999867E-2</v>
      </c>
      <c r="AT222" s="337">
        <v>0.1</v>
      </c>
      <c r="AU222" s="337">
        <v>0.1</v>
      </c>
      <c r="AV222" s="335">
        <f>AV210/AS210-1</f>
        <v>0.10000000000000031</v>
      </c>
      <c r="AW222" s="337">
        <v>0.1</v>
      </c>
      <c r="AX222" s="337">
        <v>0.1</v>
      </c>
      <c r="AY222" s="335">
        <f>AY210/AV210-1</f>
        <v>0.10000000000000009</v>
      </c>
    </row>
    <row r="223" spans="1:51" s="194" customFormat="1" ht="12" customHeight="1" x14ac:dyDescent="0.2">
      <c r="A223" s="190"/>
      <c r="B223" s="8"/>
      <c r="C223" s="131"/>
      <c r="D223" s="191"/>
      <c r="E223" s="191"/>
      <c r="F223" s="271"/>
      <c r="G223" s="191"/>
      <c r="H223" s="191"/>
      <c r="I223" s="271"/>
      <c r="J223" s="191"/>
      <c r="K223" s="191"/>
      <c r="L223" s="271"/>
      <c r="M223" s="191"/>
      <c r="N223" s="191"/>
      <c r="O223" s="271"/>
      <c r="P223" s="191"/>
      <c r="Q223" s="191"/>
      <c r="R223" s="271"/>
      <c r="S223" s="191"/>
      <c r="T223" s="191"/>
      <c r="U223" s="271"/>
      <c r="V223" s="191"/>
      <c r="W223" s="191"/>
      <c r="X223" s="271"/>
      <c r="Y223" s="191"/>
      <c r="Z223" s="191"/>
      <c r="AA223" s="271"/>
      <c r="AB223" s="191"/>
      <c r="AC223" s="191"/>
      <c r="AD223" s="271"/>
      <c r="AE223" s="191"/>
      <c r="AF223" s="191"/>
      <c r="AG223" s="271"/>
      <c r="AH223" s="191"/>
      <c r="AI223" s="191"/>
      <c r="AJ223" s="271"/>
      <c r="AK223" s="191"/>
      <c r="AL223" s="191"/>
      <c r="AM223" s="271"/>
      <c r="AN223" s="191"/>
      <c r="AO223" s="191"/>
      <c r="AP223" s="271"/>
      <c r="AQ223" s="191"/>
      <c r="AR223" s="191"/>
      <c r="AS223" s="271"/>
      <c r="AT223" s="191"/>
      <c r="AU223" s="191"/>
      <c r="AV223" s="271"/>
      <c r="AW223" s="191"/>
      <c r="AX223" s="191"/>
      <c r="AY223" s="271"/>
    </row>
    <row r="224" spans="1:51" s="194" customFormat="1" ht="12" customHeight="1" x14ac:dyDescent="0.2">
      <c r="A224" s="190"/>
      <c r="B224" s="8" t="s">
        <v>447</v>
      </c>
      <c r="C224" s="131"/>
      <c r="D224" s="191"/>
      <c r="E224" s="191"/>
      <c r="F224" s="271"/>
      <c r="G224" s="191"/>
      <c r="H224" s="191"/>
      <c r="I224" s="271"/>
      <c r="J224" s="191"/>
      <c r="K224" s="191"/>
      <c r="L224" s="271"/>
      <c r="M224" s="191"/>
      <c r="N224" s="191"/>
      <c r="O224" s="193">
        <f t="shared" ref="O224:X225" si="1154">+O211/L211-1</f>
        <v>1.3448275862068964</v>
      </c>
      <c r="P224" s="222">
        <f t="shared" si="1154"/>
        <v>2.5882352941176467</v>
      </c>
      <c r="Q224" s="222">
        <f t="shared" si="1154"/>
        <v>0.12431372549019626</v>
      </c>
      <c r="R224" s="193">
        <f t="shared" si="1154"/>
        <v>0.74029411764705877</v>
      </c>
      <c r="S224" s="222">
        <f t="shared" si="1154"/>
        <v>2.0655737704918131E-2</v>
      </c>
      <c r="T224" s="222">
        <f t="shared" ref="T224:T227" si="1155">+T211/Q211-1</f>
        <v>0.95012207882805044</v>
      </c>
      <c r="U224" s="193">
        <f t="shared" ref="U224:U227" si="1156">+U211/R211-1</f>
        <v>0.47101571742437387</v>
      </c>
      <c r="V224" s="222">
        <f t="shared" si="1154"/>
        <v>0.83244057179569553</v>
      </c>
      <c r="W224" s="222">
        <f t="shared" si="1154"/>
        <v>4.2159273832947486E-2</v>
      </c>
      <c r="X224" s="193">
        <f t="shared" si="1154"/>
        <v>0.32480468750000036</v>
      </c>
      <c r="Y224" s="222">
        <f t="shared" ref="Y224:AH225" si="1157">+Y211/V211-1</f>
        <v>0.24285714285714288</v>
      </c>
      <c r="Z224" s="222">
        <f t="shared" si="1157"/>
        <v>0.20833333333333326</v>
      </c>
      <c r="AA224" s="193">
        <f t="shared" si="1157"/>
        <v>0.22541211918203818</v>
      </c>
      <c r="AB224" s="222">
        <f t="shared" si="1157"/>
        <v>0.12643678160919536</v>
      </c>
      <c r="AC224" s="222">
        <f t="shared" si="1157"/>
        <v>6.2068965517241503E-2</v>
      </c>
      <c r="AD224" s="193">
        <f t="shared" si="1157"/>
        <v>9.4364769237067048E-2</v>
      </c>
      <c r="AE224" s="222">
        <f t="shared" si="1157"/>
        <v>0.10000000000000009</v>
      </c>
      <c r="AF224" s="222">
        <f t="shared" si="1157"/>
        <v>0.10000000000000009</v>
      </c>
      <c r="AG224" s="193">
        <f t="shared" si="1157"/>
        <v>0.10000000000000009</v>
      </c>
      <c r="AH224" s="222">
        <f t="shared" si="1157"/>
        <v>0.10000000000000031</v>
      </c>
      <c r="AI224" s="222">
        <f t="shared" ref="AI224:AR225" si="1158">+AI211/AF211-1</f>
        <v>0.10000000000000009</v>
      </c>
      <c r="AJ224" s="193">
        <f t="shared" si="1158"/>
        <v>0.10000000000000009</v>
      </c>
      <c r="AK224" s="222">
        <f t="shared" si="1158"/>
        <v>9.9999999999999867E-2</v>
      </c>
      <c r="AL224" s="222">
        <f t="shared" si="1158"/>
        <v>0.10000000000000009</v>
      </c>
      <c r="AM224" s="193">
        <f t="shared" si="1158"/>
        <v>0.10000000000000009</v>
      </c>
      <c r="AN224" s="222">
        <f t="shared" si="1158"/>
        <v>0.10000000000000009</v>
      </c>
      <c r="AO224" s="222">
        <f t="shared" si="1158"/>
        <v>0.10000000000000009</v>
      </c>
      <c r="AP224" s="193">
        <f t="shared" si="1158"/>
        <v>0.10000000000000009</v>
      </c>
      <c r="AQ224" s="222">
        <f t="shared" si="1158"/>
        <v>0.10000000000000009</v>
      </c>
      <c r="AR224" s="222">
        <f t="shared" si="1158"/>
        <v>0.10000000000000009</v>
      </c>
      <c r="AS224" s="193">
        <f t="shared" ref="AS224:AY225" si="1159">+AS211/AP211-1</f>
        <v>0.10000000000000009</v>
      </c>
      <c r="AT224" s="222">
        <f t="shared" si="1159"/>
        <v>0.10000000000000009</v>
      </c>
      <c r="AU224" s="222">
        <f t="shared" si="1159"/>
        <v>0.10000000000000031</v>
      </c>
      <c r="AV224" s="193">
        <f t="shared" si="1159"/>
        <v>0.10000000000000031</v>
      </c>
      <c r="AW224" s="222">
        <f t="shared" si="1159"/>
        <v>0.10000000000000009</v>
      </c>
      <c r="AX224" s="222">
        <f t="shared" si="1159"/>
        <v>0.10000000000000009</v>
      </c>
      <c r="AY224" s="193">
        <f t="shared" si="1159"/>
        <v>0.10000000000000009</v>
      </c>
    </row>
    <row r="225" spans="1:51" s="194" customFormat="1" ht="12" customHeight="1" x14ac:dyDescent="0.2">
      <c r="A225" s="190"/>
      <c r="B225" s="8" t="s">
        <v>448</v>
      </c>
      <c r="C225" s="131"/>
      <c r="D225" s="191"/>
      <c r="E225" s="191"/>
      <c r="F225" s="271"/>
      <c r="G225" s="191"/>
      <c r="H225" s="191"/>
      <c r="I225" s="271"/>
      <c r="J225" s="191"/>
      <c r="K225" s="191"/>
      <c r="L225" s="271"/>
      <c r="M225" s="191"/>
      <c r="N225" s="191"/>
      <c r="O225" s="193">
        <f t="shared" si="1154"/>
        <v>1</v>
      </c>
      <c r="P225" s="222">
        <f t="shared" si="1154"/>
        <v>1.5</v>
      </c>
      <c r="Q225" s="222">
        <f t="shared" si="1154"/>
        <v>-0.16666666666666674</v>
      </c>
      <c r="R225" s="193">
        <f t="shared" si="1154"/>
        <v>0.25</v>
      </c>
      <c r="S225" s="222">
        <f t="shared" si="1154"/>
        <v>1.6379999999999999</v>
      </c>
      <c r="T225" s="222">
        <f t="shared" si="1155"/>
        <v>6.5660000000000007</v>
      </c>
      <c r="U225" s="193">
        <f t="shared" si="1156"/>
        <v>4.1020000000000003</v>
      </c>
      <c r="V225" s="222">
        <f t="shared" si="1154"/>
        <v>1.8831880212282033</v>
      </c>
      <c r="W225" s="222">
        <f t="shared" si="1154"/>
        <v>2.6823949246635115E-2</v>
      </c>
      <c r="X225" s="193">
        <f t="shared" si="1154"/>
        <v>0.50674245393963502</v>
      </c>
      <c r="Y225" s="222">
        <f t="shared" si="1157"/>
        <v>0.15714285714285703</v>
      </c>
      <c r="Z225" s="222">
        <f t="shared" si="1157"/>
        <v>0.125</v>
      </c>
      <c r="AA225" s="193">
        <f t="shared" si="1157"/>
        <v>0.14090093854879449</v>
      </c>
      <c r="AB225" s="222">
        <f t="shared" si="1157"/>
        <v>3.7037037037036979E-2</v>
      </c>
      <c r="AC225" s="222">
        <f t="shared" si="1157"/>
        <v>-2.2222222222222032E-2</v>
      </c>
      <c r="AD225" s="193">
        <f t="shared" si="1157"/>
        <v>7.510422472220224E-3</v>
      </c>
      <c r="AE225" s="222">
        <f t="shared" si="1157"/>
        <v>0.10000000000000009</v>
      </c>
      <c r="AF225" s="222">
        <f t="shared" si="1157"/>
        <v>0.10000000000000009</v>
      </c>
      <c r="AG225" s="193">
        <f t="shared" si="1157"/>
        <v>0.10000000000000031</v>
      </c>
      <c r="AH225" s="222">
        <f t="shared" si="1157"/>
        <v>0.10000000000000009</v>
      </c>
      <c r="AI225" s="222">
        <f t="shared" si="1158"/>
        <v>0.10000000000000009</v>
      </c>
      <c r="AJ225" s="193">
        <f t="shared" si="1158"/>
        <v>0.10000000000000031</v>
      </c>
      <c r="AK225" s="222">
        <f t="shared" si="1158"/>
        <v>9.9999999999999867E-2</v>
      </c>
      <c r="AL225" s="222">
        <f t="shared" si="1158"/>
        <v>0.10000000000000009</v>
      </c>
      <c r="AM225" s="193">
        <f t="shared" si="1158"/>
        <v>0.10000000000000009</v>
      </c>
      <c r="AN225" s="222">
        <f t="shared" si="1158"/>
        <v>0.10000000000000031</v>
      </c>
      <c r="AO225" s="222">
        <f t="shared" si="1158"/>
        <v>0.10000000000000009</v>
      </c>
      <c r="AP225" s="193">
        <f t="shared" si="1158"/>
        <v>9.9999999999999423E-2</v>
      </c>
      <c r="AQ225" s="222">
        <f t="shared" si="1158"/>
        <v>0.10000000000000009</v>
      </c>
      <c r="AR225" s="222">
        <f t="shared" si="1158"/>
        <v>0.10000000000000009</v>
      </c>
      <c r="AS225" s="193">
        <f t="shared" si="1159"/>
        <v>0.10000000000000053</v>
      </c>
      <c r="AT225" s="222">
        <f t="shared" si="1159"/>
        <v>0.10000000000000009</v>
      </c>
      <c r="AU225" s="222">
        <f t="shared" si="1159"/>
        <v>0.10000000000000009</v>
      </c>
      <c r="AV225" s="193">
        <f t="shared" si="1159"/>
        <v>0.10000000000000031</v>
      </c>
      <c r="AW225" s="222">
        <f t="shared" si="1159"/>
        <v>0.10000000000000009</v>
      </c>
      <c r="AX225" s="222">
        <f t="shared" si="1159"/>
        <v>0.10000000000000009</v>
      </c>
      <c r="AY225" s="193">
        <f t="shared" si="1159"/>
        <v>0.10000000000000009</v>
      </c>
    </row>
    <row r="226" spans="1:51" s="274" customFormat="1" ht="12" customHeight="1" x14ac:dyDescent="0.2">
      <c r="A226" s="190"/>
      <c r="B226" s="149" t="s">
        <v>425</v>
      </c>
      <c r="C226" s="275"/>
      <c r="D226" s="192"/>
      <c r="E226" s="192"/>
      <c r="F226" s="167"/>
      <c r="G226" s="192"/>
      <c r="H226" s="192"/>
      <c r="I226" s="167"/>
      <c r="J226" s="165"/>
      <c r="K226" s="166"/>
      <c r="L226" s="167"/>
      <c r="M226" s="219"/>
      <c r="N226" s="220"/>
      <c r="O226" s="193">
        <f t="shared" ref="O226:S227" si="1160">+O213/L213-1</f>
        <v>0.39840000000000009</v>
      </c>
      <c r="P226" s="222">
        <f t="shared" si="1160"/>
        <v>0.73333333333333339</v>
      </c>
      <c r="Q226" s="222">
        <f t="shared" si="1160"/>
        <v>0.4749498997995989</v>
      </c>
      <c r="R226" s="193">
        <f t="shared" si="1160"/>
        <v>0.5858123569794047</v>
      </c>
      <c r="S226" s="222">
        <f t="shared" si="1160"/>
        <v>0.42115384615384621</v>
      </c>
      <c r="T226" s="222">
        <f t="shared" si="1155"/>
        <v>0.50373641304347871</v>
      </c>
      <c r="U226" s="193">
        <f t="shared" si="1156"/>
        <v>0.46500721500721509</v>
      </c>
      <c r="V226" s="151">
        <v>7.4999999999999997E-2</v>
      </c>
      <c r="W226" s="151">
        <v>7.4999999999999997E-2</v>
      </c>
      <c r="X226" s="193">
        <f>+X213/U213-1</f>
        <v>7.4999999999999956E-2</v>
      </c>
      <c r="Y226" s="151">
        <v>0.05</v>
      </c>
      <c r="Z226" s="151">
        <v>0.05</v>
      </c>
      <c r="AA226" s="193">
        <f>+AA213/X213-1</f>
        <v>5.0000000000000044E-2</v>
      </c>
      <c r="AB226" s="151">
        <v>0.05</v>
      </c>
      <c r="AC226" s="151">
        <v>0.05</v>
      </c>
      <c r="AD226" s="193">
        <f>+AD213/AA213-1</f>
        <v>5.0000000000000044E-2</v>
      </c>
      <c r="AE226" s="151">
        <v>0.05</v>
      </c>
      <c r="AF226" s="151">
        <v>0.05</v>
      </c>
      <c r="AG226" s="193">
        <f>+AG213/AD213-1</f>
        <v>5.0000000000000044E-2</v>
      </c>
      <c r="AH226" s="151">
        <v>0.05</v>
      </c>
      <c r="AI226" s="151">
        <v>0.05</v>
      </c>
      <c r="AJ226" s="193">
        <f>+AJ213/AG213-1</f>
        <v>5.0000000000000044E-2</v>
      </c>
      <c r="AK226" s="151">
        <v>0.05</v>
      </c>
      <c r="AL226" s="151">
        <v>0.05</v>
      </c>
      <c r="AM226" s="193">
        <f>+AM213/AJ213-1</f>
        <v>5.0000000000000044E-2</v>
      </c>
      <c r="AN226" s="151">
        <v>0.05</v>
      </c>
      <c r="AO226" s="151">
        <v>0.05</v>
      </c>
      <c r="AP226" s="193">
        <f>+AP213/AM213-1</f>
        <v>5.0000000000000044E-2</v>
      </c>
      <c r="AQ226" s="151">
        <v>0.05</v>
      </c>
      <c r="AR226" s="151">
        <v>0.05</v>
      </c>
      <c r="AS226" s="193">
        <f>+AS213/AP213-1</f>
        <v>5.0000000000000044E-2</v>
      </c>
      <c r="AT226" s="151">
        <v>0.05</v>
      </c>
      <c r="AU226" s="151">
        <v>0.05</v>
      </c>
      <c r="AV226" s="193">
        <f>+AV213/AS213-1</f>
        <v>5.0000000000000044E-2</v>
      </c>
      <c r="AW226" s="151">
        <v>0.05</v>
      </c>
      <c r="AX226" s="151">
        <v>0.05</v>
      </c>
      <c r="AY226" s="193">
        <f>+AY213/AV213-1</f>
        <v>5.0000000000000044E-2</v>
      </c>
    </row>
    <row r="227" spans="1:51" s="317" customFormat="1" ht="12" customHeight="1" x14ac:dyDescent="0.2">
      <c r="A227" s="190"/>
      <c r="B227" s="315" t="s">
        <v>449</v>
      </c>
      <c r="C227" s="316"/>
      <c r="D227" s="164"/>
      <c r="E227" s="164"/>
      <c r="F227" s="163"/>
      <c r="G227" s="164"/>
      <c r="H227" s="164"/>
      <c r="I227" s="163"/>
      <c r="J227" s="164"/>
      <c r="K227" s="164"/>
      <c r="L227" s="163"/>
      <c r="M227" s="218"/>
      <c r="N227" s="218"/>
      <c r="O227" s="335">
        <f t="shared" si="1160"/>
        <v>0.48137931034482762</v>
      </c>
      <c r="P227" s="218">
        <f t="shared" si="1160"/>
        <v>0.82352941176470607</v>
      </c>
      <c r="Q227" s="218">
        <f t="shared" si="1160"/>
        <v>0.32665639445300432</v>
      </c>
      <c r="R227" s="163">
        <f t="shared" si="1160"/>
        <v>0.52327746741154546</v>
      </c>
      <c r="S227" s="218">
        <f t="shared" si="1160"/>
        <v>0.61741935483870969</v>
      </c>
      <c r="T227" s="218">
        <f t="shared" si="1155"/>
        <v>1.3838559814169575</v>
      </c>
      <c r="U227" s="163">
        <f t="shared" si="1156"/>
        <v>1.0207823960880198</v>
      </c>
      <c r="V227" s="218">
        <f t="shared" ref="V227" si="1161">+V214/S214-1</f>
        <v>0.55066812923813324</v>
      </c>
      <c r="W227" s="218">
        <f t="shared" ref="W227" si="1162">+W214/T214-1</f>
        <v>5.2801461632158375E-2</v>
      </c>
      <c r="X227" s="163">
        <f>+X214/U214-1</f>
        <v>0.24157214156079987</v>
      </c>
      <c r="Y227" s="218">
        <f t="shared" ref="Y227" si="1163">+Y214/V214-1</f>
        <v>0.10240561153947558</v>
      </c>
      <c r="Z227" s="218">
        <f t="shared" ref="Z227" si="1164">+Z214/W214-1</f>
        <v>8.3705747093191452E-2</v>
      </c>
      <c r="AA227" s="163">
        <f>+AA214/X214-1</f>
        <v>9.2561119891830135E-2</v>
      </c>
      <c r="AB227" s="218">
        <f t="shared" ref="AB227" si="1165">+AB214/Y214-1</f>
        <v>4.3344749392847381E-2</v>
      </c>
      <c r="AC227" s="218">
        <f t="shared" ref="AC227" si="1166">+AC214/Z214-1</f>
        <v>1.6305835833297255E-2</v>
      </c>
      <c r="AD227" s="163">
        <f>+AD214/AA214-1</f>
        <v>2.9225561788621457E-2</v>
      </c>
      <c r="AE227" s="218">
        <f t="shared" ref="AE227" si="1167">+AE214/AB214-1</f>
        <v>7.5515058607523722E-2</v>
      </c>
      <c r="AF227" s="218">
        <f t="shared" ref="AF227" si="1168">+AF214/AC214-1</f>
        <v>7.2442414948227229E-2</v>
      </c>
      <c r="AG227" s="163">
        <f>+AG214/AD214-1</f>
        <v>7.3930725403268616E-2</v>
      </c>
      <c r="AH227" s="218">
        <f t="shared" ref="AH227" si="1169">+AH214/AE214-1</f>
        <v>7.6095928870223428E-2</v>
      </c>
      <c r="AI227" s="218">
        <f t="shared" ref="AI227" si="1170">+AI214/AF214-1</f>
        <v>7.3019097434934954E-2</v>
      </c>
      <c r="AJ227" s="163">
        <f>+AJ214/AG214-1</f>
        <v>7.4511634988104758E-2</v>
      </c>
      <c r="AK227" s="218">
        <f t="shared" ref="AK227" si="1171">+AK214/AH214-1</f>
        <v>7.6675615980987155E-2</v>
      </c>
      <c r="AL227" s="218">
        <f t="shared" ref="AL227" si="1172">+AL214/AI214-1</f>
        <v>7.3597909150879604E-2</v>
      </c>
      <c r="AM227" s="163">
        <f>+AM214/AJ214-1</f>
        <v>7.509307261918452E-2</v>
      </c>
      <c r="AN227" s="218">
        <f t="shared" ref="AN227" si="1173">+AN214/AK214-1</f>
        <v>7.7253498773026896E-2</v>
      </c>
      <c r="AO227" s="218">
        <f t="shared" ref="AO227" si="1174">+AO214/AL214-1</f>
        <v>7.4178232692812873E-2</v>
      </c>
      <c r="AP227" s="163">
        <f>+AP214/AM214-1</f>
        <v>7.5674409578192714E-2</v>
      </c>
      <c r="AQ227" s="218">
        <f t="shared" ref="AQ227" si="1175">+AQ214/AN214-1</f>
        <v>7.782896382743254E-2</v>
      </c>
      <c r="AR227" s="218">
        <f t="shared" ref="AR227" si="1176">+AR214/AO214-1</f>
        <v>7.475944415241198E-2</v>
      </c>
      <c r="AS227" s="163">
        <f>+AS214/AP214-1</f>
        <v>7.6255017582027573E-2</v>
      </c>
      <c r="AT227" s="218">
        <f t="shared" ref="AT227" si="1177">+AT214/AQ214-1</f>
        <v>7.8401408050374988E-2</v>
      </c>
      <c r="AU227" s="218">
        <f t="shared" ref="AU227" si="1178">+AU214/AR214-1</f>
        <v>7.5340915788957519E-2</v>
      </c>
      <c r="AV227" s="163">
        <f>+AV214/AS214-1</f>
        <v>7.683427149553701E-2</v>
      </c>
      <c r="AW227" s="218">
        <f t="shared" ref="AW227" si="1179">+AW214/AT214-1</f>
        <v>7.8970241157134247E-2</v>
      </c>
      <c r="AX227" s="218">
        <f t="shared" ref="AX227" si="1180">+AX214/AU214-1</f>
        <v>7.5922018737101693E-2</v>
      </c>
      <c r="AY227" s="163">
        <f>+AY214/AV214-1</f>
        <v>7.741155201542349E-2</v>
      </c>
    </row>
    <row r="228" spans="1:51" s="194" customFormat="1" ht="12" customHeight="1" x14ac:dyDescent="0.2">
      <c r="A228" s="190"/>
      <c r="B228" s="8"/>
      <c r="C228" s="131"/>
      <c r="D228" s="191"/>
      <c r="E228" s="191"/>
      <c r="F228" s="271"/>
      <c r="G228" s="191"/>
      <c r="H228" s="191"/>
      <c r="I228" s="271"/>
      <c r="J228" s="191"/>
      <c r="K228" s="191"/>
      <c r="L228" s="271"/>
      <c r="M228" s="191"/>
      <c r="N228" s="191"/>
      <c r="O228" s="271"/>
      <c r="P228" s="191"/>
      <c r="Q228" s="191"/>
      <c r="R228" s="271"/>
      <c r="S228" s="191"/>
      <c r="T228" s="191"/>
      <c r="U228" s="271"/>
      <c r="V228" s="191"/>
      <c r="W228" s="191"/>
      <c r="X228" s="271"/>
      <c r="Y228" s="191"/>
      <c r="Z228" s="191"/>
      <c r="AA228" s="271"/>
      <c r="AB228" s="191"/>
      <c r="AC228" s="191"/>
      <c r="AD228" s="271"/>
      <c r="AE228" s="191"/>
      <c r="AF228" s="191"/>
      <c r="AG228" s="271"/>
      <c r="AH228" s="191"/>
      <c r="AI228" s="191"/>
      <c r="AJ228" s="271"/>
      <c r="AK228" s="191"/>
      <c r="AL228" s="191"/>
      <c r="AM228" s="271"/>
      <c r="AN228" s="191"/>
      <c r="AO228" s="191"/>
      <c r="AP228" s="271"/>
      <c r="AQ228" s="191"/>
      <c r="AR228" s="191"/>
      <c r="AS228" s="271"/>
      <c r="AT228" s="191"/>
      <c r="AU228" s="191"/>
      <c r="AV228" s="271"/>
      <c r="AW228" s="191"/>
      <c r="AX228" s="191"/>
      <c r="AY228" s="271"/>
    </row>
    <row r="229" spans="1:51" s="194" customFormat="1" ht="12" customHeight="1" x14ac:dyDescent="0.2">
      <c r="A229" s="190"/>
      <c r="B229" s="8" t="s">
        <v>439</v>
      </c>
      <c r="C229" s="306"/>
      <c r="D229" s="307"/>
      <c r="E229" s="307"/>
      <c r="F229" s="271"/>
      <c r="G229" s="307"/>
      <c r="H229" s="307"/>
      <c r="I229" s="271"/>
      <c r="J229" s="307"/>
      <c r="K229" s="307"/>
      <c r="L229" s="239">
        <f>+L212/L210</f>
        <v>-0.16</v>
      </c>
      <c r="M229" s="240">
        <f t="shared" ref="M229:R229" si="1181">+M212/M210</f>
        <v>-0.13333333333333333</v>
      </c>
      <c r="N229" s="240">
        <f t="shared" si="1181"/>
        <v>-0.13333333333333336</v>
      </c>
      <c r="O229" s="239">
        <f t="shared" si="1181"/>
        <v>-0.13333333333333333</v>
      </c>
      <c r="P229" s="240">
        <f t="shared" si="1181"/>
        <v>-8.9285714285714288E-2</v>
      </c>
      <c r="Q229" s="240">
        <f t="shared" si="1181"/>
        <v>-9.552923194497516E-2</v>
      </c>
      <c r="R229" s="239">
        <f t="shared" si="1181"/>
        <v>-9.2302012183865606E-2</v>
      </c>
      <c r="S229" s="240">
        <f t="shared" ref="S229:U229" si="1182">+S212/S210</f>
        <v>-0.26879967393519461</v>
      </c>
      <c r="T229" s="240">
        <f t="shared" si="1182"/>
        <v>-0.51128530882551426</v>
      </c>
      <c r="U229" s="239">
        <f t="shared" si="1182"/>
        <v>-0.41459450674467607</v>
      </c>
      <c r="V229" s="151">
        <v>-0.5</v>
      </c>
      <c r="W229" s="151">
        <v>-0.5</v>
      </c>
      <c r="X229" s="239">
        <f t="shared" ref="X229" si="1183">+X212/X210</f>
        <v>-0.49999999999999978</v>
      </c>
      <c r="Y229" s="151">
        <v>-0.45</v>
      </c>
      <c r="Z229" s="151">
        <v>-0.45</v>
      </c>
      <c r="AA229" s="239">
        <f t="shared" ref="AA229:AY229" si="1184">+AA212/AA210</f>
        <v>-0.44999999999999996</v>
      </c>
      <c r="AB229" s="151">
        <v>-0.4</v>
      </c>
      <c r="AC229" s="151">
        <v>-0.4</v>
      </c>
      <c r="AD229" s="239">
        <f t="shared" si="1184"/>
        <v>-0.39999999999999991</v>
      </c>
      <c r="AE229" s="151">
        <v>-0.4</v>
      </c>
      <c r="AF229" s="151">
        <v>-0.4</v>
      </c>
      <c r="AG229" s="239">
        <f t="shared" si="1184"/>
        <v>-0.40000000000000008</v>
      </c>
      <c r="AH229" s="151">
        <v>-0.4</v>
      </c>
      <c r="AI229" s="151">
        <v>-0.4</v>
      </c>
      <c r="AJ229" s="239">
        <f t="shared" si="1184"/>
        <v>-0.40000000000000013</v>
      </c>
      <c r="AK229" s="151">
        <v>-0.4</v>
      </c>
      <c r="AL229" s="151">
        <v>-0.4</v>
      </c>
      <c r="AM229" s="239">
        <f t="shared" si="1184"/>
        <v>-0.40000000000000019</v>
      </c>
      <c r="AN229" s="151">
        <v>-0.4</v>
      </c>
      <c r="AO229" s="151">
        <v>-0.4</v>
      </c>
      <c r="AP229" s="239">
        <f t="shared" si="1184"/>
        <v>-0.39999999999999991</v>
      </c>
      <c r="AQ229" s="151">
        <v>-0.4</v>
      </c>
      <c r="AR229" s="151">
        <v>-0.4</v>
      </c>
      <c r="AS229" s="239">
        <f t="shared" si="1184"/>
        <v>-0.40000000000000013</v>
      </c>
      <c r="AT229" s="151">
        <v>-0.4</v>
      </c>
      <c r="AU229" s="151">
        <v>-0.4</v>
      </c>
      <c r="AV229" s="239">
        <f t="shared" si="1184"/>
        <v>-0.40000000000000019</v>
      </c>
      <c r="AW229" s="151">
        <v>-0.4</v>
      </c>
      <c r="AX229" s="151">
        <v>-0.4</v>
      </c>
      <c r="AY229" s="239">
        <f t="shared" si="1184"/>
        <v>-0.40000000000000019</v>
      </c>
    </row>
    <row r="230" spans="1:51" s="194" customFormat="1" ht="12" customHeight="1" x14ac:dyDescent="0.2">
      <c r="A230" s="190"/>
      <c r="B230" s="8" t="s">
        <v>451</v>
      </c>
      <c r="C230" s="131"/>
      <c r="D230" s="191"/>
      <c r="E230" s="191"/>
      <c r="F230" s="271"/>
      <c r="G230" s="191"/>
      <c r="H230" s="191"/>
      <c r="I230" s="271"/>
      <c r="J230" s="191"/>
      <c r="K230" s="191"/>
      <c r="L230" s="193">
        <f>+L214/L210</f>
        <v>-1.1599999999999999</v>
      </c>
      <c r="M230" s="222">
        <f t="shared" ref="M230:AJ230" si="1185">+M214/M210</f>
        <v>-1.1333333333333333</v>
      </c>
      <c r="N230" s="222">
        <f t="shared" si="1185"/>
        <v>-0.5768888888888889</v>
      </c>
      <c r="O230" s="193">
        <f t="shared" si="1185"/>
        <v>-0.71600000000000008</v>
      </c>
      <c r="P230" s="222">
        <f t="shared" si="1185"/>
        <v>-0.5535714285714286</v>
      </c>
      <c r="Q230" s="222">
        <f t="shared" si="1185"/>
        <v>-0.65800534963698887</v>
      </c>
      <c r="R230" s="193">
        <f t="shared" si="1185"/>
        <v>-0.60402436773121648</v>
      </c>
      <c r="S230" s="222">
        <f t="shared" ref="S230:U230" si="1186">+S214/S210</f>
        <v>-1.0218055838597921</v>
      </c>
      <c r="T230" s="222">
        <f t="shared" si="1186"/>
        <v>-1.109609406676572</v>
      </c>
      <c r="U230" s="193">
        <f t="shared" si="1186"/>
        <v>-1.0745977571916103</v>
      </c>
      <c r="V230" s="222">
        <f t="shared" si="1185"/>
        <v>-1.0222460343025435</v>
      </c>
      <c r="W230" s="222">
        <f t="shared" si="1185"/>
        <v>-1.1125699097046544</v>
      </c>
      <c r="X230" s="193">
        <f t="shared" si="1185"/>
        <v>-1.0678870619455194</v>
      </c>
      <c r="Y230" s="222">
        <f t="shared" si="1185"/>
        <v>-0.8765009280137438</v>
      </c>
      <c r="Z230" s="222">
        <f t="shared" si="1185"/>
        <v>-0.96455872415190969</v>
      </c>
      <c r="AA230" s="193">
        <f t="shared" si="1185"/>
        <v>-0.92037674823997406</v>
      </c>
      <c r="AB230" s="222">
        <f t="shared" si="1185"/>
        <v>-0.78385083521236953</v>
      </c>
      <c r="AC230" s="222">
        <f t="shared" si="1185"/>
        <v>-0.89116969123591394</v>
      </c>
      <c r="AD230" s="193">
        <f t="shared" si="1185"/>
        <v>-0.83574566432776909</v>
      </c>
      <c r="AE230" s="222">
        <f t="shared" si="1185"/>
        <v>-0.76640306997544372</v>
      </c>
      <c r="AF230" s="222">
        <f t="shared" si="1185"/>
        <v>-0.86884379617973584</v>
      </c>
      <c r="AG230" s="193">
        <f t="shared" si="1185"/>
        <v>-0.81593904322196154</v>
      </c>
      <c r="AH230" s="222">
        <f t="shared" si="1185"/>
        <v>-0.74974838497655971</v>
      </c>
      <c r="AI230" s="222">
        <f t="shared" si="1185"/>
        <v>-0.8475327145352024</v>
      </c>
      <c r="AJ230" s="193">
        <f t="shared" si="1185"/>
        <v>-0.79703272307550888</v>
      </c>
      <c r="AK230" s="222">
        <f t="shared" ref="AK230:AM230" si="1187">+AK214/AK210</f>
        <v>-0.7338507311139888</v>
      </c>
      <c r="AL230" s="222">
        <f t="shared" si="1187"/>
        <v>-0.82719031841996604</v>
      </c>
      <c r="AM230" s="193">
        <f t="shared" si="1187"/>
        <v>-0.77898578111753125</v>
      </c>
      <c r="AN230" s="222">
        <f t="shared" ref="AN230:AP230" si="1188">+AN214/AN210</f>
        <v>-0.71867569788153474</v>
      </c>
      <c r="AO230" s="222">
        <f t="shared" si="1188"/>
        <v>-0.80777257667360391</v>
      </c>
      <c r="AP230" s="193">
        <f t="shared" si="1188"/>
        <v>-0.76175915470309763</v>
      </c>
      <c r="AQ230" s="222">
        <f t="shared" ref="AQ230:AS230" si="1189">+AQ214/AQ210</f>
        <v>-0.70419043888691957</v>
      </c>
      <c r="AR230" s="222">
        <f t="shared" si="1189"/>
        <v>-0.78923745955207636</v>
      </c>
      <c r="AS230" s="193">
        <f t="shared" si="1189"/>
        <v>-0.74531555676204808</v>
      </c>
      <c r="AT230" s="222">
        <f t="shared" ref="AT230:AV230" si="1190">+AT214/AT210</f>
        <v>-0.69036360075569592</v>
      </c>
      <c r="AU230" s="222">
        <f t="shared" si="1190"/>
        <v>-0.77154484775425469</v>
      </c>
      <c r="AV230" s="193">
        <f t="shared" si="1190"/>
        <v>-0.7296193950910459</v>
      </c>
      <c r="AW230" s="222">
        <f t="shared" ref="AW230:AY230" si="1191">+AW214/AW210</f>
        <v>-0.67716525526680071</v>
      </c>
      <c r="AX230" s="222">
        <f t="shared" si="1191"/>
        <v>-0.75465644558360678</v>
      </c>
      <c r="AY230" s="193">
        <f t="shared" si="1191"/>
        <v>-0.71463669531418006</v>
      </c>
    </row>
    <row r="231" spans="1:51" s="17" customFormat="1" ht="12" customHeight="1" x14ac:dyDescent="0.2">
      <c r="A231" s="138"/>
      <c r="B231" s="6"/>
      <c r="C231" s="130"/>
      <c r="D231" s="142"/>
      <c r="E231" s="142"/>
      <c r="F231" s="143"/>
      <c r="G231" s="142"/>
      <c r="H231" s="142"/>
      <c r="I231" s="143"/>
      <c r="J231" s="142"/>
      <c r="K231" s="142"/>
      <c r="L231" s="143"/>
      <c r="M231" s="142"/>
      <c r="N231" s="142"/>
      <c r="O231" s="143"/>
      <c r="P231" s="142"/>
      <c r="Q231" s="142"/>
      <c r="R231" s="143"/>
      <c r="S231" s="142"/>
      <c r="T231" s="142"/>
      <c r="U231" s="143"/>
      <c r="V231" s="142"/>
      <c r="W231" s="142"/>
      <c r="X231" s="143"/>
      <c r="Y231" s="142"/>
      <c r="Z231" s="142"/>
      <c r="AA231" s="143"/>
      <c r="AB231" s="142"/>
      <c r="AC231" s="142"/>
      <c r="AD231" s="143"/>
      <c r="AE231" s="142"/>
      <c r="AF231" s="142"/>
      <c r="AG231" s="143"/>
      <c r="AH231" s="142"/>
      <c r="AI231" s="142"/>
      <c r="AJ231" s="143"/>
      <c r="AK231" s="142"/>
      <c r="AL231" s="142"/>
      <c r="AM231" s="143"/>
      <c r="AN231" s="142"/>
      <c r="AO231" s="142"/>
      <c r="AP231" s="143"/>
      <c r="AQ231" s="142"/>
      <c r="AR231" s="142"/>
      <c r="AS231" s="143"/>
      <c r="AT231" s="142"/>
      <c r="AU231" s="142"/>
      <c r="AV231" s="143"/>
      <c r="AW231" s="142"/>
      <c r="AX231" s="142"/>
      <c r="AY231" s="143"/>
    </row>
    <row r="232" spans="1:51" s="17" customFormat="1" ht="12" customHeight="1" x14ac:dyDescent="0.2">
      <c r="A232" s="138"/>
      <c r="B232" s="6"/>
      <c r="C232" s="130"/>
      <c r="D232" s="142"/>
      <c r="E232" s="142"/>
      <c r="F232" s="143"/>
      <c r="G232" s="142"/>
      <c r="H232" s="142"/>
      <c r="I232" s="143"/>
      <c r="J232" s="142"/>
      <c r="K232" s="142"/>
      <c r="L232" s="143"/>
      <c r="M232" s="142"/>
      <c r="N232" s="142"/>
      <c r="O232" s="143"/>
      <c r="P232" s="142"/>
      <c r="Q232" s="142"/>
      <c r="R232" s="143"/>
      <c r="S232" s="142"/>
      <c r="T232" s="142"/>
      <c r="U232" s="143"/>
      <c r="V232" s="142"/>
      <c r="W232" s="142"/>
      <c r="X232" s="143"/>
      <c r="Y232" s="142"/>
      <c r="Z232" s="142"/>
      <c r="AA232" s="143"/>
      <c r="AB232" s="142"/>
      <c r="AC232" s="142"/>
      <c r="AD232" s="143"/>
      <c r="AE232" s="142"/>
      <c r="AF232" s="142"/>
      <c r="AG232" s="143"/>
      <c r="AH232" s="142"/>
      <c r="AI232" s="142"/>
      <c r="AJ232" s="143"/>
      <c r="AK232" s="142"/>
      <c r="AL232" s="142"/>
      <c r="AM232" s="143"/>
      <c r="AN232" s="142"/>
      <c r="AO232" s="142"/>
      <c r="AP232" s="143"/>
      <c r="AQ232" s="142"/>
      <c r="AR232" s="142"/>
      <c r="AS232" s="143"/>
      <c r="AT232" s="142"/>
      <c r="AU232" s="142"/>
      <c r="AV232" s="143"/>
      <c r="AW232" s="142"/>
      <c r="AX232" s="142"/>
      <c r="AY232" s="143"/>
    </row>
    <row r="233" spans="1:51" s="17" customFormat="1" ht="12" customHeight="1" x14ac:dyDescent="0.2">
      <c r="A233" s="14"/>
      <c r="B233" s="10" t="s">
        <v>444</v>
      </c>
      <c r="C233" s="130"/>
      <c r="D233" s="142"/>
      <c r="E233" s="142"/>
      <c r="F233" s="143"/>
      <c r="G233" s="142"/>
      <c r="H233" s="142"/>
      <c r="I233" s="143"/>
      <c r="J233" s="142"/>
      <c r="K233" s="142"/>
      <c r="L233" s="143"/>
      <c r="M233" s="142"/>
      <c r="N233" s="142"/>
      <c r="O233" s="143"/>
      <c r="P233" s="142"/>
      <c r="Q233" s="142"/>
      <c r="R233" s="143"/>
      <c r="S233" s="142"/>
      <c r="T233" s="142"/>
      <c r="U233" s="143"/>
      <c r="V233" s="142"/>
      <c r="W233" s="142"/>
      <c r="X233" s="143"/>
      <c r="Y233" s="142"/>
      <c r="Z233" s="142"/>
      <c r="AA233" s="143"/>
      <c r="AB233" s="142"/>
      <c r="AC233" s="142"/>
      <c r="AD233" s="143"/>
      <c r="AE233" s="142"/>
      <c r="AF233" s="142"/>
      <c r="AG233" s="143"/>
      <c r="AH233" s="142"/>
      <c r="AI233" s="142"/>
      <c r="AJ233" s="143"/>
      <c r="AK233" s="142"/>
      <c r="AL233" s="142"/>
      <c r="AM233" s="143"/>
      <c r="AN233" s="142"/>
      <c r="AO233" s="142"/>
      <c r="AP233" s="143"/>
      <c r="AQ233" s="142"/>
      <c r="AR233" s="142"/>
      <c r="AS233" s="143"/>
      <c r="AT233" s="142"/>
      <c r="AU233" s="142"/>
      <c r="AV233" s="143"/>
      <c r="AW233" s="142"/>
      <c r="AX233" s="142"/>
      <c r="AY233" s="143"/>
    </row>
    <row r="234" spans="1:51" s="17" customFormat="1" ht="12" customHeight="1" x14ac:dyDescent="0.2">
      <c r="A234" s="138"/>
      <c r="B234" s="322" t="s">
        <v>564</v>
      </c>
      <c r="C234" s="323"/>
      <c r="D234" s="324"/>
      <c r="E234" s="324"/>
      <c r="F234" s="325"/>
      <c r="G234" s="324"/>
      <c r="H234" s="324"/>
      <c r="I234" s="326"/>
      <c r="J234" s="324"/>
      <c r="K234" s="324"/>
      <c r="L234" s="326">
        <v>1</v>
      </c>
      <c r="M234" s="327">
        <v>2</v>
      </c>
      <c r="N234" s="328">
        <f>O234</f>
        <v>3</v>
      </c>
      <c r="O234" s="326">
        <v>3</v>
      </c>
      <c r="P234" s="327">
        <v>4</v>
      </c>
      <c r="Q234" s="329">
        <f>R234</f>
        <v>4</v>
      </c>
      <c r="R234" s="326">
        <v>4</v>
      </c>
      <c r="S234" s="327">
        <v>4</v>
      </c>
      <c r="T234" s="329">
        <f>U234</f>
        <v>6</v>
      </c>
      <c r="U234" s="326">
        <v>6</v>
      </c>
      <c r="V234" s="330">
        <f t="shared" ref="V234:W234" si="1192">+U234+V235</f>
        <v>7</v>
      </c>
      <c r="W234" s="330">
        <f t="shared" si="1192"/>
        <v>8</v>
      </c>
      <c r="X234" s="331">
        <f t="shared" ref="X234" si="1193">+X235+U234</f>
        <v>8</v>
      </c>
      <c r="Y234" s="330">
        <f t="shared" ref="Y234:Z234" si="1194">+X234+Y235</f>
        <v>9</v>
      </c>
      <c r="Z234" s="330">
        <f t="shared" si="1194"/>
        <v>10</v>
      </c>
      <c r="AA234" s="331">
        <f t="shared" ref="AA234" si="1195">+AA235+X234</f>
        <v>10</v>
      </c>
      <c r="AB234" s="330">
        <f t="shared" ref="AB234:AC234" si="1196">+AA234+AB235</f>
        <v>10</v>
      </c>
      <c r="AC234" s="330">
        <f t="shared" si="1196"/>
        <v>10</v>
      </c>
      <c r="AD234" s="331">
        <f t="shared" ref="AD234" si="1197">+AD235+AA234</f>
        <v>10</v>
      </c>
      <c r="AE234" s="330">
        <f t="shared" ref="AE234:AF234" si="1198">+AD234+AE235</f>
        <v>10</v>
      </c>
      <c r="AF234" s="330">
        <f t="shared" si="1198"/>
        <v>10</v>
      </c>
      <c r="AG234" s="331">
        <f t="shared" ref="AG234" si="1199">+AG235+AD234</f>
        <v>10</v>
      </c>
      <c r="AH234" s="330">
        <f t="shared" ref="AH234:AI234" si="1200">+AG234+AH235</f>
        <v>10</v>
      </c>
      <c r="AI234" s="330">
        <f t="shared" si="1200"/>
        <v>10</v>
      </c>
      <c r="AJ234" s="331">
        <f t="shared" ref="AJ234" si="1201">+AJ235+AG234</f>
        <v>10</v>
      </c>
      <c r="AK234" s="330">
        <f t="shared" ref="AK234" si="1202">+AJ234+AK235</f>
        <v>10</v>
      </c>
      <c r="AL234" s="330">
        <f t="shared" ref="AL234" si="1203">+AK234+AL235</f>
        <v>10</v>
      </c>
      <c r="AM234" s="331">
        <f t="shared" ref="AM234" si="1204">+AM235+AJ234</f>
        <v>10</v>
      </c>
      <c r="AN234" s="330">
        <f t="shared" ref="AN234" si="1205">+AM234+AN235</f>
        <v>10</v>
      </c>
      <c r="AO234" s="330">
        <f t="shared" ref="AO234" si="1206">+AN234+AO235</f>
        <v>10</v>
      </c>
      <c r="AP234" s="331">
        <f t="shared" ref="AP234" si="1207">+AP235+AM234</f>
        <v>10</v>
      </c>
      <c r="AQ234" s="330">
        <f t="shared" ref="AQ234" si="1208">+AP234+AQ235</f>
        <v>10</v>
      </c>
      <c r="AR234" s="330">
        <f t="shared" ref="AR234" si="1209">+AQ234+AR235</f>
        <v>10</v>
      </c>
      <c r="AS234" s="331">
        <f t="shared" ref="AS234" si="1210">+AS235+AP234</f>
        <v>10</v>
      </c>
      <c r="AT234" s="330">
        <f t="shared" ref="AT234" si="1211">+AS234+AT235</f>
        <v>10</v>
      </c>
      <c r="AU234" s="330">
        <f t="shared" ref="AU234" si="1212">+AT234+AU235</f>
        <v>10</v>
      </c>
      <c r="AV234" s="331">
        <f t="shared" ref="AV234" si="1213">+AV235+AS234</f>
        <v>10</v>
      </c>
      <c r="AW234" s="330">
        <f t="shared" ref="AW234" si="1214">+AV234+AW235</f>
        <v>10</v>
      </c>
      <c r="AX234" s="330">
        <f t="shared" ref="AX234" si="1215">+AW234+AX235</f>
        <v>10</v>
      </c>
      <c r="AY234" s="331">
        <f t="shared" ref="AY234" si="1216">+AY235+AV234</f>
        <v>10</v>
      </c>
    </row>
    <row r="235" spans="1:51" s="17" customFormat="1" ht="12" customHeight="1" x14ac:dyDescent="0.2">
      <c r="A235" s="138"/>
      <c r="B235" s="6" t="s">
        <v>446</v>
      </c>
      <c r="C235" s="130"/>
      <c r="D235" s="142"/>
      <c r="E235" s="142"/>
      <c r="F235" s="143"/>
      <c r="G235" s="142"/>
      <c r="H235" s="142"/>
      <c r="I235" s="143"/>
      <c r="J235" s="142"/>
      <c r="K235" s="142"/>
      <c r="L235" s="264">
        <f>+L234-I234</f>
        <v>1</v>
      </c>
      <c r="M235" s="223">
        <f>+M234-L234</f>
        <v>1</v>
      </c>
      <c r="N235" s="223">
        <f>+N234-M234</f>
        <v>1</v>
      </c>
      <c r="O235" s="264">
        <f>+O234-L234</f>
        <v>2</v>
      </c>
      <c r="P235" s="223">
        <f>+P234-O234</f>
        <v>1</v>
      </c>
      <c r="Q235" s="223">
        <f>+Q234-P234</f>
        <v>0</v>
      </c>
      <c r="R235" s="264">
        <f>+R234-O234</f>
        <v>1</v>
      </c>
      <c r="S235" s="223">
        <f>+S234-R234</f>
        <v>0</v>
      </c>
      <c r="T235" s="223">
        <f>+T234-S234</f>
        <v>2</v>
      </c>
      <c r="U235" s="264">
        <f>+U234-R234</f>
        <v>2</v>
      </c>
      <c r="V235" s="283">
        <v>1</v>
      </c>
      <c r="W235" s="283">
        <v>1</v>
      </c>
      <c r="X235" s="264">
        <f t="shared" ref="X235" si="1217">+W235+V235</f>
        <v>2</v>
      </c>
      <c r="Y235" s="283">
        <v>1</v>
      </c>
      <c r="Z235" s="283">
        <v>1</v>
      </c>
      <c r="AA235" s="264">
        <f t="shared" ref="AA235" si="1218">+Z235+Y235</f>
        <v>2</v>
      </c>
      <c r="AB235" s="283">
        <v>0</v>
      </c>
      <c r="AC235" s="283">
        <v>0</v>
      </c>
      <c r="AD235" s="264">
        <f t="shared" ref="AD235" si="1219">+AC235+AB235</f>
        <v>0</v>
      </c>
      <c r="AE235" s="283">
        <v>0</v>
      </c>
      <c r="AF235" s="283">
        <v>0</v>
      </c>
      <c r="AG235" s="264">
        <f t="shared" ref="AG235" si="1220">+AF235+AE235</f>
        <v>0</v>
      </c>
      <c r="AH235" s="283">
        <v>0</v>
      </c>
      <c r="AI235" s="283">
        <v>0</v>
      </c>
      <c r="AJ235" s="264">
        <f t="shared" ref="AJ235" si="1221">+AI235+AH235</f>
        <v>0</v>
      </c>
      <c r="AK235" s="283">
        <v>0</v>
      </c>
      <c r="AL235" s="283">
        <v>0</v>
      </c>
      <c r="AM235" s="264">
        <f t="shared" ref="AM235" si="1222">+AL235+AK235</f>
        <v>0</v>
      </c>
      <c r="AN235" s="283">
        <v>0</v>
      </c>
      <c r="AO235" s="283">
        <v>0</v>
      </c>
      <c r="AP235" s="264">
        <f t="shared" ref="AP235" si="1223">+AO235+AN235</f>
        <v>0</v>
      </c>
      <c r="AQ235" s="283">
        <v>0</v>
      </c>
      <c r="AR235" s="283">
        <v>0</v>
      </c>
      <c r="AS235" s="264">
        <f t="shared" ref="AS235" si="1224">+AR235+AQ235</f>
        <v>0</v>
      </c>
      <c r="AT235" s="283">
        <v>0</v>
      </c>
      <c r="AU235" s="283">
        <v>0</v>
      </c>
      <c r="AV235" s="264">
        <f t="shared" ref="AV235" si="1225">+AU235+AT235</f>
        <v>0</v>
      </c>
      <c r="AW235" s="283">
        <v>0</v>
      </c>
      <c r="AX235" s="283">
        <v>0</v>
      </c>
      <c r="AY235" s="264">
        <f t="shared" ref="AY235" si="1226">+AX235+AW235</f>
        <v>0</v>
      </c>
    </row>
    <row r="236" spans="1:51" s="17" customFormat="1" ht="12" customHeight="1" x14ac:dyDescent="0.2">
      <c r="A236" s="138"/>
      <c r="B236" s="6"/>
      <c r="C236" s="130"/>
      <c r="D236" s="142"/>
      <c r="E236" s="142"/>
      <c r="F236" s="143"/>
      <c r="G236" s="142"/>
      <c r="H236" s="142"/>
      <c r="I236" s="143"/>
      <c r="J236" s="142"/>
      <c r="K236" s="142"/>
      <c r="L236" s="143"/>
      <c r="M236" s="142"/>
      <c r="N236" s="142"/>
      <c r="O236" s="143"/>
      <c r="P236" s="142"/>
      <c r="Q236" s="142"/>
      <c r="R236" s="143"/>
      <c r="S236" s="142"/>
      <c r="T236" s="142"/>
      <c r="U236" s="143"/>
      <c r="V236" s="142"/>
      <c r="W236" s="142"/>
      <c r="X236" s="143"/>
      <c r="Y236" s="142"/>
      <c r="Z236" s="142"/>
      <c r="AA236" s="143"/>
      <c r="AB236" s="142"/>
      <c r="AC236" s="142"/>
      <c r="AD236" s="143"/>
      <c r="AE236" s="142"/>
      <c r="AF236" s="142"/>
      <c r="AG236" s="143"/>
      <c r="AH236" s="142"/>
      <c r="AI236" s="142"/>
      <c r="AJ236" s="143"/>
      <c r="AK236" s="142"/>
      <c r="AL236" s="142"/>
      <c r="AM236" s="143"/>
      <c r="AN236" s="142"/>
      <c r="AO236" s="142"/>
      <c r="AP236" s="143"/>
      <c r="AQ236" s="142"/>
      <c r="AR236" s="142"/>
      <c r="AS236" s="143"/>
      <c r="AT236" s="142"/>
      <c r="AU236" s="142"/>
      <c r="AV236" s="143"/>
      <c r="AW236" s="142"/>
      <c r="AX236" s="142"/>
      <c r="AY236" s="143"/>
    </row>
    <row r="237" spans="1:51" s="17" customFormat="1" ht="12" customHeight="1" x14ac:dyDescent="0.2">
      <c r="A237" s="138"/>
      <c r="B237" s="6" t="s">
        <v>452</v>
      </c>
      <c r="C237" s="130"/>
      <c r="D237" s="142"/>
      <c r="E237" s="142"/>
      <c r="F237" s="143"/>
      <c r="G237" s="142"/>
      <c r="H237" s="142"/>
      <c r="I237" s="143"/>
      <c r="J237" s="142"/>
      <c r="K237" s="142"/>
      <c r="L237" s="143"/>
      <c r="M237" s="298">
        <f>+M210/AVERAGE(L234:M234)</f>
        <v>1</v>
      </c>
      <c r="N237" s="298">
        <f>+N210/AVERAGE(M234:N234)</f>
        <v>1.8</v>
      </c>
      <c r="O237" s="300">
        <f>+O210/AVERAGE(L234,O234)</f>
        <v>3</v>
      </c>
      <c r="P237" s="298">
        <f>+P210/AVERAGE(O234:P234)</f>
        <v>1.5999999999999999</v>
      </c>
      <c r="Q237" s="298">
        <f>+Q210/AVERAGE(P234:Q234)</f>
        <v>1.3085</v>
      </c>
      <c r="R237" s="300">
        <f>+R210/AVERAGE(O234,R234)</f>
        <v>3.0954285714285712</v>
      </c>
      <c r="S237" s="298">
        <f>+S210/AVERAGE(R234:S234)</f>
        <v>1.22675</v>
      </c>
      <c r="T237" s="298">
        <f>+T210/AVERAGE(S234:T234)</f>
        <v>1.479800000000008</v>
      </c>
      <c r="U237" s="300">
        <f>+U210/AVERAGE(R234,U234)</f>
        <v>2.4612000000000078</v>
      </c>
      <c r="V237" s="298">
        <f>+V210/AVERAGE(U234:V234)</f>
        <v>1.1701307692307692</v>
      </c>
      <c r="W237" s="298">
        <f>+W210/AVERAGE(V234:W234)</f>
        <v>1.0358600000000056</v>
      </c>
      <c r="X237" s="300">
        <f>+X210/AVERAGE(U234,X234)</f>
        <v>2.1964000000000063</v>
      </c>
      <c r="Y237" s="298">
        <f>+Y210/AVERAGE(X234:Y234)</f>
        <v>1.1504647058823529</v>
      </c>
      <c r="Z237" s="298">
        <f>+Z210/AVERAGE(Y234:Z234)</f>
        <v>1.0222302631579003</v>
      </c>
      <c r="AA237" s="300">
        <f>+AA210/AVERAGE(X234,AA234)</f>
        <v>2.165570833333339</v>
      </c>
      <c r="AB237" s="298">
        <f>+AB210/AVERAGE(AA234:AB234)</f>
        <v>1.1408775</v>
      </c>
      <c r="AC237" s="298">
        <f>+AC210/AVERAGE(AB234:AC234)</f>
        <v>1.0682306250000058</v>
      </c>
      <c r="AD237" s="383">
        <f>+AD210/AVERAGE(AA234,AD234)</f>
        <v>2.209108125000006</v>
      </c>
      <c r="AE237" s="298">
        <f>+AE210/AVERAGE(AD234:AE234)</f>
        <v>1.2549652500000001</v>
      </c>
      <c r="AF237" s="298">
        <f>+AF210/AVERAGE(AE234:AF234)</f>
        <v>1.1750536875000066</v>
      </c>
      <c r="AG237" s="300">
        <f>+AG210/AVERAGE(AD234,AG234)</f>
        <v>2.4300189375000065</v>
      </c>
      <c r="AH237" s="298">
        <f>+AH210/AVERAGE(AG234:AH234)</f>
        <v>1.3804617750000001</v>
      </c>
      <c r="AI237" s="298">
        <f>+AI210/AVERAGE(AH234:AI234)</f>
        <v>1.2925590562500073</v>
      </c>
      <c r="AJ237" s="300">
        <f>+AJ210/AVERAGE(AG234,AJ234)</f>
        <v>2.6730208312500077</v>
      </c>
      <c r="AK237" s="298">
        <f>+AK210/AVERAGE(AJ234:AK234)</f>
        <v>1.5185079525000003</v>
      </c>
      <c r="AL237" s="298">
        <f>+AL210/AVERAGE(AK234:AL234)</f>
        <v>1.421814961875008</v>
      </c>
      <c r="AM237" s="300">
        <f>+AM210/AVERAGE(AJ234,AM234)</f>
        <v>2.9403229143750083</v>
      </c>
      <c r="AN237" s="298">
        <f>+AN210/AVERAGE(AM234:AN234)</f>
        <v>1.6703587477500004</v>
      </c>
      <c r="AO237" s="298">
        <f>+AO210/AVERAGE(AN234:AO234)</f>
        <v>1.563996458062509</v>
      </c>
      <c r="AP237" s="300">
        <f>+AP210/AVERAGE(AM234,AP234)</f>
        <v>3.23435520581251</v>
      </c>
      <c r="AQ237" s="298">
        <f>+AQ210/AVERAGE(AP234:AQ234)</f>
        <v>1.8373946225250006</v>
      </c>
      <c r="AR237" s="298">
        <f>+AR210/AVERAGE(AQ234:AR234)</f>
        <v>1.7203961038687603</v>
      </c>
      <c r="AS237" s="300">
        <f>+AS210/AVERAGE(AP234,AS234)</f>
        <v>3.5577907263937605</v>
      </c>
      <c r="AT237" s="298">
        <f>+AT210/AVERAGE(AS234:AT234)</f>
        <v>2.021134084777501</v>
      </c>
      <c r="AU237" s="298">
        <f>+AU210/AVERAGE(AT234:AU234)</f>
        <v>1.8924357142556363</v>
      </c>
      <c r="AV237" s="300">
        <f>+AV210/AVERAGE(AS234,AV234)</f>
        <v>3.9135697990331373</v>
      </c>
      <c r="AW237" s="298">
        <f>+AW210/AVERAGE(AV234:AW234)</f>
        <v>2.2232474932552515</v>
      </c>
      <c r="AX237" s="298">
        <f>+AX210/AVERAGE(AW234:AX234)</f>
        <v>2.0816792856811999</v>
      </c>
      <c r="AY237" s="300">
        <f>+AY210/AVERAGE(AV234,AY234)</f>
        <v>4.3049267789364514</v>
      </c>
    </row>
    <row r="238" spans="1:51" s="194" customFormat="1" ht="12" customHeight="1" x14ac:dyDescent="0.2">
      <c r="A238" s="190"/>
      <c r="B238" s="8" t="s">
        <v>453</v>
      </c>
      <c r="C238" s="131"/>
      <c r="D238" s="191"/>
      <c r="E238" s="191"/>
      <c r="F238" s="271"/>
      <c r="G238" s="191"/>
      <c r="H238" s="191"/>
      <c r="I238" s="271"/>
      <c r="J238" s="191"/>
      <c r="K238" s="191"/>
      <c r="L238" s="271"/>
      <c r="M238" s="191"/>
      <c r="N238" s="191"/>
      <c r="O238" s="271"/>
      <c r="P238" s="222">
        <f>+P237/M237-1</f>
        <v>0.59999999999999987</v>
      </c>
      <c r="Q238" s="222">
        <f t="shared" ref="Q238:R238" si="1227">+Q237/N237-1</f>
        <v>-0.27305555555555561</v>
      </c>
      <c r="R238" s="193">
        <f t="shared" si="1227"/>
        <v>3.1809523809523732E-2</v>
      </c>
      <c r="S238" s="222">
        <f>+S237/P237-1</f>
        <v>-0.23328124999999988</v>
      </c>
      <c r="T238" s="222">
        <f t="shared" ref="T238" si="1228">+T237/Q237-1</f>
        <v>0.13091325945740007</v>
      </c>
      <c r="U238" s="193">
        <f t="shared" ref="U238" si="1229">+U237/R237-1</f>
        <v>-0.20489200664574225</v>
      </c>
      <c r="V238" s="222">
        <f t="shared" ref="V238" si="1230">+V237/S237-1</f>
        <v>-4.6153846153846212E-2</v>
      </c>
      <c r="W238" s="222">
        <f t="shared" ref="W238" si="1231">+W237/T237-1</f>
        <v>-0.30000000000000004</v>
      </c>
      <c r="X238" s="193">
        <f t="shared" ref="X238:Y238" si="1232">+X237/U237-1</f>
        <v>-0.1075897935966198</v>
      </c>
      <c r="Y238" s="222">
        <f t="shared" si="1232"/>
        <v>-1.6806722689075571E-2</v>
      </c>
      <c r="Z238" s="222">
        <f t="shared" ref="Z238" si="1233">+Z237/W237-1</f>
        <v>-1.3157894736842035E-2</v>
      </c>
      <c r="AA238" s="193">
        <f t="shared" ref="AA238:AB238" si="1234">+AA237/X237-1</f>
        <v>-1.4036225945486813E-2</v>
      </c>
      <c r="AB238" s="222">
        <f t="shared" si="1234"/>
        <v>-8.3333333333333037E-3</v>
      </c>
      <c r="AC238" s="222">
        <f t="shared" ref="AC238" si="1235">+AC237/Z237-1</f>
        <v>4.4999999999999929E-2</v>
      </c>
      <c r="AD238" s="193">
        <f t="shared" ref="AD238:AE238" si="1236">+AD237/AA237-1</f>
        <v>2.010430275312336E-2</v>
      </c>
      <c r="AE238" s="222">
        <f t="shared" si="1236"/>
        <v>0.10000000000000009</v>
      </c>
      <c r="AF238" s="222">
        <f t="shared" ref="AF238" si="1237">+AF237/AC237-1</f>
        <v>0.10000000000000031</v>
      </c>
      <c r="AG238" s="193">
        <f t="shared" ref="AG238:AH238" si="1238">+AG237/AD237-1</f>
        <v>0.10000000000000009</v>
      </c>
      <c r="AH238" s="222">
        <f t="shared" si="1238"/>
        <v>9.9999999999999867E-2</v>
      </c>
      <c r="AI238" s="222">
        <f t="shared" ref="AI238" si="1239">+AI237/AF237-1</f>
        <v>0.10000000000000009</v>
      </c>
      <c r="AJ238" s="193">
        <f t="shared" ref="AJ238" si="1240">+AJ237/AG237-1</f>
        <v>0.10000000000000031</v>
      </c>
      <c r="AK238" s="222">
        <f t="shared" ref="AK238" si="1241">+AK237/AH237-1</f>
        <v>0.10000000000000009</v>
      </c>
      <c r="AL238" s="222">
        <f t="shared" ref="AL238" si="1242">+AL237/AI237-1</f>
        <v>9.9999999999999867E-2</v>
      </c>
      <c r="AM238" s="193">
        <f t="shared" ref="AM238" si="1243">+AM237/AJ237-1</f>
        <v>9.9999999999999867E-2</v>
      </c>
      <c r="AN238" s="222">
        <f t="shared" ref="AN238" si="1244">+AN237/AK237-1</f>
        <v>0.10000000000000009</v>
      </c>
      <c r="AO238" s="222">
        <f t="shared" ref="AO238" si="1245">+AO237/AL237-1</f>
        <v>0.10000000000000009</v>
      </c>
      <c r="AP238" s="193">
        <f t="shared" ref="AP238" si="1246">+AP237/AM237-1</f>
        <v>0.10000000000000031</v>
      </c>
      <c r="AQ238" s="222">
        <f t="shared" ref="AQ238" si="1247">+AQ237/AN237-1</f>
        <v>0.10000000000000009</v>
      </c>
      <c r="AR238" s="222">
        <f t="shared" ref="AR238" si="1248">+AR237/AO237-1</f>
        <v>0.10000000000000031</v>
      </c>
      <c r="AS238" s="193">
        <f t="shared" ref="AS238" si="1249">+AS237/AP237-1</f>
        <v>9.9999999999999867E-2</v>
      </c>
      <c r="AT238" s="222">
        <f t="shared" ref="AT238" si="1250">+AT237/AQ237-1</f>
        <v>0.10000000000000009</v>
      </c>
      <c r="AU238" s="222">
        <f t="shared" ref="AU238" si="1251">+AU237/AR237-1</f>
        <v>9.9999999999999867E-2</v>
      </c>
      <c r="AV238" s="193">
        <f t="shared" ref="AV238" si="1252">+AV237/AS237-1</f>
        <v>0.10000000000000031</v>
      </c>
      <c r="AW238" s="222">
        <f t="shared" ref="AW238" si="1253">+AW237/AT237-1</f>
        <v>0.10000000000000009</v>
      </c>
      <c r="AX238" s="222">
        <f t="shared" ref="AX238" si="1254">+AX237/AU237-1</f>
        <v>9.9999999999999867E-2</v>
      </c>
      <c r="AY238" s="193">
        <f t="shared" ref="AY238" si="1255">+AY237/AV237-1</f>
        <v>0.10000000000000009</v>
      </c>
    </row>
    <row r="239" spans="1:51" s="17" customFormat="1" ht="12" customHeight="1" x14ac:dyDescent="0.2">
      <c r="A239" s="138"/>
      <c r="B239" s="6"/>
      <c r="C239" s="130"/>
      <c r="D239" s="142"/>
      <c r="E239" s="142"/>
      <c r="F239" s="143"/>
      <c r="G239" s="142"/>
      <c r="H239" s="142"/>
      <c r="I239" s="143"/>
      <c r="J239" s="142"/>
      <c r="K239" s="142"/>
      <c r="L239" s="143"/>
      <c r="M239" s="142"/>
      <c r="N239" s="142"/>
      <c r="O239" s="143"/>
      <c r="P239" s="142"/>
      <c r="Q239" s="142"/>
      <c r="R239" s="143"/>
      <c r="S239" s="142"/>
      <c r="T239" s="142"/>
      <c r="U239" s="143"/>
      <c r="V239" s="142"/>
      <c r="W239" s="142"/>
      <c r="X239" s="143"/>
      <c r="Y239" s="142"/>
      <c r="Z239" s="142"/>
      <c r="AA239" s="143"/>
      <c r="AB239" s="142"/>
      <c r="AC239" s="142"/>
      <c r="AD239" s="143"/>
      <c r="AE239" s="142"/>
      <c r="AF239" s="142"/>
      <c r="AG239" s="143"/>
      <c r="AH239" s="142"/>
      <c r="AI239" s="142"/>
      <c r="AJ239" s="143"/>
      <c r="AK239" s="142"/>
      <c r="AL239" s="142"/>
      <c r="AM239" s="143"/>
      <c r="AN239" s="142"/>
      <c r="AO239" s="142"/>
      <c r="AP239" s="143"/>
      <c r="AQ239" s="142"/>
      <c r="AR239" s="142"/>
      <c r="AS239" s="143"/>
      <c r="AT239" s="142"/>
      <c r="AU239" s="142"/>
      <c r="AV239" s="143"/>
      <c r="AW239" s="142"/>
      <c r="AX239" s="142"/>
      <c r="AY239" s="143"/>
    </row>
    <row r="240" spans="1:51" s="17" customFormat="1" ht="12" customHeight="1" x14ac:dyDescent="0.2">
      <c r="A240" s="138"/>
      <c r="B240" s="6" t="s">
        <v>455</v>
      </c>
      <c r="C240" s="130"/>
      <c r="D240" s="142"/>
      <c r="E240" s="142"/>
      <c r="F240" s="143"/>
      <c r="G240" s="142"/>
      <c r="H240" s="142"/>
      <c r="I240" s="143"/>
      <c r="J240" s="142"/>
      <c r="K240" s="142"/>
      <c r="L240" s="143"/>
      <c r="M240" s="298">
        <f>+M212/AVERAGE(L234:M234)</f>
        <v>-0.13333333333333333</v>
      </c>
      <c r="N240" s="298">
        <f>+N212/AVERAGE(M234:N234)</f>
        <v>-0.24000000000000005</v>
      </c>
      <c r="O240" s="300">
        <f>+O212/AVERAGE(L234,O234)</f>
        <v>-0.4</v>
      </c>
      <c r="P240" s="298">
        <f>+P212/AVERAGE(O234:P234)</f>
        <v>-0.14285714285714285</v>
      </c>
      <c r="Q240" s="298">
        <f>+Q212/AVERAGE(P234:Q234)</f>
        <v>-0.125</v>
      </c>
      <c r="R240" s="300">
        <f>+R212/AVERAGE(O234,R234)</f>
        <v>-0.2857142857142857</v>
      </c>
      <c r="S240" s="298">
        <f>+S212/AVERAGE(R234:S234)</f>
        <v>-0.32974999999999999</v>
      </c>
      <c r="T240" s="298">
        <f>+T212/AVERAGE(S234:T234)</f>
        <v>-0.75660000000000005</v>
      </c>
      <c r="U240" s="300">
        <f>+U212/AVERAGE(R234,U234)</f>
        <v>-1.0204</v>
      </c>
      <c r="V240" s="298">
        <f>+V212/AVERAGE(U234:V234)</f>
        <v>-0.5850653846153846</v>
      </c>
      <c r="W240" s="298">
        <f>+W212/AVERAGE(V234:W234)</f>
        <v>-0.51793000000000278</v>
      </c>
      <c r="X240" s="300">
        <f>+X212/AVERAGE(U234,X234)</f>
        <v>-1.0982000000000025</v>
      </c>
      <c r="Y240" s="298">
        <f>+Y212/AVERAGE(X234:Y234)</f>
        <v>-0.51770911764705885</v>
      </c>
      <c r="Z240" s="298">
        <f>+Z212/AVERAGE(Y234:Z234)</f>
        <v>-0.46000361842105508</v>
      </c>
      <c r="AA240" s="300">
        <f>+AA212/AVERAGE(X234,AA234)</f>
        <v>-0.97450687500000255</v>
      </c>
      <c r="AB240" s="298">
        <f>+AB212/AVERAGE(AA234:AB234)</f>
        <v>-0.45635100000000001</v>
      </c>
      <c r="AC240" s="298">
        <f>+AC212/AVERAGE(AB234:AC234)</f>
        <v>-0.42729225000000237</v>
      </c>
      <c r="AD240" s="300">
        <f>+AD212/AVERAGE(AA234,AD234)</f>
        <v>-0.88364325000000221</v>
      </c>
      <c r="AE240" s="298">
        <f>+AE212/AVERAGE(AD234:AE234)</f>
        <v>-0.5019861000000001</v>
      </c>
      <c r="AF240" s="298">
        <f>+AF212/AVERAGE(AE234:AF234)</f>
        <v>-0.47002147500000263</v>
      </c>
      <c r="AG240" s="300">
        <f>+AG212/AVERAGE(AD234,AG234)</f>
        <v>-0.97200757500000279</v>
      </c>
      <c r="AH240" s="298">
        <f>+AH212/AVERAGE(AG234:AH234)</f>
        <v>-0.55218471000000013</v>
      </c>
      <c r="AI240" s="298">
        <f>+AI212/AVERAGE(AH234:AI234)</f>
        <v>-0.51702362250000289</v>
      </c>
      <c r="AJ240" s="300">
        <f>+AJ212/AVERAGE(AG234,AJ234)</f>
        <v>-1.0692083325000035</v>
      </c>
      <c r="AK240" s="298">
        <f>+AK212/AVERAGE(AJ234:AK234)</f>
        <v>-0.60740318100000013</v>
      </c>
      <c r="AL240" s="298">
        <f>+AL212/AVERAGE(AK234:AL234)</f>
        <v>-0.56872598475000324</v>
      </c>
      <c r="AM240" s="300">
        <f>+AM212/AVERAGE(AJ234,AM234)</f>
        <v>-1.1761291657500039</v>
      </c>
      <c r="AN240" s="298">
        <f>+AN212/AVERAGE(AM234:AN234)</f>
        <v>-0.66814349910000026</v>
      </c>
      <c r="AO240" s="298">
        <f>+AO212/AVERAGE(AN234:AO234)</f>
        <v>-0.62559858322500372</v>
      </c>
      <c r="AP240" s="300">
        <f>+AP212/AVERAGE(AM234,AP234)</f>
        <v>-1.2937420823250037</v>
      </c>
      <c r="AQ240" s="298">
        <f>+AQ212/AVERAGE(AP234:AQ234)</f>
        <v>-0.73495784901000027</v>
      </c>
      <c r="AR240" s="298">
        <f>+AR212/AVERAGE(AQ234:AR234)</f>
        <v>-0.68815844154750416</v>
      </c>
      <c r="AS240" s="300">
        <f>+AS212/AVERAGE(AP234,AS234)</f>
        <v>-1.4231162905575048</v>
      </c>
      <c r="AT240" s="298">
        <f>+AT212/AVERAGE(AS234:AT234)</f>
        <v>-0.80845363391100045</v>
      </c>
      <c r="AU240" s="298">
        <f>+AU212/AVERAGE(AT234:AU234)</f>
        <v>-0.75697428570225456</v>
      </c>
      <c r="AV240" s="300">
        <f>+AV212/AVERAGE(AS234,AV234)</f>
        <v>-1.5654279196132557</v>
      </c>
      <c r="AW240" s="298">
        <f>+AW212/AVERAGE(AV234:AW234)</f>
        <v>-0.8892989973021006</v>
      </c>
      <c r="AX240" s="298">
        <f>+AX212/AVERAGE(AW234:AX234)</f>
        <v>-0.8326717142724801</v>
      </c>
      <c r="AY240" s="300">
        <f>+AY212/AVERAGE(AV234,AY234)</f>
        <v>-1.7219707115745813</v>
      </c>
    </row>
    <row r="241" spans="1:51" s="17" customFormat="1" ht="12" customHeight="1" x14ac:dyDescent="0.2">
      <c r="A241" s="138"/>
      <c r="B241" s="8" t="s">
        <v>456</v>
      </c>
      <c r="C241" s="130"/>
      <c r="D241" s="142"/>
      <c r="E241" s="142"/>
      <c r="F241" s="143"/>
      <c r="G241" s="142"/>
      <c r="H241" s="142"/>
      <c r="I241" s="143"/>
      <c r="J241" s="142"/>
      <c r="K241" s="142"/>
      <c r="L241" s="143"/>
      <c r="M241" s="191"/>
      <c r="N241" s="191"/>
      <c r="O241" s="271"/>
      <c r="P241" s="222">
        <f>+P240/M240-1</f>
        <v>7.1428571428571397E-2</v>
      </c>
      <c r="Q241" s="222">
        <f t="shared" ref="Q241" si="1256">+Q240/N240-1</f>
        <v>-0.47916666666666674</v>
      </c>
      <c r="R241" s="193">
        <f t="shared" ref="R241" si="1257">+R240/O240-1</f>
        <v>-0.28571428571428581</v>
      </c>
      <c r="S241" s="222">
        <f>+S240/P240-1</f>
        <v>1.3082500000000001</v>
      </c>
      <c r="T241" s="222">
        <f t="shared" ref="T241" si="1258">+T240/Q240-1</f>
        <v>5.0528000000000004</v>
      </c>
      <c r="U241" s="193">
        <f t="shared" ref="U241" si="1259">+U240/R240-1</f>
        <v>2.5714000000000001</v>
      </c>
      <c r="V241" s="222">
        <f t="shared" ref="V241" si="1260">+V240/S240-1</f>
        <v>0.77426955152504817</v>
      </c>
      <c r="W241" s="222">
        <f t="shared" ref="W241" si="1261">+W240/T240-1</f>
        <v>-0.31545070050224322</v>
      </c>
      <c r="X241" s="193">
        <f t="shared" ref="X241:Y241" si="1262">+X240/U240-1</f>
        <v>7.6244609956882092E-2</v>
      </c>
      <c r="Y241" s="222">
        <f t="shared" si="1262"/>
        <v>-0.11512605042016799</v>
      </c>
      <c r="Z241" s="222">
        <f t="shared" ref="Z241" si="1263">+Z240/W240-1</f>
        <v>-0.11184210526315796</v>
      </c>
      <c r="AA241" s="193">
        <f t="shared" ref="AA241:AB241" si="1264">+AA240/X240-1</f>
        <v>-0.11263260335093761</v>
      </c>
      <c r="AB241" s="222">
        <f t="shared" si="1264"/>
        <v>-0.11851851851851858</v>
      </c>
      <c r="AC241" s="222">
        <f t="shared" ref="AC241" si="1265">+AC240/Z240-1</f>
        <v>-7.1111111111110903E-2</v>
      </c>
      <c r="AD241" s="193">
        <f t="shared" ref="AD241:AE241" si="1266">+AD240/AA240-1</f>
        <v>-9.3240619775001643E-2</v>
      </c>
      <c r="AE241" s="222">
        <f t="shared" si="1266"/>
        <v>0.10000000000000031</v>
      </c>
      <c r="AF241" s="222">
        <f t="shared" ref="AF241" si="1267">+AF240/AC240-1</f>
        <v>0.10000000000000009</v>
      </c>
      <c r="AG241" s="193">
        <f t="shared" ref="AG241:AH241" si="1268">+AG240/AD240-1</f>
        <v>0.10000000000000031</v>
      </c>
      <c r="AH241" s="222">
        <f t="shared" si="1268"/>
        <v>0.10000000000000009</v>
      </c>
      <c r="AI241" s="222">
        <f t="shared" ref="AI241" si="1269">+AI240/AF240-1</f>
        <v>0.10000000000000009</v>
      </c>
      <c r="AJ241" s="193">
        <f t="shared" ref="AJ241" si="1270">+AJ240/AG240-1</f>
        <v>0.10000000000000031</v>
      </c>
      <c r="AK241" s="222">
        <f t="shared" ref="AK241" si="1271">+AK240/AH240-1</f>
        <v>9.9999999999999867E-2</v>
      </c>
      <c r="AL241" s="222">
        <f t="shared" ref="AL241" si="1272">+AL240/AI240-1</f>
        <v>0.10000000000000009</v>
      </c>
      <c r="AM241" s="193">
        <f t="shared" ref="AM241" si="1273">+AM240/AJ240-1</f>
        <v>0.10000000000000009</v>
      </c>
      <c r="AN241" s="222">
        <f t="shared" ref="AN241" si="1274">+AN240/AK240-1</f>
        <v>0.10000000000000031</v>
      </c>
      <c r="AO241" s="222">
        <f t="shared" ref="AO241" si="1275">+AO240/AL240-1</f>
        <v>0.10000000000000031</v>
      </c>
      <c r="AP241" s="193">
        <f t="shared" ref="AP241" si="1276">+AP240/AM240-1</f>
        <v>9.9999999999999423E-2</v>
      </c>
      <c r="AQ241" s="222">
        <f t="shared" ref="AQ241" si="1277">+AQ240/AN240-1</f>
        <v>0.10000000000000009</v>
      </c>
      <c r="AR241" s="222">
        <f t="shared" ref="AR241" si="1278">+AR240/AO240-1</f>
        <v>0.10000000000000009</v>
      </c>
      <c r="AS241" s="193">
        <f t="shared" ref="AS241" si="1279">+AS240/AP240-1</f>
        <v>0.10000000000000053</v>
      </c>
      <c r="AT241" s="222">
        <f t="shared" ref="AT241" si="1280">+AT240/AQ240-1</f>
        <v>0.10000000000000009</v>
      </c>
      <c r="AU241" s="222">
        <f t="shared" ref="AU241" si="1281">+AU240/AR240-1</f>
        <v>9.9999999999999867E-2</v>
      </c>
      <c r="AV241" s="193">
        <f t="shared" ref="AV241" si="1282">+AV240/AS240-1</f>
        <v>0.10000000000000031</v>
      </c>
      <c r="AW241" s="222">
        <f t="shared" ref="AW241" si="1283">+AW240/AT240-1</f>
        <v>0.10000000000000009</v>
      </c>
      <c r="AX241" s="222">
        <f t="shared" ref="AX241" si="1284">+AX240/AU240-1</f>
        <v>0.10000000000000009</v>
      </c>
      <c r="AY241" s="193">
        <f t="shared" ref="AY241" si="1285">+AY240/AV240-1</f>
        <v>0.10000000000000009</v>
      </c>
    </row>
    <row r="242" spans="1:51" s="17" customFormat="1" ht="12" customHeight="1" x14ac:dyDescent="0.2">
      <c r="A242" s="138"/>
      <c r="B242" s="6"/>
      <c r="C242" s="130"/>
      <c r="D242" s="142"/>
      <c r="E242" s="142"/>
      <c r="F242" s="143"/>
      <c r="G242" s="142"/>
      <c r="H242" s="142"/>
      <c r="I242" s="143"/>
      <c r="J242" s="142"/>
      <c r="K242" s="142"/>
      <c r="L242" s="143"/>
      <c r="M242" s="142"/>
      <c r="N242" s="142"/>
      <c r="O242" s="143"/>
      <c r="P242" s="142"/>
      <c r="Q242" s="142"/>
      <c r="R242" s="143"/>
      <c r="S242" s="142"/>
      <c r="T242" s="142"/>
      <c r="U242" s="143"/>
      <c r="V242" s="142"/>
      <c r="W242" s="142"/>
      <c r="X242" s="143"/>
      <c r="Y242" s="142"/>
      <c r="Z242" s="142"/>
      <c r="AA242" s="143"/>
      <c r="AB242" s="142"/>
      <c r="AC242" s="142"/>
      <c r="AD242" s="143"/>
      <c r="AE242" s="142"/>
      <c r="AF242" s="142"/>
      <c r="AG242" s="143"/>
      <c r="AH242" s="142"/>
      <c r="AI242" s="142"/>
      <c r="AJ242" s="143"/>
      <c r="AK242" s="142"/>
      <c r="AL242" s="142"/>
      <c r="AM242" s="143"/>
      <c r="AN242" s="142"/>
      <c r="AO242" s="142"/>
      <c r="AP242" s="143"/>
      <c r="AQ242" s="142"/>
      <c r="AR242" s="142"/>
      <c r="AS242" s="143"/>
      <c r="AT242" s="142"/>
      <c r="AU242" s="142"/>
      <c r="AV242" s="143"/>
      <c r="AW242" s="142"/>
      <c r="AX242" s="142"/>
      <c r="AY242" s="143"/>
    </row>
    <row r="243" spans="1:51" s="17" customFormat="1" ht="12" customHeight="1" x14ac:dyDescent="0.2">
      <c r="A243" s="138"/>
      <c r="B243" s="6" t="s">
        <v>457</v>
      </c>
      <c r="C243" s="130"/>
      <c r="D243" s="142"/>
      <c r="E243" s="142"/>
      <c r="F243" s="143"/>
      <c r="G243" s="142"/>
      <c r="H243" s="142"/>
      <c r="I243" s="143"/>
      <c r="J243" s="142"/>
      <c r="K243" s="142"/>
      <c r="L243" s="143"/>
      <c r="M243" s="298">
        <f>+M214/AVERAGE(L234:M234)</f>
        <v>-1.1333333333333333</v>
      </c>
      <c r="N243" s="298">
        <f>+N214/AVERAGE(M234:N234)</f>
        <v>-1.0384</v>
      </c>
      <c r="O243" s="300">
        <f>+O214/AVERAGE(L234,O234)</f>
        <v>-2.1480000000000001</v>
      </c>
      <c r="P243" s="298">
        <f>+P214/AVERAGE(O234:P234)</f>
        <v>-0.88571428571428579</v>
      </c>
      <c r="Q243" s="298">
        <f>+Q214/AVERAGE(P234:Q234)</f>
        <v>-0.86099999999999988</v>
      </c>
      <c r="R243" s="300">
        <f>+R214/AVERAGE(O234,R234)</f>
        <v>-1.8697142857142857</v>
      </c>
      <c r="S243" s="298">
        <f>+S214/AVERAGE(R234:S234)</f>
        <v>-1.2535000000000001</v>
      </c>
      <c r="T243" s="298">
        <f>+T214/AVERAGE(S234:T234)</f>
        <v>-1.6420000000000001</v>
      </c>
      <c r="U243" s="300">
        <f>+U214/AVERAGE(R234,U234)</f>
        <v>-2.6448</v>
      </c>
      <c r="V243" s="298">
        <f>+V214/AVERAGE(U234:V234)</f>
        <v>-1.1961615384615385</v>
      </c>
      <c r="W243" s="298">
        <f>+W214/AVERAGE(V234:W234)</f>
        <v>-1.1524666666666694</v>
      </c>
      <c r="X243" s="300">
        <f>+X214/AVERAGE(U234,X234)</f>
        <v>-2.3455071428571452</v>
      </c>
      <c r="Y243" s="298">
        <f>+Y214/AVERAGE(X234:Y234)</f>
        <v>-1.0083833823529411</v>
      </c>
      <c r="Z243" s="298">
        <f>+Z214/AVERAGE(Y234:Z234)</f>
        <v>-0.98600111842105509</v>
      </c>
      <c r="AA243" s="300">
        <f>+AA214/AVERAGE(X234,AA234)</f>
        <v>-1.9931410416666695</v>
      </c>
      <c r="AB243" s="298">
        <f>+AB214/AVERAGE(AA234:AB234)</f>
        <v>-0.89427778125000013</v>
      </c>
      <c r="AC243" s="298">
        <f>+AC214/AVERAGE(AB234:AC234)</f>
        <v>-0.95197475625000261</v>
      </c>
      <c r="AD243" s="300">
        <f>+AD214/AVERAGE(AA234,AD234)</f>
        <v>-1.8462525375000023</v>
      </c>
      <c r="AE243" s="298">
        <f>+AE214/AVERAGE(AD234:AE234)</f>
        <v>-0.96180922031250016</v>
      </c>
      <c r="AF243" s="298">
        <f>+AF214/AVERAGE(AE234:AF234)</f>
        <v>-1.0209381065625027</v>
      </c>
      <c r="AG243" s="300">
        <f>+AG214/AVERAGE(AD234,AG234)</f>
        <v>-1.9827473268750029</v>
      </c>
      <c r="AH243" s="298">
        <f>+AH214/AVERAGE(AG234:AH234)</f>
        <v>-1.0349989863281253</v>
      </c>
      <c r="AI243" s="298">
        <f>+AI214/AVERAGE(AH234:AI234)</f>
        <v>-1.0954860856406281</v>
      </c>
      <c r="AJ243" s="300">
        <f>+AJ214/AVERAGE(AG234,AJ234)</f>
        <v>-2.1304850719687538</v>
      </c>
      <c r="AK243" s="298">
        <f>+AK214/AVERAGE(AJ234:AK234)</f>
        <v>-1.1143581711445314</v>
      </c>
      <c r="AL243" s="298">
        <f>+AL214/AVERAGE(AK234:AL234)</f>
        <v>-1.17611157104766</v>
      </c>
      <c r="AM243" s="300">
        <f>+AM214/AVERAGE(AJ234,AM234)</f>
        <v>-2.2904697421921916</v>
      </c>
      <c r="AN243" s="298">
        <f>+AN214/AVERAGE(AM234:AN234)</f>
        <v>-1.200446238751758</v>
      </c>
      <c r="AO243" s="298">
        <f>+AO214/AVERAGE(AN234:AO234)</f>
        <v>-1.2633534488375431</v>
      </c>
      <c r="AP243" s="300">
        <f>+AP214/AVERAGE(AM234,AP234)</f>
        <v>-2.4637996875893009</v>
      </c>
      <c r="AQ243" s="298">
        <f>+AQ214/AVERAGE(AP234:AQ234)</f>
        <v>-1.2938757256443461</v>
      </c>
      <c r="AR243" s="298">
        <f>+AR214/AVERAGE(AQ234:AR234)</f>
        <v>-1.3578010504406703</v>
      </c>
      <c r="AS243" s="300">
        <f>+AS214/AVERAGE(AP234,AS234)</f>
        <v>-2.6516767760850168</v>
      </c>
      <c r="AT243" s="298">
        <f>+AT214/AVERAGE(AS234:AT234)</f>
        <v>-1.3953174043770635</v>
      </c>
      <c r="AU243" s="298">
        <f>+AU214/AVERAGE(AT234:AU234)</f>
        <v>-1.4600990250400792</v>
      </c>
      <c r="AV243" s="300">
        <f>+AV214/AVERAGE(AS234,AV234)</f>
        <v>-2.8554164294171436</v>
      </c>
      <c r="AW243" s="298">
        <f>+AW214/AVERAGE(AV234:AW234)</f>
        <v>-1.505505956291467</v>
      </c>
      <c r="AX243" s="298">
        <f>+AX214/AVERAGE(AW234:AX234)</f>
        <v>-1.570952690577196</v>
      </c>
      <c r="AY243" s="300">
        <f>+AY214/AVERAGE(AV234,AY234)</f>
        <v>-3.0764586468686632</v>
      </c>
    </row>
    <row r="244" spans="1:51" s="17" customFormat="1" ht="12" customHeight="1" x14ac:dyDescent="0.2">
      <c r="A244" s="138"/>
      <c r="B244" s="8" t="s">
        <v>457</v>
      </c>
      <c r="C244" s="130"/>
      <c r="D244" s="142"/>
      <c r="E244" s="142"/>
      <c r="F244" s="143"/>
      <c r="G244" s="142"/>
      <c r="H244" s="142"/>
      <c r="I244" s="143"/>
      <c r="J244" s="142"/>
      <c r="K244" s="142"/>
      <c r="L244" s="143"/>
      <c r="M244" s="191"/>
      <c r="N244" s="191"/>
      <c r="O244" s="271"/>
      <c r="P244" s="222">
        <f>+P243/M243-1</f>
        <v>-0.21848739495798308</v>
      </c>
      <c r="Q244" s="222">
        <f t="shared" ref="Q244" si="1286">+Q243/N243-1</f>
        <v>-0.17083975346687219</v>
      </c>
      <c r="R244" s="193">
        <f t="shared" ref="R244" si="1287">+R243/O243-1</f>
        <v>-0.12955573290768829</v>
      </c>
      <c r="S244" s="222">
        <f>+S243/P243-1</f>
        <v>0.41524193548387101</v>
      </c>
      <c r="T244" s="222">
        <f t="shared" ref="T244" si="1288">+T243/Q243-1</f>
        <v>0.90708478513356594</v>
      </c>
      <c r="U244" s="193">
        <f t="shared" ref="U244" si="1289">+U243/R243-1</f>
        <v>0.41454767726161368</v>
      </c>
      <c r="V244" s="222">
        <f t="shared" ref="V244" si="1290">+V243/S243-1</f>
        <v>-4.5742689699610373E-2</v>
      </c>
      <c r="W244" s="222">
        <f t="shared" ref="W244" si="1291">+W243/T243-1</f>
        <v>-0.29813235891189449</v>
      </c>
      <c r="X244" s="193">
        <f t="shared" ref="X244:Y244" si="1292">+X243/U243-1</f>
        <v>-0.11316275602800019</v>
      </c>
      <c r="Y244" s="222">
        <f t="shared" si="1292"/>
        <v>-0.15698394411687167</v>
      </c>
      <c r="Z244" s="222">
        <f t="shared" ref="Z244" si="1293">+Z243/W243-1</f>
        <v>-0.14444283124221724</v>
      </c>
      <c r="AA244" s="193">
        <f t="shared" ref="AA244:AB244" si="1294">+AA243/X243-1</f>
        <v>-0.15023024008413211</v>
      </c>
      <c r="AB244" s="222">
        <f t="shared" si="1294"/>
        <v>-0.11315696301607958</v>
      </c>
      <c r="AC244" s="222">
        <f t="shared" ref="AC244" si="1295">+AC243/Z243-1</f>
        <v>-3.4509455958367519E-2</v>
      </c>
      <c r="AD244" s="193">
        <f t="shared" ref="AD244:AE244" si="1296">+AD243/AA243-1</f>
        <v>-7.36969943902408E-2</v>
      </c>
      <c r="AE244" s="222">
        <f t="shared" si="1296"/>
        <v>7.5515058607523722E-2</v>
      </c>
      <c r="AF244" s="222">
        <f t="shared" ref="AF244" si="1297">+AF243/AC243-1</f>
        <v>7.2442414948227229E-2</v>
      </c>
      <c r="AG244" s="193">
        <f t="shared" ref="AG244:AH244" si="1298">+AG243/AD243-1</f>
        <v>7.3930725403268616E-2</v>
      </c>
      <c r="AH244" s="222">
        <f t="shared" si="1298"/>
        <v>7.6095928870223428E-2</v>
      </c>
      <c r="AI244" s="222">
        <f t="shared" ref="AI244" si="1299">+AI243/AF243-1</f>
        <v>7.3019097434934954E-2</v>
      </c>
      <c r="AJ244" s="193">
        <f t="shared" ref="AJ244" si="1300">+AJ243/AG243-1</f>
        <v>7.451163498810498E-2</v>
      </c>
      <c r="AK244" s="222">
        <f t="shared" ref="AK244" si="1301">+AK243/AH243-1</f>
        <v>7.6675615980986933E-2</v>
      </c>
      <c r="AL244" s="222">
        <f t="shared" ref="AL244" si="1302">+AL243/AI243-1</f>
        <v>7.3597909150879826E-2</v>
      </c>
      <c r="AM244" s="193">
        <f t="shared" ref="AM244" si="1303">+AM243/AJ243-1</f>
        <v>7.5093072619184298E-2</v>
      </c>
      <c r="AN244" s="222">
        <f t="shared" ref="AN244" si="1304">+AN243/AK243-1</f>
        <v>7.7253498773026896E-2</v>
      </c>
      <c r="AO244" s="222">
        <f t="shared" ref="AO244" si="1305">+AO243/AL243-1</f>
        <v>7.4178232692812873E-2</v>
      </c>
      <c r="AP244" s="193">
        <f t="shared" ref="AP244" si="1306">+AP243/AM243-1</f>
        <v>7.5674409578192714E-2</v>
      </c>
      <c r="AQ244" s="222">
        <f t="shared" ref="AQ244" si="1307">+AQ243/AN243-1</f>
        <v>7.782896382743254E-2</v>
      </c>
      <c r="AR244" s="222">
        <f t="shared" ref="AR244" si="1308">+AR243/AO243-1</f>
        <v>7.475944415241198E-2</v>
      </c>
      <c r="AS244" s="193">
        <f t="shared" ref="AS244" si="1309">+AS243/AP243-1</f>
        <v>7.6255017582027573E-2</v>
      </c>
      <c r="AT244" s="222">
        <f t="shared" ref="AT244" si="1310">+AT243/AQ243-1</f>
        <v>7.8401408050374988E-2</v>
      </c>
      <c r="AU244" s="222">
        <f t="shared" ref="AU244" si="1311">+AU243/AR243-1</f>
        <v>7.5340915788957741E-2</v>
      </c>
      <c r="AV244" s="193">
        <f t="shared" ref="AV244" si="1312">+AV243/AS243-1</f>
        <v>7.683427149553701E-2</v>
      </c>
      <c r="AW244" s="222">
        <f t="shared" ref="AW244" si="1313">+AW243/AT243-1</f>
        <v>7.8970241157134247E-2</v>
      </c>
      <c r="AX244" s="222">
        <f t="shared" ref="AX244" si="1314">+AX243/AU243-1</f>
        <v>7.5922018737101693E-2</v>
      </c>
      <c r="AY244" s="193">
        <f t="shared" ref="AY244" si="1315">+AY243/AV243-1</f>
        <v>7.7411552015423268E-2</v>
      </c>
    </row>
    <row r="245" spans="1:51" s="17" customFormat="1" ht="12" customHeight="1" x14ac:dyDescent="0.2">
      <c r="A245" s="138"/>
      <c r="B245" s="6"/>
      <c r="C245" s="130"/>
      <c r="D245" s="142"/>
      <c r="E245" s="142"/>
      <c r="F245" s="143"/>
      <c r="G245" s="142"/>
      <c r="H245" s="142"/>
      <c r="I245" s="143"/>
      <c r="J245" s="142"/>
      <c r="K245" s="142"/>
      <c r="L245" s="143"/>
      <c r="M245" s="142"/>
      <c r="N245" s="142"/>
      <c r="O245" s="143"/>
      <c r="P245" s="142"/>
      <c r="Q245" s="142"/>
      <c r="R245" s="143"/>
      <c r="S245" s="142"/>
      <c r="T245" s="142"/>
      <c r="U245" s="143"/>
      <c r="V245" s="142"/>
      <c r="W245" s="142"/>
      <c r="X245" s="143"/>
      <c r="Y245" s="142"/>
      <c r="Z245" s="142"/>
      <c r="AA245" s="143"/>
      <c r="AB245" s="142"/>
      <c r="AC245" s="142"/>
      <c r="AD245" s="143"/>
      <c r="AE245" s="142"/>
      <c r="AF245" s="142"/>
      <c r="AG245" s="143"/>
      <c r="AH245" s="142"/>
      <c r="AI245" s="142"/>
      <c r="AJ245" s="143"/>
      <c r="AK245" s="142"/>
      <c r="AL245" s="142"/>
      <c r="AM245" s="143"/>
      <c r="AN245" s="142"/>
      <c r="AO245" s="142"/>
      <c r="AP245" s="143"/>
      <c r="AQ245" s="142"/>
      <c r="AR245" s="142"/>
      <c r="AS245" s="143"/>
      <c r="AT245" s="142"/>
      <c r="AU245" s="142"/>
      <c r="AV245" s="143"/>
      <c r="AW245" s="142"/>
      <c r="AX245" s="142"/>
      <c r="AY245" s="143"/>
    </row>
    <row r="246" spans="1:51" s="17" customFormat="1" ht="12" customHeight="1" x14ac:dyDescent="0.2">
      <c r="A246" s="138"/>
      <c r="B246" s="6"/>
      <c r="C246" s="130"/>
      <c r="D246" s="142"/>
      <c r="E246" s="142"/>
      <c r="F246" s="143"/>
      <c r="G246" s="142"/>
      <c r="H246" s="142"/>
      <c r="I246" s="143"/>
      <c r="J246" s="142"/>
      <c r="K246" s="142"/>
      <c r="L246" s="143"/>
      <c r="M246" s="142"/>
      <c r="N246" s="142"/>
      <c r="O246" s="143"/>
      <c r="P246" s="142"/>
      <c r="Q246" s="142"/>
      <c r="R246" s="143"/>
      <c r="S246" s="142"/>
      <c r="T246" s="142"/>
      <c r="U246" s="143"/>
      <c r="V246" s="142"/>
      <c r="W246" s="142"/>
      <c r="X246" s="143"/>
      <c r="Y246" s="142"/>
      <c r="Z246" s="142"/>
      <c r="AA246" s="143"/>
      <c r="AB246" s="142"/>
      <c r="AC246" s="142"/>
      <c r="AD246" s="143"/>
      <c r="AE246" s="142"/>
      <c r="AF246" s="142"/>
      <c r="AG246" s="143"/>
      <c r="AH246" s="142"/>
      <c r="AI246" s="142"/>
      <c r="AJ246" s="143"/>
      <c r="AK246" s="142"/>
      <c r="AL246" s="142"/>
      <c r="AM246" s="143"/>
      <c r="AN246" s="142"/>
      <c r="AO246" s="142"/>
      <c r="AP246" s="143"/>
      <c r="AQ246" s="142"/>
      <c r="AR246" s="142"/>
      <c r="AS246" s="143"/>
      <c r="AT246" s="142"/>
      <c r="AU246" s="142"/>
      <c r="AV246" s="143"/>
      <c r="AW246" s="142"/>
      <c r="AX246" s="142"/>
      <c r="AY246" s="143"/>
    </row>
    <row r="247" spans="1:51" s="17" customFormat="1" ht="12" customHeight="1" x14ac:dyDescent="0.2">
      <c r="A247" s="14"/>
      <c r="B247" s="10" t="s">
        <v>422</v>
      </c>
      <c r="C247" s="130"/>
      <c r="D247" s="142"/>
      <c r="E247" s="142"/>
      <c r="F247" s="143"/>
      <c r="G247" s="142"/>
      <c r="H247" s="142"/>
      <c r="I247" s="143"/>
      <c r="J247" s="142"/>
      <c r="K247" s="142"/>
      <c r="L247" s="143"/>
      <c r="M247" s="142"/>
      <c r="N247" s="142"/>
      <c r="O247" s="143"/>
      <c r="P247" s="142"/>
      <c r="Q247" s="142"/>
      <c r="R247" s="143"/>
      <c r="S247" s="142"/>
      <c r="T247" s="142"/>
      <c r="U247" s="143"/>
      <c r="V247" s="142"/>
      <c r="W247" s="142"/>
      <c r="X247" s="143"/>
      <c r="Y247" s="142"/>
      <c r="Z247" s="142"/>
      <c r="AA247" s="143"/>
      <c r="AB247" s="142"/>
      <c r="AC247" s="142"/>
      <c r="AD247" s="143"/>
      <c r="AE247" s="142"/>
      <c r="AF247" s="142"/>
      <c r="AG247" s="143"/>
      <c r="AH247" s="142"/>
      <c r="AI247" s="142"/>
      <c r="AJ247" s="143"/>
      <c r="AK247" s="142"/>
      <c r="AL247" s="142"/>
      <c r="AM247" s="143"/>
      <c r="AN247" s="142"/>
      <c r="AO247" s="142"/>
      <c r="AP247" s="143"/>
      <c r="AQ247" s="142"/>
      <c r="AR247" s="142"/>
      <c r="AS247" s="143"/>
      <c r="AT247" s="142"/>
      <c r="AU247" s="142"/>
      <c r="AV247" s="143"/>
      <c r="AW247" s="142"/>
      <c r="AX247" s="142"/>
      <c r="AY247" s="143"/>
    </row>
    <row r="248" spans="1:51" s="194" customFormat="1" ht="12" customHeight="1" x14ac:dyDescent="0.2">
      <c r="A248" s="190"/>
      <c r="B248" s="8" t="s">
        <v>465</v>
      </c>
      <c r="C248" s="131"/>
      <c r="D248" s="191"/>
      <c r="E248" s="191"/>
      <c r="F248" s="271"/>
      <c r="G248" s="191"/>
      <c r="H248" s="191"/>
      <c r="I248" s="271"/>
      <c r="J248" s="191"/>
      <c r="K248" s="191"/>
      <c r="L248" s="271"/>
      <c r="M248" s="273">
        <f>+M210/O210</f>
        <v>0.25</v>
      </c>
      <c r="N248" s="273">
        <f>+N210/O210</f>
        <v>0.75</v>
      </c>
      <c r="O248" s="272">
        <f>+O210/O210</f>
        <v>1</v>
      </c>
      <c r="P248" s="273">
        <f t="shared" ref="P248" si="1316">+P210/R210</f>
        <v>0.51689126822964737</v>
      </c>
      <c r="Q248" s="273">
        <f t="shared" ref="Q248" si="1317">+Q210/R210</f>
        <v>0.48310873177035263</v>
      </c>
      <c r="R248" s="272">
        <f t="shared" ref="R248" si="1318">+R210/R210</f>
        <v>1</v>
      </c>
      <c r="S248" s="273">
        <f t="shared" ref="S248" si="1319">+S210/U210</f>
        <v>0.398748577929464</v>
      </c>
      <c r="T248" s="273">
        <f t="shared" ref="T248" si="1320">+T210/U210</f>
        <v>0.60125142207053595</v>
      </c>
      <c r="U248" s="272">
        <f t="shared" ref="U248" si="1321">+U210/U210</f>
        <v>1</v>
      </c>
      <c r="V248" s="273">
        <f t="shared" ref="V248" si="1322">+V210/X210</f>
        <v>0.49469586596248272</v>
      </c>
      <c r="W248" s="273">
        <f t="shared" ref="W248" si="1323">+W210/X210</f>
        <v>0.50530413403751728</v>
      </c>
      <c r="X248" s="272">
        <f t="shared" ref="X248" si="1324">+X210/X210</f>
        <v>1</v>
      </c>
      <c r="Y248" s="273">
        <f t="shared" ref="Y248" si="1325">+Y210/AA210</f>
        <v>0.50173837921871889</v>
      </c>
      <c r="Z248" s="273">
        <f t="shared" ref="Z248" si="1326">+Z210/AA210</f>
        <v>0.49826162078128111</v>
      </c>
      <c r="AA248" s="272">
        <f t="shared" ref="AA248" si="1327">+AA210/AA210</f>
        <v>1</v>
      </c>
      <c r="AB248" s="273">
        <f t="shared" ref="AB248" si="1328">+AB210/AD210</f>
        <v>0.51644258019285361</v>
      </c>
      <c r="AC248" s="273">
        <f t="shared" ref="AC248" si="1329">+AC210/AD210</f>
        <v>0.48355741980714639</v>
      </c>
      <c r="AD248" s="272">
        <f t="shared" ref="AD248" si="1330">+AD210/AD210</f>
        <v>1</v>
      </c>
      <c r="AE248" s="273">
        <f t="shared" ref="AE248" si="1331">+AE210/AG210</f>
        <v>0.51644258019285361</v>
      </c>
      <c r="AF248" s="273">
        <f t="shared" ref="AF248" si="1332">+AF210/AG210</f>
        <v>0.48355741980714639</v>
      </c>
      <c r="AG248" s="272">
        <f t="shared" ref="AG248" si="1333">+AG210/AG210</f>
        <v>1</v>
      </c>
      <c r="AH248" s="273">
        <f t="shared" ref="AH248" si="1334">+AH210/AJ210</f>
        <v>0.51644258019285361</v>
      </c>
      <c r="AI248" s="273">
        <f t="shared" ref="AI248" si="1335">+AI210/AJ210</f>
        <v>0.48355741980714639</v>
      </c>
      <c r="AJ248" s="272">
        <f t="shared" ref="AJ248" si="1336">+AJ210/AJ210</f>
        <v>1</v>
      </c>
      <c r="AK248" s="273">
        <f t="shared" ref="AK248" si="1337">+AK210/AM210</f>
        <v>0.51644258019285361</v>
      </c>
      <c r="AL248" s="273">
        <f t="shared" ref="AL248" si="1338">+AL210/AM210</f>
        <v>0.48355741980714645</v>
      </c>
      <c r="AM248" s="272">
        <f t="shared" ref="AM248" si="1339">+AM210/AM210</f>
        <v>1</v>
      </c>
      <c r="AN248" s="273">
        <f t="shared" ref="AN248" si="1340">+AN210/AP210</f>
        <v>0.5164425801928535</v>
      </c>
      <c r="AO248" s="273">
        <f t="shared" ref="AO248" si="1341">+AO210/AP210</f>
        <v>0.48355741980714634</v>
      </c>
      <c r="AP248" s="272">
        <f t="shared" ref="AP248" si="1342">+AP210/AP210</f>
        <v>1</v>
      </c>
      <c r="AQ248" s="273">
        <f t="shared" ref="AQ248" si="1343">+AQ210/AS210</f>
        <v>0.51644258019285361</v>
      </c>
      <c r="AR248" s="273">
        <f t="shared" ref="AR248" si="1344">+AR210/AS210</f>
        <v>0.4835574198071465</v>
      </c>
      <c r="AS248" s="272">
        <f t="shared" ref="AS248" si="1345">+AS210/AS210</f>
        <v>1</v>
      </c>
      <c r="AT248" s="273">
        <f t="shared" ref="AT248" si="1346">+AT210/AV210</f>
        <v>0.51644258019285361</v>
      </c>
      <c r="AU248" s="273">
        <f t="shared" ref="AU248" si="1347">+AU210/AV210</f>
        <v>0.48355741980714639</v>
      </c>
      <c r="AV248" s="272">
        <f t="shared" ref="AV248" si="1348">+AV210/AV210</f>
        <v>1</v>
      </c>
      <c r="AW248" s="273">
        <f t="shared" ref="AW248" si="1349">+AW210/AY210</f>
        <v>0.51644258019285361</v>
      </c>
      <c r="AX248" s="273">
        <f t="shared" ref="AX248" si="1350">+AX210/AY210</f>
        <v>0.48355741980714639</v>
      </c>
      <c r="AY248" s="272">
        <f t="shared" ref="AY248" si="1351">+AY210/AY210</f>
        <v>1</v>
      </c>
    </row>
    <row r="249" spans="1:51" s="194" customFormat="1" ht="12" customHeight="1" x14ac:dyDescent="0.2">
      <c r="A249" s="190"/>
      <c r="B249" s="8" t="s">
        <v>439</v>
      </c>
      <c r="C249" s="131"/>
      <c r="D249" s="191"/>
      <c r="E249" s="191"/>
      <c r="F249" s="271"/>
      <c r="G249" s="191"/>
      <c r="H249" s="191"/>
      <c r="I249" s="271"/>
      <c r="J249" s="191"/>
      <c r="K249" s="191"/>
      <c r="L249" s="271"/>
      <c r="M249" s="273">
        <f>+M212/O212</f>
        <v>0.25</v>
      </c>
      <c r="N249" s="273">
        <f>+N212/O212</f>
        <v>0.75000000000000011</v>
      </c>
      <c r="O249" s="272">
        <f>+O212/O212</f>
        <v>1</v>
      </c>
      <c r="P249" s="273">
        <f t="shared" ref="P249" si="1352">+P212/R212</f>
        <v>0.5</v>
      </c>
      <c r="Q249" s="273">
        <f t="shared" ref="Q249" si="1353">+Q212/R212</f>
        <v>0.5</v>
      </c>
      <c r="R249" s="272">
        <f t="shared" ref="R249" si="1354">+R212/R212</f>
        <v>1</v>
      </c>
      <c r="S249" s="273">
        <f t="shared" ref="S249" si="1355">+S212/U212</f>
        <v>0.25852606820854562</v>
      </c>
      <c r="T249" s="273">
        <f t="shared" ref="T249" si="1356">+T212/U212</f>
        <v>0.74147393179145438</v>
      </c>
      <c r="U249" s="272">
        <f t="shared" ref="U249" si="1357">+U212/U212</f>
        <v>1</v>
      </c>
      <c r="V249" s="273">
        <f t="shared" ref="V249" si="1358">+V212/X212</f>
        <v>0.49469586596248294</v>
      </c>
      <c r="W249" s="273">
        <f t="shared" ref="W249" si="1359">+W212/X212</f>
        <v>0.50530413403751751</v>
      </c>
      <c r="X249" s="272">
        <f t="shared" ref="X249" si="1360">+X212/X212</f>
        <v>1</v>
      </c>
      <c r="Y249" s="273">
        <f t="shared" ref="Y249" si="1361">+Y212/AA212</f>
        <v>0.50173837921871889</v>
      </c>
      <c r="Z249" s="273">
        <f t="shared" ref="Z249" si="1362">+Z212/AA212</f>
        <v>0.49826162078128111</v>
      </c>
      <c r="AA249" s="272">
        <f t="shared" ref="AA249" si="1363">+AA212/AA212</f>
        <v>1</v>
      </c>
      <c r="AB249" s="273">
        <f t="shared" ref="AB249" si="1364">+AB212/AD212</f>
        <v>0.51644258019285372</v>
      </c>
      <c r="AC249" s="273">
        <f t="shared" ref="AC249" si="1365">+AC212/AD212</f>
        <v>0.4835574198071465</v>
      </c>
      <c r="AD249" s="272">
        <f t="shared" ref="AD249" si="1366">+AD212/AD212</f>
        <v>1</v>
      </c>
      <c r="AE249" s="273">
        <f t="shared" ref="AE249" si="1367">+AE212/AG212</f>
        <v>0.51644258019285361</v>
      </c>
      <c r="AF249" s="273">
        <f t="shared" ref="AF249" si="1368">+AF212/AG212</f>
        <v>0.48355741980714634</v>
      </c>
      <c r="AG249" s="272">
        <f t="shared" ref="AG249" si="1369">+AG212/AG212</f>
        <v>1</v>
      </c>
      <c r="AH249" s="273">
        <f t="shared" ref="AH249" si="1370">+AH212/AJ212</f>
        <v>0.5164425801928535</v>
      </c>
      <c r="AI249" s="273">
        <f t="shared" ref="AI249" si="1371">+AI212/AJ212</f>
        <v>0.48355741980714623</v>
      </c>
      <c r="AJ249" s="272">
        <f t="shared" ref="AJ249" si="1372">+AJ212/AJ212</f>
        <v>1</v>
      </c>
      <c r="AK249" s="273">
        <f t="shared" ref="AK249" si="1373">+AK212/AM212</f>
        <v>0.51644258019285338</v>
      </c>
      <c r="AL249" s="273">
        <f t="shared" ref="AL249" si="1374">+AL212/AM212</f>
        <v>0.48355741980714623</v>
      </c>
      <c r="AM249" s="272">
        <f t="shared" ref="AM249" si="1375">+AM212/AM212</f>
        <v>1</v>
      </c>
      <c r="AN249" s="273">
        <f t="shared" ref="AN249" si="1376">+AN212/AP212</f>
        <v>0.51644258019285372</v>
      </c>
      <c r="AO249" s="273">
        <f t="shared" ref="AO249" si="1377">+AO212/AP212</f>
        <v>0.4835574198071465</v>
      </c>
      <c r="AP249" s="272">
        <f t="shared" ref="AP249" si="1378">+AP212/AP212</f>
        <v>1</v>
      </c>
      <c r="AQ249" s="273">
        <f t="shared" ref="AQ249" si="1379">+AQ212/AS212</f>
        <v>0.5164425801928535</v>
      </c>
      <c r="AR249" s="273">
        <f t="shared" ref="AR249" si="1380">+AR212/AS212</f>
        <v>0.48355741980714628</v>
      </c>
      <c r="AS249" s="272">
        <f t="shared" ref="AS249" si="1381">+AS212/AS212</f>
        <v>1</v>
      </c>
      <c r="AT249" s="273">
        <f t="shared" ref="AT249" si="1382">+AT212/AV212</f>
        <v>0.51644258019285338</v>
      </c>
      <c r="AU249" s="273">
        <f t="shared" ref="AU249" si="1383">+AU212/AV212</f>
        <v>0.48355741980714623</v>
      </c>
      <c r="AV249" s="272">
        <f t="shared" ref="AV249" si="1384">+AV212/AV212</f>
        <v>1</v>
      </c>
      <c r="AW249" s="273">
        <f t="shared" ref="AW249" si="1385">+AW212/AY212</f>
        <v>0.5164425801928535</v>
      </c>
      <c r="AX249" s="273">
        <f t="shared" ref="AX249" si="1386">+AX212/AY212</f>
        <v>0.48355741980714623</v>
      </c>
      <c r="AY249" s="272">
        <f t="shared" ref="AY249" si="1387">+AY212/AY212</f>
        <v>1</v>
      </c>
    </row>
    <row r="250" spans="1:51" s="194" customFormat="1" ht="12" customHeight="1" x14ac:dyDescent="0.2">
      <c r="A250" s="190"/>
      <c r="B250" s="318" t="s">
        <v>440</v>
      </c>
      <c r="C250" s="311"/>
      <c r="D250" s="312"/>
      <c r="E250" s="312"/>
      <c r="F250" s="235"/>
      <c r="G250" s="312"/>
      <c r="H250" s="312"/>
      <c r="I250" s="235"/>
      <c r="J250" s="312"/>
      <c r="K250" s="312"/>
      <c r="L250" s="235"/>
      <c r="M250" s="313">
        <f>+M214/O214</f>
        <v>0.39571694599627555</v>
      </c>
      <c r="N250" s="313">
        <f>+N214/O214</f>
        <v>0.6042830540037244</v>
      </c>
      <c r="O250" s="236">
        <f>+O214/O214</f>
        <v>1</v>
      </c>
      <c r="P250" s="313">
        <f t="shared" ref="P250" si="1388">+P214/R214</f>
        <v>0.47371638141809297</v>
      </c>
      <c r="Q250" s="313">
        <f t="shared" ref="Q250" si="1389">+Q214/R214</f>
        <v>0.52628361858190709</v>
      </c>
      <c r="R250" s="236">
        <f t="shared" ref="R250" si="1390">+R214/R214</f>
        <v>1</v>
      </c>
      <c r="S250" s="313">
        <f t="shared" ref="S250" si="1391">+S214/U214</f>
        <v>0.37915910465819724</v>
      </c>
      <c r="T250" s="313">
        <f t="shared" ref="T250" si="1392">+T214/U214</f>
        <v>0.62084089534180287</v>
      </c>
      <c r="U250" s="236">
        <f t="shared" ref="U250" si="1393">+U214/U214</f>
        <v>1</v>
      </c>
      <c r="V250" s="313">
        <f t="shared" ref="V250" si="1394">+V214/X214</f>
        <v>0.47355278023942382</v>
      </c>
      <c r="W250" s="313">
        <f t="shared" ref="W250" si="1395">+W214/X214</f>
        <v>0.5264472197605764</v>
      </c>
      <c r="X250" s="236">
        <f t="shared" ref="X250" si="1396">+X214/X214</f>
        <v>1</v>
      </c>
      <c r="Y250" s="313">
        <f t="shared" ref="Y250" si="1397">+Y214/AA214</f>
        <v>0.47781971442270127</v>
      </c>
      <c r="Z250" s="313">
        <f t="shared" ref="Z250" si="1398">+Z214/AA214</f>
        <v>0.52218028557729868</v>
      </c>
      <c r="AA250" s="236">
        <f t="shared" ref="AA250" si="1399">+AA214/AA214</f>
        <v>1</v>
      </c>
      <c r="AB250" s="313">
        <f t="shared" ref="AB250" si="1400">+AB214/AD214</f>
        <v>0.48437457123874039</v>
      </c>
      <c r="AC250" s="313">
        <f t="shared" ref="AC250" si="1401">+AC214/AD214</f>
        <v>0.51562542876125983</v>
      </c>
      <c r="AD250" s="236">
        <f t="shared" ref="AD250" si="1402">+AD214/AD214</f>
        <v>1</v>
      </c>
      <c r="AE250" s="313">
        <f t="shared" ref="AE250" si="1403">+AE214/AG214</f>
        <v>0.48508915244808443</v>
      </c>
      <c r="AF250" s="313">
        <f t="shared" ref="AF250" si="1404">+AF214/AG214</f>
        <v>0.51491084755191552</v>
      </c>
      <c r="AG250" s="236">
        <f t="shared" ref="AG250" si="1405">+AG214/AG214</f>
        <v>1</v>
      </c>
      <c r="AH250" s="313">
        <f t="shared" ref="AH250" si="1406">+AH214/AJ214</f>
        <v>0.4858043832110478</v>
      </c>
      <c r="AI250" s="313">
        <f t="shared" ref="AI250" si="1407">+AI214/AJ214</f>
        <v>0.51419561678895198</v>
      </c>
      <c r="AJ250" s="236">
        <f t="shared" ref="AJ250" si="1408">+AJ214/AJ214</f>
        <v>1</v>
      </c>
      <c r="AK250" s="313">
        <f t="shared" ref="AK250" si="1409">+AK214/AM214</f>
        <v>0.48651949013654616</v>
      </c>
      <c r="AL250" s="313">
        <f t="shared" ref="AL250" si="1410">+AL214/AM214</f>
        <v>0.51348050986345373</v>
      </c>
      <c r="AM250" s="236">
        <f t="shared" ref="AM250" si="1411">+AM214/AM214</f>
        <v>1</v>
      </c>
      <c r="AN250" s="313">
        <f t="shared" ref="AN250" si="1412">+AN214/AP214</f>
        <v>0.48723370036885261</v>
      </c>
      <c r="AO250" s="313">
        <f t="shared" ref="AO250" si="1413">+AO214/AP214</f>
        <v>0.5127662996311475</v>
      </c>
      <c r="AP250" s="236">
        <f t="shared" ref="AP250" si="1414">+AP214/AP214</f>
        <v>1</v>
      </c>
      <c r="AQ250" s="313">
        <f t="shared" ref="AQ250" si="1415">+AQ214/AS214</f>
        <v>0.48794624492455957</v>
      </c>
      <c r="AR250" s="313">
        <f t="shared" ref="AR250" si="1416">+AR214/AS214</f>
        <v>0.51205375507544026</v>
      </c>
      <c r="AS250" s="236">
        <f t="shared" ref="AS250" si="1417">+AS214/AS214</f>
        <v>1</v>
      </c>
      <c r="AT250" s="313">
        <f t="shared" ref="AT250" si="1418">+AT214/AV214</f>
        <v>0.48865636199406476</v>
      </c>
      <c r="AU250" s="313">
        <f t="shared" ref="AU250" si="1419">+AU214/AV214</f>
        <v>0.51134363800593496</v>
      </c>
      <c r="AV250" s="236">
        <f t="shared" ref="AV250" si="1420">+AV214/AV214</f>
        <v>1</v>
      </c>
      <c r="AW250" s="313">
        <f t="shared" ref="AW250" si="1421">+AW214/AY214</f>
        <v>0.48936330017756885</v>
      </c>
      <c r="AX250" s="313">
        <f t="shared" ref="AX250" si="1422">+AX214/AY214</f>
        <v>0.51063669982243098</v>
      </c>
      <c r="AY250" s="236">
        <f t="shared" ref="AY250" si="1423">+AY214/AY214</f>
        <v>1</v>
      </c>
    </row>
    <row r="251" spans="1:51" s="17" customFormat="1" ht="12" customHeight="1" x14ac:dyDescent="0.2">
      <c r="A251" s="138"/>
      <c r="B251" s="6"/>
      <c r="C251" s="130"/>
      <c r="D251" s="142"/>
      <c r="E251" s="142"/>
      <c r="F251" s="143"/>
      <c r="G251" s="142"/>
      <c r="H251" s="142"/>
      <c r="I251" s="143"/>
      <c r="J251" s="142"/>
      <c r="K251" s="142"/>
      <c r="L251" s="143"/>
      <c r="M251" s="142"/>
      <c r="N251" s="142"/>
      <c r="O251" s="143"/>
      <c r="P251" s="142"/>
      <c r="Q251" s="142"/>
      <c r="R251" s="143"/>
      <c r="S251" s="142"/>
      <c r="T251" s="142"/>
      <c r="U251" s="143"/>
      <c r="V251" s="142"/>
      <c r="W251" s="142"/>
      <c r="X251" s="143"/>
      <c r="Y251" s="142"/>
      <c r="Z251" s="142"/>
      <c r="AA251" s="143"/>
      <c r="AB251" s="142"/>
      <c r="AC251" s="142"/>
      <c r="AD251" s="143"/>
      <c r="AE251" s="142"/>
      <c r="AF251" s="142"/>
      <c r="AG251" s="143"/>
      <c r="AH251" s="142"/>
      <c r="AI251" s="142"/>
      <c r="AJ251" s="143"/>
      <c r="AK251" s="142"/>
      <c r="AL251" s="142"/>
      <c r="AM251" s="143"/>
      <c r="AN251" s="142"/>
      <c r="AO251" s="142"/>
      <c r="AP251" s="143"/>
      <c r="AQ251" s="142"/>
      <c r="AR251" s="142"/>
      <c r="AS251" s="143"/>
      <c r="AT251" s="142"/>
      <c r="AU251" s="142"/>
      <c r="AV251" s="143"/>
      <c r="AW251" s="142"/>
      <c r="AX251" s="142"/>
      <c r="AY251" s="143"/>
    </row>
    <row r="252" spans="1:51" ht="12" customHeight="1" x14ac:dyDescent="0.2">
      <c r="A252" s="24"/>
      <c r="B252" s="6"/>
      <c r="C252" s="6"/>
      <c r="D252" s="6"/>
      <c r="E252" s="6"/>
      <c r="F252" s="13"/>
      <c r="G252" s="6"/>
      <c r="H252" s="6"/>
      <c r="I252" s="13"/>
      <c r="J252" s="6"/>
      <c r="K252" s="6"/>
      <c r="L252" s="13"/>
      <c r="M252" s="6"/>
      <c r="N252" s="6"/>
      <c r="O252" s="13"/>
      <c r="P252" s="6"/>
      <c r="Q252" s="6"/>
      <c r="R252" s="13"/>
      <c r="S252" s="6"/>
      <c r="T252" s="6"/>
      <c r="U252" s="13"/>
      <c r="V252" s="6"/>
      <c r="W252" s="6"/>
      <c r="X252" s="13"/>
      <c r="Y252" s="6"/>
      <c r="Z252" s="6"/>
      <c r="AA252" s="13"/>
      <c r="AB252" s="6"/>
      <c r="AC252" s="6"/>
      <c r="AD252" s="13"/>
      <c r="AE252" s="6"/>
      <c r="AF252" s="6"/>
      <c r="AG252" s="13"/>
      <c r="AH252" s="6"/>
      <c r="AI252" s="6"/>
      <c r="AJ252" s="13"/>
      <c r="AK252" s="6"/>
      <c r="AL252" s="6"/>
      <c r="AM252" s="13"/>
      <c r="AN252" s="6"/>
      <c r="AO252" s="6"/>
      <c r="AP252" s="13"/>
      <c r="AQ252" s="6"/>
      <c r="AR252" s="6"/>
      <c r="AS252" s="13"/>
      <c r="AT252" s="6"/>
      <c r="AU252" s="6"/>
      <c r="AV252" s="13"/>
      <c r="AW252" s="6"/>
      <c r="AX252" s="6"/>
      <c r="AY252" s="13"/>
    </row>
    <row r="253" spans="1:51" ht="12" customHeight="1" x14ac:dyDescent="0.2">
      <c r="A253" s="24"/>
      <c r="B253" s="6"/>
      <c r="C253" s="6"/>
      <c r="D253" s="6"/>
      <c r="E253" s="6"/>
      <c r="F253" s="13"/>
      <c r="G253" s="6"/>
      <c r="H253" s="6"/>
      <c r="I253" s="13"/>
      <c r="J253" s="6"/>
      <c r="K253" s="6"/>
      <c r="L253" s="13"/>
      <c r="M253" s="6"/>
      <c r="N253" s="6"/>
      <c r="O253" s="13"/>
      <c r="P253" s="6"/>
      <c r="Q253" s="6"/>
      <c r="R253" s="13"/>
      <c r="S253" s="6"/>
      <c r="T253" s="6"/>
      <c r="U253" s="13"/>
      <c r="V253" s="6"/>
      <c r="W253" s="6"/>
      <c r="X253" s="13"/>
      <c r="Y253" s="6"/>
      <c r="Z253" s="6"/>
      <c r="AA253" s="13"/>
      <c r="AB253" s="6"/>
      <c r="AC253" s="6"/>
      <c r="AD253" s="13"/>
      <c r="AE253" s="6"/>
      <c r="AF253" s="6"/>
      <c r="AG253" s="13"/>
      <c r="AH253" s="6"/>
      <c r="AI253" s="6"/>
      <c r="AJ253" s="13"/>
      <c r="AK253" s="6"/>
      <c r="AL253" s="6"/>
      <c r="AM253" s="13"/>
      <c r="AN253" s="6"/>
      <c r="AO253" s="6"/>
      <c r="AP253" s="13"/>
      <c r="AQ253" s="6"/>
      <c r="AR253" s="6"/>
      <c r="AS253" s="13"/>
      <c r="AT253" s="6"/>
      <c r="AU253" s="6"/>
      <c r="AV253" s="13"/>
      <c r="AW253" s="6"/>
      <c r="AX253" s="6"/>
      <c r="AY253" s="13"/>
    </row>
    <row r="254" spans="1:51" s="14" customFormat="1" ht="12" customHeight="1" x14ac:dyDescent="0.2">
      <c r="B254" s="16" t="s">
        <v>23</v>
      </c>
    </row>
    <row r="255" spans="1:51" s="24" customFormat="1" ht="12" customHeight="1" x14ac:dyDescent="0.2">
      <c r="B255" s="23"/>
      <c r="C255" s="23"/>
      <c r="D255" s="142"/>
      <c r="E255" s="26"/>
      <c r="F255" s="143"/>
      <c r="G255" s="142"/>
      <c r="H255" s="26"/>
      <c r="I255" s="226"/>
      <c r="J255" s="191"/>
      <c r="K255" s="225"/>
      <c r="L255" s="226"/>
      <c r="M255" s="191"/>
      <c r="N255" s="225"/>
      <c r="O255" s="226"/>
      <c r="P255" s="142"/>
      <c r="Q255" s="26"/>
      <c r="R255" s="143"/>
      <c r="S255" s="26"/>
      <c r="T255" s="26"/>
      <c r="U255" s="143"/>
      <c r="V255" s="26"/>
      <c r="W255" s="26"/>
      <c r="X255" s="27"/>
      <c r="Y255" s="26"/>
      <c r="Z255" s="26"/>
      <c r="AA255" s="27"/>
      <c r="AB255" s="26"/>
      <c r="AC255" s="26"/>
      <c r="AD255" s="27"/>
      <c r="AE255" s="26"/>
      <c r="AF255" s="26"/>
      <c r="AG255" s="27"/>
      <c r="AH255" s="26"/>
      <c r="AI255" s="26"/>
      <c r="AJ255" s="27"/>
      <c r="AK255" s="26"/>
      <c r="AL255" s="26"/>
      <c r="AM255" s="27"/>
      <c r="AN255" s="26"/>
      <c r="AO255" s="26"/>
      <c r="AP255" s="27"/>
      <c r="AQ255" s="26"/>
      <c r="AR255" s="26"/>
      <c r="AS255" s="27"/>
      <c r="AT255" s="26"/>
      <c r="AU255" s="26"/>
      <c r="AV255" s="27"/>
      <c r="AW255" s="26"/>
      <c r="AX255" s="26"/>
      <c r="AY255" s="27"/>
    </row>
    <row r="256" spans="1:51" s="24" customFormat="1" ht="12" customHeight="1" x14ac:dyDescent="0.2">
      <c r="B256" s="23" t="s">
        <v>481</v>
      </c>
      <c r="C256" s="23"/>
      <c r="D256" s="142"/>
      <c r="E256" s="26"/>
      <c r="F256" s="143"/>
      <c r="G256" s="142"/>
      <c r="H256" s="26"/>
      <c r="I256" s="226"/>
      <c r="J256" s="191"/>
      <c r="K256" s="225"/>
      <c r="L256" s="226"/>
      <c r="M256" s="191"/>
      <c r="N256" s="225"/>
      <c r="O256" s="226"/>
      <c r="P256" s="142"/>
      <c r="Q256" s="26"/>
      <c r="R256" s="143">
        <f t="shared" ref="R256:AY256" si="1424">+R33-R22</f>
        <v>-314.94100000000003</v>
      </c>
      <c r="S256" s="26">
        <f t="shared" ref="S256" si="1425">+S33-S22</f>
        <v>-180.84100000000001</v>
      </c>
      <c r="T256" s="26"/>
      <c r="U256" s="143">
        <f t="shared" ref="U256" si="1426">+U33-U22</f>
        <v>-413.98100000000005</v>
      </c>
      <c r="V256" s="26">
        <f t="shared" si="1424"/>
        <v>-222.8001325563078</v>
      </c>
      <c r="W256" s="26">
        <f t="shared" si="1424"/>
        <v>-233.01005654694887</v>
      </c>
      <c r="X256" s="27">
        <f t="shared" si="1424"/>
        <v>-455.81018910325673</v>
      </c>
      <c r="Y256" s="26">
        <f t="shared" si="1424"/>
        <v>-261.17836896537585</v>
      </c>
      <c r="Z256" s="26">
        <f t="shared" si="1424"/>
        <v>-270.89908882955689</v>
      </c>
      <c r="AA256" s="27">
        <f t="shared" si="1424"/>
        <v>-532.0774577949328</v>
      </c>
      <c r="AB256" s="26">
        <f t="shared" si="1424"/>
        <v>-300.20909976607118</v>
      </c>
      <c r="AC256" s="26">
        <f t="shared" si="1424"/>
        <v>-308.89339887932999</v>
      </c>
      <c r="AD256" s="27">
        <f t="shared" si="1424"/>
        <v>-609.10249864540117</v>
      </c>
      <c r="AE256" s="26">
        <f t="shared" si="1424"/>
        <v>-337.65498090520538</v>
      </c>
      <c r="AF256" s="26">
        <f t="shared" si="1424"/>
        <v>-345.92170052415406</v>
      </c>
      <c r="AG256" s="27">
        <f t="shared" si="1424"/>
        <v>-683.57668142935961</v>
      </c>
      <c r="AH256" s="26">
        <f t="shared" si="1424"/>
        <v>-376.61571001424772</v>
      </c>
      <c r="AI256" s="26">
        <f t="shared" si="1424"/>
        <v>-384.45417689612327</v>
      </c>
      <c r="AJ256" s="27">
        <f t="shared" si="1424"/>
        <v>-761.069886910371</v>
      </c>
      <c r="AK256" s="26">
        <f t="shared" si="1424"/>
        <v>-426.3750168906659</v>
      </c>
      <c r="AL256" s="26">
        <f t="shared" si="1424"/>
        <v>-431.64782665680139</v>
      </c>
      <c r="AM256" s="27">
        <f t="shared" si="1424"/>
        <v>-858.02284354746723</v>
      </c>
      <c r="AN256" s="26">
        <f t="shared" si="1424"/>
        <v>-474.99136569468902</v>
      </c>
      <c r="AO256" s="26">
        <f t="shared" si="1424"/>
        <v>-479.58098054800871</v>
      </c>
      <c r="AP256" s="27">
        <f t="shared" si="1424"/>
        <v>-954.57234624269768</v>
      </c>
      <c r="AQ256" s="26">
        <f t="shared" si="1424"/>
        <v>-526.5334916738334</v>
      </c>
      <c r="AR256" s="26">
        <f t="shared" si="1424"/>
        <v>-530.39397777158524</v>
      </c>
      <c r="AS256" s="27">
        <f t="shared" si="1424"/>
        <v>-1056.9274694454189</v>
      </c>
      <c r="AT256" s="26">
        <f t="shared" si="1424"/>
        <v>-581.16622614264634</v>
      </c>
      <c r="AU256" s="26">
        <f t="shared" si="1424"/>
        <v>-584.24939953690341</v>
      </c>
      <c r="AV256" s="27">
        <f t="shared" si="1424"/>
        <v>-1165.4156256795497</v>
      </c>
      <c r="AW256" s="26">
        <f t="shared" si="1424"/>
        <v>-639.06379536930808</v>
      </c>
      <c r="AX256" s="26">
        <f t="shared" si="1424"/>
        <v>-641.31930649097922</v>
      </c>
      <c r="AY256" s="27">
        <f t="shared" si="1424"/>
        <v>-1280.3831018602875</v>
      </c>
    </row>
    <row r="257" spans="1:51" s="24" customFormat="1" ht="12" customHeight="1" x14ac:dyDescent="0.2">
      <c r="B257" s="23"/>
      <c r="C257" s="23"/>
      <c r="D257" s="142"/>
      <c r="E257" s="26"/>
      <c r="F257" s="143"/>
      <c r="G257" s="142"/>
      <c r="H257" s="26"/>
      <c r="I257" s="226"/>
      <c r="J257" s="191"/>
      <c r="K257" s="225"/>
      <c r="L257" s="226"/>
      <c r="M257" s="191"/>
      <c r="N257" s="225"/>
      <c r="O257" s="226"/>
      <c r="P257" s="142"/>
      <c r="Q257" s="26"/>
      <c r="R257" s="143"/>
      <c r="S257" s="26"/>
      <c r="T257" s="26"/>
      <c r="U257" s="143"/>
      <c r="V257" s="26"/>
      <c r="W257" s="26"/>
      <c r="X257" s="27"/>
      <c r="Y257" s="26"/>
      <c r="Z257" s="26"/>
      <c r="AA257" s="27"/>
      <c r="AB257" s="26"/>
      <c r="AC257" s="26"/>
      <c r="AD257" s="27"/>
      <c r="AE257" s="26"/>
      <c r="AF257" s="26"/>
      <c r="AG257" s="27"/>
      <c r="AH257" s="26"/>
      <c r="AI257" s="26"/>
      <c r="AJ257" s="27"/>
      <c r="AK257" s="26"/>
      <c r="AL257" s="26"/>
      <c r="AM257" s="27"/>
      <c r="AN257" s="26"/>
      <c r="AO257" s="26"/>
      <c r="AP257" s="27"/>
      <c r="AQ257" s="26"/>
      <c r="AR257" s="26"/>
      <c r="AS257" s="27"/>
      <c r="AT257" s="26"/>
      <c r="AU257" s="26"/>
      <c r="AV257" s="27"/>
      <c r="AW257" s="26"/>
      <c r="AX257" s="26"/>
      <c r="AY257" s="27"/>
    </row>
    <row r="258" spans="1:51" s="24" customFormat="1" ht="12" customHeight="1" x14ac:dyDescent="0.2">
      <c r="B258" s="342" t="s">
        <v>524</v>
      </c>
      <c r="C258" s="23"/>
      <c r="D258" s="142"/>
      <c r="E258" s="26"/>
      <c r="F258" s="143"/>
      <c r="G258" s="142"/>
      <c r="H258" s="26"/>
      <c r="I258" s="143"/>
      <c r="J258" s="142"/>
      <c r="K258" s="26"/>
      <c r="L258" s="143"/>
      <c r="M258" s="142"/>
      <c r="N258" s="26"/>
      <c r="O258" s="143"/>
      <c r="P258" s="142"/>
      <c r="Q258" s="26"/>
      <c r="R258" s="143"/>
      <c r="S258" s="142"/>
      <c r="T258" s="26"/>
      <c r="U258" s="143"/>
      <c r="V258" s="142"/>
      <c r="W258" s="26"/>
      <c r="X258" s="143"/>
      <c r="Y258" s="142"/>
      <c r="Z258" s="26"/>
      <c r="AA258" s="143"/>
      <c r="AB258" s="142"/>
      <c r="AC258" s="26"/>
      <c r="AD258" s="143"/>
      <c r="AE258" s="142"/>
      <c r="AF258" s="26"/>
      <c r="AG258" s="143"/>
      <c r="AH258" s="142"/>
      <c r="AI258" s="26"/>
      <c r="AJ258" s="143"/>
      <c r="AK258" s="142"/>
      <c r="AL258" s="26"/>
      <c r="AM258" s="143"/>
      <c r="AN258" s="142"/>
      <c r="AO258" s="26"/>
      <c r="AP258" s="143"/>
      <c r="AQ258" s="142"/>
      <c r="AR258" s="26"/>
      <c r="AS258" s="143"/>
      <c r="AT258" s="142"/>
      <c r="AU258" s="26"/>
      <c r="AV258" s="143"/>
      <c r="AW258" s="142"/>
      <c r="AX258" s="26"/>
      <c r="AY258" s="143"/>
    </row>
    <row r="259" spans="1:51" s="24" customFormat="1" ht="12" customHeight="1" x14ac:dyDescent="0.2">
      <c r="B259" s="23" t="s">
        <v>347</v>
      </c>
      <c r="C259" s="23"/>
      <c r="D259" s="142"/>
      <c r="E259" s="26"/>
      <c r="F259" s="143"/>
      <c r="G259" s="142"/>
      <c r="H259" s="26"/>
      <c r="I259" s="226"/>
      <c r="J259" s="191"/>
      <c r="K259" s="225"/>
      <c r="L259" s="226"/>
      <c r="M259" s="191"/>
      <c r="N259" s="225"/>
      <c r="O259" s="226"/>
      <c r="P259" s="142"/>
      <c r="Q259" s="26"/>
      <c r="R259" s="143">
        <f>'Income &amp; Cash Flow'!R10</f>
        <v>22.774000000000001</v>
      </c>
      <c r="S259" s="26">
        <f>'Income &amp; Cash Flow'!S10</f>
        <v>14.711</v>
      </c>
      <c r="T259" s="26"/>
      <c r="U259" s="143">
        <f>'Income &amp; Cash Flow'!U10</f>
        <v>32.024000000000001</v>
      </c>
      <c r="V259" s="26">
        <f t="shared" ref="V259:W259" si="1427">V277*V$265</f>
        <v>11.14000662781539</v>
      </c>
      <c r="W259" s="26">
        <f t="shared" si="1427"/>
        <v>11.650502827347445</v>
      </c>
      <c r="X259" s="143">
        <f t="shared" ref="X259:X264" si="1428">+W259+V259</f>
        <v>22.790509455162834</v>
      </c>
      <c r="Y259" s="26">
        <f t="shared" ref="Y259:Z259" si="1429">Y277*Y$265</f>
        <v>13.058918448268793</v>
      </c>
      <c r="Z259" s="26">
        <f t="shared" si="1429"/>
        <v>13.544954441477845</v>
      </c>
      <c r="AA259" s="143">
        <f t="shared" ref="AA259:AA264" si="1430">+Z259+Y259</f>
        <v>26.60387288974664</v>
      </c>
      <c r="AB259" s="26">
        <f t="shared" ref="AB259:AC259" si="1431">AB277*AB$265</f>
        <v>15.010454988303559</v>
      </c>
      <c r="AC259" s="26">
        <f t="shared" si="1431"/>
        <v>15.444669943966501</v>
      </c>
      <c r="AD259" s="143">
        <f t="shared" ref="AD259:AD264" si="1432">+AC259+AB259</f>
        <v>30.45512493227006</v>
      </c>
      <c r="AE259" s="26">
        <f t="shared" ref="AE259:AF259" si="1433">AE277*AE$265</f>
        <v>16.882749045260269</v>
      </c>
      <c r="AF259" s="26">
        <f t="shared" si="1433"/>
        <v>17.296085026207702</v>
      </c>
      <c r="AG259" s="143">
        <f t="shared" ref="AG259:AG264" si="1434">+AF259+AE259</f>
        <v>34.178834071467975</v>
      </c>
      <c r="AH259" s="26">
        <f t="shared" ref="AH259:AI259" si="1435">AH277*AH$265</f>
        <v>18.830785500712388</v>
      </c>
      <c r="AI259" s="26">
        <f t="shared" si="1435"/>
        <v>19.222708844806164</v>
      </c>
      <c r="AJ259" s="143">
        <f t="shared" ref="AJ259:AJ264" si="1436">+AI259+AH259</f>
        <v>38.053494345518551</v>
      </c>
      <c r="AK259" s="26">
        <f t="shared" ref="AK259:AL259" si="1437">AK277*AK$265</f>
        <v>21.318750844533298</v>
      </c>
      <c r="AL259" s="26">
        <f t="shared" si="1437"/>
        <v>21.582391332840071</v>
      </c>
      <c r="AM259" s="143">
        <f t="shared" ref="AM259:AM264" si="1438">+AL259+AK259</f>
        <v>42.901142177373373</v>
      </c>
      <c r="AN259" s="26">
        <f t="shared" ref="AN259:AO259" si="1439">AN277*AN$265</f>
        <v>23.749568284734451</v>
      </c>
      <c r="AO259" s="26">
        <f t="shared" si="1439"/>
        <v>23.979049027400436</v>
      </c>
      <c r="AP259" s="143">
        <f t="shared" ref="AP259:AP264" si="1440">+AO259+AN259</f>
        <v>47.728617312134887</v>
      </c>
      <c r="AQ259" s="26">
        <f t="shared" ref="AQ259:AR259" si="1441">AQ277*AQ$265</f>
        <v>26.32667458369167</v>
      </c>
      <c r="AR259" s="26">
        <f t="shared" si="1441"/>
        <v>26.519698888579263</v>
      </c>
      <c r="AS259" s="143">
        <f t="shared" ref="AS259:AS264" si="1442">+AR259+AQ259</f>
        <v>52.846373472270933</v>
      </c>
      <c r="AT259" s="26">
        <f t="shared" ref="AT259:AU259" si="1443">AT277*AT$265</f>
        <v>29.058311307132318</v>
      </c>
      <c r="AU259" s="26">
        <f t="shared" si="1443"/>
        <v>29.212469976845171</v>
      </c>
      <c r="AV259" s="143">
        <f t="shared" ref="AV259:AV264" si="1444">+AU259+AT259</f>
        <v>58.270781283977485</v>
      </c>
      <c r="AW259" s="26">
        <f t="shared" ref="AW259:AX259" si="1445">AW277*AW$265</f>
        <v>31.953189768465407</v>
      </c>
      <c r="AX259" s="26">
        <f t="shared" si="1445"/>
        <v>32.065965324548962</v>
      </c>
      <c r="AY259" s="143">
        <f t="shared" ref="AY259:AY264" si="1446">+AX259+AW259</f>
        <v>64.019155093014376</v>
      </c>
    </row>
    <row r="260" spans="1:51" s="24" customFormat="1" ht="12" customHeight="1" x14ac:dyDescent="0.2">
      <c r="B260" s="23" t="s">
        <v>479</v>
      </c>
      <c r="C260" s="23"/>
      <c r="D260" s="142"/>
      <c r="E260" s="26"/>
      <c r="F260" s="143"/>
      <c r="G260" s="142"/>
      <c r="H260" s="26"/>
      <c r="I260" s="213"/>
      <c r="J260" s="142"/>
      <c r="K260" s="26"/>
      <c r="L260" s="213"/>
      <c r="M260" s="142"/>
      <c r="N260" s="26"/>
      <c r="O260" s="213"/>
      <c r="P260" s="142"/>
      <c r="Q260" s="142"/>
      <c r="R260" s="143">
        <f>'Income &amp; Cash Flow'!R11</f>
        <v>-87.58</v>
      </c>
      <c r="S260" s="26">
        <f>'Income &amp; Cash Flow'!S11</f>
        <v>-55.070999999999998</v>
      </c>
      <c r="T260" s="142"/>
      <c r="U260" s="143">
        <f>'Income &amp; Cash Flow'!U11</f>
        <v>-113.94799999999999</v>
      </c>
      <c r="V260" s="26">
        <f t="shared" ref="V260:W264" si="1447">V278*V$265</f>
        <v>-61.957311263356317</v>
      </c>
      <c r="W260" s="26">
        <f t="shared" si="1447"/>
        <v>-64.796535061858719</v>
      </c>
      <c r="X260" s="143">
        <f t="shared" si="1428"/>
        <v>-126.75384632521504</v>
      </c>
      <c r="Y260" s="26">
        <f t="shared" ref="Y260:Z260" si="1448">Y278*Y$265</f>
        <v>-72.629712180058476</v>
      </c>
      <c r="Z260" s="26">
        <f t="shared" si="1448"/>
        <v>-75.332895788698139</v>
      </c>
      <c r="AA260" s="143">
        <f t="shared" si="1430"/>
        <v>-147.96260796875663</v>
      </c>
      <c r="AB260" s="26">
        <f t="shared" ref="AB260:AC260" si="1449">AB278*AB$265</f>
        <v>-83.48356181340101</v>
      </c>
      <c r="AC260" s="26">
        <f t="shared" si="1449"/>
        <v>-85.898532653368008</v>
      </c>
      <c r="AD260" s="143">
        <f t="shared" si="1432"/>
        <v>-169.38209446676902</v>
      </c>
      <c r="AE260" s="26">
        <f t="shared" ref="AE260:AF260" si="1450">AE278*AE$265</f>
        <v>-93.896688981005553</v>
      </c>
      <c r="AF260" s="26">
        <f t="shared" si="1450"/>
        <v>-96.195537346495883</v>
      </c>
      <c r="AG260" s="143">
        <f t="shared" si="1434"/>
        <v>-190.09222632750144</v>
      </c>
      <c r="AH260" s="26">
        <f t="shared" ref="AH260:AI260" si="1451">AH278*AH$265</f>
        <v>-104.73107221390683</v>
      </c>
      <c r="AI260" s="26">
        <f t="shared" si="1451"/>
        <v>-106.91083003925344</v>
      </c>
      <c r="AJ260" s="143">
        <f t="shared" si="1436"/>
        <v>-211.64190225316025</v>
      </c>
      <c r="AK260" s="26">
        <f t="shared" ref="AK260:AL260" si="1452">AK278*AK$265</f>
        <v>-118.56837486278187</v>
      </c>
      <c r="AL260" s="26">
        <f t="shared" si="1452"/>
        <v>-120.03466266146779</v>
      </c>
      <c r="AM260" s="143">
        <f t="shared" si="1438"/>
        <v>-238.60303752424966</v>
      </c>
      <c r="AN260" s="26">
        <f t="shared" ref="AN260:AO260" si="1453">AN278*AN$265</f>
        <v>-132.08783834235368</v>
      </c>
      <c r="AO260" s="26">
        <f t="shared" si="1453"/>
        <v>-133.36414007872801</v>
      </c>
      <c r="AP260" s="143">
        <f t="shared" si="1440"/>
        <v>-265.45197842108166</v>
      </c>
      <c r="AQ260" s="26">
        <f t="shared" ref="AQ260:AR260" si="1454">AQ278*AQ$265</f>
        <v>-146.42091573250246</v>
      </c>
      <c r="AR260" s="26">
        <f t="shared" si="1454"/>
        <v>-147.49445790701543</v>
      </c>
      <c r="AS260" s="143">
        <f t="shared" si="1442"/>
        <v>-293.9153736395179</v>
      </c>
      <c r="AT260" s="26">
        <f t="shared" ref="AT260:AU260" si="1455">AT278*AT$265</f>
        <v>-161.61344410228287</v>
      </c>
      <c r="AU260" s="26">
        <f t="shared" si="1455"/>
        <v>-162.47082749552931</v>
      </c>
      <c r="AV260" s="143">
        <f t="shared" si="1444"/>
        <v>-324.08427159781218</v>
      </c>
      <c r="AW260" s="26">
        <f t="shared" ref="AW260:AX260" si="1456">AW278*AW$265</f>
        <v>-177.71387311374866</v>
      </c>
      <c r="AX260" s="26">
        <f t="shared" si="1456"/>
        <v>-178.34109628018024</v>
      </c>
      <c r="AY260" s="143">
        <f t="shared" si="1446"/>
        <v>-356.0549693939289</v>
      </c>
    </row>
    <row r="261" spans="1:51" s="24" customFormat="1" ht="12" customHeight="1" x14ac:dyDescent="0.2">
      <c r="B261" s="23" t="s">
        <v>359</v>
      </c>
      <c r="C261" s="23"/>
      <c r="D261" s="142"/>
      <c r="E261" s="26"/>
      <c r="F261" s="143"/>
      <c r="G261" s="142"/>
      <c r="H261" s="26"/>
      <c r="I261" s="213"/>
      <c r="J261" s="142"/>
      <c r="K261" s="26"/>
      <c r="L261" s="213"/>
      <c r="M261" s="142"/>
      <c r="N261" s="26"/>
      <c r="O261" s="213"/>
      <c r="P261" s="142"/>
      <c r="Q261" s="142"/>
      <c r="R261" s="143">
        <f>'Income &amp; Cash Flow'!R12</f>
        <v>-153.733</v>
      </c>
      <c r="S261" s="26">
        <f>'Income &amp; Cash Flow'!S12</f>
        <v>-89.003</v>
      </c>
      <c r="T261" s="142"/>
      <c r="U261" s="143">
        <f>'Income &amp; Cash Flow'!U12</f>
        <v>-184.65600000000001</v>
      </c>
      <c r="V261" s="26">
        <f t="shared" si="1447"/>
        <v>-108.75637511360534</v>
      </c>
      <c r="W261" s="26">
        <f t="shared" si="1447"/>
        <v>-113.74018868080299</v>
      </c>
      <c r="X261" s="143">
        <f t="shared" si="1428"/>
        <v>-222.49656379440833</v>
      </c>
      <c r="Y261" s="26">
        <f t="shared" ref="Y261:Z264" si="1457">Y279*Y$265</f>
        <v>-127.49010667477654</v>
      </c>
      <c r="Z261" s="26">
        <f t="shared" si="1457"/>
        <v>-132.23512295368727</v>
      </c>
      <c r="AA261" s="143">
        <f t="shared" si="1430"/>
        <v>-259.72522962846381</v>
      </c>
      <c r="AB261" s="26">
        <f t="shared" ref="AB261:AC264" si="1458">AB279*AB$265</f>
        <v>-146.54234309499404</v>
      </c>
      <c r="AC261" s="26">
        <f t="shared" si="1458"/>
        <v>-150.78144691025605</v>
      </c>
      <c r="AD261" s="143">
        <f t="shared" si="1432"/>
        <v>-297.32379000525009</v>
      </c>
      <c r="AE261" s="26">
        <f t="shared" ref="AE261:AF264" si="1459">AE279*AE$265</f>
        <v>-164.82096011780001</v>
      </c>
      <c r="AF261" s="26">
        <f t="shared" si="1459"/>
        <v>-168.85622908071306</v>
      </c>
      <c r="AG261" s="143">
        <f t="shared" si="1434"/>
        <v>-333.67718919851308</v>
      </c>
      <c r="AH261" s="26">
        <f t="shared" ref="AH261:AI264" si="1460">AH279*AH$265</f>
        <v>-183.83902631491821</v>
      </c>
      <c r="AI261" s="26">
        <f t="shared" si="1460"/>
        <v>-187.6652504501547</v>
      </c>
      <c r="AJ261" s="143">
        <f t="shared" si="1436"/>
        <v>-371.50427676507292</v>
      </c>
      <c r="AK261" s="26">
        <f t="shared" ref="AK261:AL264" si="1461">AK279*AK$265</f>
        <v>-208.12824814775112</v>
      </c>
      <c r="AL261" s="26">
        <f t="shared" si="1461"/>
        <v>-210.70208717670047</v>
      </c>
      <c r="AM261" s="143">
        <f t="shared" si="1438"/>
        <v>-418.8303353244516</v>
      </c>
      <c r="AN261" s="26">
        <f t="shared" ref="AN261:AO264" si="1462">AN279*AN$265</f>
        <v>-231.85955300165628</v>
      </c>
      <c r="AO261" s="26">
        <f t="shared" si="1462"/>
        <v>-234.09990119574212</v>
      </c>
      <c r="AP261" s="143">
        <f t="shared" si="1440"/>
        <v>-465.95945419739837</v>
      </c>
      <c r="AQ261" s="26">
        <f t="shared" ref="AQ261:AR264" si="1463">AQ279*AQ$265</f>
        <v>-257.01902989614985</v>
      </c>
      <c r="AR261" s="26">
        <f t="shared" si="1463"/>
        <v>-258.90346537359216</v>
      </c>
      <c r="AS261" s="143">
        <f t="shared" si="1442"/>
        <v>-515.92249526974206</v>
      </c>
      <c r="AT261" s="26">
        <f t="shared" ref="AT261:AU264" si="1464">AT279*AT$265</f>
        <v>-283.68713864097111</v>
      </c>
      <c r="AU261" s="26">
        <f t="shared" si="1464"/>
        <v>-285.19214116659293</v>
      </c>
      <c r="AV261" s="143">
        <f t="shared" si="1444"/>
        <v>-568.87927980756399</v>
      </c>
      <c r="AW261" s="26">
        <f t="shared" ref="AW261:AX264" si="1465">AW279*AW$265</f>
        <v>-311.94892504448416</v>
      </c>
      <c r="AX261" s="26">
        <f t="shared" si="1465"/>
        <v>-313.04991726925033</v>
      </c>
      <c r="AY261" s="143">
        <f t="shared" si="1446"/>
        <v>-624.99884231373449</v>
      </c>
    </row>
    <row r="262" spans="1:51" s="24" customFormat="1" ht="12" customHeight="1" x14ac:dyDescent="0.2">
      <c r="B262" s="23" t="s">
        <v>360</v>
      </c>
      <c r="C262" s="23"/>
      <c r="D262" s="142"/>
      <c r="E262" s="26"/>
      <c r="F262" s="143"/>
      <c r="G262" s="142"/>
      <c r="H262" s="26"/>
      <c r="I262" s="213"/>
      <c r="J262" s="142"/>
      <c r="K262" s="26"/>
      <c r="L262" s="213"/>
      <c r="M262" s="142"/>
      <c r="N262" s="26"/>
      <c r="O262" s="213"/>
      <c r="P262" s="142"/>
      <c r="Q262" s="142"/>
      <c r="R262" s="143">
        <f>'Income &amp; Cash Flow'!R13</f>
        <v>-60.594999999999999</v>
      </c>
      <c r="S262" s="26">
        <f>'Income &amp; Cash Flow'!S13</f>
        <v>-25.864999999999998</v>
      </c>
      <c r="T262" s="142"/>
      <c r="U262" s="143">
        <f>'Income &amp; Cash Flow'!U13</f>
        <v>-53.615000000000002</v>
      </c>
      <c r="V262" s="26">
        <f t="shared" si="1447"/>
        <v>-42.867130349429956</v>
      </c>
      <c r="W262" s="26">
        <f t="shared" si="1447"/>
        <v>-44.831537360965157</v>
      </c>
      <c r="X262" s="143">
        <f t="shared" si="1428"/>
        <v>-87.698667710395114</v>
      </c>
      <c r="Y262" s="26">
        <f t="shared" si="1457"/>
        <v>-50.251169325766654</v>
      </c>
      <c r="Z262" s="26">
        <f t="shared" si="1457"/>
        <v>-52.121452618362227</v>
      </c>
      <c r="AA262" s="143">
        <f t="shared" si="1430"/>
        <v>-102.37262194412888</v>
      </c>
      <c r="AB262" s="26">
        <f t="shared" si="1458"/>
        <v>-57.760749350114573</v>
      </c>
      <c r="AC262" s="26">
        <f t="shared" si="1458"/>
        <v>-59.431623500009529</v>
      </c>
      <c r="AD262" s="143">
        <f t="shared" si="1432"/>
        <v>-117.1923728501241</v>
      </c>
      <c r="AE262" s="26">
        <f t="shared" si="1459"/>
        <v>-64.96540156204648</v>
      </c>
      <c r="AF262" s="26">
        <f t="shared" si="1459"/>
        <v>-66.555932695945629</v>
      </c>
      <c r="AG262" s="143">
        <f t="shared" si="1434"/>
        <v>-131.52133425799212</v>
      </c>
      <c r="AH262" s="26">
        <f t="shared" si="1460"/>
        <v>-72.461513140005522</v>
      </c>
      <c r="AI262" s="26">
        <f t="shared" si="1460"/>
        <v>-73.969647707565215</v>
      </c>
      <c r="AJ262" s="143">
        <f t="shared" si="1436"/>
        <v>-146.43116084757074</v>
      </c>
      <c r="AK262" s="26">
        <f t="shared" si="1461"/>
        <v>-82.035289732932938</v>
      </c>
      <c r="AL262" s="26">
        <f t="shared" si="1461"/>
        <v>-83.049787439730991</v>
      </c>
      <c r="AM262" s="143">
        <f t="shared" si="1438"/>
        <v>-165.08507717266394</v>
      </c>
      <c r="AN262" s="26">
        <f t="shared" si="1462"/>
        <v>-91.389159218485048</v>
      </c>
      <c r="AO262" s="26">
        <f t="shared" si="1462"/>
        <v>-92.272209043965802</v>
      </c>
      <c r="AP262" s="143">
        <f t="shared" si="1440"/>
        <v>-183.66136826245085</v>
      </c>
      <c r="AQ262" s="26">
        <f t="shared" si="1463"/>
        <v>-101.30595328626384</v>
      </c>
      <c r="AR262" s="26">
        <f t="shared" si="1463"/>
        <v>-102.04871747973965</v>
      </c>
      <c r="AS262" s="143">
        <f t="shared" si="1442"/>
        <v>-203.35467076600349</v>
      </c>
      <c r="AT262" s="26">
        <f t="shared" si="1464"/>
        <v>-111.81738576590352</v>
      </c>
      <c r="AU262" s="26">
        <f t="shared" si="1464"/>
        <v>-112.4105936525645</v>
      </c>
      <c r="AV262" s="143">
        <f t="shared" si="1444"/>
        <v>-224.22797941846801</v>
      </c>
      <c r="AW262" s="26">
        <f t="shared" si="1465"/>
        <v>-122.95697809234528</v>
      </c>
      <c r="AX262" s="26">
        <f t="shared" si="1465"/>
        <v>-123.3909423281288</v>
      </c>
      <c r="AY262" s="143">
        <f t="shared" si="1446"/>
        <v>-246.34792042047408</v>
      </c>
    </row>
    <row r="263" spans="1:51" s="24" customFormat="1" ht="12" customHeight="1" x14ac:dyDescent="0.2">
      <c r="B263" s="23" t="s">
        <v>341</v>
      </c>
      <c r="C263" s="23"/>
      <c r="D263" s="142"/>
      <c r="E263" s="26"/>
      <c r="F263" s="143"/>
      <c r="G263" s="142"/>
      <c r="H263" s="26"/>
      <c r="I263" s="213"/>
      <c r="J263" s="142"/>
      <c r="K263" s="26"/>
      <c r="L263" s="213"/>
      <c r="M263" s="142"/>
      <c r="N263" s="26"/>
      <c r="O263" s="213"/>
      <c r="P263" s="142"/>
      <c r="Q263" s="142"/>
      <c r="R263" s="143">
        <f>'Income &amp; Cash Flow'!R14</f>
        <v>-17.937999999999999</v>
      </c>
      <c r="S263" s="26">
        <f>'Income &amp; Cash Flow'!S14</f>
        <v>-11.302</v>
      </c>
      <c r="T263" s="142"/>
      <c r="U263" s="143">
        <f>'Income &amp; Cash Flow'!U14</f>
        <v>-21.286999999999999</v>
      </c>
      <c r="V263" s="26">
        <f t="shared" si="1447"/>
        <v>-12.690000564536257</v>
      </c>
      <c r="W263" s="26">
        <f t="shared" si="1447"/>
        <v>-13.271525986979007</v>
      </c>
      <c r="X263" s="143">
        <f t="shared" si="1428"/>
        <v>-25.961526551515263</v>
      </c>
      <c r="Y263" s="26">
        <f t="shared" si="1457"/>
        <v>-14.875905196230748</v>
      </c>
      <c r="Z263" s="26">
        <f t="shared" si="1457"/>
        <v>-15.42956707761666</v>
      </c>
      <c r="AA263" s="143">
        <f t="shared" si="1430"/>
        <v>-30.305472273847407</v>
      </c>
      <c r="AB263" s="26">
        <f t="shared" si="1458"/>
        <v>-17.098973873130706</v>
      </c>
      <c r="AC263" s="26">
        <f t="shared" si="1458"/>
        <v>-17.593604461476538</v>
      </c>
      <c r="AD263" s="143">
        <f t="shared" si="1432"/>
        <v>-34.692578334607248</v>
      </c>
      <c r="AE263" s="26">
        <f t="shared" si="1459"/>
        <v>-19.231774456968228</v>
      </c>
      <c r="AF263" s="26">
        <f t="shared" si="1459"/>
        <v>-19.702621019884027</v>
      </c>
      <c r="AG263" s="143">
        <f t="shared" si="1434"/>
        <v>-38.934395476852259</v>
      </c>
      <c r="AH263" s="26">
        <f t="shared" si="1460"/>
        <v>-21.450856055869611</v>
      </c>
      <c r="AI263" s="26">
        <f t="shared" si="1460"/>
        <v>-21.897310678740897</v>
      </c>
      <c r="AJ263" s="143">
        <f t="shared" si="1436"/>
        <v>-43.348166734610508</v>
      </c>
      <c r="AK263" s="26">
        <f t="shared" si="1461"/>
        <v>-24.284990960134515</v>
      </c>
      <c r="AL263" s="26">
        <f t="shared" si="1461"/>
        <v>-24.585313756809878</v>
      </c>
      <c r="AM263" s="143">
        <f t="shared" si="1438"/>
        <v>-48.870304716944389</v>
      </c>
      <c r="AN263" s="26">
        <f t="shared" si="1462"/>
        <v>-27.054026537852707</v>
      </c>
      <c r="AO263" s="26">
        <f t="shared" si="1462"/>
        <v>-27.315436683400584</v>
      </c>
      <c r="AP263" s="143">
        <f t="shared" si="1440"/>
        <v>-54.369463221253291</v>
      </c>
      <c r="AQ263" s="26">
        <f t="shared" si="1463"/>
        <v>-29.989705257017917</v>
      </c>
      <c r="AR263" s="26">
        <f t="shared" si="1463"/>
        <v>-30.209586503037706</v>
      </c>
      <c r="AS263" s="143">
        <f t="shared" si="1442"/>
        <v>-60.199291760055623</v>
      </c>
      <c r="AT263" s="26">
        <f t="shared" si="1464"/>
        <v>-33.101415395144436</v>
      </c>
      <c r="AU263" s="26">
        <f t="shared" si="1464"/>
        <v>-33.277023334263582</v>
      </c>
      <c r="AV263" s="143">
        <f t="shared" si="1444"/>
        <v>-66.378438729408018</v>
      </c>
      <c r="AW263" s="26">
        <f t="shared" si="1465"/>
        <v>-36.399080336999582</v>
      </c>
      <c r="AX263" s="26">
        <f t="shared" si="1465"/>
        <v>-36.527547214819279</v>
      </c>
      <c r="AY263" s="143">
        <f t="shared" si="1446"/>
        <v>-72.926627551818854</v>
      </c>
    </row>
    <row r="264" spans="1:51" s="24" customFormat="1" ht="12" customHeight="1" x14ac:dyDescent="0.2">
      <c r="B264" s="23" t="s">
        <v>361</v>
      </c>
      <c r="C264" s="23"/>
      <c r="D264" s="142"/>
      <c r="E264" s="26"/>
      <c r="F264" s="143"/>
      <c r="G264" s="142"/>
      <c r="H264" s="26"/>
      <c r="I264" s="213"/>
      <c r="J264" s="142"/>
      <c r="K264" s="26"/>
      <c r="L264" s="213"/>
      <c r="M264" s="142"/>
      <c r="N264" s="26"/>
      <c r="O264" s="213"/>
      <c r="P264" s="142"/>
      <c r="Q264" s="142"/>
      <c r="R264" s="143">
        <f>'Income &amp; Cash Flow'!R15</f>
        <v>-17.867999999999999</v>
      </c>
      <c r="S264" s="26">
        <f>'Income &amp; Cash Flow'!S15</f>
        <v>-14.311</v>
      </c>
      <c r="T264" s="142"/>
      <c r="U264" s="143">
        <f>'Income &amp; Cash Flow'!U15</f>
        <v>-29.381</v>
      </c>
      <c r="V264" s="26">
        <f t="shared" si="1447"/>
        <v>-7.669321893195316</v>
      </c>
      <c r="W264" s="26">
        <f t="shared" si="1447"/>
        <v>-8.0207722836904569</v>
      </c>
      <c r="X264" s="143">
        <f t="shared" si="1428"/>
        <v>-15.690094176885772</v>
      </c>
      <c r="Y264" s="26">
        <f t="shared" si="1457"/>
        <v>-8.9903940368122175</v>
      </c>
      <c r="Z264" s="26">
        <f t="shared" si="1457"/>
        <v>-9.3250048326704338</v>
      </c>
      <c r="AA264" s="143">
        <f t="shared" si="1430"/>
        <v>-18.31539886948265</v>
      </c>
      <c r="AB264" s="26">
        <f t="shared" si="1458"/>
        <v>-10.333926622734419</v>
      </c>
      <c r="AC264" s="26">
        <f t="shared" si="1458"/>
        <v>-10.632861298186373</v>
      </c>
      <c r="AD264" s="143">
        <f t="shared" si="1432"/>
        <v>-20.966787920920794</v>
      </c>
      <c r="AE264" s="26">
        <f t="shared" si="1459"/>
        <v>-11.622904832645366</v>
      </c>
      <c r="AF264" s="26">
        <f t="shared" si="1459"/>
        <v>-11.907465407323153</v>
      </c>
      <c r="AG264" s="143">
        <f t="shared" si="1434"/>
        <v>-23.530370239968519</v>
      </c>
      <c r="AH264" s="26">
        <f t="shared" si="1460"/>
        <v>-12.964027790259921</v>
      </c>
      <c r="AI264" s="26">
        <f t="shared" si="1460"/>
        <v>-13.233846865215192</v>
      </c>
      <c r="AJ264" s="143">
        <f t="shared" si="1436"/>
        <v>-26.197874655475111</v>
      </c>
      <c r="AK264" s="26">
        <f t="shared" si="1461"/>
        <v>-14.676864031598745</v>
      </c>
      <c r="AL264" s="26">
        <f t="shared" si="1461"/>
        <v>-14.858366954932317</v>
      </c>
      <c r="AM264" s="143">
        <f t="shared" si="1438"/>
        <v>-29.535230986531062</v>
      </c>
      <c r="AN264" s="26">
        <f t="shared" si="1462"/>
        <v>-16.350356879075772</v>
      </c>
      <c r="AO264" s="26">
        <f t="shared" si="1462"/>
        <v>-16.508342573572623</v>
      </c>
      <c r="AP264" s="143">
        <f t="shared" si="1440"/>
        <v>-32.858699452648395</v>
      </c>
      <c r="AQ264" s="26">
        <f t="shared" si="1463"/>
        <v>-18.124562085590995</v>
      </c>
      <c r="AR264" s="26">
        <f t="shared" si="1463"/>
        <v>-18.257449396779563</v>
      </c>
      <c r="AS264" s="143">
        <f t="shared" si="1442"/>
        <v>-36.382011482370558</v>
      </c>
      <c r="AT264" s="26">
        <f t="shared" si="1464"/>
        <v>-20.005153545476691</v>
      </c>
      <c r="AU264" s="26">
        <f t="shared" si="1464"/>
        <v>-20.111283864798278</v>
      </c>
      <c r="AV264" s="143">
        <f t="shared" si="1444"/>
        <v>-40.116437410274969</v>
      </c>
      <c r="AW264" s="26">
        <f t="shared" si="1465"/>
        <v>-21.998128550195812</v>
      </c>
      <c r="AX264" s="26">
        <f t="shared" si="1465"/>
        <v>-22.075768723149505</v>
      </c>
      <c r="AY264" s="143">
        <f t="shared" si="1446"/>
        <v>-44.073897273345317</v>
      </c>
    </row>
    <row r="265" spans="1:51" s="135" customFormat="1" ht="12" customHeight="1" x14ac:dyDescent="0.2">
      <c r="A265" s="24"/>
      <c r="B265" s="49" t="s">
        <v>482</v>
      </c>
      <c r="C265" s="49"/>
      <c r="D265" s="233"/>
      <c r="E265" s="234"/>
      <c r="F265" s="169"/>
      <c r="G265" s="233"/>
      <c r="H265" s="234"/>
      <c r="I265" s="235"/>
      <c r="J265" s="233"/>
      <c r="K265" s="234"/>
      <c r="L265" s="235"/>
      <c r="M265" s="233"/>
      <c r="N265" s="234"/>
      <c r="O265" s="235"/>
      <c r="P265" s="233"/>
      <c r="Q265" s="233"/>
      <c r="R265" s="235">
        <f>SUM(R259:R264)</f>
        <v>-314.94</v>
      </c>
      <c r="S265" s="234">
        <f>SUM(S259:S264)</f>
        <v>-180.84100000000001</v>
      </c>
      <c r="T265" s="233"/>
      <c r="U265" s="235">
        <f>SUM(U259:U264)</f>
        <v>-370.86299999999994</v>
      </c>
      <c r="V265" s="234">
        <f>+V33-V22</f>
        <v>-222.8001325563078</v>
      </c>
      <c r="W265" s="234">
        <f>+W33-W22</f>
        <v>-233.01005654694887</v>
      </c>
      <c r="X265" s="235">
        <f t="shared" ref="X265" si="1466">SUM(X259:X264)</f>
        <v>-455.81018910325668</v>
      </c>
      <c r="Y265" s="234">
        <f>+Y33-Y22</f>
        <v>-261.17836896537585</v>
      </c>
      <c r="Z265" s="234">
        <f>+Z33-Z22</f>
        <v>-270.89908882955689</v>
      </c>
      <c r="AA265" s="235">
        <f t="shared" ref="AA265" si="1467">SUM(AA259:AA264)</f>
        <v>-532.0774577949328</v>
      </c>
      <c r="AB265" s="234">
        <f>+AB33-AB22</f>
        <v>-300.20909976607118</v>
      </c>
      <c r="AC265" s="234">
        <f>+AC33-AC22</f>
        <v>-308.89339887932999</v>
      </c>
      <c r="AD265" s="235">
        <f t="shared" ref="AD265" si="1468">SUM(AD259:AD264)</f>
        <v>-609.10249864540117</v>
      </c>
      <c r="AE265" s="234">
        <f>+AE33-AE22</f>
        <v>-337.65498090520538</v>
      </c>
      <c r="AF265" s="234">
        <f>+AF33-AF22</f>
        <v>-345.92170052415406</v>
      </c>
      <c r="AG265" s="235">
        <f t="shared" ref="AG265" si="1469">SUM(AG259:AG264)</f>
        <v>-683.57668142935938</v>
      </c>
      <c r="AH265" s="234">
        <f>+AH33-AH22</f>
        <v>-376.61571001424772</v>
      </c>
      <c r="AI265" s="234">
        <f>+AI33-AI22</f>
        <v>-384.45417689612327</v>
      </c>
      <c r="AJ265" s="235">
        <f t="shared" ref="AJ265" si="1470">SUM(AJ259:AJ264)</f>
        <v>-761.06988691037088</v>
      </c>
      <c r="AK265" s="234">
        <f>+AK33-AK22</f>
        <v>-426.3750168906659</v>
      </c>
      <c r="AL265" s="234">
        <f>+AL33-AL22</f>
        <v>-431.64782665680139</v>
      </c>
      <c r="AM265" s="235">
        <f t="shared" ref="AM265" si="1471">SUM(AM259:AM264)</f>
        <v>-858.02284354746712</v>
      </c>
      <c r="AN265" s="234">
        <f>+AN33-AN22</f>
        <v>-474.99136569468902</v>
      </c>
      <c r="AO265" s="234">
        <f>+AO33-AO22</f>
        <v>-479.58098054800871</v>
      </c>
      <c r="AP265" s="235">
        <f t="shared" ref="AP265" si="1472">SUM(AP259:AP264)</f>
        <v>-954.57234624269779</v>
      </c>
      <c r="AQ265" s="234">
        <f>+AQ33-AQ22</f>
        <v>-526.5334916738334</v>
      </c>
      <c r="AR265" s="234">
        <f>+AR33-AR22</f>
        <v>-530.39397777158524</v>
      </c>
      <c r="AS265" s="235">
        <f t="shared" ref="AS265" si="1473">SUM(AS259:AS264)</f>
        <v>-1056.9274694454186</v>
      </c>
      <c r="AT265" s="234">
        <f>+AT33-AT22</f>
        <v>-581.16622614264634</v>
      </c>
      <c r="AU265" s="234">
        <f>+AU33-AU22</f>
        <v>-584.24939953690341</v>
      </c>
      <c r="AV265" s="235">
        <f t="shared" ref="AV265" si="1474">SUM(AV259:AV264)</f>
        <v>-1165.4156256795497</v>
      </c>
      <c r="AW265" s="234">
        <f>+AW33-AW22</f>
        <v>-639.06379536930808</v>
      </c>
      <c r="AX265" s="234">
        <f>+AX33-AX22</f>
        <v>-641.31930649097922</v>
      </c>
      <c r="AY265" s="235">
        <f t="shared" ref="AY265" si="1475">SUM(AY259:AY264)</f>
        <v>-1280.3831018602873</v>
      </c>
    </row>
    <row r="266" spans="1:51" s="24" customFormat="1" ht="12" customHeight="1" x14ac:dyDescent="0.2">
      <c r="B266" s="153"/>
      <c r="C266" s="23"/>
      <c r="D266" s="142"/>
      <c r="E266" s="26"/>
      <c r="F266" s="143"/>
      <c r="G266" s="142"/>
      <c r="H266" s="26"/>
      <c r="I266" s="143"/>
      <c r="J266" s="142"/>
      <c r="K266" s="26"/>
      <c r="L266" s="143"/>
      <c r="M266" s="142"/>
      <c r="N266" s="26"/>
      <c r="O266" s="143"/>
      <c r="P266" s="142"/>
      <c r="Q266" s="26"/>
      <c r="R266" s="143"/>
      <c r="S266" s="26"/>
      <c r="T266" s="26"/>
      <c r="U266" s="143"/>
      <c r="V266" s="26"/>
      <c r="W266" s="26"/>
      <c r="X266" s="143"/>
      <c r="Y266" s="26"/>
      <c r="Z266" s="26"/>
      <c r="AA266" s="143"/>
      <c r="AB266" s="26"/>
      <c r="AC266" s="26"/>
      <c r="AD266" s="143"/>
      <c r="AE266" s="26"/>
      <c r="AF266" s="26"/>
      <c r="AG266" s="143"/>
      <c r="AH266" s="26"/>
      <c r="AI266" s="26"/>
      <c r="AJ266" s="143"/>
      <c r="AK266" s="26"/>
      <c r="AL266" s="26"/>
      <c r="AM266" s="143"/>
      <c r="AN266" s="26"/>
      <c r="AO266" s="26"/>
      <c r="AP266" s="143"/>
      <c r="AQ266" s="26"/>
      <c r="AR266" s="26"/>
      <c r="AS266" s="143"/>
      <c r="AT266" s="26"/>
      <c r="AU266" s="26"/>
      <c r="AV266" s="143"/>
      <c r="AW266" s="26"/>
      <c r="AX266" s="26"/>
      <c r="AY266" s="143"/>
    </row>
    <row r="267" spans="1:51" s="24" customFormat="1" ht="12" customHeight="1" x14ac:dyDescent="0.2">
      <c r="B267" s="342" t="s">
        <v>19</v>
      </c>
      <c r="C267" s="23"/>
      <c r="D267" s="142"/>
      <c r="E267" s="26"/>
      <c r="F267" s="143"/>
      <c r="G267" s="142"/>
      <c r="H267" s="26"/>
      <c r="I267" s="143"/>
      <c r="J267" s="142"/>
      <c r="K267" s="26"/>
      <c r="L267" s="143"/>
      <c r="M267" s="142"/>
      <c r="N267" s="26"/>
      <c r="O267" s="143"/>
      <c r="P267" s="142"/>
      <c r="Q267" s="26"/>
      <c r="R267" s="143"/>
      <c r="S267" s="142"/>
      <c r="T267" s="26"/>
      <c r="U267" s="143"/>
      <c r="V267" s="142"/>
      <c r="W267" s="26"/>
      <c r="X267" s="143"/>
      <c r="Y267" s="142"/>
      <c r="Z267" s="26"/>
      <c r="AA267" s="143"/>
      <c r="AB267" s="142"/>
      <c r="AC267" s="26"/>
      <c r="AD267" s="143"/>
      <c r="AE267" s="142"/>
      <c r="AF267" s="26"/>
      <c r="AG267" s="143"/>
      <c r="AH267" s="142"/>
      <c r="AI267" s="26"/>
      <c r="AJ267" s="143"/>
      <c r="AK267" s="142"/>
      <c r="AL267" s="26"/>
      <c r="AM267" s="143"/>
      <c r="AN267" s="142"/>
      <c r="AO267" s="26"/>
      <c r="AP267" s="143"/>
      <c r="AQ267" s="142"/>
      <c r="AR267" s="26"/>
      <c r="AS267" s="143"/>
      <c r="AT267" s="142"/>
      <c r="AU267" s="26"/>
      <c r="AV267" s="143"/>
      <c r="AW267" s="142"/>
      <c r="AX267" s="26"/>
      <c r="AY267" s="143"/>
    </row>
    <row r="268" spans="1:51" s="24" customFormat="1" ht="12" customHeight="1" x14ac:dyDescent="0.2">
      <c r="B268" s="224" t="s">
        <v>347</v>
      </c>
      <c r="C268" s="23"/>
      <c r="D268" s="142"/>
      <c r="E268" s="26"/>
      <c r="F268" s="143"/>
      <c r="G268" s="142"/>
      <c r="H268" s="26"/>
      <c r="I268" s="143"/>
      <c r="J268" s="142"/>
      <c r="K268" s="26"/>
      <c r="L268" s="143"/>
      <c r="M268" s="142"/>
      <c r="N268" s="26"/>
      <c r="O268" s="143"/>
      <c r="P268" s="142"/>
      <c r="Q268" s="26"/>
      <c r="R268" s="143"/>
      <c r="S268" s="142"/>
      <c r="T268" s="26"/>
      <c r="U268" s="143"/>
      <c r="V268" s="284">
        <f t="shared" ref="V268:V269" si="1476">V259/S259-1</f>
        <v>-0.24274307471855139</v>
      </c>
      <c r="W268" s="344" t="e">
        <f t="shared" ref="W268:W269" si="1477">W259/T259-1</f>
        <v>#DIV/0!</v>
      </c>
      <c r="X268" s="305">
        <f t="shared" ref="X268:AY269" si="1478">X259/U259-1</f>
        <v>-0.28833033177732847</v>
      </c>
      <c r="Y268" s="284">
        <f t="shared" si="1478"/>
        <v>0.17225410042953548</v>
      </c>
      <c r="Z268" s="344">
        <f t="shared" si="1478"/>
        <v>0.16260685415942033</v>
      </c>
      <c r="AA268" s="305">
        <f t="shared" si="1478"/>
        <v>0.16732243050933415</v>
      </c>
      <c r="AB268" s="284">
        <f t="shared" si="1478"/>
        <v>0.14944090107963559</v>
      </c>
      <c r="AC268" s="344">
        <f t="shared" si="1478"/>
        <v>0.14025263139101285</v>
      </c>
      <c r="AD268" s="305">
        <f t="shared" si="1478"/>
        <v>0.14476283428672243</v>
      </c>
      <c r="AE268" s="284">
        <f t="shared" si="1478"/>
        <v>0.12473266522671289</v>
      </c>
      <c r="AF268" s="344">
        <f t="shared" si="1478"/>
        <v>0.11987404644826749</v>
      </c>
      <c r="AG268" s="305">
        <f t="shared" si="1478"/>
        <v>0.12226871987815402</v>
      </c>
      <c r="AH268" s="284">
        <f t="shared" si="1478"/>
        <v>0.11538621170223573</v>
      </c>
      <c r="AI268" s="344">
        <f t="shared" si="1478"/>
        <v>0.11139074626883283</v>
      </c>
      <c r="AJ268" s="305">
        <f t="shared" si="1478"/>
        <v>0.11336431974094419</v>
      </c>
      <c r="AK268" s="284">
        <f t="shared" si="1478"/>
        <v>0.13212222845015087</v>
      </c>
      <c r="AL268" s="344">
        <f t="shared" si="1478"/>
        <v>0.12275494089229144</v>
      </c>
      <c r="AM268" s="305">
        <f t="shared" si="1478"/>
        <v>0.12739034654318715</v>
      </c>
      <c r="AN268" s="284">
        <f t="shared" si="1478"/>
        <v>0.11402250806943881</v>
      </c>
      <c r="AO268" s="344">
        <f t="shared" si="1478"/>
        <v>0.11104690196741895</v>
      </c>
      <c r="AP268" s="305">
        <f t="shared" si="1478"/>
        <v>0.1125255620188963</v>
      </c>
      <c r="AQ268" s="284">
        <f t="shared" si="1478"/>
        <v>0.10851171137345306</v>
      </c>
      <c r="AR268" s="344">
        <f t="shared" si="1478"/>
        <v>0.10595290323130291</v>
      </c>
      <c r="AS268" s="305">
        <f t="shared" si="1478"/>
        <v>0.10722615588603834</v>
      </c>
      <c r="AT268" s="284">
        <f t="shared" si="1478"/>
        <v>0.10375927710721156</v>
      </c>
      <c r="AU268" s="344">
        <f t="shared" si="1478"/>
        <v>0.10153852423360488</v>
      </c>
      <c r="AV268" s="305">
        <f t="shared" si="1478"/>
        <v>0.10264484495899784</v>
      </c>
      <c r="AW268" s="284">
        <f t="shared" si="1478"/>
        <v>9.962307963238537E-2</v>
      </c>
      <c r="AX268" s="344">
        <f t="shared" si="1478"/>
        <v>9.7680728468546807E-2</v>
      </c>
      <c r="AY268" s="305">
        <f t="shared" si="1478"/>
        <v>9.8649334750167572E-2</v>
      </c>
    </row>
    <row r="269" spans="1:51" s="24" customFormat="1" ht="12" customHeight="1" x14ac:dyDescent="0.2">
      <c r="B269" s="224" t="s">
        <v>479</v>
      </c>
      <c r="C269" s="23"/>
      <c r="D269" s="142"/>
      <c r="E269" s="26"/>
      <c r="F269" s="143"/>
      <c r="G269" s="142"/>
      <c r="H269" s="26"/>
      <c r="I269" s="143"/>
      <c r="J269" s="142"/>
      <c r="K269" s="26"/>
      <c r="L269" s="231"/>
      <c r="M269" s="142"/>
      <c r="N269" s="26"/>
      <c r="O269" s="230"/>
      <c r="P269" s="214"/>
      <c r="Q269" s="214"/>
      <c r="R269" s="150"/>
      <c r="S269" s="142"/>
      <c r="T269" s="214"/>
      <c r="U269" s="150"/>
      <c r="V269" s="284">
        <f t="shared" si="1476"/>
        <v>0.1250442385893904</v>
      </c>
      <c r="W269" s="344" t="e">
        <f t="shared" si="1477"/>
        <v>#DIV/0!</v>
      </c>
      <c r="X269" s="305">
        <f t="shared" si="1478"/>
        <v>0.11238324784300779</v>
      </c>
      <c r="Y269" s="284">
        <f t="shared" ref="Y269:AY269" si="1479">Y260/V260-1</f>
        <v>0.17225410042953526</v>
      </c>
      <c r="Z269" s="344">
        <f t="shared" si="1479"/>
        <v>0.16260685415942011</v>
      </c>
      <c r="AA269" s="305">
        <f t="shared" si="1479"/>
        <v>0.16732243050933393</v>
      </c>
      <c r="AB269" s="284">
        <f t="shared" si="1479"/>
        <v>0.14944090107963581</v>
      </c>
      <c r="AC269" s="344">
        <f t="shared" si="1479"/>
        <v>0.14025263139101285</v>
      </c>
      <c r="AD269" s="305">
        <f t="shared" si="1479"/>
        <v>0.14476283428672243</v>
      </c>
      <c r="AE269" s="284">
        <f t="shared" si="1479"/>
        <v>0.12473266522671289</v>
      </c>
      <c r="AF269" s="344">
        <f t="shared" si="1479"/>
        <v>0.11987404644826771</v>
      </c>
      <c r="AG269" s="305">
        <f t="shared" si="1479"/>
        <v>0.12226871987815402</v>
      </c>
      <c r="AH269" s="284">
        <f t="shared" si="1479"/>
        <v>0.11538621170223551</v>
      </c>
      <c r="AI269" s="344">
        <f t="shared" si="1479"/>
        <v>0.11139074626883283</v>
      </c>
      <c r="AJ269" s="305">
        <f t="shared" si="1479"/>
        <v>0.11336431974094419</v>
      </c>
      <c r="AK269" s="284">
        <f t="shared" si="1479"/>
        <v>0.13212222845015087</v>
      </c>
      <c r="AL269" s="344">
        <f t="shared" si="1479"/>
        <v>0.12275494089229122</v>
      </c>
      <c r="AM269" s="305">
        <f t="shared" si="1479"/>
        <v>0.12739034654318715</v>
      </c>
      <c r="AN269" s="284">
        <f t="shared" si="1479"/>
        <v>0.11402250806943903</v>
      </c>
      <c r="AO269" s="344">
        <f t="shared" si="1479"/>
        <v>0.11104690196741895</v>
      </c>
      <c r="AP269" s="305">
        <f t="shared" si="1479"/>
        <v>0.1125255620188963</v>
      </c>
      <c r="AQ269" s="284">
        <f t="shared" si="1479"/>
        <v>0.10851171137345283</v>
      </c>
      <c r="AR269" s="344">
        <f t="shared" si="1479"/>
        <v>0.10595290323130313</v>
      </c>
      <c r="AS269" s="305">
        <f t="shared" si="1479"/>
        <v>0.10722615588603857</v>
      </c>
      <c r="AT269" s="284">
        <f t="shared" si="1479"/>
        <v>0.10375927710721156</v>
      </c>
      <c r="AU269" s="344">
        <f t="shared" si="1479"/>
        <v>0.10153852423360465</v>
      </c>
      <c r="AV269" s="305">
        <f t="shared" si="1479"/>
        <v>0.10264484495899806</v>
      </c>
      <c r="AW269" s="284">
        <f t="shared" si="1479"/>
        <v>9.962307963238537E-2</v>
      </c>
      <c r="AX269" s="344">
        <f t="shared" si="1479"/>
        <v>9.7680728468547029E-2</v>
      </c>
      <c r="AY269" s="305">
        <f t="shared" si="1479"/>
        <v>9.864933475016735E-2</v>
      </c>
    </row>
    <row r="270" spans="1:51" s="24" customFormat="1" ht="12" customHeight="1" x14ac:dyDescent="0.2">
      <c r="B270" s="224" t="s">
        <v>359</v>
      </c>
      <c r="C270" s="23"/>
      <c r="D270" s="142"/>
      <c r="E270" s="26"/>
      <c r="F270" s="143"/>
      <c r="G270" s="142"/>
      <c r="H270" s="26"/>
      <c r="I270" s="143"/>
      <c r="J270" s="142"/>
      <c r="K270" s="26"/>
      <c r="L270" s="231"/>
      <c r="M270" s="142"/>
      <c r="N270" s="26"/>
      <c r="O270" s="230"/>
      <c r="P270" s="214"/>
      <c r="Q270" s="214"/>
      <c r="R270" s="150"/>
      <c r="S270" s="142"/>
      <c r="T270" s="214"/>
      <c r="U270" s="150"/>
      <c r="V270" s="284">
        <f t="shared" ref="V270:X270" si="1480">V261/S261-1</f>
        <v>0.22194055384206535</v>
      </c>
      <c r="W270" s="344" t="e">
        <f t="shared" si="1480"/>
        <v>#DIV/0!</v>
      </c>
      <c r="X270" s="305">
        <f t="shared" si="1480"/>
        <v>0.2049246371328759</v>
      </c>
      <c r="Y270" s="284">
        <f t="shared" ref="Y270:AH274" si="1481">Y261/V261-1</f>
        <v>0.17225410042953548</v>
      </c>
      <c r="Z270" s="344">
        <f t="shared" si="1481"/>
        <v>0.16260685415942033</v>
      </c>
      <c r="AA270" s="305">
        <f t="shared" si="1481"/>
        <v>0.16732243050933393</v>
      </c>
      <c r="AB270" s="284">
        <f t="shared" si="1481"/>
        <v>0.14944090107963581</v>
      </c>
      <c r="AC270" s="344">
        <f t="shared" si="1481"/>
        <v>0.14025263139101307</v>
      </c>
      <c r="AD270" s="305">
        <f t="shared" si="1481"/>
        <v>0.14476283428672265</v>
      </c>
      <c r="AE270" s="284">
        <f t="shared" si="1481"/>
        <v>0.12473266522671267</v>
      </c>
      <c r="AF270" s="344">
        <f t="shared" si="1481"/>
        <v>0.11987404644826749</v>
      </c>
      <c r="AG270" s="305">
        <f t="shared" si="1481"/>
        <v>0.12226871987815402</v>
      </c>
      <c r="AH270" s="284">
        <f t="shared" si="1481"/>
        <v>0.11538621170223551</v>
      </c>
      <c r="AI270" s="344">
        <f t="shared" ref="AI270:AR274" si="1482">AI261/AF261-1</f>
        <v>0.11139074626883283</v>
      </c>
      <c r="AJ270" s="305">
        <f t="shared" si="1482"/>
        <v>0.11336431974094441</v>
      </c>
      <c r="AK270" s="284">
        <f t="shared" si="1482"/>
        <v>0.13212222845015087</v>
      </c>
      <c r="AL270" s="344">
        <f t="shared" si="1482"/>
        <v>0.12275494089229122</v>
      </c>
      <c r="AM270" s="305">
        <f t="shared" si="1482"/>
        <v>0.12739034654318693</v>
      </c>
      <c r="AN270" s="284">
        <f t="shared" si="1482"/>
        <v>0.11402250806943903</v>
      </c>
      <c r="AO270" s="344">
        <f t="shared" si="1482"/>
        <v>0.11104690196741918</v>
      </c>
      <c r="AP270" s="305">
        <f t="shared" si="1482"/>
        <v>0.11252556201889652</v>
      </c>
      <c r="AQ270" s="284">
        <f t="shared" si="1482"/>
        <v>0.10851171137345306</v>
      </c>
      <c r="AR270" s="344">
        <f t="shared" si="1482"/>
        <v>0.10595290323130291</v>
      </c>
      <c r="AS270" s="305">
        <f t="shared" ref="AS270:AY274" si="1483">AS261/AP261-1</f>
        <v>0.10722615588603857</v>
      </c>
      <c r="AT270" s="284">
        <f t="shared" si="1483"/>
        <v>0.10375927710721133</v>
      </c>
      <c r="AU270" s="344">
        <f t="shared" si="1483"/>
        <v>0.10153852423360488</v>
      </c>
      <c r="AV270" s="305">
        <f t="shared" si="1483"/>
        <v>0.10264484495899784</v>
      </c>
      <c r="AW270" s="284">
        <f t="shared" si="1483"/>
        <v>9.962307963238537E-2</v>
      </c>
      <c r="AX270" s="344">
        <f t="shared" si="1483"/>
        <v>9.7680728468546585E-2</v>
      </c>
      <c r="AY270" s="305">
        <f t="shared" si="1483"/>
        <v>9.864933475016735E-2</v>
      </c>
    </row>
    <row r="271" spans="1:51" s="64" customFormat="1" ht="12" customHeight="1" x14ac:dyDescent="0.2">
      <c r="A271" s="24"/>
      <c r="B271" s="224" t="s">
        <v>360</v>
      </c>
      <c r="C271" s="149"/>
      <c r="D271" s="60"/>
      <c r="E271" s="60"/>
      <c r="F271" s="150"/>
      <c r="G271" s="60"/>
      <c r="H271" s="60"/>
      <c r="I271" s="150"/>
      <c r="J271" s="60"/>
      <c r="K271" s="60"/>
      <c r="L271" s="231"/>
      <c r="M271" s="214"/>
      <c r="N271" s="214"/>
      <c r="O271" s="232"/>
      <c r="P271" s="214"/>
      <c r="Q271" s="214"/>
      <c r="R271" s="150"/>
      <c r="S271" s="214"/>
      <c r="T271" s="214"/>
      <c r="U271" s="150"/>
      <c r="V271" s="214">
        <f t="shared" ref="V271:X271" si="1484">V262/S262-1</f>
        <v>0.65734120817436525</v>
      </c>
      <c r="W271" s="214" t="e">
        <f t="shared" si="1484"/>
        <v>#DIV/0!</v>
      </c>
      <c r="X271" s="150">
        <f t="shared" si="1484"/>
        <v>0.63571141864021463</v>
      </c>
      <c r="Y271" s="214">
        <f t="shared" si="1481"/>
        <v>0.17225410042953548</v>
      </c>
      <c r="Z271" s="214">
        <f t="shared" si="1481"/>
        <v>0.16260685415942033</v>
      </c>
      <c r="AA271" s="150">
        <f t="shared" si="1481"/>
        <v>0.16732243050933415</v>
      </c>
      <c r="AB271" s="214">
        <f t="shared" si="1481"/>
        <v>0.14944090107963581</v>
      </c>
      <c r="AC271" s="214">
        <f t="shared" si="1481"/>
        <v>0.14025263139101285</v>
      </c>
      <c r="AD271" s="150">
        <f t="shared" si="1481"/>
        <v>0.14476283428672243</v>
      </c>
      <c r="AE271" s="214">
        <f t="shared" si="1481"/>
        <v>0.12473266522671267</v>
      </c>
      <c r="AF271" s="214">
        <f t="shared" si="1481"/>
        <v>0.11987404644826771</v>
      </c>
      <c r="AG271" s="150">
        <f t="shared" si="1481"/>
        <v>0.12226871987815424</v>
      </c>
      <c r="AH271" s="214">
        <f t="shared" si="1481"/>
        <v>0.11538621170223551</v>
      </c>
      <c r="AI271" s="214">
        <f t="shared" si="1482"/>
        <v>0.11139074626883261</v>
      </c>
      <c r="AJ271" s="150">
        <f t="shared" si="1482"/>
        <v>0.11336431974094419</v>
      </c>
      <c r="AK271" s="214">
        <f t="shared" si="1482"/>
        <v>0.13212222845015087</v>
      </c>
      <c r="AL271" s="214">
        <f t="shared" si="1482"/>
        <v>0.12275494089229122</v>
      </c>
      <c r="AM271" s="150">
        <f t="shared" si="1482"/>
        <v>0.12739034654318715</v>
      </c>
      <c r="AN271" s="214">
        <f t="shared" si="1482"/>
        <v>0.11402250806943903</v>
      </c>
      <c r="AO271" s="214">
        <f t="shared" si="1482"/>
        <v>0.11104690196741918</v>
      </c>
      <c r="AP271" s="150">
        <f t="shared" si="1482"/>
        <v>0.11252556201889652</v>
      </c>
      <c r="AQ271" s="214">
        <f t="shared" si="1482"/>
        <v>0.10851171137345306</v>
      </c>
      <c r="AR271" s="214">
        <f t="shared" si="1482"/>
        <v>0.10595290323130269</v>
      </c>
      <c r="AS271" s="150">
        <f t="shared" si="1483"/>
        <v>0.10722615588603834</v>
      </c>
      <c r="AT271" s="214">
        <f t="shared" si="1483"/>
        <v>0.10375927710721156</v>
      </c>
      <c r="AU271" s="214">
        <f t="shared" si="1483"/>
        <v>0.10153852423360488</v>
      </c>
      <c r="AV271" s="150">
        <f t="shared" si="1483"/>
        <v>0.10264484495899806</v>
      </c>
      <c r="AW271" s="214">
        <f t="shared" si="1483"/>
        <v>9.962307963238537E-2</v>
      </c>
      <c r="AX271" s="214">
        <f t="shared" si="1483"/>
        <v>9.7680728468546807E-2</v>
      </c>
      <c r="AY271" s="150">
        <f t="shared" si="1483"/>
        <v>9.864933475016735E-2</v>
      </c>
    </row>
    <row r="272" spans="1:51" s="64" customFormat="1" ht="12" customHeight="1" x14ac:dyDescent="0.2">
      <c r="A272" s="24"/>
      <c r="B272" s="224" t="s">
        <v>341</v>
      </c>
      <c r="C272" s="149"/>
      <c r="D272" s="60"/>
      <c r="E272" s="60"/>
      <c r="F272" s="150"/>
      <c r="G272" s="60"/>
      <c r="H272" s="60"/>
      <c r="I272" s="150"/>
      <c r="J272" s="60"/>
      <c r="K272" s="60"/>
      <c r="L272" s="231"/>
      <c r="M272" s="214"/>
      <c r="N272" s="214"/>
      <c r="O272" s="232"/>
      <c r="P272" s="214"/>
      <c r="Q272" s="214"/>
      <c r="R272" s="150"/>
      <c r="S272" s="214"/>
      <c r="T272" s="214"/>
      <c r="U272" s="150"/>
      <c r="V272" s="214">
        <f t="shared" ref="V272:X272" si="1485">V263/S263-1</f>
        <v>0.12281017205240286</v>
      </c>
      <c r="W272" s="214" t="e">
        <f t="shared" si="1485"/>
        <v>#DIV/0!</v>
      </c>
      <c r="X272" s="150">
        <f t="shared" si="1485"/>
        <v>0.21959536578734751</v>
      </c>
      <c r="Y272" s="214">
        <f t="shared" si="1481"/>
        <v>0.17225410042953548</v>
      </c>
      <c r="Z272" s="214">
        <f t="shared" si="1481"/>
        <v>0.16260685415942033</v>
      </c>
      <c r="AA272" s="150">
        <f t="shared" si="1481"/>
        <v>0.16732243050933415</v>
      </c>
      <c r="AB272" s="214">
        <f t="shared" si="1481"/>
        <v>0.14944090107963559</v>
      </c>
      <c r="AC272" s="214">
        <f t="shared" si="1481"/>
        <v>0.14025263139101285</v>
      </c>
      <c r="AD272" s="150">
        <f t="shared" si="1481"/>
        <v>0.14476283428672265</v>
      </c>
      <c r="AE272" s="214">
        <f t="shared" si="1481"/>
        <v>0.12473266522671289</v>
      </c>
      <c r="AF272" s="214">
        <f t="shared" si="1481"/>
        <v>0.11987404644826771</v>
      </c>
      <c r="AG272" s="150">
        <f t="shared" si="1481"/>
        <v>0.12226871987815402</v>
      </c>
      <c r="AH272" s="214">
        <f t="shared" si="1481"/>
        <v>0.11538621170223551</v>
      </c>
      <c r="AI272" s="214">
        <f t="shared" si="1482"/>
        <v>0.11139074626883261</v>
      </c>
      <c r="AJ272" s="150">
        <f t="shared" si="1482"/>
        <v>0.11336431974094419</v>
      </c>
      <c r="AK272" s="214">
        <f t="shared" si="1482"/>
        <v>0.13212222845015065</v>
      </c>
      <c r="AL272" s="214">
        <f t="shared" si="1482"/>
        <v>0.12275494089229144</v>
      </c>
      <c r="AM272" s="150">
        <f t="shared" si="1482"/>
        <v>0.12739034654318693</v>
      </c>
      <c r="AN272" s="214">
        <f t="shared" si="1482"/>
        <v>0.11402250806943903</v>
      </c>
      <c r="AO272" s="214">
        <f t="shared" si="1482"/>
        <v>0.11104690196741918</v>
      </c>
      <c r="AP272" s="150">
        <f t="shared" si="1482"/>
        <v>0.11252556201889652</v>
      </c>
      <c r="AQ272" s="214">
        <f t="shared" si="1482"/>
        <v>0.10851171137345306</v>
      </c>
      <c r="AR272" s="214">
        <f t="shared" si="1482"/>
        <v>0.10595290323130291</v>
      </c>
      <c r="AS272" s="150">
        <f t="shared" si="1483"/>
        <v>0.10722615588603834</v>
      </c>
      <c r="AT272" s="214">
        <f t="shared" si="1483"/>
        <v>0.10375927710721156</v>
      </c>
      <c r="AU272" s="214">
        <f t="shared" si="1483"/>
        <v>0.10153852423360488</v>
      </c>
      <c r="AV272" s="150">
        <f t="shared" si="1483"/>
        <v>0.10264484495899806</v>
      </c>
      <c r="AW272" s="214">
        <f t="shared" si="1483"/>
        <v>9.9623079632385592E-2</v>
      </c>
      <c r="AX272" s="214">
        <f t="shared" si="1483"/>
        <v>9.7680728468546807E-2</v>
      </c>
      <c r="AY272" s="150">
        <f t="shared" si="1483"/>
        <v>9.8649334750167128E-2</v>
      </c>
    </row>
    <row r="273" spans="1:51" s="64" customFormat="1" ht="12" customHeight="1" x14ac:dyDescent="0.2">
      <c r="A273" s="24"/>
      <c r="B273" s="224" t="s">
        <v>361</v>
      </c>
      <c r="C273" s="149"/>
      <c r="D273" s="60"/>
      <c r="E273" s="60"/>
      <c r="F273" s="150"/>
      <c r="G273" s="60"/>
      <c r="H273" s="60"/>
      <c r="I273" s="150"/>
      <c r="J273" s="60"/>
      <c r="K273" s="60"/>
      <c r="L273" s="231"/>
      <c r="M273" s="214"/>
      <c r="N273" s="214"/>
      <c r="O273" s="232"/>
      <c r="P273" s="214"/>
      <c r="Q273" s="214"/>
      <c r="R273" s="150"/>
      <c r="S273" s="214"/>
      <c r="T273" s="214"/>
      <c r="U273" s="150"/>
      <c r="V273" s="214">
        <f t="shared" ref="V273:X273" si="1486">V264/S264-1</f>
        <v>-0.46409601752530805</v>
      </c>
      <c r="W273" s="214" t="e">
        <f t="shared" si="1486"/>
        <v>#DIV/0!</v>
      </c>
      <c r="X273" s="150">
        <f t="shared" si="1486"/>
        <v>-0.46597821119479355</v>
      </c>
      <c r="Y273" s="214">
        <f t="shared" si="1481"/>
        <v>0.17225410042953548</v>
      </c>
      <c r="Z273" s="214">
        <f t="shared" si="1481"/>
        <v>0.16260685415942056</v>
      </c>
      <c r="AA273" s="150">
        <f t="shared" si="1481"/>
        <v>0.16732243050933415</v>
      </c>
      <c r="AB273" s="214">
        <f t="shared" si="1481"/>
        <v>0.14944090107963559</v>
      </c>
      <c r="AC273" s="214">
        <f t="shared" si="1481"/>
        <v>0.14025263139101285</v>
      </c>
      <c r="AD273" s="150">
        <f t="shared" si="1481"/>
        <v>0.14476283428672265</v>
      </c>
      <c r="AE273" s="214">
        <f t="shared" si="1481"/>
        <v>0.12473266522671289</v>
      </c>
      <c r="AF273" s="214">
        <f t="shared" si="1481"/>
        <v>0.11987404644826749</v>
      </c>
      <c r="AG273" s="150">
        <f t="shared" si="1481"/>
        <v>0.1222687198781538</v>
      </c>
      <c r="AH273" s="214">
        <f t="shared" si="1481"/>
        <v>0.11538621170223551</v>
      </c>
      <c r="AI273" s="214">
        <f t="shared" si="1482"/>
        <v>0.11139074626883283</v>
      </c>
      <c r="AJ273" s="150">
        <f t="shared" si="1482"/>
        <v>0.11336431974094441</v>
      </c>
      <c r="AK273" s="214">
        <f t="shared" si="1482"/>
        <v>0.13212222845015065</v>
      </c>
      <c r="AL273" s="214">
        <f t="shared" si="1482"/>
        <v>0.12275494089229122</v>
      </c>
      <c r="AM273" s="150">
        <f t="shared" si="1482"/>
        <v>0.12739034654318693</v>
      </c>
      <c r="AN273" s="214">
        <f t="shared" si="1482"/>
        <v>0.11402250806943903</v>
      </c>
      <c r="AO273" s="214">
        <f t="shared" si="1482"/>
        <v>0.11104690196741895</v>
      </c>
      <c r="AP273" s="150">
        <f t="shared" si="1482"/>
        <v>0.11252556201889652</v>
      </c>
      <c r="AQ273" s="214">
        <f t="shared" si="1482"/>
        <v>0.10851171137345306</v>
      </c>
      <c r="AR273" s="214">
        <f t="shared" si="1482"/>
        <v>0.10595290323130313</v>
      </c>
      <c r="AS273" s="150">
        <f t="shared" si="1483"/>
        <v>0.10722615588603834</v>
      </c>
      <c r="AT273" s="214">
        <f t="shared" si="1483"/>
        <v>0.10375927710721156</v>
      </c>
      <c r="AU273" s="214">
        <f t="shared" si="1483"/>
        <v>0.10153852423360488</v>
      </c>
      <c r="AV273" s="150">
        <f t="shared" si="1483"/>
        <v>0.10264484495899806</v>
      </c>
      <c r="AW273" s="214">
        <f t="shared" si="1483"/>
        <v>9.962307963238537E-2</v>
      </c>
      <c r="AX273" s="214">
        <f t="shared" si="1483"/>
        <v>9.7680728468546807E-2</v>
      </c>
      <c r="AY273" s="150">
        <f t="shared" si="1483"/>
        <v>9.864933475016735E-2</v>
      </c>
    </row>
    <row r="274" spans="1:51" s="135" customFormat="1" ht="12" customHeight="1" x14ac:dyDescent="0.2">
      <c r="A274" s="24"/>
      <c r="B274" s="49" t="s">
        <v>320</v>
      </c>
      <c r="C274" s="49"/>
      <c r="D274" s="233"/>
      <c r="E274" s="234"/>
      <c r="F274" s="169"/>
      <c r="G274" s="233"/>
      <c r="H274" s="234"/>
      <c r="I274" s="235"/>
      <c r="J274" s="233"/>
      <c r="K274" s="234"/>
      <c r="L274" s="235"/>
      <c r="M274" s="233"/>
      <c r="N274" s="234"/>
      <c r="O274" s="235"/>
      <c r="P274" s="233"/>
      <c r="Q274" s="233"/>
      <c r="R274" s="235"/>
      <c r="S274" s="234"/>
      <c r="T274" s="233"/>
      <c r="U274" s="235"/>
      <c r="V274" s="345">
        <f t="shared" ref="V274:X274" si="1487">V265/S265-1</f>
        <v>0.23202223254852483</v>
      </c>
      <c r="W274" s="345" t="e">
        <f t="shared" si="1487"/>
        <v>#DIV/0!</v>
      </c>
      <c r="X274" s="332">
        <f t="shared" si="1487"/>
        <v>0.22905274751931781</v>
      </c>
      <c r="Y274" s="345">
        <f t="shared" si="1481"/>
        <v>0.17225410042953548</v>
      </c>
      <c r="Z274" s="345">
        <f t="shared" si="1481"/>
        <v>0.16260685415942033</v>
      </c>
      <c r="AA274" s="332">
        <f t="shared" si="1481"/>
        <v>0.16732243050933415</v>
      </c>
      <c r="AB274" s="345">
        <f t="shared" si="1481"/>
        <v>0.14944090107963559</v>
      </c>
      <c r="AC274" s="345">
        <f t="shared" si="1481"/>
        <v>0.14025263139101285</v>
      </c>
      <c r="AD274" s="332">
        <f t="shared" si="1481"/>
        <v>0.14476283428672243</v>
      </c>
      <c r="AE274" s="345">
        <f t="shared" si="1481"/>
        <v>0.12473266522671289</v>
      </c>
      <c r="AF274" s="345">
        <f t="shared" si="1481"/>
        <v>0.11987404644826771</v>
      </c>
      <c r="AG274" s="332">
        <f t="shared" si="1481"/>
        <v>0.12226871987815402</v>
      </c>
      <c r="AH274" s="345">
        <f t="shared" si="1481"/>
        <v>0.11538621170223551</v>
      </c>
      <c r="AI274" s="345">
        <f t="shared" si="1482"/>
        <v>0.11139074626883283</v>
      </c>
      <c r="AJ274" s="332">
        <f t="shared" si="1482"/>
        <v>0.11336431974094419</v>
      </c>
      <c r="AK274" s="345">
        <f t="shared" si="1482"/>
        <v>0.13212222845015087</v>
      </c>
      <c r="AL274" s="345">
        <f t="shared" si="1482"/>
        <v>0.12275494089229122</v>
      </c>
      <c r="AM274" s="332">
        <f t="shared" si="1482"/>
        <v>0.12739034654318693</v>
      </c>
      <c r="AN274" s="345">
        <f t="shared" si="1482"/>
        <v>0.11402250806943903</v>
      </c>
      <c r="AO274" s="345">
        <f t="shared" si="1482"/>
        <v>0.11104690196741918</v>
      </c>
      <c r="AP274" s="332">
        <f t="shared" si="1482"/>
        <v>0.11252556201889674</v>
      </c>
      <c r="AQ274" s="345">
        <f t="shared" si="1482"/>
        <v>0.10851171137345306</v>
      </c>
      <c r="AR274" s="345">
        <f t="shared" si="1482"/>
        <v>0.10595290323130291</v>
      </c>
      <c r="AS274" s="332">
        <f t="shared" si="1483"/>
        <v>0.10722615588603834</v>
      </c>
      <c r="AT274" s="345">
        <f t="shared" si="1483"/>
        <v>0.10375927710721156</v>
      </c>
      <c r="AU274" s="345">
        <f t="shared" si="1483"/>
        <v>0.10153852423360488</v>
      </c>
      <c r="AV274" s="332">
        <f t="shared" si="1483"/>
        <v>0.10264484495899806</v>
      </c>
      <c r="AW274" s="345">
        <f t="shared" si="1483"/>
        <v>9.962307963238537E-2</v>
      </c>
      <c r="AX274" s="345">
        <f t="shared" si="1483"/>
        <v>9.7680728468546807E-2</v>
      </c>
      <c r="AY274" s="332">
        <f t="shared" si="1483"/>
        <v>9.864933475016735E-2</v>
      </c>
    </row>
    <row r="275" spans="1:51" s="24" customFormat="1" ht="12" customHeight="1" x14ac:dyDescent="0.2">
      <c r="B275" s="153"/>
      <c r="C275" s="23"/>
      <c r="D275" s="142"/>
      <c r="E275" s="26"/>
      <c r="F275" s="143"/>
      <c r="G275" s="142"/>
      <c r="H275" s="26"/>
      <c r="I275" s="143"/>
      <c r="J275" s="142"/>
      <c r="K275" s="26"/>
      <c r="L275" s="143"/>
      <c r="M275" s="142"/>
      <c r="N275" s="26"/>
      <c r="O275" s="143"/>
      <c r="P275" s="142"/>
      <c r="Q275" s="26"/>
      <c r="R275" s="143"/>
      <c r="S275" s="26"/>
      <c r="T275" s="26"/>
      <c r="U275" s="143"/>
      <c r="V275" s="26"/>
      <c r="W275" s="26"/>
      <c r="X275" s="143"/>
      <c r="Y275" s="26"/>
      <c r="Z275" s="26"/>
      <c r="AA275" s="143"/>
      <c r="AB275" s="26"/>
      <c r="AC275" s="26"/>
      <c r="AD275" s="143"/>
      <c r="AE275" s="26"/>
      <c r="AF275" s="26"/>
      <c r="AG275" s="143"/>
      <c r="AH275" s="26"/>
      <c r="AI275" s="26"/>
      <c r="AJ275" s="143"/>
      <c r="AK275" s="26"/>
      <c r="AL275" s="26"/>
      <c r="AM275" s="143"/>
      <c r="AN275" s="26"/>
      <c r="AO275" s="26"/>
      <c r="AP275" s="143"/>
      <c r="AQ275" s="26"/>
      <c r="AR275" s="26"/>
      <c r="AS275" s="143"/>
      <c r="AT275" s="26"/>
      <c r="AU275" s="26"/>
      <c r="AV275" s="143"/>
      <c r="AW275" s="26"/>
      <c r="AX275" s="26"/>
      <c r="AY275" s="143"/>
    </row>
    <row r="276" spans="1:51" s="64" customFormat="1" ht="12" customHeight="1" x14ac:dyDescent="0.2">
      <c r="A276" s="24"/>
      <c r="B276" s="342" t="s">
        <v>321</v>
      </c>
      <c r="C276" s="149"/>
      <c r="D276" s="60"/>
      <c r="E276" s="60"/>
      <c r="F276" s="150"/>
      <c r="G276" s="60"/>
      <c r="H276" s="60"/>
      <c r="I276" s="150"/>
      <c r="J276" s="60"/>
      <c r="K276" s="60"/>
      <c r="L276" s="150"/>
      <c r="M276" s="214"/>
      <c r="N276" s="214"/>
      <c r="O276" s="150"/>
      <c r="P276" s="214"/>
      <c r="Q276" s="214"/>
      <c r="R276" s="150"/>
      <c r="S276" s="214"/>
      <c r="T276" s="214"/>
      <c r="U276" s="150"/>
      <c r="V276" s="214"/>
      <c r="W276" s="214"/>
      <c r="X276" s="150"/>
      <c r="Y276" s="214"/>
      <c r="Z276" s="214"/>
      <c r="AA276" s="150"/>
      <c r="AB276" s="214"/>
      <c r="AC276" s="214"/>
      <c r="AD276" s="150"/>
      <c r="AE276" s="214"/>
      <c r="AF276" s="214"/>
      <c r="AG276" s="150"/>
      <c r="AH276" s="214"/>
      <c r="AI276" s="214"/>
      <c r="AJ276" s="150"/>
      <c r="AK276" s="214"/>
      <c r="AL276" s="214"/>
      <c r="AM276" s="150"/>
      <c r="AN276" s="214"/>
      <c r="AO276" s="214"/>
      <c r="AP276" s="150"/>
      <c r="AQ276" s="214"/>
      <c r="AR276" s="214"/>
      <c r="AS276" s="150"/>
      <c r="AT276" s="214"/>
      <c r="AU276" s="214"/>
      <c r="AV276" s="150"/>
      <c r="AW276" s="214"/>
      <c r="AX276" s="214"/>
      <c r="AY276" s="150"/>
    </row>
    <row r="277" spans="1:51" s="64" customFormat="1" ht="12" customHeight="1" x14ac:dyDescent="0.2">
      <c r="A277" s="24"/>
      <c r="B277" s="224" t="s">
        <v>347</v>
      </c>
      <c r="C277" s="149"/>
      <c r="D277" s="60"/>
      <c r="E277" s="60"/>
      <c r="F277" s="150"/>
      <c r="G277" s="60"/>
      <c r="H277" s="60"/>
      <c r="I277" s="150"/>
      <c r="J277" s="60"/>
      <c r="K277" s="60"/>
      <c r="L277" s="150"/>
      <c r="M277" s="214"/>
      <c r="N277" s="214"/>
      <c r="O277" s="150"/>
      <c r="P277" s="214"/>
      <c r="Q277" s="214"/>
      <c r="R277" s="343">
        <f t="shared" ref="R277:R283" si="1488">R259/R$265</f>
        <v>-7.2312186448212357E-2</v>
      </c>
      <c r="S277" s="348">
        <f t="shared" ref="S277" si="1489">S259/S$265</f>
        <v>-8.1347703231015089E-2</v>
      </c>
      <c r="T277" s="214"/>
      <c r="U277" s="343">
        <f t="shared" ref="U277:U283" si="1490">U259/U$265</f>
        <v>-8.6349945936909339E-2</v>
      </c>
      <c r="V277" s="346">
        <v>-0.05</v>
      </c>
      <c r="W277" s="346">
        <v>-0.05</v>
      </c>
      <c r="X277" s="343">
        <f t="shared" ref="X277" si="1491">X259/X$265</f>
        <v>-0.05</v>
      </c>
      <c r="Y277" s="346">
        <v>-0.05</v>
      </c>
      <c r="Z277" s="346">
        <v>-0.05</v>
      </c>
      <c r="AA277" s="343">
        <f t="shared" ref="AA277" si="1492">AA259/AA$265</f>
        <v>-0.05</v>
      </c>
      <c r="AB277" s="346">
        <v>-0.05</v>
      </c>
      <c r="AC277" s="346">
        <v>-0.05</v>
      </c>
      <c r="AD277" s="343">
        <f t="shared" ref="AD277" si="1493">AD259/AD$265</f>
        <v>-0.05</v>
      </c>
      <c r="AE277" s="346">
        <v>-0.05</v>
      </c>
      <c r="AF277" s="346">
        <v>-0.05</v>
      </c>
      <c r="AG277" s="343">
        <f t="shared" ref="AG277" si="1494">AG259/AG$265</f>
        <v>-5.000000000000001E-2</v>
      </c>
      <c r="AH277" s="346">
        <v>-0.05</v>
      </c>
      <c r="AI277" s="346">
        <v>-0.05</v>
      </c>
      <c r="AJ277" s="343">
        <f t="shared" ref="AJ277" si="1495">AJ259/AJ$265</f>
        <v>-5.000000000000001E-2</v>
      </c>
      <c r="AK277" s="346">
        <v>-0.05</v>
      </c>
      <c r="AL277" s="346">
        <v>-0.05</v>
      </c>
      <c r="AM277" s="343">
        <f t="shared" ref="AM277" si="1496">AM259/AM$265</f>
        <v>-5.0000000000000017E-2</v>
      </c>
      <c r="AN277" s="346">
        <v>-0.05</v>
      </c>
      <c r="AO277" s="346">
        <v>-0.05</v>
      </c>
      <c r="AP277" s="343">
        <f t="shared" ref="AP277" si="1497">AP259/AP$265</f>
        <v>-4.9999999999999996E-2</v>
      </c>
      <c r="AQ277" s="346">
        <v>-0.05</v>
      </c>
      <c r="AR277" s="346">
        <v>-0.05</v>
      </c>
      <c r="AS277" s="343">
        <f t="shared" ref="AS277" si="1498">AS259/AS$265</f>
        <v>-0.05</v>
      </c>
      <c r="AT277" s="346">
        <v>-0.05</v>
      </c>
      <c r="AU277" s="346">
        <v>-0.05</v>
      </c>
      <c r="AV277" s="343">
        <f t="shared" ref="AV277" si="1499">AV259/AV$265</f>
        <v>-4.9999999999999996E-2</v>
      </c>
      <c r="AW277" s="346">
        <v>-0.05</v>
      </c>
      <c r="AX277" s="346">
        <v>-0.05</v>
      </c>
      <c r="AY277" s="343">
        <f t="shared" ref="AY277:AY283" si="1500">AY259/AY$265</f>
        <v>-5.000000000000001E-2</v>
      </c>
    </row>
    <row r="278" spans="1:51" s="64" customFormat="1" ht="12" customHeight="1" x14ac:dyDescent="0.2">
      <c r="A278" s="24"/>
      <c r="B278" s="224" t="s">
        <v>479</v>
      </c>
      <c r="C278" s="149"/>
      <c r="D278" s="60"/>
      <c r="E278" s="60"/>
      <c r="F278" s="150"/>
      <c r="G278" s="60"/>
      <c r="H278" s="60"/>
      <c r="I278" s="150"/>
      <c r="J278" s="60"/>
      <c r="K278" s="60"/>
      <c r="L278" s="150"/>
      <c r="M278" s="214"/>
      <c r="N278" s="214"/>
      <c r="O278" s="150"/>
      <c r="P278" s="214"/>
      <c r="Q278" s="214"/>
      <c r="R278" s="343">
        <f t="shared" si="1488"/>
        <v>0.27808471454880296</v>
      </c>
      <c r="S278" s="348">
        <f t="shared" ref="S278" si="1501">S260/S$265</f>
        <v>0.3045271813360908</v>
      </c>
      <c r="T278" s="214"/>
      <c r="U278" s="343">
        <f t="shared" si="1490"/>
        <v>0.30725092554393402</v>
      </c>
      <c r="V278" s="346">
        <v>0.27808471454880296</v>
      </c>
      <c r="W278" s="346">
        <v>0.27808471454880296</v>
      </c>
      <c r="X278" s="343">
        <f t="shared" ref="X278:X283" si="1502">X260/X$265</f>
        <v>0.27808471454880296</v>
      </c>
      <c r="Y278" s="346">
        <v>0.27808471454880296</v>
      </c>
      <c r="Z278" s="346">
        <v>0.27808471454880296</v>
      </c>
      <c r="AA278" s="343">
        <f t="shared" ref="AA278" si="1503">AA260/AA$265</f>
        <v>0.27808471454880296</v>
      </c>
      <c r="AB278" s="346">
        <v>0.27808471454880296</v>
      </c>
      <c r="AC278" s="346">
        <v>0.27808471454880296</v>
      </c>
      <c r="AD278" s="343">
        <f t="shared" ref="AD278" si="1504">AD260/AD$265</f>
        <v>0.27808471454880296</v>
      </c>
      <c r="AE278" s="346">
        <v>0.27808471454880296</v>
      </c>
      <c r="AF278" s="346">
        <v>0.27808471454880296</v>
      </c>
      <c r="AG278" s="343">
        <f t="shared" ref="AG278" si="1505">AG260/AG$265</f>
        <v>0.27808471454880296</v>
      </c>
      <c r="AH278" s="346">
        <v>0.27808471454880296</v>
      </c>
      <c r="AI278" s="346">
        <v>0.27808471454880296</v>
      </c>
      <c r="AJ278" s="343">
        <f t="shared" ref="AJ278" si="1506">AJ260/AJ$265</f>
        <v>0.27808471454880296</v>
      </c>
      <c r="AK278" s="346">
        <v>0.27808471454880296</v>
      </c>
      <c r="AL278" s="346">
        <v>0.27808471454880296</v>
      </c>
      <c r="AM278" s="343">
        <f t="shared" ref="AM278" si="1507">AM260/AM$265</f>
        <v>0.27808471454880301</v>
      </c>
      <c r="AN278" s="346">
        <v>0.27808471454880296</v>
      </c>
      <c r="AO278" s="346">
        <v>0.27808471454880296</v>
      </c>
      <c r="AP278" s="343">
        <f t="shared" ref="AP278" si="1508">AP260/AP$265</f>
        <v>0.2780847145488029</v>
      </c>
      <c r="AQ278" s="346">
        <v>0.27808471454880296</v>
      </c>
      <c r="AR278" s="346">
        <v>0.27808471454880296</v>
      </c>
      <c r="AS278" s="343">
        <f t="shared" ref="AS278" si="1509">AS260/AS$265</f>
        <v>0.27808471454880296</v>
      </c>
      <c r="AT278" s="346">
        <v>0.27808471454880296</v>
      </c>
      <c r="AU278" s="346">
        <v>0.27808471454880296</v>
      </c>
      <c r="AV278" s="343">
        <f t="shared" ref="AV278" si="1510">AV260/AV$265</f>
        <v>0.27808471454880296</v>
      </c>
      <c r="AW278" s="346">
        <v>0.27808471454880296</v>
      </c>
      <c r="AX278" s="346">
        <v>0.27808471454880296</v>
      </c>
      <c r="AY278" s="343">
        <f t="shared" si="1500"/>
        <v>0.27808471454880296</v>
      </c>
    </row>
    <row r="279" spans="1:51" s="64" customFormat="1" ht="12" customHeight="1" x14ac:dyDescent="0.2">
      <c r="A279" s="24"/>
      <c r="B279" s="224" t="s">
        <v>359</v>
      </c>
      <c r="C279" s="149"/>
      <c r="D279" s="60"/>
      <c r="E279" s="60"/>
      <c r="F279" s="150"/>
      <c r="G279" s="60"/>
      <c r="H279" s="60"/>
      <c r="I279" s="229"/>
      <c r="J279" s="60"/>
      <c r="K279" s="60"/>
      <c r="L279" s="229"/>
      <c r="M279" s="214"/>
      <c r="N279" s="214"/>
      <c r="O279" s="229"/>
      <c r="P279" s="214"/>
      <c r="Q279" s="214"/>
      <c r="R279" s="343">
        <f t="shared" si="1488"/>
        <v>0.48813424779323045</v>
      </c>
      <c r="S279" s="348">
        <f t="shared" ref="S279" si="1511">S261/S$265</f>
        <v>0.49216162264088342</v>
      </c>
      <c r="T279" s="214"/>
      <c r="U279" s="343">
        <f t="shared" si="1490"/>
        <v>0.49790893133043745</v>
      </c>
      <c r="V279" s="346">
        <v>0.48813424779323045</v>
      </c>
      <c r="W279" s="346">
        <v>0.48813424779323045</v>
      </c>
      <c r="X279" s="343">
        <f t="shared" si="1502"/>
        <v>0.48813424779323045</v>
      </c>
      <c r="Y279" s="346">
        <v>0.48813424779323045</v>
      </c>
      <c r="Z279" s="346">
        <v>0.48813424779323045</v>
      </c>
      <c r="AA279" s="343">
        <f>AA261/AA$265</f>
        <v>0.48813424779323039</v>
      </c>
      <c r="AB279" s="346">
        <v>0.48813424779323045</v>
      </c>
      <c r="AC279" s="346">
        <v>0.48813424779323045</v>
      </c>
      <c r="AD279" s="343">
        <f>AD261/AD$265</f>
        <v>0.4881342477932305</v>
      </c>
      <c r="AE279" s="346">
        <v>0.48813424779323045</v>
      </c>
      <c r="AF279" s="346">
        <v>0.48813424779323045</v>
      </c>
      <c r="AG279" s="343">
        <f>AG261/AG$265</f>
        <v>0.48813424779323045</v>
      </c>
      <c r="AH279" s="346">
        <v>0.48813424779323045</v>
      </c>
      <c r="AI279" s="346">
        <v>0.48813424779323045</v>
      </c>
      <c r="AJ279" s="343">
        <f>AJ261/AJ$265</f>
        <v>0.4881342477932305</v>
      </c>
      <c r="AK279" s="346">
        <v>0.48813424779323045</v>
      </c>
      <c r="AL279" s="346">
        <v>0.48813424779323045</v>
      </c>
      <c r="AM279" s="343">
        <f>AM261/AM$265</f>
        <v>0.48813424779323056</v>
      </c>
      <c r="AN279" s="346">
        <v>0.48813424779323045</v>
      </c>
      <c r="AO279" s="346">
        <v>0.48813424779323045</v>
      </c>
      <c r="AP279" s="343">
        <f>AP261/AP$265</f>
        <v>0.48813424779323039</v>
      </c>
      <c r="AQ279" s="346">
        <v>0.48813424779323045</v>
      </c>
      <c r="AR279" s="346">
        <v>0.48813424779323045</v>
      </c>
      <c r="AS279" s="343">
        <f>AS261/AS$265</f>
        <v>0.4881342477932305</v>
      </c>
      <c r="AT279" s="346">
        <v>0.48813424779323045</v>
      </c>
      <c r="AU279" s="346">
        <v>0.48813424779323045</v>
      </c>
      <c r="AV279" s="343">
        <f>AV261/AV$265</f>
        <v>0.48813424779323039</v>
      </c>
      <c r="AW279" s="346">
        <v>0.48813424779323045</v>
      </c>
      <c r="AX279" s="346">
        <v>0.48813424779323045</v>
      </c>
      <c r="AY279" s="343">
        <f t="shared" si="1500"/>
        <v>0.48813424779323045</v>
      </c>
    </row>
    <row r="280" spans="1:51" s="64" customFormat="1" ht="12" customHeight="1" x14ac:dyDescent="0.2">
      <c r="A280" s="24"/>
      <c r="B280" s="224" t="s">
        <v>360</v>
      </c>
      <c r="C280" s="149"/>
      <c r="D280" s="60"/>
      <c r="E280" s="60"/>
      <c r="F280" s="150"/>
      <c r="G280" s="60"/>
      <c r="H280" s="60"/>
      <c r="I280" s="229"/>
      <c r="J280" s="60"/>
      <c r="K280" s="60"/>
      <c r="L280" s="229"/>
      <c r="M280" s="214"/>
      <c r="N280" s="214"/>
      <c r="O280" s="229"/>
      <c r="P280" s="214"/>
      <c r="Q280" s="214"/>
      <c r="R280" s="343">
        <f t="shared" si="1488"/>
        <v>0.19240172731313901</v>
      </c>
      <c r="S280" s="348">
        <f t="shared" ref="S280" si="1512">S262/S$265</f>
        <v>0.14302619428116412</v>
      </c>
      <c r="T280" s="214"/>
      <c r="U280" s="343">
        <f t="shared" si="1490"/>
        <v>0.14456820982411298</v>
      </c>
      <c r="V280" s="346">
        <v>0.19240172731313901</v>
      </c>
      <c r="W280" s="346">
        <v>0.19240172731313901</v>
      </c>
      <c r="X280" s="343">
        <f t="shared" si="1502"/>
        <v>0.19240172731313901</v>
      </c>
      <c r="Y280" s="346">
        <v>0.19240172731313901</v>
      </c>
      <c r="Z280" s="346">
        <v>0.19240172731313901</v>
      </c>
      <c r="AA280" s="343">
        <f>AA262/AA$265</f>
        <v>0.19240172731313898</v>
      </c>
      <c r="AB280" s="346">
        <v>0.19240172731313901</v>
      </c>
      <c r="AC280" s="346">
        <v>0.19240172731313901</v>
      </c>
      <c r="AD280" s="343">
        <f>AD262/AD$265</f>
        <v>0.19240172731313901</v>
      </c>
      <c r="AE280" s="346">
        <v>0.19240172731313901</v>
      </c>
      <c r="AF280" s="346">
        <v>0.19240172731313901</v>
      </c>
      <c r="AG280" s="343">
        <f>AG262/AG$265</f>
        <v>0.19240172731313904</v>
      </c>
      <c r="AH280" s="346">
        <v>0.19240172731313901</v>
      </c>
      <c r="AI280" s="346">
        <v>0.19240172731313901</v>
      </c>
      <c r="AJ280" s="343">
        <f>AJ262/AJ$265</f>
        <v>0.19240172731313904</v>
      </c>
      <c r="AK280" s="346">
        <v>0.19240172731313901</v>
      </c>
      <c r="AL280" s="346">
        <v>0.19240172731313901</v>
      </c>
      <c r="AM280" s="343">
        <f>AM262/AM$265</f>
        <v>0.19240172731313906</v>
      </c>
      <c r="AN280" s="346">
        <v>0.19240172731313901</v>
      </c>
      <c r="AO280" s="346">
        <v>0.19240172731313901</v>
      </c>
      <c r="AP280" s="343">
        <f>AP262/AP$265</f>
        <v>0.19240172731313901</v>
      </c>
      <c r="AQ280" s="346">
        <v>0.19240172731313901</v>
      </c>
      <c r="AR280" s="346">
        <v>0.19240172731313901</v>
      </c>
      <c r="AS280" s="343">
        <f>AS262/AS$265</f>
        <v>0.19240172731313901</v>
      </c>
      <c r="AT280" s="346">
        <v>0.19240172731313901</v>
      </c>
      <c r="AU280" s="346">
        <v>0.19240172731313901</v>
      </c>
      <c r="AV280" s="343">
        <f>AV262/AV$265</f>
        <v>0.19240172731313901</v>
      </c>
      <c r="AW280" s="346">
        <v>0.19240172731313901</v>
      </c>
      <c r="AX280" s="346">
        <v>0.19240172731313901</v>
      </c>
      <c r="AY280" s="343">
        <f t="shared" si="1500"/>
        <v>0.19240172731313901</v>
      </c>
    </row>
    <row r="281" spans="1:51" s="64" customFormat="1" ht="12" customHeight="1" x14ac:dyDescent="0.2">
      <c r="A281" s="24"/>
      <c r="B281" s="224" t="s">
        <v>341</v>
      </c>
      <c r="C281" s="149"/>
      <c r="D281" s="60"/>
      <c r="E281" s="60"/>
      <c r="F281" s="150"/>
      <c r="G281" s="60"/>
      <c r="H281" s="60"/>
      <c r="I281" s="229"/>
      <c r="J281" s="60"/>
      <c r="K281" s="60"/>
      <c r="L281" s="229"/>
      <c r="M281" s="214"/>
      <c r="N281" s="214"/>
      <c r="O281" s="229"/>
      <c r="P281" s="214"/>
      <c r="Q281" s="214"/>
      <c r="R281" s="343">
        <f t="shared" si="1488"/>
        <v>5.6956880675684253E-2</v>
      </c>
      <c r="S281" s="348">
        <f t="shared" ref="S281" si="1513">S263/S$265</f>
        <v>6.2496889532793996E-2</v>
      </c>
      <c r="T281" s="214"/>
      <c r="U281" s="343">
        <f t="shared" si="1490"/>
        <v>5.7398554183081089E-2</v>
      </c>
      <c r="V281" s="346">
        <v>5.6956880675684253E-2</v>
      </c>
      <c r="W281" s="346">
        <v>5.6956880675684253E-2</v>
      </c>
      <c r="X281" s="343">
        <f t="shared" si="1502"/>
        <v>5.6956880675684246E-2</v>
      </c>
      <c r="Y281" s="346">
        <v>5.6956880675684253E-2</v>
      </c>
      <c r="Z281" s="346">
        <v>5.6956880675684253E-2</v>
      </c>
      <c r="AA281" s="343">
        <f>AA263/AA$265</f>
        <v>5.6956880675684246E-2</v>
      </c>
      <c r="AB281" s="346">
        <v>5.6956880675684253E-2</v>
      </c>
      <c r="AC281" s="346">
        <v>5.6956880675684253E-2</v>
      </c>
      <c r="AD281" s="343">
        <f>AD263/AD$265</f>
        <v>5.695688067568426E-2</v>
      </c>
      <c r="AE281" s="346">
        <v>5.6956880675684253E-2</v>
      </c>
      <c r="AF281" s="346">
        <v>5.6956880675684253E-2</v>
      </c>
      <c r="AG281" s="343">
        <f>AG263/AG$265</f>
        <v>5.6956880675684267E-2</v>
      </c>
      <c r="AH281" s="346">
        <v>5.6956880675684253E-2</v>
      </c>
      <c r="AI281" s="346">
        <v>5.6956880675684253E-2</v>
      </c>
      <c r="AJ281" s="343">
        <f>AJ263/AJ$265</f>
        <v>5.695688067568426E-2</v>
      </c>
      <c r="AK281" s="346">
        <v>5.6956880675684253E-2</v>
      </c>
      <c r="AL281" s="346">
        <v>5.6956880675684253E-2</v>
      </c>
      <c r="AM281" s="343">
        <f>AM263/AM$265</f>
        <v>5.695688067568426E-2</v>
      </c>
      <c r="AN281" s="346">
        <v>5.6956880675684253E-2</v>
      </c>
      <c r="AO281" s="346">
        <v>5.6956880675684253E-2</v>
      </c>
      <c r="AP281" s="343">
        <f>AP263/AP$265</f>
        <v>5.6956880675684253E-2</v>
      </c>
      <c r="AQ281" s="346">
        <v>5.6956880675684253E-2</v>
      </c>
      <c r="AR281" s="346">
        <v>5.6956880675684253E-2</v>
      </c>
      <c r="AS281" s="343">
        <f>AS263/AS$265</f>
        <v>5.6956880675684253E-2</v>
      </c>
      <c r="AT281" s="346">
        <v>5.6956880675684253E-2</v>
      </c>
      <c r="AU281" s="346">
        <v>5.6956880675684253E-2</v>
      </c>
      <c r="AV281" s="343">
        <f>AV263/AV$265</f>
        <v>5.6956880675684253E-2</v>
      </c>
      <c r="AW281" s="346">
        <v>5.6956880675684253E-2</v>
      </c>
      <c r="AX281" s="346">
        <v>5.6956880675684253E-2</v>
      </c>
      <c r="AY281" s="343">
        <f t="shared" si="1500"/>
        <v>5.6956880675684246E-2</v>
      </c>
    </row>
    <row r="282" spans="1:51" s="64" customFormat="1" ht="12" customHeight="1" x14ac:dyDescent="0.2">
      <c r="A282" s="24"/>
      <c r="B282" s="224" t="s">
        <v>361</v>
      </c>
      <c r="C282" s="149"/>
      <c r="D282" s="60"/>
      <c r="E282" s="60"/>
      <c r="F282" s="150"/>
      <c r="G282" s="60"/>
      <c r="H282" s="60"/>
      <c r="I282" s="229"/>
      <c r="J282" s="60"/>
      <c r="K282" s="60"/>
      <c r="L282" s="229"/>
      <c r="M282" s="214"/>
      <c r="N282" s="214"/>
      <c r="O282" s="229"/>
      <c r="P282" s="214"/>
      <c r="Q282" s="214"/>
      <c r="R282" s="343">
        <f t="shared" si="1488"/>
        <v>5.6734616117355682E-2</v>
      </c>
      <c r="S282" s="348">
        <f t="shared" ref="S282" si="1514">S264/S$265</f>
        <v>7.9135815440082719E-2</v>
      </c>
      <c r="T282" s="214"/>
      <c r="U282" s="343">
        <f t="shared" si="1490"/>
        <v>7.9223325055343893E-2</v>
      </c>
      <c r="V282" s="346">
        <f t="shared" ref="V282:W282" si="1515">1-SUM(V277:V281)</f>
        <v>3.4422429669143328E-2</v>
      </c>
      <c r="W282" s="346">
        <f t="shared" si="1515"/>
        <v>3.4422429669143328E-2</v>
      </c>
      <c r="X282" s="343">
        <f t="shared" si="1502"/>
        <v>3.4422429669143322E-2</v>
      </c>
      <c r="Y282" s="346">
        <f t="shared" ref="Y282:Z282" si="1516">1-SUM(Y277:Y281)</f>
        <v>3.4422429669143328E-2</v>
      </c>
      <c r="Z282" s="346">
        <f t="shared" si="1516"/>
        <v>3.4422429669143328E-2</v>
      </c>
      <c r="AA282" s="343">
        <f>AA264/AA$265</f>
        <v>3.4422429669143322E-2</v>
      </c>
      <c r="AB282" s="346">
        <f t="shared" ref="AB282:AC282" si="1517">1-SUM(AB277:AB281)</f>
        <v>3.4422429669143328E-2</v>
      </c>
      <c r="AC282" s="346">
        <f t="shared" si="1517"/>
        <v>3.4422429669143328E-2</v>
      </c>
      <c r="AD282" s="343">
        <f>AD264/AD$265</f>
        <v>3.4422429669143335E-2</v>
      </c>
      <c r="AE282" s="346">
        <f t="shared" ref="AE282:AF282" si="1518">1-SUM(AE277:AE281)</f>
        <v>3.4422429669143328E-2</v>
      </c>
      <c r="AF282" s="346">
        <f t="shared" si="1518"/>
        <v>3.4422429669143328E-2</v>
      </c>
      <c r="AG282" s="343">
        <f>AG264/AG$265</f>
        <v>3.4422429669143328E-2</v>
      </c>
      <c r="AH282" s="346">
        <f t="shared" ref="AH282:AI282" si="1519">1-SUM(AH277:AH281)</f>
        <v>3.4422429669143328E-2</v>
      </c>
      <c r="AI282" s="346">
        <f t="shared" si="1519"/>
        <v>3.4422429669143328E-2</v>
      </c>
      <c r="AJ282" s="343">
        <f>AJ264/AJ$265</f>
        <v>3.4422429669143335E-2</v>
      </c>
      <c r="AK282" s="346">
        <f t="shared" ref="AK282:AL282" si="1520">1-SUM(AK277:AK281)</f>
        <v>3.4422429669143328E-2</v>
      </c>
      <c r="AL282" s="346">
        <f t="shared" si="1520"/>
        <v>3.4422429669143328E-2</v>
      </c>
      <c r="AM282" s="343">
        <f>AM264/AM$265</f>
        <v>3.4422429669143335E-2</v>
      </c>
      <c r="AN282" s="346">
        <f t="shared" ref="AN282:AO282" si="1521">1-SUM(AN277:AN281)</f>
        <v>3.4422429669143328E-2</v>
      </c>
      <c r="AO282" s="346">
        <f t="shared" si="1521"/>
        <v>3.4422429669143328E-2</v>
      </c>
      <c r="AP282" s="343">
        <f>AP264/AP$265</f>
        <v>3.4422429669143322E-2</v>
      </c>
      <c r="AQ282" s="346">
        <f t="shared" ref="AQ282:AR282" si="1522">1-SUM(AQ277:AQ281)</f>
        <v>3.4422429669143328E-2</v>
      </c>
      <c r="AR282" s="346">
        <f t="shared" si="1522"/>
        <v>3.4422429669143328E-2</v>
      </c>
      <c r="AS282" s="343">
        <f>AS264/AS$265</f>
        <v>3.4422429669143328E-2</v>
      </c>
      <c r="AT282" s="346">
        <f t="shared" ref="AT282:AU282" si="1523">1-SUM(AT277:AT281)</f>
        <v>3.4422429669143328E-2</v>
      </c>
      <c r="AU282" s="346">
        <f t="shared" si="1523"/>
        <v>3.4422429669143328E-2</v>
      </c>
      <c r="AV282" s="343">
        <f>AV264/AV$265</f>
        <v>3.4422429669143328E-2</v>
      </c>
      <c r="AW282" s="346">
        <f t="shared" ref="AW282:AX282" si="1524">1-SUM(AW277:AW281)</f>
        <v>3.4422429669143328E-2</v>
      </c>
      <c r="AX282" s="346">
        <f t="shared" si="1524"/>
        <v>3.4422429669143328E-2</v>
      </c>
      <c r="AY282" s="343">
        <f t="shared" si="1500"/>
        <v>3.4422429669143328E-2</v>
      </c>
    </row>
    <row r="283" spans="1:51" s="135" customFormat="1" ht="12" customHeight="1" x14ac:dyDescent="0.2">
      <c r="A283" s="24"/>
      <c r="B283" s="49" t="s">
        <v>320</v>
      </c>
      <c r="C283" s="49"/>
      <c r="D283" s="233"/>
      <c r="E283" s="234"/>
      <c r="F283" s="169"/>
      <c r="G283" s="233"/>
      <c r="H283" s="234"/>
      <c r="I283" s="235"/>
      <c r="J283" s="233"/>
      <c r="K283" s="234"/>
      <c r="L283" s="235"/>
      <c r="M283" s="233"/>
      <c r="N283" s="234"/>
      <c r="O283" s="235"/>
      <c r="P283" s="233"/>
      <c r="Q283" s="233"/>
      <c r="R283" s="236">
        <f t="shared" si="1488"/>
        <v>1</v>
      </c>
      <c r="S283" s="237">
        <f t="shared" ref="S283" si="1525">S265/S$265</f>
        <v>1</v>
      </c>
      <c r="T283" s="233"/>
      <c r="U283" s="236">
        <f t="shared" si="1490"/>
        <v>1</v>
      </c>
      <c r="V283" s="238">
        <f t="shared" ref="V283" si="1526">SUM(V277:V282)</f>
        <v>1</v>
      </c>
      <c r="W283" s="238">
        <f t="shared" ref="W283" si="1527">SUM(W278:W282)</f>
        <v>1.05</v>
      </c>
      <c r="X283" s="236">
        <f t="shared" si="1502"/>
        <v>1</v>
      </c>
      <c r="Y283" s="238">
        <f t="shared" ref="Y283" si="1528">SUM(Y277:Y282)</f>
        <v>1</v>
      </c>
      <c r="Z283" s="238">
        <f t="shared" ref="Z283" si="1529">SUM(Z278:Z282)</f>
        <v>1.05</v>
      </c>
      <c r="AA283" s="236">
        <f>AA265/AA$265</f>
        <v>1</v>
      </c>
      <c r="AB283" s="238">
        <f t="shared" ref="AB283" si="1530">SUM(AB277:AB282)</f>
        <v>1</v>
      </c>
      <c r="AC283" s="238">
        <f t="shared" ref="AC283" si="1531">SUM(AC278:AC282)</f>
        <v>1.05</v>
      </c>
      <c r="AD283" s="236">
        <f>AD265/AD$265</f>
        <v>1</v>
      </c>
      <c r="AE283" s="238">
        <f t="shared" ref="AE283" si="1532">SUM(AE277:AE282)</f>
        <v>1</v>
      </c>
      <c r="AF283" s="238">
        <f t="shared" ref="AF283" si="1533">SUM(AF278:AF282)</f>
        <v>1.05</v>
      </c>
      <c r="AG283" s="236">
        <f>AG265/AG$265</f>
        <v>1</v>
      </c>
      <c r="AH283" s="238">
        <f t="shared" ref="AH283" si="1534">SUM(AH277:AH282)</f>
        <v>1</v>
      </c>
      <c r="AI283" s="238">
        <f t="shared" ref="AI283" si="1535">SUM(AI278:AI282)</f>
        <v>1.05</v>
      </c>
      <c r="AJ283" s="236">
        <f>AJ265/AJ$265</f>
        <v>1</v>
      </c>
      <c r="AK283" s="238">
        <f t="shared" ref="AK283" si="1536">SUM(AK277:AK282)</f>
        <v>1</v>
      </c>
      <c r="AL283" s="238">
        <f t="shared" ref="AL283" si="1537">SUM(AL278:AL282)</f>
        <v>1.05</v>
      </c>
      <c r="AM283" s="236">
        <f>AM265/AM$265</f>
        <v>1</v>
      </c>
      <c r="AN283" s="238">
        <f t="shared" ref="AN283" si="1538">SUM(AN277:AN282)</f>
        <v>1</v>
      </c>
      <c r="AO283" s="238">
        <f t="shared" ref="AO283" si="1539">SUM(AO278:AO282)</f>
        <v>1.05</v>
      </c>
      <c r="AP283" s="236">
        <f>AP265/AP$265</f>
        <v>1</v>
      </c>
      <c r="AQ283" s="238">
        <f t="shared" ref="AQ283" si="1540">SUM(AQ277:AQ282)</f>
        <v>1</v>
      </c>
      <c r="AR283" s="238">
        <f t="shared" ref="AR283" si="1541">SUM(AR278:AR282)</f>
        <v>1.05</v>
      </c>
      <c r="AS283" s="236">
        <f>AS265/AS$265</f>
        <v>1</v>
      </c>
      <c r="AT283" s="238">
        <f t="shared" ref="AT283" si="1542">SUM(AT277:AT282)</f>
        <v>1</v>
      </c>
      <c r="AU283" s="238">
        <f t="shared" ref="AU283" si="1543">SUM(AU278:AU282)</f>
        <v>1.05</v>
      </c>
      <c r="AV283" s="236">
        <f>AV265/AV$265</f>
        <v>1</v>
      </c>
      <c r="AW283" s="238">
        <f t="shared" ref="AW283" si="1544">SUM(AW277:AW282)</f>
        <v>1</v>
      </c>
      <c r="AX283" s="238">
        <f t="shared" ref="AX283" si="1545">SUM(AX278:AX282)</f>
        <v>1.05</v>
      </c>
      <c r="AY283" s="236">
        <f t="shared" si="1500"/>
        <v>1</v>
      </c>
    </row>
    <row r="284" spans="1:51" s="24" customFormat="1" ht="12" customHeight="1" x14ac:dyDescent="0.2">
      <c r="B284" s="153"/>
      <c r="C284" s="23"/>
      <c r="D284" s="142"/>
      <c r="E284" s="26"/>
      <c r="F284" s="143"/>
      <c r="G284" s="142"/>
      <c r="H284" s="26"/>
      <c r="I284" s="143"/>
      <c r="J284" s="142"/>
      <c r="K284" s="26"/>
      <c r="L284" s="143"/>
      <c r="M284" s="142"/>
      <c r="N284" s="26"/>
      <c r="O284" s="143"/>
      <c r="P284" s="142"/>
      <c r="Q284" s="26"/>
      <c r="R284" s="143"/>
      <c r="S284" s="142"/>
      <c r="T284" s="26"/>
      <c r="U284" s="143"/>
      <c r="V284" s="26"/>
      <c r="W284" s="26"/>
      <c r="X284" s="143"/>
      <c r="Y284" s="26"/>
      <c r="Z284" s="26"/>
      <c r="AA284" s="143"/>
      <c r="AB284" s="26"/>
      <c r="AC284" s="26"/>
      <c r="AD284" s="143"/>
      <c r="AE284" s="26"/>
      <c r="AF284" s="26"/>
      <c r="AG284" s="143"/>
      <c r="AH284" s="26"/>
      <c r="AI284" s="26"/>
      <c r="AJ284" s="143"/>
      <c r="AK284" s="26"/>
      <c r="AL284" s="26"/>
      <c r="AM284" s="143"/>
      <c r="AN284" s="26"/>
      <c r="AO284" s="26"/>
      <c r="AP284" s="143"/>
      <c r="AQ284" s="26"/>
      <c r="AR284" s="26"/>
      <c r="AS284" s="143"/>
      <c r="AT284" s="26"/>
      <c r="AU284" s="26"/>
      <c r="AV284" s="143"/>
      <c r="AW284" s="26"/>
      <c r="AX284" s="26"/>
      <c r="AY284" s="143"/>
    </row>
    <row r="285" spans="1:51" s="24" customFormat="1" ht="12" customHeight="1" x14ac:dyDescent="0.2">
      <c r="B285" s="342" t="s">
        <v>480</v>
      </c>
      <c r="C285" s="23"/>
      <c r="D285" s="142"/>
      <c r="E285" s="26"/>
      <c r="F285" s="143"/>
      <c r="G285" s="142"/>
      <c r="H285" s="26"/>
      <c r="I285" s="143"/>
      <c r="J285" s="142"/>
      <c r="K285" s="26"/>
      <c r="L285" s="143"/>
      <c r="M285" s="142"/>
      <c r="N285" s="26"/>
      <c r="O285" s="143"/>
      <c r="P285" s="142"/>
      <c r="Q285" s="26"/>
      <c r="R285" s="143"/>
      <c r="S285" s="142"/>
      <c r="T285" s="26"/>
      <c r="U285" s="143"/>
      <c r="V285" s="26"/>
      <c r="W285" s="26"/>
      <c r="X285" s="143"/>
      <c r="Y285" s="26"/>
      <c r="Z285" s="26"/>
      <c r="AA285" s="143"/>
      <c r="AB285" s="26"/>
      <c r="AC285" s="26"/>
      <c r="AD285" s="143"/>
      <c r="AE285" s="26"/>
      <c r="AF285" s="26"/>
      <c r="AG285" s="143"/>
      <c r="AH285" s="26"/>
      <c r="AI285" s="26"/>
      <c r="AJ285" s="143"/>
      <c r="AK285" s="26"/>
      <c r="AL285" s="26"/>
      <c r="AM285" s="143"/>
      <c r="AN285" s="26"/>
      <c r="AO285" s="26"/>
      <c r="AP285" s="143"/>
      <c r="AQ285" s="26"/>
      <c r="AR285" s="26"/>
      <c r="AS285" s="143"/>
      <c r="AT285" s="26"/>
      <c r="AU285" s="26"/>
      <c r="AV285" s="143"/>
      <c r="AW285" s="26"/>
      <c r="AX285" s="26"/>
      <c r="AY285" s="143"/>
    </row>
    <row r="286" spans="1:51" s="64" customFormat="1" ht="12" customHeight="1" x14ac:dyDescent="0.2">
      <c r="A286" s="24"/>
      <c r="B286" s="224" t="s">
        <v>347</v>
      </c>
      <c r="C286" s="149"/>
      <c r="D286" s="60"/>
      <c r="E286" s="60"/>
      <c r="F286" s="150"/>
      <c r="G286" s="60"/>
      <c r="H286" s="60"/>
      <c r="I286" s="150"/>
      <c r="J286" s="60"/>
      <c r="K286" s="60"/>
      <c r="L286" s="150"/>
      <c r="M286" s="214"/>
      <c r="N286" s="214"/>
      <c r="O286" s="150"/>
      <c r="P286" s="214"/>
      <c r="Q286" s="214"/>
      <c r="R286" s="347">
        <f t="shared" ref="R286:R292" si="1546">+R259/R$22</f>
        <v>6.6549001501984131E-2</v>
      </c>
      <c r="S286" s="348">
        <f t="shared" ref="S286" si="1547">+S259/S$22</f>
        <v>6.9254633530898835E-2</v>
      </c>
      <c r="T286" s="214"/>
      <c r="U286" s="347">
        <f t="shared" ref="U286:U292" si="1548">+U259/U$22</f>
        <v>7.2878050334646421E-2</v>
      </c>
      <c r="V286" s="348">
        <f t="shared" ref="V286:W287" si="1549">+V259/V$22</f>
        <v>4.2000233263485891E-2</v>
      </c>
      <c r="W286" s="348">
        <f t="shared" si="1549"/>
        <v>4.2582548383138102E-2</v>
      </c>
      <c r="X286" s="343">
        <f>+X259/X$22</f>
        <v>4.2295908814841569E-2</v>
      </c>
      <c r="Y286" s="348">
        <f t="shared" ref="Y286:AJ287" si="1550">+Y259/Y$22</f>
        <v>4.1243723605058055E-2</v>
      </c>
      <c r="Z286" s="348">
        <f t="shared" si="1550"/>
        <v>4.1650200554538198E-2</v>
      </c>
      <c r="AA286" s="343">
        <f t="shared" si="1550"/>
        <v>4.1449678766011668E-2</v>
      </c>
      <c r="AB286" s="348">
        <f t="shared" si="1550"/>
        <v>4.0221500205274284E-2</v>
      </c>
      <c r="AC286" s="348">
        <f t="shared" si="1550"/>
        <v>4.060099512381584E-2</v>
      </c>
      <c r="AD286" s="343">
        <f t="shared" si="1550"/>
        <v>4.0413062174215884E-2</v>
      </c>
      <c r="AE286" s="348">
        <f t="shared" si="1550"/>
        <v>3.9377821289984384E-2</v>
      </c>
      <c r="AF286" s="348">
        <f t="shared" si="1550"/>
        <v>3.9759320228229499E-2</v>
      </c>
      <c r="AG286" s="343">
        <f t="shared" si="1550"/>
        <v>3.9569958084566675E-2</v>
      </c>
      <c r="AH286" s="348">
        <f t="shared" si="1550"/>
        <v>3.8572045549767203E-2</v>
      </c>
      <c r="AI286" s="348">
        <f t="shared" si="1550"/>
        <v>3.9095229980258842E-2</v>
      </c>
      <c r="AJ286" s="343">
        <f t="shared" si="1550"/>
        <v>3.883456989478918E-2</v>
      </c>
      <c r="AK286" s="348">
        <f t="shared" ref="AK286:AM287" si="1551">+AK259/AK$22</f>
        <v>3.877307875078017E-2</v>
      </c>
      <c r="AL286" s="348">
        <f t="shared" si="1551"/>
        <v>3.9096724276908322E-2</v>
      </c>
      <c r="AM286" s="343">
        <f t="shared" si="1551"/>
        <v>3.8935223397758213E-2</v>
      </c>
      <c r="AN286" s="348">
        <f t="shared" ref="AN286:AP287" si="1552">+AN259/AN$22</f>
        <v>3.8589415494897097E-2</v>
      </c>
      <c r="AO286" s="348">
        <f t="shared" si="1552"/>
        <v>3.8911984154393849E-2</v>
      </c>
      <c r="AP286" s="343">
        <f t="shared" si="1552"/>
        <v>3.8750804005343906E-2</v>
      </c>
      <c r="AQ286" s="348">
        <f t="shared" ref="AQ286:AS287" si="1553">+AQ259/AQ$22</f>
        <v>3.8419059585389964E-2</v>
      </c>
      <c r="AR286" s="348">
        <f t="shared" si="1553"/>
        <v>3.874046398895168E-2</v>
      </c>
      <c r="AS286" s="343">
        <f t="shared" si="1553"/>
        <v>3.8579679362065258E-2</v>
      </c>
      <c r="AT286" s="348">
        <f t="shared" ref="AT286:AV287" si="1554">+AT259/AT$22</f>
        <v>3.8260018551378304E-2</v>
      </c>
      <c r="AU286" s="348">
        <f t="shared" si="1554"/>
        <v>3.8580271831604285E-2</v>
      </c>
      <c r="AV286" s="343">
        <f t="shared" si="1554"/>
        <v>3.8419901440641897E-2</v>
      </c>
      <c r="AW286" s="348">
        <f t="shared" ref="AW286:AY287" si="1555">+AW259/AW$22</f>
        <v>3.8110803352255994E-2</v>
      </c>
      <c r="AX286" s="348">
        <f t="shared" si="1555"/>
        <v>3.8429984721518137E-2</v>
      </c>
      <c r="AY286" s="343">
        <f t="shared" si="1555"/>
        <v>3.8270009661293659E-2</v>
      </c>
    </row>
    <row r="287" spans="1:51" s="64" customFormat="1" ht="12" customHeight="1" x14ac:dyDescent="0.2">
      <c r="A287" s="24"/>
      <c r="B287" s="224" t="s">
        <v>479</v>
      </c>
      <c r="C287" s="149"/>
      <c r="D287" s="60"/>
      <c r="E287" s="60"/>
      <c r="F287" s="150"/>
      <c r="G287" s="60"/>
      <c r="H287" s="60"/>
      <c r="I287" s="150"/>
      <c r="J287" s="60"/>
      <c r="K287" s="60"/>
      <c r="L287" s="150"/>
      <c r="M287" s="214"/>
      <c r="N287" s="214"/>
      <c r="O287" s="150"/>
      <c r="P287" s="214"/>
      <c r="Q287" s="214"/>
      <c r="R287" s="347">
        <f t="shared" si="1546"/>
        <v>-0.25592173318449857</v>
      </c>
      <c r="S287" s="348">
        <f t="shared" ref="S287" si="1556">+S260/S$22</f>
        <v>-0.25925646952485415</v>
      </c>
      <c r="T287" s="214"/>
      <c r="U287" s="347">
        <f t="shared" si="1548"/>
        <v>-0.25931514112953691</v>
      </c>
      <c r="V287" s="348">
        <f t="shared" si="1549"/>
        <v>-0.23359245756119226</v>
      </c>
      <c r="W287" s="348">
        <f t="shared" si="1549"/>
        <v>-0.236831116237711</v>
      </c>
      <c r="X287" s="343">
        <f>+X260/X$22</f>
        <v>-0.23523691458714835</v>
      </c>
      <c r="Y287" s="348">
        <f t="shared" si="1550"/>
        <v>-0.22938498211284589</v>
      </c>
      <c r="Z287" s="348">
        <f t="shared" si="1550"/>
        <v>-0.23164568264218297</v>
      </c>
      <c r="AA287" s="343">
        <f t="shared" si="1550"/>
        <v>-0.23053044175571866</v>
      </c>
      <c r="AB287" s="348">
        <f t="shared" si="1550"/>
        <v>-0.22369968806616639</v>
      </c>
      <c r="AC287" s="348">
        <f t="shared" si="1550"/>
        <v>-0.22581032278807336</v>
      </c>
      <c r="AD287" s="343">
        <f t="shared" si="1550"/>
        <v>-0.22476509717519699</v>
      </c>
      <c r="AE287" s="348">
        <f t="shared" si="1550"/>
        <v>-0.21900740385958167</v>
      </c>
      <c r="AF287" s="348">
        <f t="shared" si="1550"/>
        <v>-0.22112918432643297</v>
      </c>
      <c r="AG287" s="343">
        <f t="shared" si="1550"/>
        <v>-0.22007600997309643</v>
      </c>
      <c r="AH287" s="348">
        <f t="shared" si="1550"/>
        <v>-0.21452592552540875</v>
      </c>
      <c r="AI287" s="348">
        <f t="shared" si="1550"/>
        <v>-0.21743571738560169</v>
      </c>
      <c r="AJ287" s="343">
        <f t="shared" si="1550"/>
        <v>-0.2159860056763597</v>
      </c>
      <c r="AK287" s="348">
        <f t="shared" si="1551"/>
        <v>-0.21564401073177919</v>
      </c>
      <c r="AL287" s="348">
        <f t="shared" si="1551"/>
        <v>-0.21744402820674608</v>
      </c>
      <c r="AM287" s="343">
        <f t="shared" si="1551"/>
        <v>-0.21654580968918929</v>
      </c>
      <c r="AN287" s="348">
        <f t="shared" si="1552"/>
        <v>-0.21462253185007227</v>
      </c>
      <c r="AO287" s="348">
        <f t="shared" si="1552"/>
        <v>-0.21641656012204313</v>
      </c>
      <c r="AP287" s="343">
        <f t="shared" si="1552"/>
        <v>-0.2155201254072534</v>
      </c>
      <c r="AQ287" s="348">
        <f t="shared" si="1553"/>
        <v>-0.21367506436073236</v>
      </c>
      <c r="AR287" s="348">
        <f t="shared" si="1553"/>
        <v>-0.21546261739711617</v>
      </c>
      <c r="AS287" s="343">
        <f t="shared" si="1553"/>
        <v>-0.21456838245568524</v>
      </c>
      <c r="AT287" s="348">
        <f t="shared" si="1554"/>
        <v>-0.21279052674983881</v>
      </c>
      <c r="AU287" s="348">
        <f t="shared" si="1554"/>
        <v>-0.21457167759013801</v>
      </c>
      <c r="AV287" s="343">
        <f t="shared" si="1554"/>
        <v>-0.21367974650228094</v>
      </c>
      <c r="AW287" s="348">
        <f t="shared" si="1555"/>
        <v>-0.2119606374287534</v>
      </c>
      <c r="AX287" s="348">
        <f t="shared" si="1555"/>
        <v>-0.21373582662796461</v>
      </c>
      <c r="AY287" s="343">
        <f t="shared" si="1555"/>
        <v>-0.21284609424881554</v>
      </c>
    </row>
    <row r="288" spans="1:51" s="64" customFormat="1" ht="12" customHeight="1" x14ac:dyDescent="0.2">
      <c r="A288" s="24"/>
      <c r="B288" s="224" t="s">
        <v>359</v>
      </c>
      <c r="C288" s="149"/>
      <c r="D288" s="60"/>
      <c r="E288" s="60"/>
      <c r="F288" s="150"/>
      <c r="G288" s="60"/>
      <c r="H288" s="60"/>
      <c r="I288" s="229"/>
      <c r="J288" s="60"/>
      <c r="K288" s="60"/>
      <c r="L288" s="229"/>
      <c r="M288" s="214"/>
      <c r="N288" s="214"/>
      <c r="O288" s="229"/>
      <c r="P288" s="214"/>
      <c r="Q288" s="214"/>
      <c r="R288" s="347">
        <f t="shared" si="1546"/>
        <v>-0.44923059839749391</v>
      </c>
      <c r="S288" s="348">
        <f t="shared" ref="S288" si="1557">+S261/S$22</f>
        <v>-0.41899735899331036</v>
      </c>
      <c r="T288" s="214"/>
      <c r="U288" s="347">
        <f t="shared" si="1548"/>
        <v>-0.42022761874202069</v>
      </c>
      <c r="V288" s="348">
        <f t="shared" ref="V288:W288" si="1558">+V261/V$22</f>
        <v>-0.41003504542423802</v>
      </c>
      <c r="W288" s="348">
        <f t="shared" si="1558"/>
        <v>-0.41572000448243918</v>
      </c>
      <c r="X288" s="343">
        <f t="shared" ref="X288:Z288" si="1559">+X261/X$22</f>
        <v>-0.41292163268127513</v>
      </c>
      <c r="Y288" s="348">
        <f t="shared" si="1559"/>
        <v>-0.40264947996293832</v>
      </c>
      <c r="Z288" s="348">
        <f t="shared" si="1559"/>
        <v>-0.40661778636253382</v>
      </c>
      <c r="AA288" s="343">
        <f t="shared" ref="AA288:AJ288" si="1560">+AA261/AA$22</f>
        <v>-0.40466015531436278</v>
      </c>
      <c r="AB288" s="348">
        <f t="shared" si="1560"/>
        <v>-0.39266983495633656</v>
      </c>
      <c r="AC288" s="348">
        <f t="shared" si="1560"/>
        <v>-0.39637472428840925</v>
      </c>
      <c r="AD288" s="343">
        <f t="shared" si="1560"/>
        <v>-0.39453999410863849</v>
      </c>
      <c r="AE288" s="348">
        <f t="shared" si="1560"/>
        <v>-0.38443326350245566</v>
      </c>
      <c r="AF288" s="348">
        <f t="shared" si="1560"/>
        <v>-0.38815771744753957</v>
      </c>
      <c r="AG288" s="343">
        <f t="shared" si="1560"/>
        <v>-0.3863090344963922</v>
      </c>
      <c r="AH288" s="348">
        <f t="shared" si="1560"/>
        <v>-0.37656672880563669</v>
      </c>
      <c r="AI288" s="348">
        <f t="shared" si="1560"/>
        <v>-0.38167441357434007</v>
      </c>
      <c r="AJ288" s="343">
        <f t="shared" si="1560"/>
        <v>-0.379129671279331</v>
      </c>
      <c r="AK288" s="348">
        <f t="shared" ref="AK288:AM288" si="1561">+AK261/AK$22</f>
        <v>-0.37852935261279524</v>
      </c>
      <c r="AL288" s="348">
        <f t="shared" si="1561"/>
        <v>-0.38168900192175947</v>
      </c>
      <c r="AM288" s="343">
        <f t="shared" si="1561"/>
        <v>-0.38011231971852172</v>
      </c>
      <c r="AN288" s="348">
        <f t="shared" ref="AN288:AP288" si="1562">+AN261/AN$22</f>
        <v>-0.37673630610764053</v>
      </c>
      <c r="AO288" s="348">
        <f t="shared" si="1562"/>
        <v>-0.37988544230694288</v>
      </c>
      <c r="AP288" s="343">
        <f t="shared" si="1562"/>
        <v>-0.37831189129062898</v>
      </c>
      <c r="AQ288" s="348">
        <f t="shared" ref="AQ288:AS288" si="1563">+AQ261/AQ$22</f>
        <v>-0.37507317503275261</v>
      </c>
      <c r="AR288" s="348">
        <f t="shared" si="1563"/>
        <v>-0.37821094496815322</v>
      </c>
      <c r="AS288" s="343">
        <f t="shared" si="1563"/>
        <v>-0.37664125531011489</v>
      </c>
      <c r="AT288" s="348">
        <f t="shared" ref="AT288:AV288" si="1564">+AT261/AT$22</f>
        <v>-0.37352050752264176</v>
      </c>
      <c r="AU288" s="348">
        <f t="shared" si="1564"/>
        <v>-0.37664703940357036</v>
      </c>
      <c r="AV288" s="343">
        <f t="shared" si="1564"/>
        <v>-0.37508139380035566</v>
      </c>
      <c r="AW288" s="348">
        <f t="shared" ref="AW288:AY288" si="1565">+AW261/AW$22</f>
        <v>-0.37206376654298412</v>
      </c>
      <c r="AX288" s="348">
        <f t="shared" si="1565"/>
        <v>-0.37517983369487184</v>
      </c>
      <c r="AY288" s="343">
        <f t="shared" si="1565"/>
        <v>-0.37361804758110473</v>
      </c>
    </row>
    <row r="289" spans="1:51" s="64" customFormat="1" ht="12" customHeight="1" x14ac:dyDescent="0.2">
      <c r="A289" s="24"/>
      <c r="B289" s="224" t="s">
        <v>360</v>
      </c>
      <c r="C289" s="149"/>
      <c r="D289" s="60"/>
      <c r="E289" s="60"/>
      <c r="F289" s="150"/>
      <c r="G289" s="60"/>
      <c r="H289" s="60"/>
      <c r="I289" s="229"/>
      <c r="J289" s="60"/>
      <c r="K289" s="60"/>
      <c r="L289" s="229"/>
      <c r="M289" s="214"/>
      <c r="N289" s="214"/>
      <c r="O289" s="229"/>
      <c r="P289" s="214"/>
      <c r="Q289" s="214"/>
      <c r="R289" s="347">
        <f t="shared" si="1546"/>
        <v>-0.17706756590905104</v>
      </c>
      <c r="S289" s="348">
        <f t="shared" ref="S289" si="1566">+S262/S$22</f>
        <v>-0.12176406065370798</v>
      </c>
      <c r="T289" s="214"/>
      <c r="U289" s="347">
        <f t="shared" si="1548"/>
        <v>-0.1220133858572342</v>
      </c>
      <c r="V289" s="348">
        <f t="shared" ref="V289:W289" si="1567">+V262/V$22</f>
        <v>-0.16161834854898885</v>
      </c>
      <c r="W289" s="348">
        <f t="shared" si="1567"/>
        <v>-0.16385911724622168</v>
      </c>
      <c r="X289" s="343">
        <f t="shared" ref="X289:Z289" si="1568">+X262/X$22</f>
        <v>-0.16275611828509079</v>
      </c>
      <c r="Y289" s="348">
        <f t="shared" si="1568"/>
        <v>-0.15870727324877709</v>
      </c>
      <c r="Z289" s="348">
        <f t="shared" si="1568"/>
        <v>-0.16027141059263617</v>
      </c>
      <c r="AA289" s="343">
        <f t="shared" ref="AA289:AJ289" si="1569">+AA262/AA$22</f>
        <v>-0.15949979582310769</v>
      </c>
      <c r="AB289" s="348">
        <f t="shared" si="1569"/>
        <v>-0.15477372229241096</v>
      </c>
      <c r="AC289" s="348">
        <f t="shared" si="1569"/>
        <v>-0.15623403184909004</v>
      </c>
      <c r="AD289" s="343">
        <f t="shared" si="1569"/>
        <v>-0.15551085936664835</v>
      </c>
      <c r="AE289" s="348">
        <f t="shared" si="1569"/>
        <v>-0.15152721668042191</v>
      </c>
      <c r="AF289" s="348">
        <f t="shared" si="1569"/>
        <v>-0.15299523777415169</v>
      </c>
      <c r="AG289" s="343">
        <f t="shared" si="1569"/>
        <v>-0.15226656570358277</v>
      </c>
      <c r="AH289" s="348">
        <f t="shared" si="1569"/>
        <v>-0.14842656379552571</v>
      </c>
      <c r="AI289" s="348">
        <f t="shared" si="1569"/>
        <v>-0.15043979555812437</v>
      </c>
      <c r="AJ289" s="343">
        <f t="shared" si="1569"/>
        <v>-0.1494367665444053</v>
      </c>
      <c r="AK289" s="348">
        <f t="shared" ref="AK289:AM289" si="1570">+AK262/AK$22</f>
        <v>-0.14920014649796939</v>
      </c>
      <c r="AL289" s="348">
        <f t="shared" si="1570"/>
        <v>-0.15044554566325391</v>
      </c>
      <c r="AM289" s="343">
        <f t="shared" si="1570"/>
        <v>-0.14982408470103248</v>
      </c>
      <c r="AN289" s="348">
        <f t="shared" ref="AN289:AP289" si="1571">+AN262/AN$22</f>
        <v>-0.14849340394445223</v>
      </c>
      <c r="AO289" s="348">
        <f t="shared" si="1571"/>
        <v>-0.14973465928973745</v>
      </c>
      <c r="AP289" s="343">
        <f t="shared" si="1571"/>
        <v>-0.14911443250802148</v>
      </c>
      <c r="AQ289" s="348">
        <f t="shared" ref="AQ289:AS289" si="1572">+AQ262/AQ$22</f>
        <v>-0.14783786851950878</v>
      </c>
      <c r="AR289" s="348">
        <f t="shared" si="1572"/>
        <v>-0.14907464376773524</v>
      </c>
      <c r="AS289" s="343">
        <f t="shared" si="1572"/>
        <v>-0.14845593896896833</v>
      </c>
      <c r="AT289" s="348">
        <f t="shared" ref="AT289:AV289" si="1573">+AT262/AT$22</f>
        <v>-0.14722587312635857</v>
      </c>
      <c r="AU289" s="348">
        <f t="shared" si="1573"/>
        <v>-0.14845821881222213</v>
      </c>
      <c r="AV289" s="343">
        <f t="shared" si="1573"/>
        <v>-0.1478411080076012</v>
      </c>
      <c r="AW289" s="348">
        <f t="shared" ref="AW289:AY289" si="1574">+AW262/AW$22</f>
        <v>-0.14665168788530844</v>
      </c>
      <c r="AX289" s="348">
        <f t="shared" si="1574"/>
        <v>-0.14787990882075261</v>
      </c>
      <c r="AY289" s="343">
        <f t="shared" si="1574"/>
        <v>-0.14726431926246833</v>
      </c>
    </row>
    <row r="290" spans="1:51" s="64" customFormat="1" ht="12" customHeight="1" x14ac:dyDescent="0.2">
      <c r="A290" s="24"/>
      <c r="B290" s="224" t="s">
        <v>341</v>
      </c>
      <c r="C290" s="149"/>
      <c r="D290" s="60"/>
      <c r="E290" s="60"/>
      <c r="F290" s="150"/>
      <c r="G290" s="60"/>
      <c r="H290" s="60"/>
      <c r="I290" s="229"/>
      <c r="J290" s="60"/>
      <c r="K290" s="60"/>
      <c r="L290" s="229"/>
      <c r="M290" s="214"/>
      <c r="N290" s="214"/>
      <c r="O290" s="229"/>
      <c r="P290" s="214"/>
      <c r="Q290" s="214"/>
      <c r="R290" s="347">
        <f t="shared" si="1546"/>
        <v>-5.2417493147562624E-2</v>
      </c>
      <c r="S290" s="348">
        <f t="shared" ref="S290" si="1575">+S263/S$22</f>
        <v>-5.3206163290477775E-2</v>
      </c>
      <c r="T290" s="214"/>
      <c r="U290" s="347">
        <f t="shared" si="1548"/>
        <v>-4.8443512911367045E-2</v>
      </c>
      <c r="V290" s="348">
        <f t="shared" ref="V290:W290" si="1576">+V263/V$22</f>
        <v>-4.7844045486785405E-2</v>
      </c>
      <c r="W290" s="348">
        <f t="shared" si="1576"/>
        <v>-4.8507382542498964E-2</v>
      </c>
      <c r="X290" s="343">
        <f t="shared" ref="X290:Z290" si="1577">+X263/X$22</f>
        <v>-4.8180860628731059E-2</v>
      </c>
      <c r="Y290" s="348">
        <f t="shared" si="1577"/>
        <v>-4.6982276879883877E-2</v>
      </c>
      <c r="Z290" s="348">
        <f t="shared" si="1577"/>
        <v>-4.7445310062062998E-2</v>
      </c>
      <c r="AA290" s="343">
        <f t="shared" ref="AA290:AJ290" si="1578">+AA263/AA$22</f>
        <v>-4.7216888150423388E-2</v>
      </c>
      <c r="AB290" s="348">
        <f t="shared" si="1578"/>
        <v>-4.5817823755776345E-2</v>
      </c>
      <c r="AC290" s="348">
        <f t="shared" si="1578"/>
        <v>-4.625012069162434E-2</v>
      </c>
      <c r="AD290" s="343">
        <f t="shared" si="1578"/>
        <v>-4.6036039199916466E-2</v>
      </c>
      <c r="AE290" s="348">
        <f t="shared" si="1578"/>
        <v>-4.4856757369641197E-2</v>
      </c>
      <c r="AF290" s="348">
        <f t="shared" si="1578"/>
        <v>-4.5291337159711745E-2</v>
      </c>
      <c r="AG290" s="343">
        <f t="shared" si="1578"/>
        <v>-4.5075627619289835E-2</v>
      </c>
      <c r="AH290" s="348">
        <f t="shared" si="1578"/>
        <v>-4.3938867915902971E-2</v>
      </c>
      <c r="AI290" s="348">
        <f t="shared" si="1578"/>
        <v>-4.4534846979480729E-2</v>
      </c>
      <c r="AJ290" s="343">
        <f t="shared" si="1578"/>
        <v>-4.4237919271780543E-2</v>
      </c>
      <c r="AK290" s="348">
        <f t="shared" ref="AK290:AM290" si="1579">+AK263/AK$22</f>
        <v>-4.4167872396741886E-2</v>
      </c>
      <c r="AL290" s="348">
        <f t="shared" si="1579"/>
        <v>-4.4536549188999894E-2</v>
      </c>
      <c r="AM290" s="343">
        <f t="shared" si="1579"/>
        <v>-4.4352577462944472E-2</v>
      </c>
      <c r="AN290" s="348">
        <f t="shared" ref="AN290:AP290" si="1580">+AN263/AN$22</f>
        <v>-4.3958654673745101E-2</v>
      </c>
      <c r="AO290" s="348">
        <f t="shared" si="1580"/>
        <v>-4.4326104766718541E-2</v>
      </c>
      <c r="AP290" s="343">
        <f t="shared" si="1580"/>
        <v>-4.4142498396384011E-2</v>
      </c>
      <c r="AQ290" s="348">
        <f t="shared" ref="AQ290:AS290" si="1581">+AQ263/AQ$22</f>
        <v>-4.3764595849541184E-2</v>
      </c>
      <c r="AR290" s="348">
        <f t="shared" si="1581"/>
        <v>-4.4130719694787268E-2</v>
      </c>
      <c r="AS290" s="343">
        <f t="shared" si="1581"/>
        <v>-4.3947563878626188E-2</v>
      </c>
      <c r="AT290" s="348">
        <f t="shared" ref="AT290:AV290" si="1582">+AT263/AT$22</f>
        <v>-4.3583426225606396E-2</v>
      </c>
      <c r="AU290" s="348">
        <f t="shared" si="1582"/>
        <v>-4.3948238782962952E-2</v>
      </c>
      <c r="AV290" s="343">
        <f t="shared" si="1582"/>
        <v>-4.3765554838523804E-2</v>
      </c>
      <c r="AW290" s="348">
        <f t="shared" ref="AW290:AY290" si="1583">+AW263/AW$22</f>
        <v>-4.3413449579778246E-2</v>
      </c>
      <c r="AX290" s="348">
        <f t="shared" si="1583"/>
        <v>-4.3777041083037545E-2</v>
      </c>
      <c r="AY290" s="343">
        <f t="shared" si="1583"/>
        <v>-4.3594807474711714E-2</v>
      </c>
    </row>
    <row r="291" spans="1:51" s="64" customFormat="1" ht="12" customHeight="1" x14ac:dyDescent="0.2">
      <c r="A291" s="24"/>
      <c r="B291" s="224" t="s">
        <v>361</v>
      </c>
      <c r="C291" s="149"/>
      <c r="D291" s="60"/>
      <c r="E291" s="60"/>
      <c r="F291" s="150"/>
      <c r="G291" s="60"/>
      <c r="H291" s="60"/>
      <c r="I291" s="229"/>
      <c r="J291" s="60"/>
      <c r="K291" s="60"/>
      <c r="L291" s="229"/>
      <c r="M291" s="214"/>
      <c r="N291" s="214"/>
      <c r="O291" s="229"/>
      <c r="P291" s="214"/>
      <c r="Q291" s="214"/>
      <c r="R291" s="347">
        <f t="shared" si="1546"/>
        <v>-5.2212942778495315E-2</v>
      </c>
      <c r="S291" s="348">
        <f t="shared" ref="S291" si="1584">+S264/S$22</f>
        <v>-6.7371562807470142E-2</v>
      </c>
      <c r="T291" s="214"/>
      <c r="U291" s="347">
        <f t="shared" si="1548"/>
        <v>-6.6863289935118864E-2</v>
      </c>
      <c r="V291" s="348">
        <f t="shared" ref="V291:W291" si="1585">+V264/V$22</f>
        <v>-2.8915001511999144E-2</v>
      </c>
      <c r="W291" s="348">
        <f t="shared" si="1585"/>
        <v>-2.931589553702928E-2</v>
      </c>
      <c r="X291" s="343">
        <f t="shared" ref="X291:Z291" si="1586">+X264/X$22</f>
        <v>-2.9118558929427663E-2</v>
      </c>
      <c r="Y291" s="348">
        <f t="shared" si="1586"/>
        <v>-2.8394183501773952E-2</v>
      </c>
      <c r="Z291" s="348">
        <f t="shared" si="1586"/>
        <v>-2.867402198588611E-2</v>
      </c>
      <c r="AA291" s="343">
        <f t="shared" ref="AA291:AJ291" si="1587">+AA264/AA$22</f>
        <v>-2.85359730426324E-2</v>
      </c>
      <c r="AB291" s="348">
        <f t="shared" si="1587"/>
        <v>-2.7690435240069762E-2</v>
      </c>
      <c r="AC291" s="348">
        <f t="shared" si="1587"/>
        <v>-2.795169798293564E-2</v>
      </c>
      <c r="AD291" s="343">
        <f t="shared" si="1587"/>
        <v>-2.7822315808133258E-2</v>
      </c>
      <c r="AE291" s="348">
        <f t="shared" si="1587"/>
        <v>-2.710960567757165E-2</v>
      </c>
      <c r="AF291" s="348">
        <f t="shared" si="1587"/>
        <v>-2.7372248084983553E-2</v>
      </c>
      <c r="AG291" s="343">
        <f t="shared" si="1587"/>
        <v>-2.7241881983538916E-2</v>
      </c>
      <c r="AH291" s="348">
        <f t="shared" si="1587"/>
        <v>-2.6554870502637089E-2</v>
      </c>
      <c r="AI291" s="348">
        <f t="shared" si="1587"/>
        <v>-2.6915056087888876E-2</v>
      </c>
      <c r="AJ291" s="343">
        <f t="shared" si="1587"/>
        <v>-2.6735605018696228E-2</v>
      </c>
      <c r="AK291" s="348">
        <f t="shared" ref="AK291:AM291" si="1588">+AK264/AK$22</f>
        <v>-2.6693271527097717E-2</v>
      </c>
      <c r="AL291" s="348">
        <f t="shared" si="1588"/>
        <v>-2.6916084834315301E-2</v>
      </c>
      <c r="AM291" s="343">
        <f t="shared" si="1588"/>
        <v>-2.680489978123431E-2</v>
      </c>
      <c r="AN291" s="348">
        <f t="shared" ref="AN291:AP291" si="1589">+AN264/AN$22</f>
        <v>-2.65668288169289E-2</v>
      </c>
      <c r="AO291" s="348">
        <f t="shared" si="1589"/>
        <v>-2.6788900756828837E-2</v>
      </c>
      <c r="AP291" s="343">
        <f t="shared" si="1589"/>
        <v>-2.6677936509934164E-2</v>
      </c>
      <c r="AQ291" s="348">
        <f t="shared" ref="AQ291:AS291" si="1590">+AQ264/AQ$22</f>
        <v>-2.6449547530654257E-2</v>
      </c>
      <c r="AR291" s="348">
        <f t="shared" si="1590"/>
        <v>-2.6670817940193381E-2</v>
      </c>
      <c r="AS291" s="343">
        <f t="shared" si="1590"/>
        <v>-2.6560125989975834E-2</v>
      </c>
      <c r="AT291" s="348">
        <f t="shared" ref="AT291:AV291" si="1591">+AT264/AT$22</f>
        <v>-2.6340055954498773E-2</v>
      </c>
      <c r="AU291" s="348">
        <f t="shared" si="1591"/>
        <v>-2.65605338747966E-2</v>
      </c>
      <c r="AV291" s="343">
        <f t="shared" si="1591"/>
        <v>-2.6450127104718286E-2</v>
      </c>
      <c r="AW291" s="348">
        <f t="shared" ref="AW291:AY291" si="1592">+AW264/AW$22</f>
        <v>-2.6237328960551674E-2</v>
      </c>
      <c r="AX291" s="348">
        <f t="shared" si="1592"/>
        <v>-2.645706892525421E-2</v>
      </c>
      <c r="AY291" s="343">
        <f t="shared" si="1592"/>
        <v>-2.6346934320066327E-2</v>
      </c>
    </row>
    <row r="292" spans="1:51" s="135" customFormat="1" ht="12" customHeight="1" x14ac:dyDescent="0.2">
      <c r="A292" s="24"/>
      <c r="B292" s="49" t="s">
        <v>320</v>
      </c>
      <c r="C292" s="49"/>
      <c r="D292" s="233"/>
      <c r="E292" s="234"/>
      <c r="F292" s="169"/>
      <c r="G292" s="233"/>
      <c r="H292" s="234"/>
      <c r="I292" s="235"/>
      <c r="J292" s="233"/>
      <c r="K292" s="234"/>
      <c r="L292" s="235"/>
      <c r="M292" s="233"/>
      <c r="N292" s="234"/>
      <c r="O292" s="235"/>
      <c r="P292" s="233"/>
      <c r="Q292" s="233"/>
      <c r="R292" s="236">
        <f t="shared" si="1546"/>
        <v>-0.92030133191511732</v>
      </c>
      <c r="S292" s="237">
        <f t="shared" ref="S292" si="1593">+S265/S$22</f>
        <v>-0.8513409817389217</v>
      </c>
      <c r="T292" s="233"/>
      <c r="U292" s="236">
        <f t="shared" si="1548"/>
        <v>-0.84398489824063117</v>
      </c>
      <c r="V292" s="237">
        <f t="shared" ref="V292:W292" si="1594">+V265/V$22</f>
        <v>-0.84000466526971784</v>
      </c>
      <c r="W292" s="237">
        <f t="shared" si="1594"/>
        <v>-0.85165096766276194</v>
      </c>
      <c r="X292" s="236">
        <f t="shared" ref="X292:Z292" si="1595">+X265/X$22</f>
        <v>-0.84591817629683141</v>
      </c>
      <c r="Y292" s="237">
        <f t="shared" si="1595"/>
        <v>-0.82487447210116105</v>
      </c>
      <c r="Z292" s="237">
        <f t="shared" si="1595"/>
        <v>-0.83300401109076383</v>
      </c>
      <c r="AA292" s="236">
        <f t="shared" ref="AA292:AJ292" si="1596">+AA265/AA$22</f>
        <v>-0.82899357532023332</v>
      </c>
      <c r="AB292" s="237">
        <f t="shared" si="1596"/>
        <v>-0.80443000410548571</v>
      </c>
      <c r="AC292" s="237">
        <f t="shared" si="1596"/>
        <v>-0.81201990247631683</v>
      </c>
      <c r="AD292" s="236">
        <f t="shared" si="1596"/>
        <v>-0.80826124348431772</v>
      </c>
      <c r="AE292" s="237">
        <f t="shared" si="1596"/>
        <v>-0.78755642579968776</v>
      </c>
      <c r="AF292" s="237">
        <f t="shared" si="1596"/>
        <v>-0.79518640456459011</v>
      </c>
      <c r="AG292" s="236">
        <f t="shared" si="1596"/>
        <v>-0.7913991616913334</v>
      </c>
      <c r="AH292" s="237">
        <f t="shared" si="1596"/>
        <v>-0.77144091099534406</v>
      </c>
      <c r="AI292" s="237">
        <f t="shared" si="1596"/>
        <v>-0.78190459960517689</v>
      </c>
      <c r="AJ292" s="236">
        <f t="shared" si="1596"/>
        <v>-0.77669139789578345</v>
      </c>
      <c r="AK292" s="237">
        <f t="shared" ref="AK292:AM292" si="1597">+AK265/AK$22</f>
        <v>-0.77546157501560331</v>
      </c>
      <c r="AL292" s="237">
        <f t="shared" si="1597"/>
        <v>-0.78193448553816636</v>
      </c>
      <c r="AM292" s="236">
        <f t="shared" si="1597"/>
        <v>-0.7787044679551639</v>
      </c>
      <c r="AN292" s="237">
        <f t="shared" ref="AN292:AP292" si="1598">+AN265/AN$22</f>
        <v>-0.77178830989794189</v>
      </c>
      <c r="AO292" s="237">
        <f t="shared" si="1598"/>
        <v>-0.77823968308787705</v>
      </c>
      <c r="AP292" s="236">
        <f t="shared" si="1598"/>
        <v>-0.77501608010687817</v>
      </c>
      <c r="AQ292" s="237">
        <f t="shared" ref="AQ292:AS292" si="1599">+AQ265/AQ$22</f>
        <v>-0.76838119170779917</v>
      </c>
      <c r="AR292" s="237">
        <f t="shared" si="1599"/>
        <v>-0.77480927977903358</v>
      </c>
      <c r="AS292" s="236">
        <f t="shared" si="1599"/>
        <v>-0.77159358724130522</v>
      </c>
      <c r="AT292" s="237">
        <f t="shared" ref="AT292:AV292" si="1600">+AT265/AT$22</f>
        <v>-0.76520037102756611</v>
      </c>
      <c r="AU292" s="237">
        <f t="shared" si="1600"/>
        <v>-0.77160543663208569</v>
      </c>
      <c r="AV292" s="236">
        <f t="shared" si="1600"/>
        <v>-0.76839802881283803</v>
      </c>
      <c r="AW292" s="237">
        <f t="shared" ref="AW292:AY292" si="1601">+AW265/AW$22</f>
        <v>-0.7622160670451199</v>
      </c>
      <c r="AX292" s="237">
        <f t="shared" si="1601"/>
        <v>-0.76859969443036269</v>
      </c>
      <c r="AY292" s="236">
        <f t="shared" si="1601"/>
        <v>-0.76540019322587305</v>
      </c>
    </row>
    <row r="293" spans="1:51" s="24" customFormat="1" ht="12" customHeight="1" x14ac:dyDescent="0.2">
      <c r="B293" s="153"/>
      <c r="C293" s="23"/>
      <c r="D293" s="142"/>
      <c r="E293" s="26"/>
      <c r="F293" s="143"/>
      <c r="G293" s="142"/>
      <c r="H293" s="26"/>
      <c r="I293" s="143"/>
      <c r="J293" s="142"/>
      <c r="K293" s="26"/>
      <c r="L293" s="143"/>
      <c r="M293" s="142"/>
      <c r="N293" s="26"/>
      <c r="O293" s="143"/>
      <c r="P293" s="142"/>
      <c r="Q293" s="26"/>
      <c r="R293" s="143"/>
      <c r="S293" s="26"/>
      <c r="T293" s="26"/>
      <c r="U293" s="143"/>
      <c r="V293" s="26"/>
      <c r="W293" s="26"/>
      <c r="X293" s="143"/>
      <c r="Y293" s="26"/>
      <c r="Z293" s="26"/>
      <c r="AA293" s="143"/>
      <c r="AB293" s="26"/>
      <c r="AC293" s="26"/>
      <c r="AD293" s="143"/>
      <c r="AE293" s="26"/>
      <c r="AF293" s="26"/>
      <c r="AG293" s="143"/>
      <c r="AH293" s="26"/>
      <c r="AI293" s="26"/>
      <c r="AJ293" s="143"/>
      <c r="AK293" s="26"/>
      <c r="AL293" s="26"/>
      <c r="AM293" s="143"/>
      <c r="AN293" s="26"/>
      <c r="AO293" s="26"/>
      <c r="AP293" s="143"/>
      <c r="AQ293" s="26"/>
      <c r="AR293" s="26"/>
      <c r="AS293" s="143"/>
      <c r="AT293" s="26"/>
      <c r="AU293" s="26"/>
      <c r="AV293" s="143"/>
      <c r="AW293" s="26"/>
      <c r="AX293" s="26"/>
      <c r="AY293" s="143"/>
    </row>
    <row r="294" spans="1:51" s="24" customFormat="1" ht="12" customHeight="1" x14ac:dyDescent="0.2">
      <c r="B294" s="153"/>
      <c r="C294" s="23"/>
      <c r="D294" s="142"/>
      <c r="E294" s="26"/>
      <c r="F294" s="143"/>
      <c r="G294" s="142"/>
      <c r="H294" s="26"/>
      <c r="I294" s="143"/>
      <c r="J294" s="142"/>
      <c r="K294" s="26"/>
      <c r="L294" s="143"/>
      <c r="M294" s="142"/>
      <c r="N294" s="26"/>
      <c r="O294" s="143"/>
      <c r="P294" s="142"/>
      <c r="Q294" s="26"/>
      <c r="R294" s="143"/>
      <c r="S294" s="26"/>
      <c r="T294" s="26"/>
      <c r="U294" s="143"/>
      <c r="V294" s="26"/>
      <c r="W294" s="26"/>
      <c r="X294" s="143"/>
      <c r="Y294" s="26"/>
      <c r="Z294" s="26"/>
      <c r="AA294" s="143"/>
      <c r="AB294" s="26"/>
      <c r="AC294" s="26"/>
      <c r="AD294" s="143"/>
      <c r="AE294" s="26"/>
      <c r="AF294" s="26"/>
      <c r="AG294" s="143"/>
      <c r="AH294" s="26"/>
      <c r="AI294" s="26"/>
      <c r="AJ294" s="143"/>
      <c r="AK294" s="26"/>
      <c r="AL294" s="26"/>
      <c r="AM294" s="143"/>
      <c r="AN294" s="26"/>
      <c r="AO294" s="26"/>
      <c r="AP294" s="143"/>
      <c r="AQ294" s="26"/>
      <c r="AR294" s="26"/>
      <c r="AS294" s="143"/>
      <c r="AT294" s="26"/>
      <c r="AU294" s="26"/>
      <c r="AV294" s="143"/>
      <c r="AW294" s="26"/>
      <c r="AX294" s="26"/>
      <c r="AY294" s="143"/>
    </row>
    <row r="295" spans="1:51" s="24" customFormat="1" ht="12" customHeight="1" x14ac:dyDescent="0.2">
      <c r="B295" s="153"/>
      <c r="C295" s="23"/>
      <c r="D295" s="142"/>
      <c r="E295" s="26"/>
      <c r="F295" s="143"/>
      <c r="G295" s="142"/>
      <c r="H295" s="26"/>
      <c r="I295" s="143"/>
      <c r="J295" s="142"/>
      <c r="K295" s="26"/>
      <c r="L295" s="143"/>
      <c r="M295" s="142"/>
      <c r="N295" s="26"/>
      <c r="O295" s="143"/>
      <c r="P295" s="142"/>
      <c r="Q295" s="26"/>
      <c r="R295" s="143"/>
      <c r="S295" s="26"/>
      <c r="T295" s="26"/>
      <c r="U295" s="143"/>
      <c r="V295" s="26"/>
      <c r="W295" s="26"/>
      <c r="X295" s="143"/>
      <c r="Y295" s="26"/>
      <c r="Z295" s="26"/>
      <c r="AA295" s="143"/>
      <c r="AB295" s="26"/>
      <c r="AC295" s="26"/>
      <c r="AD295" s="143"/>
      <c r="AE295" s="26"/>
      <c r="AF295" s="26"/>
      <c r="AG295" s="143"/>
      <c r="AH295" s="26"/>
      <c r="AI295" s="26"/>
      <c r="AJ295" s="143"/>
      <c r="AK295" s="26"/>
      <c r="AL295" s="26"/>
      <c r="AM295" s="143"/>
      <c r="AN295" s="26"/>
      <c r="AO295" s="26"/>
      <c r="AP295" s="143"/>
      <c r="AQ295" s="26"/>
      <c r="AR295" s="26"/>
      <c r="AS295" s="143"/>
      <c r="AT295" s="26"/>
      <c r="AU295" s="26"/>
      <c r="AV295" s="143"/>
      <c r="AW295" s="26"/>
      <c r="AX295" s="26"/>
      <c r="AY295" s="143"/>
    </row>
    <row r="296" spans="1:51" s="24" customFormat="1" ht="12" customHeight="1" x14ac:dyDescent="0.2">
      <c r="B296" s="153"/>
      <c r="C296" s="23"/>
      <c r="D296" s="142"/>
      <c r="E296" s="26"/>
      <c r="F296" s="143"/>
      <c r="G296" s="142"/>
      <c r="H296" s="26"/>
      <c r="I296" s="143"/>
      <c r="J296" s="142"/>
      <c r="K296" s="26"/>
      <c r="L296" s="143"/>
      <c r="M296" s="142"/>
      <c r="N296" s="26"/>
      <c r="O296" s="143"/>
      <c r="P296" s="142"/>
      <c r="Q296" s="26"/>
      <c r="R296" s="143"/>
      <c r="S296" s="26"/>
      <c r="T296" s="26"/>
      <c r="U296" s="143"/>
      <c r="V296" s="26"/>
      <c r="W296" s="26"/>
      <c r="X296" s="143"/>
      <c r="Y296" s="26"/>
      <c r="Z296" s="26"/>
      <c r="AA296" s="143"/>
      <c r="AB296" s="26"/>
      <c r="AC296" s="26"/>
      <c r="AD296" s="143"/>
      <c r="AE296" s="26"/>
      <c r="AF296" s="26"/>
      <c r="AG296" s="143"/>
      <c r="AH296" s="26"/>
      <c r="AI296" s="26"/>
      <c r="AJ296" s="143"/>
      <c r="AK296" s="26"/>
      <c r="AL296" s="26"/>
      <c r="AM296" s="143"/>
      <c r="AN296" s="26"/>
      <c r="AO296" s="26"/>
      <c r="AP296" s="143"/>
      <c r="AQ296" s="26"/>
      <c r="AR296" s="26"/>
      <c r="AS296" s="143"/>
      <c r="AT296" s="26"/>
      <c r="AU296" s="26"/>
      <c r="AV296" s="143"/>
      <c r="AW296" s="26"/>
      <c r="AX296" s="26"/>
      <c r="AY296" s="143"/>
    </row>
    <row r="297" spans="1:51" s="14" customFormat="1" ht="12" customHeight="1" x14ac:dyDescent="0.2">
      <c r="B297" s="16"/>
    </row>
    <row r="298" spans="1:51" ht="12" customHeight="1" x14ac:dyDescent="0.2">
      <c r="A298" s="57"/>
    </row>
    <row r="299" spans="1:51" ht="12" customHeight="1" x14ac:dyDescent="0.2">
      <c r="A299" s="57"/>
    </row>
    <row r="300" spans="1:51" ht="12" customHeight="1" x14ac:dyDescent="0.2">
      <c r="A300" s="57"/>
    </row>
    <row r="301" spans="1:51" ht="12" customHeight="1" x14ac:dyDescent="0.2">
      <c r="A301" s="57"/>
    </row>
    <row r="302" spans="1:51" ht="12" customHeight="1" x14ac:dyDescent="0.2">
      <c r="A302" s="57"/>
    </row>
    <row r="303" spans="1:51" ht="12" customHeight="1" x14ac:dyDescent="0.2">
      <c r="A303" s="57"/>
    </row>
    <row r="304" spans="1:51" ht="12" customHeight="1" x14ac:dyDescent="0.2">
      <c r="A304" s="57"/>
    </row>
  </sheetData>
  <pageMargins left="0.7" right="0.7" top="0.75" bottom="0.75" header="0.3" footer="0.3"/>
  <pageSetup paperSize="9" orientation="portrait" r:id="rId1"/>
  <customProperties>
    <customPr name="Qube.Worksheet.Visibility" r:id="rId2"/>
  </customProperties>
  <ignoredErrors>
    <ignoredError sqref="Q138" formula="1"/>
  </ignoredErrors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CD472-FA90-4FD9-B8DA-9C7BA6D6BEF0}">
  <sheetPr>
    <tabColor theme="7" tint="0.39997558519241921"/>
    <pageSetUpPr autoPageBreaks="0" fitToPage="1"/>
  </sheetPr>
  <dimension ref="B1:AB100"/>
  <sheetViews>
    <sheetView zoomScale="85" zoomScaleNormal="85" workbookViewId="0"/>
  </sheetViews>
  <sheetFormatPr defaultRowHeight="12.75" x14ac:dyDescent="0.2"/>
  <cols>
    <col min="1" max="1" width="3.140625" style="15" customWidth="1"/>
    <col min="2" max="2" width="39.28515625" style="15" customWidth="1"/>
    <col min="3" max="3" width="9.140625" style="15" customWidth="1"/>
    <col min="4" max="9" width="9.140625" style="15"/>
    <col min="10" max="10" width="9.140625" style="15" customWidth="1"/>
    <col min="11" max="16" width="9.140625" style="15"/>
    <col min="17" max="17" width="25.140625" style="15" customWidth="1"/>
    <col min="18" max="16384" width="9.140625" style="15"/>
  </cols>
  <sheetData>
    <row r="1" spans="2:26" s="11" customFormat="1" x14ac:dyDescent="0.2">
      <c r="B1" s="11" t="str">
        <f>+'GYG model -&gt;'!D2</f>
        <v>Guzman y Gomez (GYG.ASX)</v>
      </c>
    </row>
    <row r="2" spans="2:26" s="11" customFormat="1" x14ac:dyDescent="0.2">
      <c r="B2" s="11" t="s">
        <v>75</v>
      </c>
    </row>
    <row r="3" spans="2:26" s="11" customFormat="1" x14ac:dyDescent="0.2"/>
    <row r="4" spans="2:26" s="12" customFormat="1" x14ac:dyDescent="0.2"/>
    <row r="7" spans="2:26" x14ac:dyDescent="0.2">
      <c r="B7" s="12" t="s">
        <v>231</v>
      </c>
      <c r="C7" s="12"/>
      <c r="D7" s="12" t="s">
        <v>232</v>
      </c>
      <c r="E7" s="76"/>
      <c r="F7" s="76"/>
      <c r="G7" s="76"/>
      <c r="H7" s="76"/>
      <c r="I7" s="76"/>
      <c r="J7" s="76"/>
      <c r="K7" s="76"/>
      <c r="L7" s="76"/>
      <c r="M7" s="76"/>
      <c r="O7" s="76"/>
      <c r="P7" s="76"/>
      <c r="Q7" s="12" t="s">
        <v>75</v>
      </c>
      <c r="R7" s="124" t="s">
        <v>337</v>
      </c>
      <c r="S7" s="124" t="s">
        <v>233</v>
      </c>
      <c r="T7" s="76"/>
      <c r="U7" s="76"/>
      <c r="V7" s="76"/>
      <c r="W7" s="76"/>
      <c r="X7" s="76"/>
      <c r="Y7" s="76"/>
      <c r="Z7" s="76"/>
    </row>
    <row r="8" spans="2:26" x14ac:dyDescent="0.2">
      <c r="B8" s="76" t="s">
        <v>234</v>
      </c>
      <c r="C8" s="83">
        <v>45891</v>
      </c>
      <c r="D8" s="78" t="s">
        <v>10</v>
      </c>
      <c r="E8" s="76"/>
      <c r="F8" s="76"/>
      <c r="G8" s="76"/>
      <c r="H8" s="76"/>
      <c r="I8" s="76"/>
      <c r="J8" s="76"/>
      <c r="K8" s="76"/>
      <c r="L8" s="76"/>
      <c r="M8" s="76"/>
      <c r="O8" s="76"/>
      <c r="P8" s="76"/>
      <c r="Q8" s="76" t="s">
        <v>77</v>
      </c>
      <c r="R8" s="203">
        <v>0.5</v>
      </c>
      <c r="S8" s="91">
        <f>+C48</f>
        <v>22.265626479977673</v>
      </c>
      <c r="T8" s="76"/>
      <c r="U8" s="76"/>
      <c r="V8" s="76"/>
      <c r="W8" s="76"/>
      <c r="X8" s="76"/>
      <c r="Y8" s="76"/>
      <c r="Z8" s="76"/>
    </row>
    <row r="9" spans="2:26" x14ac:dyDescent="0.2">
      <c r="B9" s="76" t="s">
        <v>235</v>
      </c>
      <c r="C9" s="83">
        <f>+C8+365</f>
        <v>46256</v>
      </c>
      <c r="D9" s="78" t="s">
        <v>10</v>
      </c>
      <c r="E9" s="76"/>
      <c r="F9" s="76"/>
      <c r="G9" s="76"/>
      <c r="H9" s="76"/>
      <c r="I9" s="76"/>
      <c r="J9" s="76"/>
      <c r="K9" s="76"/>
      <c r="L9" s="76"/>
      <c r="M9" s="76"/>
      <c r="O9" s="76"/>
      <c r="P9" s="76"/>
      <c r="Q9" s="76" t="s">
        <v>563</v>
      </c>
      <c r="R9" s="203">
        <f>1-R8</f>
        <v>0.5</v>
      </c>
      <c r="S9" s="91">
        <f>+H75</f>
        <v>24.780161393148106</v>
      </c>
      <c r="T9" s="76"/>
      <c r="U9" s="76"/>
      <c r="V9" s="76"/>
      <c r="W9" s="76"/>
      <c r="X9" s="76"/>
      <c r="Y9" s="76"/>
      <c r="Z9" s="76"/>
    </row>
    <row r="10" spans="2:26" x14ac:dyDescent="0.2">
      <c r="B10" s="76" t="s">
        <v>237</v>
      </c>
      <c r="C10" s="84">
        <v>46203</v>
      </c>
      <c r="D10" s="78" t="s">
        <v>10</v>
      </c>
      <c r="E10" s="76"/>
      <c r="F10" s="76"/>
      <c r="G10" s="76"/>
      <c r="H10" s="76"/>
      <c r="I10" s="76"/>
      <c r="J10" s="76"/>
      <c r="K10" s="76"/>
      <c r="L10" s="76"/>
      <c r="M10" s="76"/>
      <c r="O10" s="76"/>
      <c r="P10" s="76"/>
      <c r="Q10" s="81" t="s">
        <v>90</v>
      </c>
      <c r="R10" s="128"/>
      <c r="S10" s="156">
        <f>ROUND(R8*S8+R9*S9,1)</f>
        <v>23.5</v>
      </c>
      <c r="T10" s="76"/>
      <c r="U10" s="76"/>
      <c r="V10" s="76"/>
      <c r="W10" s="76"/>
      <c r="X10" s="76"/>
      <c r="Y10" s="76"/>
      <c r="Z10" s="76"/>
    </row>
    <row r="11" spans="2:26" x14ac:dyDescent="0.2">
      <c r="B11" s="76" t="s">
        <v>238</v>
      </c>
      <c r="C11" s="79">
        <f>(C10-C8)/365</f>
        <v>0.85479452054794525</v>
      </c>
      <c r="D11" s="78" t="s">
        <v>10</v>
      </c>
      <c r="E11" s="76"/>
      <c r="F11" s="76"/>
      <c r="G11" s="76"/>
      <c r="H11" s="76"/>
      <c r="I11" s="76"/>
      <c r="J11" s="76"/>
      <c r="K11" s="76"/>
      <c r="L11" s="76"/>
      <c r="M11" s="76"/>
      <c r="O11" s="76"/>
      <c r="P11" s="76"/>
      <c r="Q11" s="76"/>
      <c r="S11" s="76"/>
      <c r="T11" s="76"/>
      <c r="U11" s="76"/>
      <c r="V11" s="76"/>
      <c r="W11" s="76"/>
      <c r="X11" s="76"/>
      <c r="Y11" s="76"/>
      <c r="Z11" s="76"/>
    </row>
    <row r="12" spans="2:26" x14ac:dyDescent="0.2">
      <c r="B12" s="76" t="s">
        <v>239</v>
      </c>
      <c r="C12" s="82">
        <v>23.85</v>
      </c>
      <c r="D12" s="78" t="s">
        <v>10</v>
      </c>
      <c r="E12" s="76"/>
      <c r="F12" s="76"/>
      <c r="G12" s="76"/>
      <c r="H12" s="76"/>
      <c r="I12" s="76"/>
      <c r="J12" s="76"/>
      <c r="K12" s="76"/>
      <c r="L12" s="76"/>
      <c r="M12" s="76"/>
      <c r="O12" s="76"/>
      <c r="P12" s="76"/>
      <c r="Q12" s="76" t="s">
        <v>239</v>
      </c>
      <c r="S12" s="100">
        <f>+C12</f>
        <v>23.85</v>
      </c>
      <c r="T12" s="76"/>
      <c r="U12" s="76"/>
      <c r="V12" s="76"/>
      <c r="W12" s="76"/>
      <c r="X12" s="76"/>
      <c r="Y12" s="76"/>
      <c r="Z12" s="76"/>
    </row>
    <row r="13" spans="2:26" x14ac:dyDescent="0.2">
      <c r="B13" s="76" t="s">
        <v>240</v>
      </c>
      <c r="C13" s="62">
        <v>0.04</v>
      </c>
      <c r="D13" s="78" t="s">
        <v>288</v>
      </c>
      <c r="E13" s="76"/>
      <c r="F13" s="76"/>
      <c r="G13" s="76"/>
      <c r="H13" s="76"/>
      <c r="I13" s="76"/>
      <c r="J13" s="76"/>
      <c r="K13" s="76"/>
      <c r="L13" s="76"/>
      <c r="M13" s="76"/>
      <c r="O13" s="76"/>
      <c r="P13" s="76"/>
      <c r="Q13" s="89" t="s">
        <v>242</v>
      </c>
      <c r="R13" s="89"/>
      <c r="S13" s="109">
        <f>+S10/S12-1</f>
        <v>-1.4675052410901501E-2</v>
      </c>
      <c r="T13" s="76"/>
      <c r="U13" s="76"/>
      <c r="V13" s="76"/>
      <c r="W13" s="76"/>
      <c r="X13" s="76"/>
      <c r="Y13" s="76"/>
      <c r="Z13" s="76"/>
    </row>
    <row r="14" spans="2:26" x14ac:dyDescent="0.2">
      <c r="B14" s="76" t="s">
        <v>241</v>
      </c>
      <c r="C14" s="62">
        <v>3.5000000000000003E-2</v>
      </c>
      <c r="D14" s="78" t="s">
        <v>288</v>
      </c>
      <c r="E14" s="76"/>
      <c r="F14" s="76"/>
      <c r="G14" s="76"/>
      <c r="H14" s="76"/>
      <c r="I14" s="76"/>
      <c r="J14" s="76"/>
      <c r="K14" s="76"/>
      <c r="L14" s="76"/>
      <c r="M14" s="76"/>
      <c r="O14" s="76"/>
      <c r="P14" s="76"/>
      <c r="T14" s="76"/>
      <c r="U14" s="76"/>
      <c r="V14" s="76"/>
      <c r="W14" s="76"/>
      <c r="X14" s="76"/>
      <c r="Y14" s="76"/>
      <c r="Z14" s="76"/>
    </row>
    <row r="15" spans="2:26" x14ac:dyDescent="0.2">
      <c r="B15" s="76" t="s">
        <v>243</v>
      </c>
      <c r="C15" s="62">
        <v>5.5E-2</v>
      </c>
      <c r="D15" s="78" t="s">
        <v>288</v>
      </c>
      <c r="E15" s="76"/>
      <c r="F15" s="76"/>
      <c r="G15" s="76"/>
      <c r="H15" s="76"/>
      <c r="I15" s="76"/>
      <c r="J15" s="76"/>
      <c r="K15" s="76"/>
      <c r="L15" s="76"/>
      <c r="M15" s="76"/>
      <c r="O15" s="76"/>
      <c r="P15" s="76"/>
      <c r="Q15" s="76"/>
      <c r="R15" s="77"/>
      <c r="S15" s="76"/>
      <c r="T15" s="76"/>
      <c r="U15" s="76"/>
      <c r="V15" s="76"/>
      <c r="W15" s="76"/>
      <c r="X15" s="76"/>
      <c r="Y15" s="76"/>
      <c r="Z15" s="76"/>
    </row>
    <row r="16" spans="2:26" x14ac:dyDescent="0.2">
      <c r="B16" s="76" t="s">
        <v>244</v>
      </c>
      <c r="C16" s="25">
        <v>1.2</v>
      </c>
      <c r="D16" s="78" t="s">
        <v>289</v>
      </c>
      <c r="E16" s="76"/>
      <c r="F16" s="76"/>
      <c r="G16" s="76"/>
      <c r="H16" s="76"/>
      <c r="I16" s="76"/>
      <c r="J16" s="76"/>
      <c r="K16" s="76"/>
      <c r="L16" s="76"/>
      <c r="M16" s="76"/>
      <c r="O16" s="76"/>
      <c r="P16" s="76"/>
      <c r="Q16" s="76"/>
      <c r="R16" s="76"/>
      <c r="S16" s="76"/>
      <c r="T16" s="76"/>
      <c r="U16" s="76"/>
      <c r="V16" s="76"/>
      <c r="W16" s="76"/>
      <c r="X16" s="76"/>
      <c r="Y16" s="76"/>
      <c r="Z16" s="76"/>
    </row>
    <row r="17" spans="2:28" x14ac:dyDescent="0.2">
      <c r="B17" s="76" t="s">
        <v>245</v>
      </c>
      <c r="C17" s="85">
        <f>+C14+C15*C16</f>
        <v>0.10100000000000001</v>
      </c>
      <c r="D17" s="78" t="s">
        <v>10</v>
      </c>
      <c r="E17" s="76"/>
      <c r="F17" s="76"/>
      <c r="G17" s="76"/>
      <c r="H17" s="76"/>
      <c r="I17" s="76"/>
      <c r="J17" s="76"/>
      <c r="K17" s="76"/>
      <c r="L17" s="76"/>
      <c r="M17" s="76"/>
      <c r="O17" s="76"/>
      <c r="P17" s="76"/>
      <c r="Q17" s="76"/>
      <c r="R17" s="76"/>
      <c r="S17" s="76"/>
      <c r="T17" s="76"/>
      <c r="U17" s="76"/>
      <c r="V17" s="76"/>
      <c r="W17" s="76"/>
      <c r="X17" s="76"/>
      <c r="Y17" s="76"/>
      <c r="Z17" s="76"/>
    </row>
    <row r="18" spans="2:28" x14ac:dyDescent="0.2">
      <c r="B18" s="76" t="s">
        <v>246</v>
      </c>
      <c r="C18" s="62">
        <v>5.5E-2</v>
      </c>
      <c r="D18" s="78" t="s">
        <v>288</v>
      </c>
      <c r="E18" s="76"/>
      <c r="F18" s="76"/>
      <c r="G18" s="76"/>
      <c r="H18" s="76"/>
      <c r="I18" s="76"/>
      <c r="J18" s="76"/>
      <c r="K18" s="76"/>
      <c r="L18" s="76"/>
      <c r="M18" s="76"/>
      <c r="O18" s="76"/>
      <c r="P18" s="76"/>
      <c r="Q18" s="76"/>
      <c r="R18" s="76"/>
      <c r="S18" s="76"/>
      <c r="T18" s="76"/>
      <c r="U18" s="76"/>
      <c r="V18" s="76"/>
      <c r="W18" s="76"/>
      <c r="X18" s="76"/>
      <c r="Y18" s="76"/>
      <c r="Z18" s="76"/>
    </row>
    <row r="19" spans="2:28" x14ac:dyDescent="0.2">
      <c r="B19" s="76" t="s">
        <v>247</v>
      </c>
      <c r="C19" s="62">
        <v>0.2</v>
      </c>
      <c r="D19" s="78" t="s">
        <v>288</v>
      </c>
      <c r="E19" s="76"/>
      <c r="F19" s="76"/>
      <c r="G19" s="76"/>
      <c r="H19" s="76"/>
      <c r="I19" s="76"/>
      <c r="J19" s="76"/>
      <c r="K19" s="76"/>
      <c r="L19" s="76"/>
      <c r="M19" s="76"/>
      <c r="N19" s="76"/>
      <c r="O19" s="76"/>
      <c r="P19" s="76"/>
      <c r="Q19" s="76"/>
      <c r="R19" s="76"/>
      <c r="S19" s="76"/>
      <c r="T19" s="76"/>
      <c r="U19" s="76"/>
      <c r="V19" s="76"/>
      <c r="W19" s="76"/>
      <c r="X19" s="76"/>
      <c r="Y19" s="76"/>
      <c r="Z19" s="76"/>
    </row>
    <row r="20" spans="2:28" x14ac:dyDescent="0.2">
      <c r="B20" s="76" t="s">
        <v>248</v>
      </c>
      <c r="C20" s="85">
        <f>1-C19</f>
        <v>0.8</v>
      </c>
      <c r="D20" s="78" t="s">
        <v>288</v>
      </c>
      <c r="E20" s="76"/>
      <c r="F20" s="76"/>
      <c r="G20" s="76"/>
      <c r="H20" s="76"/>
      <c r="I20" s="76"/>
      <c r="J20" s="76"/>
      <c r="K20" s="76"/>
      <c r="L20" s="76"/>
      <c r="M20" s="76"/>
      <c r="N20" s="76"/>
      <c r="O20" s="76"/>
      <c r="P20" s="76"/>
      <c r="Q20" s="76"/>
      <c r="R20" s="76"/>
      <c r="S20" s="76"/>
      <c r="T20" s="76"/>
      <c r="U20" s="76"/>
      <c r="V20" s="76"/>
      <c r="W20" s="76"/>
      <c r="X20" s="76"/>
      <c r="Y20" s="76"/>
      <c r="Z20" s="76"/>
    </row>
    <row r="21" spans="2:28" x14ac:dyDescent="0.2">
      <c r="B21" s="76" t="s">
        <v>249</v>
      </c>
      <c r="C21" s="62">
        <v>0.3</v>
      </c>
      <c r="D21" s="78" t="s">
        <v>250</v>
      </c>
      <c r="E21" s="76"/>
      <c r="F21" s="76"/>
      <c r="G21" s="76"/>
      <c r="H21" s="76"/>
      <c r="I21" s="76"/>
      <c r="J21" s="76"/>
      <c r="K21" s="76"/>
      <c r="L21" s="76"/>
      <c r="M21" s="76"/>
      <c r="N21" s="76"/>
      <c r="O21" s="76"/>
      <c r="P21" s="76"/>
      <c r="Q21" s="76"/>
      <c r="R21" s="76"/>
      <c r="S21" s="76"/>
      <c r="T21" s="76"/>
      <c r="U21" s="76"/>
      <c r="V21" s="76"/>
      <c r="W21" s="76"/>
      <c r="X21" s="76"/>
      <c r="Y21" s="76"/>
      <c r="Z21" s="76"/>
    </row>
    <row r="22" spans="2:28" x14ac:dyDescent="0.2">
      <c r="B22" s="76" t="s">
        <v>251</v>
      </c>
      <c r="C22" s="86">
        <f>+'Balance Sheet'!X170</f>
        <v>102.86054799999999</v>
      </c>
      <c r="D22" s="78" t="s">
        <v>275</v>
      </c>
      <c r="E22" s="76"/>
      <c r="F22" s="76"/>
      <c r="G22" s="76"/>
      <c r="H22" s="76"/>
      <c r="I22" s="76"/>
      <c r="J22" s="76"/>
      <c r="K22" s="76"/>
      <c r="L22" s="76"/>
      <c r="M22" s="76"/>
      <c r="N22" s="76"/>
      <c r="O22" s="76"/>
      <c r="P22" s="76"/>
      <c r="Q22" s="76"/>
      <c r="R22" s="76"/>
      <c r="S22" s="76"/>
      <c r="T22" s="76"/>
      <c r="U22" s="76"/>
      <c r="V22" s="76"/>
      <c r="W22" s="76"/>
      <c r="X22" s="76"/>
      <c r="Y22" s="76"/>
      <c r="Z22" s="76"/>
    </row>
    <row r="23" spans="2:28" x14ac:dyDescent="0.2">
      <c r="B23" s="76" t="s">
        <v>252</v>
      </c>
      <c r="C23" s="86">
        <f>+'Balance Sheet'!X59</f>
        <v>58.293459691155462</v>
      </c>
      <c r="D23" s="78" t="s">
        <v>275</v>
      </c>
      <c r="E23" s="76"/>
      <c r="F23" s="76"/>
      <c r="G23" s="76"/>
      <c r="H23" s="76"/>
      <c r="I23" s="76"/>
      <c r="J23" s="76"/>
      <c r="K23" s="76"/>
      <c r="L23" s="76"/>
      <c r="M23" s="76"/>
      <c r="N23" s="76"/>
      <c r="O23" s="76"/>
      <c r="P23" s="76"/>
      <c r="Q23" s="76"/>
      <c r="R23" s="76"/>
      <c r="S23" s="76"/>
      <c r="T23" s="76"/>
      <c r="U23" s="76"/>
      <c r="V23" s="76"/>
      <c r="W23" s="76"/>
      <c r="X23" s="76"/>
      <c r="Y23" s="76"/>
      <c r="Z23" s="76"/>
    </row>
    <row r="24" spans="2:28" x14ac:dyDescent="0.2">
      <c r="B24" s="76" t="s">
        <v>48</v>
      </c>
      <c r="C24" s="366">
        <f>'Income &amp; Cash Flow'!X154</f>
        <v>0</v>
      </c>
      <c r="D24" s="78" t="s">
        <v>275</v>
      </c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  <c r="R24" s="76"/>
      <c r="S24" s="76"/>
      <c r="T24" s="76"/>
      <c r="U24" s="76"/>
      <c r="V24" s="76"/>
      <c r="W24" s="76"/>
      <c r="X24" s="76"/>
      <c r="Y24" s="76"/>
      <c r="Z24" s="76"/>
    </row>
    <row r="25" spans="2:28" x14ac:dyDescent="0.2">
      <c r="B25" s="81" t="s">
        <v>253</v>
      </c>
      <c r="C25" s="87">
        <f>(C18*C19)+C17*C20</f>
        <v>9.1800000000000007E-2</v>
      </c>
      <c r="D25" s="76"/>
      <c r="E25" s="76"/>
      <c r="F25" s="76"/>
      <c r="G25" s="76"/>
      <c r="H25" s="76"/>
      <c r="I25" s="76"/>
      <c r="J25" s="76"/>
      <c r="K25" s="76"/>
      <c r="L25" s="76"/>
      <c r="M25" s="76"/>
      <c r="N25" s="76"/>
      <c r="O25" s="76"/>
      <c r="P25" s="76"/>
      <c r="Q25" s="76"/>
      <c r="R25" s="76"/>
      <c r="S25" s="76"/>
      <c r="T25" s="76"/>
      <c r="U25" s="76"/>
      <c r="V25" s="76"/>
      <c r="W25" s="76"/>
      <c r="X25" s="76"/>
      <c r="Y25" s="76"/>
      <c r="Z25" s="76"/>
    </row>
    <row r="26" spans="2:28" x14ac:dyDescent="0.2">
      <c r="B26" s="76"/>
      <c r="C26" s="76"/>
      <c r="D26" s="76"/>
      <c r="E26" s="76"/>
      <c r="F26" s="76"/>
      <c r="G26" s="76"/>
      <c r="H26" s="76"/>
      <c r="I26" s="76"/>
      <c r="J26" s="76"/>
      <c r="K26" s="76"/>
      <c r="L26" s="76"/>
      <c r="M26" s="76"/>
      <c r="N26" s="76"/>
      <c r="O26" s="76"/>
      <c r="P26" s="76"/>
      <c r="Q26" s="76"/>
      <c r="R26" s="76"/>
      <c r="S26" s="76"/>
      <c r="T26" s="76"/>
      <c r="U26" s="76"/>
      <c r="V26" s="76"/>
      <c r="W26" s="76"/>
      <c r="X26" s="76"/>
      <c r="Y26" s="76"/>
      <c r="Z26" s="76"/>
    </row>
    <row r="27" spans="2:28" x14ac:dyDescent="0.2">
      <c r="B27" s="76"/>
      <c r="C27" s="76"/>
      <c r="D27" s="76"/>
      <c r="E27" s="76"/>
      <c r="F27" s="76"/>
      <c r="G27" s="76"/>
      <c r="H27" s="76"/>
      <c r="I27" s="76"/>
      <c r="J27" s="76"/>
      <c r="K27" s="76"/>
      <c r="L27" s="76"/>
      <c r="M27" s="76"/>
      <c r="N27" s="76"/>
      <c r="O27" s="76"/>
      <c r="P27" s="76"/>
      <c r="Q27" s="76"/>
      <c r="R27" s="76"/>
      <c r="S27" s="76"/>
      <c r="T27" s="76"/>
      <c r="U27" s="76"/>
      <c r="V27" s="76"/>
      <c r="W27" s="76"/>
      <c r="X27" s="76"/>
      <c r="Y27" s="76"/>
      <c r="Z27" s="76"/>
    </row>
    <row r="28" spans="2:28" x14ac:dyDescent="0.2">
      <c r="B28" s="12" t="s">
        <v>254</v>
      </c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2:28" x14ac:dyDescent="0.2">
      <c r="B29" s="76"/>
      <c r="C29" s="76"/>
      <c r="D29" s="76"/>
      <c r="E29" s="76"/>
      <c r="F29" s="76"/>
      <c r="G29" s="76"/>
      <c r="H29" s="76"/>
      <c r="I29" s="76"/>
      <c r="J29" s="76"/>
      <c r="K29" s="76"/>
      <c r="L29" s="76"/>
      <c r="M29" s="76"/>
      <c r="N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</row>
    <row r="30" spans="2:28" x14ac:dyDescent="0.2">
      <c r="B30" s="12" t="s">
        <v>255</v>
      </c>
      <c r="C30" s="14" t="str">
        <f>+'Income &amp; Cash Flow'!U4</f>
        <v>FY25A</v>
      </c>
      <c r="D30" s="14" t="str">
        <f>+'Income &amp; Cash Flow'!X4</f>
        <v>FY26E</v>
      </c>
      <c r="E30" s="14" t="str">
        <f>+'Income &amp; Cash Flow'!AA4</f>
        <v>FY27E</v>
      </c>
      <c r="F30" s="14" t="str">
        <f>+'Income &amp; Cash Flow'!AD4</f>
        <v>FY28E</v>
      </c>
      <c r="G30" s="14" t="str">
        <f>+'Income &amp; Cash Flow'!AG4</f>
        <v>FY29E</v>
      </c>
      <c r="H30" s="14" t="str">
        <f>+'Income &amp; Cash Flow'!AJ4</f>
        <v>FY30E</v>
      </c>
      <c r="I30" s="14" t="str">
        <f>+'Income &amp; Cash Flow'!AM4</f>
        <v>FY31E</v>
      </c>
      <c r="J30" s="14" t="str">
        <f>+'Income &amp; Cash Flow'!AP4</f>
        <v>FY32E</v>
      </c>
      <c r="K30" s="14" t="str">
        <f>+'Income &amp; Cash Flow'!AS4</f>
        <v>FY33E</v>
      </c>
      <c r="L30" s="14" t="str">
        <f>+'Income &amp; Cash Flow'!AV4</f>
        <v>FY34E</v>
      </c>
      <c r="M30" s="14" t="str">
        <f>+'Income &amp; Cash Flow'!AY4</f>
        <v>FY35E</v>
      </c>
      <c r="N30" s="12" t="s">
        <v>256</v>
      </c>
    </row>
    <row r="31" spans="2:28" x14ac:dyDescent="0.2">
      <c r="B31" s="61" t="s">
        <v>301</v>
      </c>
      <c r="C31" s="92">
        <f>+'Income &amp; Cash Flow'!U20</f>
        <v>65.119</v>
      </c>
      <c r="D31" s="92">
        <f>+'Income &amp; Cash Flow'!X20</f>
        <v>83.024655536981356</v>
      </c>
      <c r="E31" s="92">
        <f>+'Income &amp; Cash Flow'!AA20</f>
        <v>109.75798416177442</v>
      </c>
      <c r="F31" s="92">
        <f>+'Income &amp; Cash Flow'!AD20</f>
        <v>144.49357385664416</v>
      </c>
      <c r="G31" s="92">
        <f>+'Income &amp; Cash Flow'!AG20</f>
        <v>180.18046479816232</v>
      </c>
      <c r="H31" s="92">
        <f>+'Income &amp; Cash Flow'!AJ20</f>
        <v>218.81722008252927</v>
      </c>
      <c r="I31" s="92">
        <f>+'Income &amp; Cash Flow'!AM20</f>
        <v>243.83656378403165</v>
      </c>
      <c r="J31" s="92">
        <f>+'Income &amp; Cash Flow'!AP20</f>
        <v>277.10835141593407</v>
      </c>
      <c r="K31" s="92">
        <f>+'Income &amp; Cash Flow'!AS20</f>
        <v>312.87068196778011</v>
      </c>
      <c r="L31" s="92">
        <f>+'Income &amp; Cash Flow'!AV20</f>
        <v>351.26659106181432</v>
      </c>
      <c r="M31" s="92">
        <f>+'Income &amp; Cash Flow'!AY20</f>
        <v>392.44519527399422</v>
      </c>
      <c r="N31" s="93"/>
    </row>
    <row r="32" spans="2:28" x14ac:dyDescent="0.2">
      <c r="B32" s="76" t="s">
        <v>257</v>
      </c>
      <c r="C32" s="94">
        <f>+'Income &amp; Cash Flow'!U38</f>
        <v>-14.734</v>
      </c>
      <c r="D32" s="94">
        <f>+'Income &amp; Cash Flow'!X38</f>
        <v>-8.9086779549694022</v>
      </c>
      <c r="E32" s="94">
        <f>+'Income &amp; Cash Flow'!AA38</f>
        <v>-13.69213415659517</v>
      </c>
      <c r="F32" s="94">
        <f>+'Income &amp; Cash Flow'!AD38</f>
        <v>-21.122397797099943</v>
      </c>
      <c r="G32" s="94">
        <f>+'Income &amp; Cash Flow'!AG38</f>
        <v>-29.858008416345264</v>
      </c>
      <c r="H32" s="94">
        <f>+'Income &amp; Cash Flow'!AJ38</f>
        <v>-39.725030530142703</v>
      </c>
      <c r="I32" s="94">
        <f>+'Income &amp; Cash Flow'!AM38</f>
        <v>-45.720713055977143</v>
      </c>
      <c r="J32" s="94">
        <f>+'Income &amp; Cash Flow'!AP38</f>
        <v>-54.328482640566619</v>
      </c>
      <c r="K32" s="94">
        <f>+'Income &amp; Cash Flow'!AS38</f>
        <v>-63.839307197518181</v>
      </c>
      <c r="L32" s="94">
        <f>+'Income &amp; Cash Flow'!AV38</f>
        <v>-74.302624917947128</v>
      </c>
      <c r="M32" s="94">
        <f>+'Income &amp; Cash Flow'!AY38</f>
        <v>-85.77056780056823</v>
      </c>
      <c r="N32" s="93"/>
    </row>
    <row r="33" spans="2:27" x14ac:dyDescent="0.2">
      <c r="B33" s="76" t="s">
        <v>132</v>
      </c>
      <c r="C33" s="94">
        <f>+'Income &amp; Cash Flow'!U102+'Income &amp; Cash Flow'!U103</f>
        <v>-61.363</v>
      </c>
      <c r="D33" s="94">
        <f>+'Income &amp; Cash Flow'!X102+'Income &amp; Cash Flow'!X103</f>
        <v>-60</v>
      </c>
      <c r="E33" s="94">
        <f>+'Income &amp; Cash Flow'!AA102+'Income &amp; Cash Flow'!AA103</f>
        <v>-63.9</v>
      </c>
      <c r="F33" s="94">
        <f>+'Income &amp; Cash Flow'!AD102+'Income &amp; Cash Flow'!AD103</f>
        <v>-68.373000000000005</v>
      </c>
      <c r="G33" s="94">
        <f>+'Income &amp; Cash Flow'!AG102+'Income &amp; Cash Flow'!AG103</f>
        <v>-73.159110000000013</v>
      </c>
      <c r="H33" s="94">
        <f>+'Income &amp; Cash Flow'!AJ102+'Income &amp; Cash Flow'!AJ103</f>
        <v>-78.280247700000018</v>
      </c>
      <c r="I33" s="94">
        <f>+'Income &amp; Cash Flow'!AM102+'Income &amp; Cash Flow'!AM103</f>
        <v>-83.759865039000019</v>
      </c>
      <c r="J33" s="94">
        <f>+'Income &amp; Cash Flow'!AP102+'Income &amp; Cash Flow'!AP103</f>
        <v>-89.623055591730022</v>
      </c>
      <c r="K33" s="94">
        <f>+'Income &amp; Cash Flow'!AS102+'Income &amp; Cash Flow'!AS103</f>
        <v>-95.896669483151129</v>
      </c>
      <c r="L33" s="94">
        <f>+'Income &amp; Cash Flow'!AV102+'Income &amp; Cash Flow'!AV103</f>
        <v>-102.60943634697172</v>
      </c>
      <c r="M33" s="94">
        <f>+'Income &amp; Cash Flow'!AY102+'Income &amp; Cash Flow'!AY103</f>
        <v>-109.79209689125975</v>
      </c>
      <c r="N33" s="93"/>
    </row>
    <row r="34" spans="2:27" x14ac:dyDescent="0.2">
      <c r="B34" s="76" t="s">
        <v>258</v>
      </c>
      <c r="C34" s="94">
        <f>-'Balance Sheet'!U92</f>
        <v>1.4329999999999998</v>
      </c>
      <c r="D34" s="94">
        <f>-'Balance Sheet'!X92</f>
        <v>2.5477002055826361</v>
      </c>
      <c r="E34" s="94">
        <f>-'Balance Sheet'!AA92</f>
        <v>1.5915930354116128</v>
      </c>
      <c r="F34" s="94">
        <f>-'Balance Sheet'!AD92</f>
        <v>1.1023035560948031</v>
      </c>
      <c r="G34" s="94">
        <f>-'Balance Sheet'!AG92</f>
        <v>0.92858773962884555</v>
      </c>
      <c r="H34" s="94">
        <f>-'Balance Sheet'!AJ92</f>
        <v>0.86809145704961566</v>
      </c>
      <c r="I34" s="94">
        <f>-'Balance Sheet'!AM92</f>
        <v>2.6085584883468087</v>
      </c>
      <c r="J34" s="94">
        <f>-'Balance Sheet'!AP92</f>
        <v>2.0521279768919669</v>
      </c>
      <c r="K34" s="94">
        <f>-'Balance Sheet'!AS92</f>
        <v>2.1435419355903775</v>
      </c>
      <c r="L34" s="94">
        <f>-'Balance Sheet'!AV92</f>
        <v>2.2399428481420358</v>
      </c>
      <c r="M34" s="94">
        <f>-'Balance Sheet'!AY92</f>
        <v>2.34175952110445</v>
      </c>
      <c r="N34" s="93"/>
    </row>
    <row r="35" spans="2:27" x14ac:dyDescent="0.2">
      <c r="B35" s="88" t="s">
        <v>259</v>
      </c>
      <c r="C35" s="95">
        <f t="shared" ref="C35:H35" si="0">SUM(C31:C34)</f>
        <v>-9.5450000000000017</v>
      </c>
      <c r="D35" s="95">
        <f t="shared" si="0"/>
        <v>16.663677787594587</v>
      </c>
      <c r="E35" s="95">
        <f t="shared" si="0"/>
        <v>33.757443040590857</v>
      </c>
      <c r="F35" s="95">
        <f t="shared" si="0"/>
        <v>56.10047961563901</v>
      </c>
      <c r="G35" s="95">
        <f t="shared" si="0"/>
        <v>78.091934121445888</v>
      </c>
      <c r="H35" s="95">
        <f t="shared" si="0"/>
        <v>101.68003330943617</v>
      </c>
      <c r="I35" s="95">
        <f t="shared" ref="I35" si="1">SUM(I31:I34)</f>
        <v>116.96454417740131</v>
      </c>
      <c r="J35" s="95">
        <f t="shared" ref="J35" si="2">SUM(J31:J34)</f>
        <v>135.20894116052941</v>
      </c>
      <c r="K35" s="95">
        <f t="shared" ref="K35" si="3">SUM(K31:K34)</f>
        <v>155.2782472227012</v>
      </c>
      <c r="L35" s="95">
        <f t="shared" ref="L35" si="4">SUM(L31:L34)</f>
        <v>176.59447264503751</v>
      </c>
      <c r="M35" s="95">
        <f t="shared" ref="M35" si="5">SUM(M31:M34)</f>
        <v>199.22429010327068</v>
      </c>
      <c r="N35" s="95">
        <f>(M35*(1+C13))/(C25-C13)</f>
        <v>3999.8699171313028</v>
      </c>
    </row>
    <row r="36" spans="2:27" x14ac:dyDescent="0.2">
      <c r="B36" s="76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</row>
    <row r="37" spans="2:27" x14ac:dyDescent="0.2">
      <c r="B37" s="76" t="s">
        <v>260</v>
      </c>
      <c r="C37" s="94"/>
      <c r="D37" s="94">
        <f>+C11</f>
        <v>0.85479452054794525</v>
      </c>
      <c r="E37" s="94">
        <f t="shared" ref="E37" si="6">+D37+1</f>
        <v>1.8547945205479452</v>
      </c>
      <c r="F37" s="94">
        <f t="shared" ref="F37" si="7">+E37+1</f>
        <v>2.8547945205479452</v>
      </c>
      <c r="G37" s="94">
        <f t="shared" ref="G37" si="8">+F37+1</f>
        <v>3.8547945205479452</v>
      </c>
      <c r="H37" s="94">
        <f t="shared" ref="H37" si="9">+G37+1</f>
        <v>4.8547945205479452</v>
      </c>
      <c r="I37" s="94">
        <f t="shared" ref="I37" si="10">+H37+1</f>
        <v>5.8547945205479452</v>
      </c>
      <c r="J37" s="94">
        <f t="shared" ref="J37" si="11">+I37+1</f>
        <v>6.8547945205479452</v>
      </c>
      <c r="K37" s="94">
        <f t="shared" ref="K37" si="12">+J37+1</f>
        <v>7.8547945205479452</v>
      </c>
      <c r="L37" s="94">
        <f t="shared" ref="L37" si="13">+K37+1</f>
        <v>8.8547945205479444</v>
      </c>
      <c r="M37" s="94">
        <f t="shared" ref="M37:N37" si="14">+L37+1</f>
        <v>9.8547945205479444</v>
      </c>
      <c r="N37" s="94">
        <f t="shared" si="14"/>
        <v>10.854794520547944</v>
      </c>
    </row>
    <row r="38" spans="2:27" x14ac:dyDescent="0.2">
      <c r="B38" s="76" t="s">
        <v>261</v>
      </c>
      <c r="C38" s="94"/>
      <c r="D38" s="94">
        <f t="shared" ref="D38:M38" si="15">(1+$C$25)^-(D37)</f>
        <v>0.92767423696929119</v>
      </c>
      <c r="E38" s="94">
        <f t="shared" si="15"/>
        <v>0.84967414999935054</v>
      </c>
      <c r="F38" s="94">
        <f t="shared" si="15"/>
        <v>0.77823241436100976</v>
      </c>
      <c r="G38" s="94">
        <f t="shared" si="15"/>
        <v>0.71279759512823748</v>
      </c>
      <c r="H38" s="94">
        <f t="shared" si="15"/>
        <v>0.65286462275896451</v>
      </c>
      <c r="I38" s="94">
        <f t="shared" si="15"/>
        <v>0.59797089463176811</v>
      </c>
      <c r="J38" s="94">
        <f t="shared" si="15"/>
        <v>0.54769270437055151</v>
      </c>
      <c r="K38" s="94">
        <f t="shared" si="15"/>
        <v>0.50164197139636513</v>
      </c>
      <c r="L38" s="94">
        <f t="shared" si="15"/>
        <v>0.45946324546287337</v>
      </c>
      <c r="M38" s="94">
        <f t="shared" si="15"/>
        <v>0.42083096305447265</v>
      </c>
      <c r="N38" s="94">
        <f t="shared" ref="N38" si="16">(1+$C$25)^-(N37)</f>
        <v>0.38544693447011596</v>
      </c>
    </row>
    <row r="39" spans="2:27" x14ac:dyDescent="0.2">
      <c r="B39" s="76" t="s">
        <v>262</v>
      </c>
      <c r="C39" s="94"/>
      <c r="D39" s="94">
        <f t="shared" ref="D39:M39" si="17">+D38*D35</f>
        <v>15.458464576708934</v>
      </c>
      <c r="E39" s="94">
        <f t="shared" si="17"/>
        <v>28.682826721665528</v>
      </c>
      <c r="F39" s="94">
        <f t="shared" si="17"/>
        <v>43.659211698089358</v>
      </c>
      <c r="G39" s="94">
        <f t="shared" si="17"/>
        <v>55.663742840679383</v>
      </c>
      <c r="H39" s="94">
        <f t="shared" si="17"/>
        <v>66.38329658868399</v>
      </c>
      <c r="I39" s="94">
        <f t="shared" si="17"/>
        <v>69.941393121957617</v>
      </c>
      <c r="J39" s="94">
        <f t="shared" si="17"/>
        <v>74.052950639289122</v>
      </c>
      <c r="K39" s="94">
        <f t="shared" si="17"/>
        <v>77.894086051767985</v>
      </c>
      <c r="L39" s="94">
        <f t="shared" si="17"/>
        <v>81.138669532293548</v>
      </c>
      <c r="M39" s="94">
        <f t="shared" si="17"/>
        <v>83.83974986800304</v>
      </c>
      <c r="N39" s="94">
        <f t="shared" ref="N39" si="18">+N38*N35</f>
        <v>1541.7375978374976</v>
      </c>
      <c r="T39" s="76"/>
      <c r="U39" s="76"/>
      <c r="V39" s="76"/>
      <c r="W39" s="76"/>
      <c r="X39" s="76"/>
      <c r="Y39" s="76"/>
      <c r="Z39" s="76"/>
      <c r="AA39" s="24"/>
    </row>
    <row r="40" spans="2:27" x14ac:dyDescent="0.2">
      <c r="B40" s="89" t="s">
        <v>263</v>
      </c>
      <c r="C40" s="97"/>
      <c r="D40" s="96">
        <f>SUM(D39:N39)</f>
        <v>2138.4519894766363</v>
      </c>
      <c r="E40" s="97"/>
      <c r="F40" s="97"/>
      <c r="G40" s="97"/>
      <c r="H40" s="97"/>
      <c r="I40" s="97"/>
      <c r="J40" s="97"/>
      <c r="K40" s="97"/>
      <c r="L40" s="97"/>
      <c r="M40" s="97"/>
      <c r="N40" s="97"/>
      <c r="T40" s="76"/>
      <c r="U40" s="76"/>
      <c r="V40" s="76"/>
      <c r="W40" s="76"/>
      <c r="X40" s="76"/>
      <c r="Y40" s="76"/>
      <c r="Z40" s="76"/>
      <c r="AA40" s="24"/>
    </row>
    <row r="41" spans="2:27" x14ac:dyDescent="0.2">
      <c r="B41" s="76"/>
      <c r="C41" s="93"/>
      <c r="D41" s="93"/>
      <c r="E41" s="93"/>
      <c r="F41" s="93"/>
      <c r="G41" s="93"/>
      <c r="H41" s="93"/>
      <c r="I41" s="93"/>
      <c r="K41" s="93"/>
      <c r="L41" s="93"/>
      <c r="M41" s="93"/>
      <c r="N41" s="93"/>
      <c r="Q41" s="24"/>
      <c r="AA41" s="24"/>
    </row>
    <row r="42" spans="2:27" x14ac:dyDescent="0.2">
      <c r="B42" s="12" t="s">
        <v>75</v>
      </c>
      <c r="C42" s="14"/>
      <c r="D42" s="93"/>
      <c r="E42" s="12" t="s">
        <v>513</v>
      </c>
      <c r="F42" s="12"/>
      <c r="G42" s="12"/>
      <c r="H42" s="12"/>
      <c r="I42" s="93"/>
      <c r="K42" s="76"/>
      <c r="M42" s="76"/>
      <c r="P42" s="93"/>
      <c r="Q42" s="93"/>
      <c r="R42" s="93"/>
      <c r="S42" s="24"/>
      <c r="AA42" s="24"/>
    </row>
    <row r="43" spans="2:27" x14ac:dyDescent="0.2">
      <c r="B43" s="76" t="s">
        <v>79</v>
      </c>
      <c r="C43" s="94">
        <f>+D40</f>
        <v>2138.4519894766363</v>
      </c>
      <c r="D43" s="93"/>
      <c r="E43" s="93" t="str">
        <f>+F70</f>
        <v>Blended Ebitda (A$m)</v>
      </c>
      <c r="F43" s="93"/>
      <c r="G43" s="93"/>
      <c r="H43" s="93">
        <f>+F71</f>
        <v>86.906481337293769</v>
      </c>
      <c r="I43" s="93"/>
      <c r="K43" s="76"/>
      <c r="L43" s="93"/>
      <c r="M43" s="76"/>
      <c r="N43" s="76"/>
      <c r="O43" s="93"/>
      <c r="P43" s="93"/>
      <c r="Q43" s="93"/>
      <c r="R43" s="93"/>
      <c r="S43" s="93"/>
      <c r="AA43" s="24"/>
    </row>
    <row r="44" spans="2:27" x14ac:dyDescent="0.2">
      <c r="B44" s="76" t="s">
        <v>81</v>
      </c>
      <c r="C44" s="94">
        <f>+C23</f>
        <v>58.293459691155462</v>
      </c>
      <c r="D44" s="93"/>
      <c r="E44" s="64" t="s">
        <v>548</v>
      </c>
      <c r="F44" s="64"/>
      <c r="G44" s="64"/>
      <c r="H44" s="398">
        <f>+C71</f>
        <v>0.85479452054794525</v>
      </c>
      <c r="I44" s="93"/>
      <c r="K44" s="76"/>
      <c r="L44" s="76"/>
      <c r="M44" s="76"/>
      <c r="N44" s="76"/>
      <c r="O44" s="93"/>
      <c r="P44" s="93"/>
      <c r="Q44" s="93"/>
      <c r="R44" s="93"/>
      <c r="S44" s="93"/>
      <c r="AA44" s="24"/>
    </row>
    <row r="45" spans="2:27" x14ac:dyDescent="0.2">
      <c r="B45" s="76" t="s">
        <v>84</v>
      </c>
      <c r="C45" s="94">
        <f>+C43-C44</f>
        <v>2080.1585297854808</v>
      </c>
      <c r="D45" s="93"/>
      <c r="E45" s="93" t="str">
        <f>+G70</f>
        <v>Applied multiple (x)</v>
      </c>
      <c r="F45" s="93"/>
      <c r="G45" s="93"/>
      <c r="H45" s="93">
        <f>+G71</f>
        <v>30</v>
      </c>
      <c r="I45" s="93"/>
      <c r="J45" s="93"/>
      <c r="K45" s="93"/>
      <c r="L45" s="93"/>
      <c r="N45" s="93"/>
      <c r="O45" s="93"/>
      <c r="P45" s="93"/>
      <c r="Q45" s="93"/>
      <c r="R45" s="93"/>
      <c r="S45" s="93"/>
      <c r="T45" s="76"/>
      <c r="U45" s="76"/>
      <c r="V45" s="76"/>
      <c r="W45" s="76"/>
      <c r="X45" s="76"/>
      <c r="Y45" s="76"/>
      <c r="Z45" s="76"/>
      <c r="AA45" s="24"/>
    </row>
    <row r="46" spans="2:27" x14ac:dyDescent="0.2">
      <c r="B46" s="76" t="s">
        <v>86</v>
      </c>
      <c r="C46" s="94">
        <f>+C22</f>
        <v>102.86054799999999</v>
      </c>
      <c r="D46" s="93"/>
      <c r="E46" s="81" t="s">
        <v>338</v>
      </c>
      <c r="F46" s="81"/>
      <c r="G46" s="81"/>
      <c r="H46" s="102">
        <f>+H75</f>
        <v>24.780161393148106</v>
      </c>
      <c r="I46" s="93"/>
      <c r="J46" s="93"/>
      <c r="K46" s="93"/>
      <c r="L46" s="93"/>
      <c r="N46" s="93"/>
      <c r="O46" s="93"/>
      <c r="P46" s="93"/>
      <c r="Q46" s="93"/>
      <c r="R46" s="93"/>
      <c r="S46" s="93"/>
      <c r="T46" s="93"/>
      <c r="U46" s="93"/>
      <c r="V46" s="93"/>
      <c r="W46" s="93"/>
      <c r="X46" s="93"/>
      <c r="Y46" s="93"/>
      <c r="Z46" s="93"/>
      <c r="AA46" s="24"/>
    </row>
    <row r="47" spans="2:27" x14ac:dyDescent="0.2">
      <c r="B47" s="90" t="s">
        <v>89</v>
      </c>
      <c r="C47" s="101">
        <f>+C45/C46</f>
        <v>20.223093987264008</v>
      </c>
      <c r="D47" s="93"/>
      <c r="E47" s="93"/>
      <c r="F47" s="93"/>
      <c r="G47" s="93"/>
      <c r="H47" s="93"/>
      <c r="I47" s="93"/>
      <c r="J47" s="93"/>
      <c r="K47" s="93"/>
      <c r="L47" s="93"/>
      <c r="M47" s="93"/>
      <c r="N47" s="93"/>
      <c r="O47" s="93"/>
      <c r="P47" s="93"/>
      <c r="Q47" s="93"/>
      <c r="R47" s="93"/>
      <c r="S47" s="93"/>
      <c r="T47" s="93"/>
      <c r="U47" s="93"/>
      <c r="V47" s="93"/>
      <c r="W47" s="93"/>
      <c r="X47" s="93"/>
      <c r="Y47" s="93"/>
      <c r="Z47" s="93"/>
      <c r="AA47" s="24"/>
    </row>
    <row r="48" spans="2:27" x14ac:dyDescent="0.2">
      <c r="B48" s="81" t="s">
        <v>338</v>
      </c>
      <c r="C48" s="102">
        <f>+C47*(1+C17-C24)</f>
        <v>22.265626479977673</v>
      </c>
      <c r="D48" s="93"/>
      <c r="E48" s="93"/>
      <c r="F48" s="93"/>
      <c r="G48" s="93"/>
      <c r="H48" s="93"/>
      <c r="I48" s="93"/>
      <c r="J48" s="93"/>
      <c r="K48" s="93"/>
      <c r="L48" s="93"/>
      <c r="M48" s="93"/>
      <c r="N48" s="93"/>
      <c r="O48" s="93"/>
      <c r="P48" s="93"/>
      <c r="Q48" s="93"/>
      <c r="R48" s="93"/>
      <c r="S48" s="93"/>
      <c r="T48" s="93"/>
      <c r="U48" s="93"/>
      <c r="V48" s="93"/>
      <c r="W48" s="93"/>
      <c r="X48" s="93"/>
      <c r="Y48" s="93"/>
      <c r="Z48" s="93"/>
      <c r="AA48" s="24"/>
    </row>
    <row r="49" spans="2:27" x14ac:dyDescent="0.2">
      <c r="B49" s="76"/>
      <c r="C49" s="93"/>
      <c r="D49" s="93"/>
      <c r="E49" s="93"/>
      <c r="F49" s="93"/>
      <c r="G49" s="93"/>
      <c r="H49" s="93"/>
      <c r="I49" s="93"/>
      <c r="J49" s="93"/>
      <c r="K49" s="93"/>
      <c r="L49" s="93"/>
      <c r="M49" s="93"/>
      <c r="N49" s="93"/>
      <c r="O49" s="93"/>
      <c r="P49" s="93"/>
      <c r="Q49" s="93"/>
      <c r="R49" s="93"/>
      <c r="S49" s="93"/>
      <c r="T49" s="93"/>
      <c r="U49" s="93"/>
      <c r="V49" s="93"/>
      <c r="W49" s="93"/>
      <c r="X49" s="93"/>
      <c r="Y49" s="93"/>
      <c r="Z49" s="93"/>
      <c r="AA49" s="24"/>
    </row>
    <row r="50" spans="2:27" x14ac:dyDescent="0.2">
      <c r="B50" s="76" t="s">
        <v>239</v>
      </c>
      <c r="C50" s="94">
        <f>+C12</f>
        <v>23.85</v>
      </c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24"/>
    </row>
    <row r="51" spans="2:27" x14ac:dyDescent="0.2">
      <c r="B51" s="107" t="s">
        <v>242</v>
      </c>
      <c r="C51" s="108">
        <f>+C48/C50-1</f>
        <v>-6.6430755556491805E-2</v>
      </c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24"/>
    </row>
    <row r="52" spans="2:27" x14ac:dyDescent="0.2">
      <c r="B52" s="61"/>
      <c r="C52" s="92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24"/>
    </row>
    <row r="53" spans="2:27" x14ac:dyDescent="0.2">
      <c r="B53" s="76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24"/>
    </row>
    <row r="54" spans="2:27" x14ac:dyDescent="0.2">
      <c r="B54" s="12" t="s">
        <v>264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24"/>
    </row>
    <row r="55" spans="2:27" x14ac:dyDescent="0.2">
      <c r="B55" s="76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24"/>
    </row>
    <row r="56" spans="2:27" x14ac:dyDescent="0.2">
      <c r="B56" s="76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24"/>
    </row>
    <row r="57" spans="2:27" x14ac:dyDescent="0.2">
      <c r="B57" s="104" t="s">
        <v>290</v>
      </c>
      <c r="C57" s="105" t="s">
        <v>265</v>
      </c>
      <c r="D57" s="105" t="s">
        <v>266</v>
      </c>
      <c r="E57" s="106" t="s">
        <v>232</v>
      </c>
      <c r="F57" s="106" t="s">
        <v>267</v>
      </c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24"/>
    </row>
    <row r="58" spans="2:27" x14ac:dyDescent="0.2">
      <c r="B58" s="76" t="s">
        <v>268</v>
      </c>
      <c r="C58" s="25">
        <v>36</v>
      </c>
      <c r="D58" s="25">
        <v>25</v>
      </c>
      <c r="E58" s="93" t="s">
        <v>289</v>
      </c>
      <c r="F58" s="84">
        <v>45889</v>
      </c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24"/>
    </row>
    <row r="59" spans="2:27" x14ac:dyDescent="0.2">
      <c r="B59" s="76" t="s">
        <v>269</v>
      </c>
      <c r="C59" s="25">
        <v>82</v>
      </c>
      <c r="D59" s="25">
        <v>59</v>
      </c>
      <c r="E59" s="93" t="s">
        <v>289</v>
      </c>
      <c r="F59" s="84">
        <v>45889</v>
      </c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24"/>
    </row>
    <row r="60" spans="2:27" x14ac:dyDescent="0.2">
      <c r="B60" s="76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24"/>
    </row>
    <row r="61" spans="2:27" x14ac:dyDescent="0.2">
      <c r="B61" s="76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24"/>
    </row>
    <row r="62" spans="2:27" ht="38.25" x14ac:dyDescent="0.2">
      <c r="B62" s="12" t="s">
        <v>268</v>
      </c>
      <c r="C62" s="103" t="s">
        <v>336</v>
      </c>
      <c r="D62" s="103" t="s">
        <v>82</v>
      </c>
      <c r="E62" s="103" t="s">
        <v>79</v>
      </c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24"/>
    </row>
    <row r="63" spans="2:27" x14ac:dyDescent="0.2">
      <c r="B63" s="76" t="s">
        <v>236</v>
      </c>
      <c r="C63" s="93">
        <f>+'Income &amp; Cash Flow'!X20</f>
        <v>83.024655536981356</v>
      </c>
      <c r="D63" s="201">
        <v>30</v>
      </c>
      <c r="E63" s="94">
        <f>+D63*C63</f>
        <v>2490.7396661094408</v>
      </c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24"/>
    </row>
    <row r="64" spans="2:27" x14ac:dyDescent="0.2">
      <c r="B64" s="76" t="s">
        <v>87</v>
      </c>
      <c r="C64" s="93"/>
      <c r="D64" s="93"/>
      <c r="E64" s="94">
        <f>+C23</f>
        <v>58.293459691155462</v>
      </c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24"/>
    </row>
    <row r="65" spans="2:27" x14ac:dyDescent="0.2">
      <c r="B65" s="61" t="s">
        <v>84</v>
      </c>
      <c r="C65" s="93"/>
      <c r="D65" s="93"/>
      <c r="E65" s="92">
        <f>+E63-E64</f>
        <v>2432.4462064182853</v>
      </c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24"/>
    </row>
    <row r="66" spans="2:27" x14ac:dyDescent="0.2">
      <c r="B66" s="76" t="s">
        <v>270</v>
      </c>
      <c r="C66" s="93"/>
      <c r="D66" s="93"/>
      <c r="E66" s="94">
        <f>+C22</f>
        <v>102.86054799999999</v>
      </c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24"/>
    </row>
    <row r="67" spans="2:27" x14ac:dyDescent="0.2">
      <c r="B67" s="81" t="s">
        <v>91</v>
      </c>
      <c r="C67" s="102"/>
      <c r="D67" s="81"/>
      <c r="E67" s="102">
        <f>+E65/E66</f>
        <v>23.64799968223274</v>
      </c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24"/>
    </row>
    <row r="68" spans="2:27" x14ac:dyDescent="0.2">
      <c r="B68" s="76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24"/>
    </row>
    <row r="69" spans="2:27" x14ac:dyDescent="0.2">
      <c r="B69" s="76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24"/>
    </row>
    <row r="70" spans="2:27" ht="38.25" x14ac:dyDescent="0.2">
      <c r="B70" s="12" t="s">
        <v>268</v>
      </c>
      <c r="C70" s="103" t="s">
        <v>271</v>
      </c>
      <c r="D70" s="103" t="s">
        <v>336</v>
      </c>
      <c r="E70" s="103" t="s">
        <v>559</v>
      </c>
      <c r="F70" s="103" t="s">
        <v>558</v>
      </c>
      <c r="G70" s="103" t="s">
        <v>82</v>
      </c>
      <c r="H70" s="103" t="s">
        <v>79</v>
      </c>
      <c r="I70" s="93"/>
      <c r="J70" s="103" t="s">
        <v>194</v>
      </c>
      <c r="K70" s="93"/>
      <c r="L70" s="399" t="s">
        <v>549</v>
      </c>
      <c r="M70" s="93"/>
      <c r="N70" s="93"/>
      <c r="O70" s="93"/>
      <c r="P70" s="93"/>
      <c r="R70" s="93"/>
      <c r="S70" s="93"/>
      <c r="T70" s="93"/>
      <c r="U70" s="93"/>
      <c r="V70" s="93"/>
      <c r="W70" s="93"/>
      <c r="X70" s="93"/>
      <c r="Y70" s="93"/>
      <c r="Z70" s="93"/>
      <c r="AA70" s="24"/>
    </row>
    <row r="71" spans="2:27" x14ac:dyDescent="0.2">
      <c r="B71" s="76" t="s">
        <v>236</v>
      </c>
      <c r="C71" s="397">
        <f>+C11</f>
        <v>0.85479452054794525</v>
      </c>
      <c r="D71" s="99">
        <f>+'Income &amp; Cash Flow'!X20</f>
        <v>83.024655536981356</v>
      </c>
      <c r="E71" s="99">
        <f>+'Income &amp; Cash Flow'!AA20</f>
        <v>109.75798416177442</v>
      </c>
      <c r="F71" s="99">
        <f>+D71*C71+(1-C71)*E71</f>
        <v>86.906481337293769</v>
      </c>
      <c r="G71" s="202">
        <v>30</v>
      </c>
      <c r="H71" s="94">
        <f>+G71*F71</f>
        <v>2607.194440118813</v>
      </c>
      <c r="I71" s="93"/>
      <c r="J71" s="93"/>
      <c r="L71" s="93"/>
      <c r="M71" s="93"/>
      <c r="N71" s="93"/>
      <c r="O71" s="93"/>
      <c r="P71" s="93"/>
      <c r="Q71" s="93"/>
      <c r="R71" s="93" t="s">
        <v>556</v>
      </c>
      <c r="S71" s="93"/>
      <c r="T71" s="93"/>
      <c r="U71" s="93"/>
      <c r="V71" s="93"/>
      <c r="W71" s="93"/>
      <c r="X71" s="93"/>
      <c r="Y71" s="93"/>
      <c r="Z71" s="93"/>
      <c r="AA71" s="24"/>
    </row>
    <row r="72" spans="2:27" x14ac:dyDescent="0.2">
      <c r="B72" s="76" t="s">
        <v>87</v>
      </c>
      <c r="C72" s="93"/>
      <c r="D72" s="93"/>
      <c r="E72" s="93"/>
      <c r="F72" s="93"/>
      <c r="G72" s="93"/>
      <c r="H72" s="94">
        <f>+C23</f>
        <v>58.293459691155462</v>
      </c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24"/>
    </row>
    <row r="73" spans="2:27" x14ac:dyDescent="0.2">
      <c r="B73" s="61" t="s">
        <v>84</v>
      </c>
      <c r="C73" s="93"/>
      <c r="D73" s="93"/>
      <c r="E73" s="93"/>
      <c r="F73" s="93"/>
      <c r="G73" s="93"/>
      <c r="H73" s="92">
        <f>+H71-H72</f>
        <v>2548.9009804276575</v>
      </c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24"/>
    </row>
    <row r="74" spans="2:27" x14ac:dyDescent="0.2">
      <c r="B74" s="76" t="s">
        <v>270</v>
      </c>
      <c r="C74" s="93"/>
      <c r="D74" s="93"/>
      <c r="E74" s="93"/>
      <c r="F74" s="93"/>
      <c r="G74" s="93"/>
      <c r="H74" s="94">
        <f>+C22</f>
        <v>102.86054799999999</v>
      </c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24"/>
    </row>
    <row r="75" spans="2:27" x14ac:dyDescent="0.2">
      <c r="B75" s="81" t="s">
        <v>91</v>
      </c>
      <c r="C75" s="102"/>
      <c r="D75" s="81"/>
      <c r="E75" s="102"/>
      <c r="F75" s="81"/>
      <c r="G75" s="102"/>
      <c r="H75" s="102">
        <f>+H73/H74</f>
        <v>24.780161393148106</v>
      </c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24"/>
    </row>
    <row r="76" spans="2:27" x14ac:dyDescent="0.2">
      <c r="B76" s="76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24"/>
    </row>
    <row r="77" spans="2:27" x14ac:dyDescent="0.2">
      <c r="B77" s="76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24"/>
    </row>
    <row r="78" spans="2:27" ht="38.25" x14ac:dyDescent="0.2">
      <c r="B78" s="12" t="s">
        <v>268</v>
      </c>
      <c r="C78" s="103" t="s">
        <v>271</v>
      </c>
      <c r="D78" s="103" t="s">
        <v>336</v>
      </c>
      <c r="E78" s="103" t="s">
        <v>559</v>
      </c>
      <c r="F78" s="103" t="s">
        <v>558</v>
      </c>
      <c r="G78" s="103" t="s">
        <v>82</v>
      </c>
      <c r="H78" s="103" t="s">
        <v>79</v>
      </c>
      <c r="I78" s="93"/>
      <c r="J78" s="93"/>
      <c r="K78" s="93"/>
      <c r="L78" s="399" t="s">
        <v>550</v>
      </c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24"/>
    </row>
    <row r="79" spans="2:27" x14ac:dyDescent="0.2">
      <c r="B79" s="76" t="s">
        <v>236</v>
      </c>
      <c r="C79" s="397">
        <f>+C19</f>
        <v>0.2</v>
      </c>
      <c r="D79" s="99">
        <f>+Segments!X26</f>
        <v>67.865552249310127</v>
      </c>
      <c r="E79" s="99">
        <f>+Segments!AA26</f>
        <v>89.207896776842915</v>
      </c>
      <c r="F79" s="99">
        <f>+D79*C79+(1-C79)*E79</f>
        <v>84.939427871336363</v>
      </c>
      <c r="G79" s="202">
        <v>30</v>
      </c>
      <c r="H79" s="94">
        <f>+G79*F79</f>
        <v>2548.1828361400908</v>
      </c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24"/>
    </row>
    <row r="80" spans="2:27" x14ac:dyDescent="0.2">
      <c r="B80" s="76" t="s">
        <v>87</v>
      </c>
      <c r="C80" s="93"/>
      <c r="D80" s="93"/>
      <c r="E80" s="93"/>
      <c r="F80" s="93"/>
      <c r="G80" s="93"/>
      <c r="H80" s="94">
        <f>+'Balance Sheet'!U60</f>
        <v>-281.74299999999999</v>
      </c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24"/>
    </row>
    <row r="81" spans="2:27" x14ac:dyDescent="0.2">
      <c r="B81" s="61" t="s">
        <v>84</v>
      </c>
      <c r="C81" s="93"/>
      <c r="D81" s="93"/>
      <c r="E81" s="93"/>
      <c r="F81" s="93"/>
      <c r="G81" s="93"/>
      <c r="H81" s="92">
        <f>+H79-H80</f>
        <v>2829.9258361400907</v>
      </c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24"/>
    </row>
    <row r="82" spans="2:27" x14ac:dyDescent="0.2">
      <c r="B82" s="76" t="s">
        <v>270</v>
      </c>
      <c r="C82" s="93"/>
      <c r="D82" s="93"/>
      <c r="E82" s="93"/>
      <c r="F82" s="93"/>
      <c r="G82" s="93"/>
      <c r="H82" s="94">
        <f>+C46</f>
        <v>102.86054799999999</v>
      </c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24"/>
    </row>
    <row r="83" spans="2:27" x14ac:dyDescent="0.2">
      <c r="B83" s="81" t="s">
        <v>91</v>
      </c>
      <c r="C83" s="102"/>
      <c r="D83" s="81"/>
      <c r="E83" s="102"/>
      <c r="F83" s="81"/>
      <c r="G83" s="102"/>
      <c r="H83" s="102">
        <f>+H81/H82</f>
        <v>27.512257042808006</v>
      </c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24"/>
    </row>
    <row r="84" spans="2:27" x14ac:dyDescent="0.2">
      <c r="B84" s="76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24"/>
    </row>
    <row r="85" spans="2:27" x14ac:dyDescent="0.2">
      <c r="B85" s="76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24"/>
    </row>
    <row r="86" spans="2:27" ht="38.25" x14ac:dyDescent="0.2">
      <c r="B86" s="12" t="s">
        <v>268</v>
      </c>
      <c r="C86" s="103" t="s">
        <v>271</v>
      </c>
      <c r="D86" s="103" t="s">
        <v>336</v>
      </c>
      <c r="E86" s="103" t="s">
        <v>559</v>
      </c>
      <c r="F86" s="103" t="s">
        <v>558</v>
      </c>
      <c r="G86" s="103" t="s">
        <v>82</v>
      </c>
      <c r="H86" s="103" t="s">
        <v>79</v>
      </c>
      <c r="I86" s="93"/>
      <c r="J86" s="93"/>
      <c r="K86" s="93"/>
      <c r="L86" s="399" t="s">
        <v>551</v>
      </c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24"/>
    </row>
    <row r="87" spans="2:27" x14ac:dyDescent="0.2">
      <c r="B87" s="76" t="s">
        <v>236</v>
      </c>
      <c r="C87" s="397">
        <f>+C27</f>
        <v>0</v>
      </c>
      <c r="D87" s="99">
        <f>+Segments!X36</f>
        <v>59.865552249310127</v>
      </c>
      <c r="E87" s="99">
        <f>+Segments!AA36</f>
        <v>82.207896776842915</v>
      </c>
      <c r="F87" s="99">
        <f>+D87*C87+(1-C87)*E87</f>
        <v>82.207896776842915</v>
      </c>
      <c r="G87" s="202">
        <v>30</v>
      </c>
      <c r="H87" s="94">
        <f>+G87*F87</f>
        <v>2466.2369033052873</v>
      </c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24"/>
    </row>
    <row r="88" spans="2:27" x14ac:dyDescent="0.2">
      <c r="B88" s="76" t="s">
        <v>87</v>
      </c>
      <c r="C88" s="93"/>
      <c r="D88" s="93"/>
      <c r="E88" s="93"/>
      <c r="F88" s="93"/>
      <c r="G88" s="93"/>
      <c r="H88" s="94">
        <f>+'Balance Sheet'!U60</f>
        <v>-281.74299999999999</v>
      </c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24"/>
    </row>
    <row r="89" spans="2:27" x14ac:dyDescent="0.2">
      <c r="B89" s="61" t="s">
        <v>84</v>
      </c>
      <c r="C89" s="93"/>
      <c r="D89" s="93"/>
      <c r="E89" s="93"/>
      <c r="F89" s="93"/>
      <c r="G89" s="93"/>
      <c r="H89" s="92">
        <f>+H87-H88</f>
        <v>2747.9799033052873</v>
      </c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24"/>
    </row>
    <row r="90" spans="2:27" x14ac:dyDescent="0.2">
      <c r="B90" s="76" t="s">
        <v>270</v>
      </c>
      <c r="C90" s="93"/>
      <c r="D90" s="93"/>
      <c r="E90" s="93"/>
      <c r="F90" s="93"/>
      <c r="G90" s="93"/>
      <c r="H90" s="94">
        <f>+C46</f>
        <v>102.86054799999999</v>
      </c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24"/>
    </row>
    <row r="91" spans="2:27" x14ac:dyDescent="0.2">
      <c r="B91" s="81" t="s">
        <v>91</v>
      </c>
      <c r="C91" s="102"/>
      <c r="D91" s="81"/>
      <c r="E91" s="102"/>
      <c r="F91" s="81"/>
      <c r="G91" s="102"/>
      <c r="H91" s="102">
        <f>+H89/H90</f>
        <v>26.715586847790149</v>
      </c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24"/>
    </row>
    <row r="92" spans="2:27" x14ac:dyDescent="0.2">
      <c r="B92" s="76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24"/>
    </row>
    <row r="93" spans="2:27" x14ac:dyDescent="0.2">
      <c r="B93" s="76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24"/>
    </row>
    <row r="94" spans="2:27" x14ac:dyDescent="0.2">
      <c r="B94" s="76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24"/>
    </row>
    <row r="95" spans="2:27" ht="38.25" x14ac:dyDescent="0.2">
      <c r="B95" s="12" t="s">
        <v>269</v>
      </c>
      <c r="C95" s="103" t="s">
        <v>271</v>
      </c>
      <c r="D95" s="103" t="s">
        <v>292</v>
      </c>
      <c r="E95" s="103" t="s">
        <v>561</v>
      </c>
      <c r="F95" s="103" t="s">
        <v>560</v>
      </c>
      <c r="G95" s="103" t="s">
        <v>82</v>
      </c>
      <c r="H95" s="103" t="s">
        <v>291</v>
      </c>
      <c r="I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24"/>
    </row>
    <row r="96" spans="2:27" x14ac:dyDescent="0.2">
      <c r="B96" s="76" t="s">
        <v>51</v>
      </c>
      <c r="C96" s="99">
        <f>+C11</f>
        <v>0.85479452054794525</v>
      </c>
      <c r="D96" s="99">
        <f>+'Income &amp; Cash Flow'!X51</f>
        <v>20.20883189175888</v>
      </c>
      <c r="E96" s="99">
        <f>+'Income &amp; Cash Flow'!AA51</f>
        <v>31.05983163929421</v>
      </c>
      <c r="F96" s="99">
        <f>+D96*C96+(1-C96)*E96</f>
        <v>21.784456512633874</v>
      </c>
      <c r="G96" s="202">
        <v>50</v>
      </c>
      <c r="H96" s="156">
        <f>+G96*F96/100</f>
        <v>10.892228256316937</v>
      </c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24"/>
    </row>
    <row r="97" spans="2:27" x14ac:dyDescent="0.2">
      <c r="B97" s="76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24"/>
    </row>
    <row r="98" spans="2:27" x14ac:dyDescent="0.2">
      <c r="B98" s="76"/>
      <c r="C98" s="93"/>
      <c r="D98" s="93"/>
      <c r="E98" s="93"/>
      <c r="F98" s="93"/>
      <c r="G98" s="93"/>
      <c r="H98" s="93"/>
      <c r="I98" s="93"/>
      <c r="J98" s="93"/>
      <c r="K98" s="93"/>
      <c r="L98" s="93"/>
      <c r="M98" s="93"/>
      <c r="N98" s="93"/>
      <c r="O98" s="93"/>
      <c r="P98" s="93"/>
      <c r="Q98" s="93"/>
      <c r="R98" s="93"/>
      <c r="S98" s="93"/>
      <c r="T98" s="93"/>
      <c r="U98" s="93"/>
      <c r="V98" s="93"/>
      <c r="W98" s="93"/>
      <c r="X98" s="93"/>
      <c r="Y98" s="93"/>
      <c r="Z98" s="93"/>
      <c r="AA98" s="24"/>
    </row>
    <row r="99" spans="2:27" ht="38.25" x14ac:dyDescent="0.2">
      <c r="B99" s="12" t="s">
        <v>269</v>
      </c>
      <c r="C99" s="103" t="s">
        <v>292</v>
      </c>
      <c r="D99" s="103" t="s">
        <v>82</v>
      </c>
      <c r="E99" s="103" t="s">
        <v>291</v>
      </c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3"/>
      <c r="Z99" s="93"/>
      <c r="AA99" s="24"/>
    </row>
    <row r="100" spans="2:27" x14ac:dyDescent="0.2">
      <c r="B100" s="76" t="s">
        <v>51</v>
      </c>
      <c r="C100" s="93">
        <f>+'Income &amp; Cash Flow'!X51</f>
        <v>20.20883189175888</v>
      </c>
      <c r="D100" s="201"/>
      <c r="E100" s="102">
        <f>+D100*C100/100</f>
        <v>0</v>
      </c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24"/>
    </row>
  </sheetData>
  <printOptions horizontalCentered="1" verticalCentered="1"/>
  <pageMargins left="0.7" right="0.7" top="0.75" bottom="0.75" header="0.3" footer="0.3"/>
  <pageSetup paperSize="9" orientation="portrait" r:id="rId1"/>
  <customProperties>
    <customPr name="Qube.Worksheet.Visibility" r:id="rId2"/>
    <customPr name="QXL_SHEET_ID" r:id="rId3"/>
  </customProperties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C9A6C9-65AE-489D-8DA7-CD8E759F4B32}">
  <ds:schemaRefs>
    <ds:schemaRef ds:uri="http://www.w3.org/2001/XMLSchema"/>
    <ds:schemaRef ds:uri="Exchange-SubmissionSheetWrapper"/>
  </ds:schemaRefs>
</ds:datastoreItem>
</file>

<file path=docMetadata/LabelInfo.xml><?xml version="1.0" encoding="utf-8"?>
<clbl:labelList xmlns:clbl="http://schemas.microsoft.com/office/2020/mipLabelMetadata">
  <clbl:label id="{a64882d5-5c68-43ae-b974-91da18426e9b}" enabled="1" method="Standard" siteId="{38651f6f-836b-4bdf-9615-4e255c290fe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GYG model -&gt;</vt:lpstr>
      <vt:lpstr>Summary</vt:lpstr>
      <vt:lpstr>Income &amp; Cash Flow</vt:lpstr>
      <vt:lpstr>Balance Sheet</vt:lpstr>
      <vt:lpstr>Segments</vt:lpstr>
      <vt:lpstr>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Mayr, Elijah [GIR]</dc:creator>
  <cp:lastModifiedBy>Bailey, Elise K [GIR]</cp:lastModifiedBy>
  <cp:lastPrinted>2025-08-23T00:05:55Z</cp:lastPrinted>
  <dcterms:created xsi:type="dcterms:W3CDTF">2024-05-20T04:06:11Z</dcterms:created>
  <dcterms:modified xsi:type="dcterms:W3CDTF">2025-08-25T23:11:12Z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413c2af3-dc0e-43e4-99e4-cc54703c60eb</vt:lpwstr>
  </property>
  <property fmtid="{D5CDD505-2E9C-101B-9397-08002B2CF9AE}" pid="3" name="Classification">
    <vt:lpwstr>I</vt:lpwstr>
  </property>
  <property fmtid="{D5CDD505-2E9C-101B-9397-08002B2CF9AE}" pid="4" name="DocNoClass">
    <vt:lpwstr>Not In Use</vt:lpwstr>
  </property>
</Properties>
</file>