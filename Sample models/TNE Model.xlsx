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168fc8d63cfa0/Documents/Models/"/>
    </mc:Choice>
  </mc:AlternateContent>
  <xr:revisionPtr revIDLastSave="948" documentId="8_{F23FB3C6-BCEA-4407-97EF-E601739DF676}" xr6:coauthVersionLast="47" xr6:coauthVersionMax="47" xr10:uidLastSave="{D58B5778-BE54-4E2E-9E63-79595F2E4780}"/>
  <bookViews>
    <workbookView xWindow="-120" yWindow="-120" windowWidth="29040" windowHeight="15720" xr2:uid="{A1B1D459-10A5-45E5-9949-F402FB942FF7}"/>
  </bookViews>
  <sheets>
    <sheet name="Value" sheetId="4" r:id="rId1"/>
    <sheet name="Annual" sheetId="2" r:id="rId2"/>
    <sheet name="Seg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4" l="1"/>
  <c r="E30" i="4"/>
  <c r="T29" i="4"/>
  <c r="U29" i="4"/>
  <c r="S29" i="4"/>
  <c r="D20" i="4"/>
  <c r="K20" i="4" s="1"/>
  <c r="J20" i="4"/>
  <c r="Q20" i="4"/>
  <c r="K10" i="4"/>
  <c r="K7" i="4"/>
  <c r="AB106" i="3"/>
  <c r="V106" i="3"/>
  <c r="E20" i="4" l="1"/>
  <c r="R20" i="4"/>
  <c r="V86" i="3"/>
  <c r="W3" i="3"/>
  <c r="W1" i="3"/>
  <c r="W102" i="3"/>
  <c r="W101" i="3"/>
  <c r="W100" i="3"/>
  <c r="W97" i="3"/>
  <c r="W96" i="3"/>
  <c r="W130" i="3" s="1"/>
  <c r="W93" i="3"/>
  <c r="W91" i="3"/>
  <c r="W107" i="3" s="1"/>
  <c r="W85" i="3"/>
  <c r="W84" i="3"/>
  <c r="W83" i="3"/>
  <c r="W76" i="3"/>
  <c r="W75" i="3"/>
  <c r="W74" i="3"/>
  <c r="W70" i="3"/>
  <c r="W65" i="3"/>
  <c r="W64" i="3"/>
  <c r="W63" i="3"/>
  <c r="W62" i="3"/>
  <c r="W58" i="3"/>
  <c r="W57" i="3"/>
  <c r="W56" i="3"/>
  <c r="W51" i="3"/>
  <c r="W47" i="3"/>
  <c r="W46" i="3"/>
  <c r="W45" i="3"/>
  <c r="W44" i="3"/>
  <c r="W38" i="3"/>
  <c r="W33" i="3"/>
  <c r="W32" i="3"/>
  <c r="W30" i="3"/>
  <c r="W27" i="3"/>
  <c r="W24" i="3"/>
  <c r="W21" i="3"/>
  <c r="W20" i="3"/>
  <c r="W19" i="3"/>
  <c r="W14" i="3"/>
  <c r="W11" i="3"/>
  <c r="W10" i="3"/>
  <c r="W9" i="3"/>
  <c r="W8" i="3"/>
  <c r="W7" i="3"/>
  <c r="R210" i="2"/>
  <c r="R212" i="2" s="1"/>
  <c r="R157" i="2"/>
  <c r="R144" i="2"/>
  <c r="R140" i="2"/>
  <c r="R146" i="2" s="1"/>
  <c r="R1" i="2"/>
  <c r="R69" i="2"/>
  <c r="R194" i="2"/>
  <c r="R44" i="2"/>
  <c r="R46" i="2" s="1"/>
  <c r="R42" i="2" s="1"/>
  <c r="R48" i="2"/>
  <c r="R289" i="2"/>
  <c r="R203" i="2"/>
  <c r="R195" i="2"/>
  <c r="R185" i="2"/>
  <c r="R191" i="2" s="1"/>
  <c r="R192" i="2" s="1"/>
  <c r="R182" i="2"/>
  <c r="R176" i="2"/>
  <c r="R174" i="2"/>
  <c r="R162" i="2"/>
  <c r="R163" i="2" s="1"/>
  <c r="R164" i="2" s="1"/>
  <c r="R158" i="2"/>
  <c r="R150" i="2"/>
  <c r="R183" i="2" s="1"/>
  <c r="R122" i="2"/>
  <c r="R121" i="2"/>
  <c r="R131" i="2" s="1"/>
  <c r="R118" i="2"/>
  <c r="R109" i="2"/>
  <c r="R113" i="2" s="1"/>
  <c r="R103" i="2"/>
  <c r="R98" i="2"/>
  <c r="R77" i="2"/>
  <c r="R89" i="2" s="1"/>
  <c r="R91" i="2" s="1"/>
  <c r="R71" i="2"/>
  <c r="R70" i="2"/>
  <c r="R62" i="2"/>
  <c r="R63" i="2" s="1"/>
  <c r="R57" i="2"/>
  <c r="R51" i="2"/>
  <c r="R34" i="2"/>
  <c r="R23" i="2"/>
  <c r="R22" i="2"/>
  <c r="R21" i="2"/>
  <c r="R17" i="2"/>
  <c r="R16" i="2"/>
  <c r="R15" i="2"/>
  <c r="R10" i="2"/>
  <c r="R11" i="2" s="1"/>
  <c r="AH296" i="2"/>
  <c r="AH295" i="2"/>
  <c r="AH294" i="2"/>
  <c r="AH293" i="2"/>
  <c r="AH292" i="2"/>
  <c r="AH291" i="2"/>
  <c r="AH290" i="2"/>
  <c r="AH289" i="2"/>
  <c r="AH287" i="2"/>
  <c r="AH286" i="2"/>
  <c r="AH285" i="2"/>
  <c r="AH284" i="2"/>
  <c r="AH283" i="2"/>
  <c r="AH282" i="2"/>
  <c r="AH281" i="2"/>
  <c r="AH280" i="2"/>
  <c r="AH279" i="2"/>
  <c r="AH278" i="2"/>
  <c r="AH277" i="2"/>
  <c r="AH273" i="2"/>
  <c r="AH269" i="2"/>
  <c r="AH268" i="2"/>
  <c r="AH267" i="2"/>
  <c r="AH266" i="2"/>
  <c r="AH265" i="2"/>
  <c r="AH264" i="2"/>
  <c r="AH263" i="2"/>
  <c r="AH262" i="2"/>
  <c r="AH261" i="2"/>
  <c r="AH260" i="2"/>
  <c r="AH259" i="2"/>
  <c r="AH258" i="2"/>
  <c r="AH257" i="2"/>
  <c r="AH256" i="2"/>
  <c r="AH255" i="2"/>
  <c r="AH254" i="2"/>
  <c r="AH250" i="2"/>
  <c r="AH247" i="2"/>
  <c r="AH246" i="2"/>
  <c r="AH245" i="2"/>
  <c r="AH244" i="2"/>
  <c r="AH243" i="2"/>
  <c r="AH242" i="2"/>
  <c r="AH241" i="2"/>
  <c r="AH240" i="2"/>
  <c r="AH239" i="2"/>
  <c r="AH238" i="2"/>
  <c r="AH237" i="2"/>
  <c r="AH236" i="2"/>
  <c r="AH235" i="2"/>
  <c r="AH234" i="2"/>
  <c r="AH233" i="2"/>
  <c r="AH232" i="2"/>
  <c r="AH231" i="2"/>
  <c r="AH230" i="2"/>
  <c r="AH229" i="2"/>
  <c r="AH228" i="2"/>
  <c r="AH227" i="2"/>
  <c r="AH226" i="2"/>
  <c r="AH225" i="2"/>
  <c r="AH224" i="2"/>
  <c r="AH223" i="2"/>
  <c r="AH222" i="2"/>
  <c r="AH221" i="2"/>
  <c r="AH220" i="2"/>
  <c r="AH218" i="2"/>
  <c r="AH216" i="2"/>
  <c r="AH215" i="2"/>
  <c r="AH214" i="2"/>
  <c r="AH212" i="2"/>
  <c r="AH210" i="2"/>
  <c r="AH208" i="2"/>
  <c r="AH207" i="2"/>
  <c r="AH203" i="2"/>
  <c r="AH202" i="2"/>
  <c r="AH201" i="2"/>
  <c r="AH200" i="2"/>
  <c r="AH197" i="2"/>
  <c r="AH196" i="2"/>
  <c r="AH195" i="2"/>
  <c r="AH194" i="2"/>
  <c r="AH190" i="2"/>
  <c r="AH188" i="2"/>
  <c r="AH181" i="2"/>
  <c r="AH180" i="2"/>
  <c r="AH179" i="2"/>
  <c r="AH178" i="2"/>
  <c r="AH177" i="2"/>
  <c r="AH173" i="2"/>
  <c r="AH169" i="2"/>
  <c r="AH168" i="2"/>
  <c r="AH167" i="2"/>
  <c r="AH166" i="2"/>
  <c r="AH165" i="2"/>
  <c r="AH161" i="2"/>
  <c r="AH154" i="2"/>
  <c r="AH153" i="2"/>
  <c r="AH149" i="2"/>
  <c r="AH148" i="2"/>
  <c r="AH139" i="2"/>
  <c r="AH138" i="2"/>
  <c r="AH137" i="2"/>
  <c r="AH136" i="2"/>
  <c r="AH135" i="2"/>
  <c r="AH134" i="2"/>
  <c r="AH133" i="2"/>
  <c r="AH132" i="2"/>
  <c r="AH131" i="2"/>
  <c r="AH130" i="2"/>
  <c r="AH129" i="2"/>
  <c r="AH128" i="2"/>
  <c r="AH127" i="2"/>
  <c r="AH126" i="2"/>
  <c r="AH125" i="2"/>
  <c r="AH124" i="2"/>
  <c r="AH123" i="2"/>
  <c r="AH117" i="2"/>
  <c r="AH116" i="2"/>
  <c r="AH115" i="2"/>
  <c r="AH114" i="2"/>
  <c r="AH111" i="2"/>
  <c r="AH108" i="2"/>
  <c r="AH106" i="2"/>
  <c r="AH105" i="2"/>
  <c r="AH102" i="2"/>
  <c r="AH100" i="2"/>
  <c r="AH99" i="2"/>
  <c r="AH98" i="2"/>
  <c r="AH97" i="2"/>
  <c r="AH95" i="2"/>
  <c r="AH94" i="2"/>
  <c r="AH90" i="2"/>
  <c r="AH88" i="2"/>
  <c r="AH87" i="2"/>
  <c r="AH84" i="2"/>
  <c r="AH83" i="2"/>
  <c r="AH82" i="2"/>
  <c r="AH81" i="2"/>
  <c r="AH80" i="2"/>
  <c r="AH76" i="2"/>
  <c r="AH75" i="2"/>
  <c r="AH74" i="2"/>
  <c r="AH73" i="2"/>
  <c r="AH72" i="2"/>
  <c r="AH71" i="2"/>
  <c r="AH69" i="2"/>
  <c r="AH66" i="2"/>
  <c r="AH65" i="2"/>
  <c r="AH61" i="2"/>
  <c r="AH60" i="2"/>
  <c r="AH54" i="2"/>
  <c r="AH53" i="2"/>
  <c r="AH49" i="2"/>
  <c r="AH43" i="2"/>
  <c r="AH41" i="2"/>
  <c r="AH38" i="2"/>
  <c r="AH35" i="2"/>
  <c r="AH30" i="2"/>
  <c r="AH29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41" i="2"/>
  <c r="AF240" i="2"/>
  <c r="AF239" i="2"/>
  <c r="AF238" i="2"/>
  <c r="AF237" i="2"/>
  <c r="AF236" i="2"/>
  <c r="AF235" i="2"/>
  <c r="AF234" i="2"/>
  <c r="AF233" i="2"/>
  <c r="AF232" i="2"/>
  <c r="AF231" i="2"/>
  <c r="AF230" i="2"/>
  <c r="AF229" i="2"/>
  <c r="AF228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4" i="2"/>
  <c r="AF213" i="2"/>
  <c r="AF212" i="2"/>
  <c r="AF211" i="2"/>
  <c r="AF210" i="2"/>
  <c r="AF209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F194" i="2"/>
  <c r="AF193" i="2"/>
  <c r="AF192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8" i="2"/>
  <c r="AF137" i="2"/>
  <c r="AF136" i="2"/>
  <c r="AF135" i="2"/>
  <c r="AF134" i="2"/>
  <c r="AF133" i="2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9" i="2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L20" i="4" l="1"/>
  <c r="F20" i="4"/>
  <c r="S20" i="4"/>
  <c r="W34" i="3"/>
  <c r="W71" i="3"/>
  <c r="Y71" i="3" s="1"/>
  <c r="AA71" i="3" s="1"/>
  <c r="AC71" i="3" s="1"/>
  <c r="AE71" i="3" s="1"/>
  <c r="AG71" i="3" s="1"/>
  <c r="AI71" i="3" s="1"/>
  <c r="AK71" i="3" s="1"/>
  <c r="AM71" i="3" s="1"/>
  <c r="AO71" i="3" s="1"/>
  <c r="AQ71" i="3" s="1"/>
  <c r="W36" i="3"/>
  <c r="W22" i="3"/>
  <c r="W110" i="3"/>
  <c r="W15" i="3"/>
  <c r="W67" i="3" s="1"/>
  <c r="R193" i="2"/>
  <c r="R18" i="2"/>
  <c r="R175" i="2"/>
  <c r="R101" i="2"/>
  <c r="R111" i="2" s="1"/>
  <c r="R92" i="2"/>
  <c r="R152" i="2"/>
  <c r="R151" i="2"/>
  <c r="R184" i="2"/>
  <c r="S184" i="2" s="1"/>
  <c r="R24" i="2"/>
  <c r="R79" i="2"/>
  <c r="R110" i="2"/>
  <c r="R214" i="2" s="1"/>
  <c r="R27" i="2"/>
  <c r="R93" i="2" s="1"/>
  <c r="R86" i="2"/>
  <c r="R276" i="2" s="1"/>
  <c r="R217" i="2"/>
  <c r="R112" i="2"/>
  <c r="R219" i="2"/>
  <c r="R270" i="2"/>
  <c r="R271" i="2"/>
  <c r="A96" i="2"/>
  <c r="A27" i="4"/>
  <c r="E27" i="4" s="1"/>
  <c r="D34" i="4"/>
  <c r="C34" i="4"/>
  <c r="D29" i="4"/>
  <c r="D23" i="4" s="1"/>
  <c r="C29" i="4"/>
  <c r="C23" i="4" s="1"/>
  <c r="R28" i="4"/>
  <c r="Q28" i="4"/>
  <c r="R23" i="4"/>
  <c r="Q23" i="4"/>
  <c r="Q33" i="4" s="1"/>
  <c r="K33" i="4"/>
  <c r="J33" i="4"/>
  <c r="K23" i="4"/>
  <c r="J23" i="4"/>
  <c r="K28" i="4"/>
  <c r="J28" i="4"/>
  <c r="X14" i="3"/>
  <c r="Z14" i="3"/>
  <c r="AB14" i="3" s="1"/>
  <c r="Z9" i="3"/>
  <c r="AB9" i="3" s="1"/>
  <c r="X9" i="3"/>
  <c r="Z113" i="3"/>
  <c r="X8" i="3"/>
  <c r="Z8" i="3" s="1"/>
  <c r="V133" i="3"/>
  <c r="V132" i="3"/>
  <c r="V131" i="3"/>
  <c r="V128" i="3"/>
  <c r="V130" i="3"/>
  <c r="V129" i="3" s="1"/>
  <c r="X113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T125" i="3"/>
  <c r="V125" i="3"/>
  <c r="V124" i="3"/>
  <c r="V123" i="3"/>
  <c r="V122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V116" i="3"/>
  <c r="V115" i="3"/>
  <c r="V113" i="3"/>
  <c r="V112" i="3"/>
  <c r="V111" i="3"/>
  <c r="V110" i="3"/>
  <c r="X107" i="3"/>
  <c r="X106" i="3" s="1"/>
  <c r="V108" i="3"/>
  <c r="V107" i="3"/>
  <c r="U102" i="3"/>
  <c r="U101" i="3"/>
  <c r="U100" i="3"/>
  <c r="U132" i="3" s="1"/>
  <c r="V98" i="3"/>
  <c r="U97" i="3"/>
  <c r="U96" i="3"/>
  <c r="U130" i="3" s="1"/>
  <c r="U93" i="3"/>
  <c r="U91" i="3"/>
  <c r="U107" i="3" s="1"/>
  <c r="U108" i="3" s="1"/>
  <c r="V88" i="3"/>
  <c r="V87" i="3"/>
  <c r="U84" i="3"/>
  <c r="U85" i="3"/>
  <c r="U86" i="3" s="1"/>
  <c r="U83" i="3"/>
  <c r="U88" i="3" s="1"/>
  <c r="U76" i="3"/>
  <c r="U77" i="3" s="1"/>
  <c r="U75" i="3"/>
  <c r="U74" i="3"/>
  <c r="U70" i="3"/>
  <c r="U65" i="3"/>
  <c r="W66" i="3" s="1"/>
  <c r="U64" i="3"/>
  <c r="U63" i="3"/>
  <c r="U62" i="3"/>
  <c r="U58" i="3"/>
  <c r="U57" i="3"/>
  <c r="U56" i="3"/>
  <c r="U51" i="3"/>
  <c r="U47" i="3"/>
  <c r="U46" i="3"/>
  <c r="U45" i="3"/>
  <c r="U44" i="3"/>
  <c r="U38" i="3"/>
  <c r="W39" i="3" s="1"/>
  <c r="U33" i="3"/>
  <c r="U32" i="3"/>
  <c r="U30" i="3"/>
  <c r="U27" i="3"/>
  <c r="U24" i="3"/>
  <c r="U21" i="3"/>
  <c r="U20" i="3"/>
  <c r="U19" i="3"/>
  <c r="U14" i="3"/>
  <c r="U11" i="3"/>
  <c r="U12" i="3" s="1"/>
  <c r="U10" i="3"/>
  <c r="U9" i="3"/>
  <c r="U113" i="3" s="1"/>
  <c r="U8" i="3"/>
  <c r="U7" i="3"/>
  <c r="V78" i="3"/>
  <c r="V77" i="3"/>
  <c r="V76" i="3"/>
  <c r="V74" i="3"/>
  <c r="Z71" i="3"/>
  <c r="AB71" i="3" s="1"/>
  <c r="AD71" i="3" s="1"/>
  <c r="AF71" i="3" s="1"/>
  <c r="AH71" i="3" s="1"/>
  <c r="AJ71" i="3" s="1"/>
  <c r="AL71" i="3" s="1"/>
  <c r="AN71" i="3" s="1"/>
  <c r="AP71" i="3" s="1"/>
  <c r="V71" i="3"/>
  <c r="V67" i="3"/>
  <c r="V66" i="3"/>
  <c r="V65" i="3"/>
  <c r="Z58" i="3"/>
  <c r="AA58" i="3" s="1"/>
  <c r="AB58" i="3"/>
  <c r="AC58" i="3" s="1"/>
  <c r="AD58" i="3"/>
  <c r="AE58" i="3" s="1"/>
  <c r="AF58" i="3"/>
  <c r="AG58" i="3" s="1"/>
  <c r="AH58" i="3"/>
  <c r="AI58" i="3" s="1"/>
  <c r="AJ58" i="3"/>
  <c r="AK58" i="3" s="1"/>
  <c r="AL58" i="3"/>
  <c r="AM58" i="3" s="1"/>
  <c r="AN58" i="3"/>
  <c r="AO58" i="3" s="1"/>
  <c r="AP58" i="3"/>
  <c r="AQ58" i="3" s="1"/>
  <c r="X58" i="3"/>
  <c r="Y58" i="3" s="1"/>
  <c r="V53" i="3"/>
  <c r="V52" i="3"/>
  <c r="V51" i="3"/>
  <c r="V48" i="3"/>
  <c r="V46" i="3"/>
  <c r="V41" i="3"/>
  <c r="V40" i="3"/>
  <c r="V39" i="3"/>
  <c r="X35" i="3"/>
  <c r="Z35" i="3"/>
  <c r="AB35" i="3" s="1"/>
  <c r="AD35" i="3" s="1"/>
  <c r="AF35" i="3" s="1"/>
  <c r="AH35" i="3" s="1"/>
  <c r="AJ35" i="3" s="1"/>
  <c r="AL35" i="3" s="1"/>
  <c r="AN35" i="3" s="1"/>
  <c r="AP35" i="3" s="1"/>
  <c r="X36" i="3"/>
  <c r="Z36" i="3"/>
  <c r="AB36" i="3" s="1"/>
  <c r="AD36" i="3" s="1"/>
  <c r="AF36" i="3" s="1"/>
  <c r="AH36" i="3" s="1"/>
  <c r="AJ36" i="3" s="1"/>
  <c r="AL36" i="3" s="1"/>
  <c r="AN36" i="3" s="1"/>
  <c r="AP36" i="3" s="1"/>
  <c r="V36" i="3"/>
  <c r="V35" i="3"/>
  <c r="V34" i="3"/>
  <c r="V30" i="3"/>
  <c r="V27" i="3" s="1"/>
  <c r="X25" i="3"/>
  <c r="Z25" i="3"/>
  <c r="AB25" i="3" s="1"/>
  <c r="AD25" i="3" s="1"/>
  <c r="AF25" i="3" s="1"/>
  <c r="AH25" i="3" s="1"/>
  <c r="AJ25" i="3" s="1"/>
  <c r="AL25" i="3" s="1"/>
  <c r="AN25" i="3" s="1"/>
  <c r="AP25" i="3" s="1"/>
  <c r="V25" i="3"/>
  <c r="V24" i="3"/>
  <c r="V22" i="3"/>
  <c r="V16" i="3"/>
  <c r="V12" i="3"/>
  <c r="V15" i="3"/>
  <c r="V11" i="3"/>
  <c r="S211" i="2"/>
  <c r="AH211" i="2" s="1"/>
  <c r="Q176" i="2"/>
  <c r="S170" i="2"/>
  <c r="AH170" i="2" s="1"/>
  <c r="S159" i="2"/>
  <c r="S156" i="2"/>
  <c r="AH156" i="2" s="1"/>
  <c r="T156" i="2"/>
  <c r="U156" i="2" s="1"/>
  <c r="V156" i="2" s="1"/>
  <c r="W156" i="2" s="1"/>
  <c r="X156" i="2" s="1"/>
  <c r="Y156" i="2" s="1"/>
  <c r="Z156" i="2" s="1"/>
  <c r="AA156" i="2" s="1"/>
  <c r="AB156" i="2" s="1"/>
  <c r="S157" i="2"/>
  <c r="AH157" i="2" s="1"/>
  <c r="S158" i="2"/>
  <c r="S145" i="2"/>
  <c r="AH145" i="2" s="1"/>
  <c r="S146" i="2"/>
  <c r="AH146" i="2" s="1"/>
  <c r="S119" i="2"/>
  <c r="AH119" i="2" s="1"/>
  <c r="T119" i="2"/>
  <c r="U119" i="2"/>
  <c r="V119" i="2"/>
  <c r="W119" i="2"/>
  <c r="X119" i="2"/>
  <c r="Y119" i="2"/>
  <c r="Z119" i="2"/>
  <c r="AA119" i="2"/>
  <c r="AB119" i="2"/>
  <c r="AB111" i="2"/>
  <c r="S68" i="2"/>
  <c r="AH68" i="2" s="1"/>
  <c r="S70" i="2"/>
  <c r="AH70" i="2" s="1"/>
  <c r="Q70" i="2"/>
  <c r="AB9" i="2"/>
  <c r="AA9" i="2"/>
  <c r="Z9" i="2"/>
  <c r="Y9" i="2"/>
  <c r="X9" i="2"/>
  <c r="W9" i="2"/>
  <c r="V9" i="2"/>
  <c r="U9" i="2"/>
  <c r="T9" i="2"/>
  <c r="S9" i="2"/>
  <c r="AH9" i="2" s="1"/>
  <c r="S248" i="2"/>
  <c r="AH248" i="2" s="1"/>
  <c r="T248" i="2"/>
  <c r="U248" i="2"/>
  <c r="V248" i="2"/>
  <c r="W248" i="2"/>
  <c r="X248" i="2"/>
  <c r="Y248" i="2"/>
  <c r="Z248" i="2"/>
  <c r="AA248" i="2"/>
  <c r="AB248" i="2"/>
  <c r="Q289" i="2"/>
  <c r="S289" i="2"/>
  <c r="P289" i="2"/>
  <c r="P288" i="2"/>
  <c r="Q212" i="2"/>
  <c r="Q203" i="2"/>
  <c r="Q195" i="2"/>
  <c r="Q194" i="2"/>
  <c r="Q193" i="2"/>
  <c r="Q191" i="2"/>
  <c r="Q192" i="2" s="1"/>
  <c r="Q185" i="2"/>
  <c r="Q182" i="2"/>
  <c r="Q174" i="2"/>
  <c r="Q162" i="2"/>
  <c r="Q270" i="2" s="1"/>
  <c r="Q158" i="2"/>
  <c r="Q150" i="2"/>
  <c r="Q183" i="2" s="1"/>
  <c r="Q184" i="2" s="1"/>
  <c r="Q146" i="2"/>
  <c r="Q127" i="2"/>
  <c r="Q122" i="2"/>
  <c r="P122" i="2"/>
  <c r="Q121" i="2"/>
  <c r="Q131" i="2" s="1"/>
  <c r="Q118" i="2"/>
  <c r="Q113" i="2"/>
  <c r="Q110" i="2"/>
  <c r="Q214" i="2" s="1"/>
  <c r="Q109" i="2"/>
  <c r="S103" i="2"/>
  <c r="AH103" i="2" s="1"/>
  <c r="T103" i="2"/>
  <c r="U103" i="2"/>
  <c r="V103" i="2"/>
  <c r="W103" i="2"/>
  <c r="X103" i="2"/>
  <c r="Y103" i="2"/>
  <c r="Z103" i="2"/>
  <c r="AA103" i="2"/>
  <c r="AB103" i="2"/>
  <c r="Q103" i="2"/>
  <c r="Q98" i="2"/>
  <c r="Q77" i="2"/>
  <c r="Q89" i="2" s="1"/>
  <c r="Q91" i="2" s="1"/>
  <c r="Q68" i="2"/>
  <c r="Q71" i="2" s="1"/>
  <c r="Q62" i="2"/>
  <c r="Q57" i="2"/>
  <c r="Q51" i="2"/>
  <c r="Q46" i="2"/>
  <c r="Q48" i="2"/>
  <c r="Q42" i="2"/>
  <c r="Q34" i="2"/>
  <c r="Q22" i="2"/>
  <c r="Q23" i="2" s="1"/>
  <c r="Q21" i="2"/>
  <c r="Q17" i="2"/>
  <c r="Q16" i="2"/>
  <c r="P16" i="2"/>
  <c r="Q15" i="2"/>
  <c r="Q10" i="2"/>
  <c r="T20" i="4" l="1"/>
  <c r="G20" i="4"/>
  <c r="M20" i="4"/>
  <c r="Z107" i="3"/>
  <c r="W106" i="3"/>
  <c r="S96" i="2"/>
  <c r="F27" i="4" s="1"/>
  <c r="X110" i="3"/>
  <c r="X111" i="3" s="1"/>
  <c r="W40" i="3"/>
  <c r="W48" i="3"/>
  <c r="W113" i="3"/>
  <c r="W53" i="3"/>
  <c r="W35" i="3"/>
  <c r="W25" i="3"/>
  <c r="W28" i="3"/>
  <c r="W122" i="3"/>
  <c r="W78" i="3"/>
  <c r="W108" i="3"/>
  <c r="W87" i="3"/>
  <c r="W88" i="3"/>
  <c r="W86" i="3"/>
  <c r="W98" i="3" s="1"/>
  <c r="W12" i="3"/>
  <c r="W77" i="3"/>
  <c r="U52" i="3"/>
  <c r="W52" i="3"/>
  <c r="W132" i="3"/>
  <c r="U112" i="3"/>
  <c r="U125" i="3" s="1"/>
  <c r="W112" i="3"/>
  <c r="X57" i="3"/>
  <c r="Y57" i="3" s="1"/>
  <c r="T70" i="2"/>
  <c r="U70" i="2" s="1"/>
  <c r="V70" i="2" s="1"/>
  <c r="W70" i="2" s="1"/>
  <c r="X70" i="2" s="1"/>
  <c r="Y70" i="2" s="1"/>
  <c r="Z70" i="2" s="1"/>
  <c r="AA70" i="2" s="1"/>
  <c r="AB70" i="2" s="1"/>
  <c r="T157" i="2"/>
  <c r="U157" i="2" s="1"/>
  <c r="V157" i="2" s="1"/>
  <c r="W157" i="2" s="1"/>
  <c r="X157" i="2" s="1"/>
  <c r="Y157" i="2" s="1"/>
  <c r="Z157" i="2" s="1"/>
  <c r="AA157" i="2" s="1"/>
  <c r="AB157" i="2" s="1"/>
  <c r="T68" i="2"/>
  <c r="T211" i="2"/>
  <c r="U211" i="2" s="1"/>
  <c r="V211" i="2" s="1"/>
  <c r="W211" i="2" s="1"/>
  <c r="X211" i="2" s="1"/>
  <c r="Y211" i="2" s="1"/>
  <c r="Z211" i="2" s="1"/>
  <c r="AA211" i="2" s="1"/>
  <c r="AB211" i="2" s="1"/>
  <c r="R64" i="2"/>
  <c r="R274" i="2"/>
  <c r="R275" i="2" s="1"/>
  <c r="R272" i="2"/>
  <c r="R104" i="2"/>
  <c r="T96" i="2"/>
  <c r="AH96" i="2"/>
  <c r="T146" i="2"/>
  <c r="U146" i="2" s="1"/>
  <c r="V146" i="2" s="1"/>
  <c r="W146" i="2" s="1"/>
  <c r="X146" i="2" s="1"/>
  <c r="Y146" i="2" s="1"/>
  <c r="Z146" i="2" s="1"/>
  <c r="AA146" i="2" s="1"/>
  <c r="AB146" i="2" s="1"/>
  <c r="T159" i="2"/>
  <c r="U159" i="2" s="1"/>
  <c r="V159" i="2" s="1"/>
  <c r="W159" i="2" s="1"/>
  <c r="X159" i="2" s="1"/>
  <c r="Y159" i="2" s="1"/>
  <c r="Z159" i="2" s="1"/>
  <c r="AA159" i="2" s="1"/>
  <c r="AB159" i="2" s="1"/>
  <c r="AH159" i="2"/>
  <c r="T184" i="2"/>
  <c r="U184" i="2" s="1"/>
  <c r="AH184" i="2"/>
  <c r="T170" i="2"/>
  <c r="U170" i="2" s="1"/>
  <c r="S187" i="2"/>
  <c r="AH187" i="2" s="1"/>
  <c r="T145" i="2"/>
  <c r="U145" i="2" s="1"/>
  <c r="V145" i="2" s="1"/>
  <c r="W145" i="2" s="1"/>
  <c r="X145" i="2" s="1"/>
  <c r="Y145" i="2" s="1"/>
  <c r="Z145" i="2" s="1"/>
  <c r="AA145" i="2" s="1"/>
  <c r="AB145" i="2" s="1"/>
  <c r="R288" i="2"/>
  <c r="R102" i="2"/>
  <c r="T158" i="2"/>
  <c r="U158" i="2" s="1"/>
  <c r="V158" i="2" s="1"/>
  <c r="W158" i="2" s="1"/>
  <c r="X158" i="2" s="1"/>
  <c r="Y158" i="2" s="1"/>
  <c r="Z158" i="2" s="1"/>
  <c r="AA158" i="2" s="1"/>
  <c r="AB158" i="2" s="1"/>
  <c r="AH158" i="2"/>
  <c r="R206" i="2"/>
  <c r="R148" i="2"/>
  <c r="R47" i="2"/>
  <c r="R205" i="2"/>
  <c r="S205" i="2" s="1"/>
  <c r="R161" i="2"/>
  <c r="R36" i="2"/>
  <c r="R39" i="2" s="1"/>
  <c r="R59" i="2"/>
  <c r="R28" i="2"/>
  <c r="R52" i="2"/>
  <c r="R149" i="2"/>
  <c r="R78" i="2"/>
  <c r="D27" i="4"/>
  <c r="R33" i="4" s="1"/>
  <c r="AD14" i="3"/>
  <c r="Y14" i="3"/>
  <c r="S26" i="2" s="1"/>
  <c r="AD9" i="3"/>
  <c r="AB113" i="3"/>
  <c r="AB8" i="3"/>
  <c r="Y8" i="3"/>
  <c r="X115" i="3"/>
  <c r="U110" i="3"/>
  <c r="W111" i="3" s="1"/>
  <c r="U98" i="3"/>
  <c r="U87" i="3"/>
  <c r="U34" i="3"/>
  <c r="U71" i="3"/>
  <c r="U66" i="3"/>
  <c r="U36" i="3"/>
  <c r="U39" i="3"/>
  <c r="U22" i="3"/>
  <c r="U15" i="3"/>
  <c r="V28" i="3"/>
  <c r="X28" i="3" s="1"/>
  <c r="Z28" i="3" s="1"/>
  <c r="AB28" i="3" s="1"/>
  <c r="AD28" i="3" s="1"/>
  <c r="AF28" i="3" s="1"/>
  <c r="AH28" i="3" s="1"/>
  <c r="AJ28" i="3" s="1"/>
  <c r="AL28" i="3" s="1"/>
  <c r="AN28" i="3" s="1"/>
  <c r="AP28" i="3" s="1"/>
  <c r="V170" i="2"/>
  <c r="Q92" i="2"/>
  <c r="Q152" i="2"/>
  <c r="Q175" i="2"/>
  <c r="Q101" i="2"/>
  <c r="Q151" i="2"/>
  <c r="Q11" i="2"/>
  <c r="Q27" i="2"/>
  <c r="Q78" i="2"/>
  <c r="Q112" i="2"/>
  <c r="Q163" i="2"/>
  <c r="Q164" i="2" s="1"/>
  <c r="Q24" i="2"/>
  <c r="Q79" i="2"/>
  <c r="Q86" i="2"/>
  <c r="Q276" i="2" s="1"/>
  <c r="Q18" i="2"/>
  <c r="Q217" i="2"/>
  <c r="Q219" i="2"/>
  <c r="Q271" i="2"/>
  <c r="Q63" i="2"/>
  <c r="U20" i="4" l="1"/>
  <c r="N20" i="4"/>
  <c r="AB107" i="3"/>
  <c r="AD107" i="3" s="1"/>
  <c r="AF107" i="3" s="1"/>
  <c r="AH107" i="3" s="1"/>
  <c r="AJ107" i="3" s="1"/>
  <c r="AL107" i="3" s="1"/>
  <c r="AN107" i="3" s="1"/>
  <c r="AP107" i="3" s="1"/>
  <c r="Z106" i="3"/>
  <c r="Z110" i="3"/>
  <c r="Z111" i="3" s="1"/>
  <c r="Z115" i="3"/>
  <c r="X122" i="3"/>
  <c r="X123" i="3" s="1"/>
  <c r="X124" i="3" s="1"/>
  <c r="W116" i="3"/>
  <c r="W115" i="3"/>
  <c r="W133" i="3"/>
  <c r="W131" i="3" s="1"/>
  <c r="W125" i="3"/>
  <c r="U35" i="3"/>
  <c r="W16" i="3"/>
  <c r="U133" i="3"/>
  <c r="U131" i="3" s="1"/>
  <c r="U96" i="2"/>
  <c r="V96" i="2" s="1"/>
  <c r="W96" i="2" s="1"/>
  <c r="X96" i="2" s="1"/>
  <c r="Y96" i="2" s="1"/>
  <c r="Z96" i="2" s="1"/>
  <c r="AA96" i="2" s="1"/>
  <c r="G27" i="4"/>
  <c r="AH205" i="2"/>
  <c r="T205" i="2"/>
  <c r="U205" i="2" s="1"/>
  <c r="V205" i="2" s="1"/>
  <c r="R40" i="2"/>
  <c r="R37" i="2"/>
  <c r="U68" i="2"/>
  <c r="T187" i="2"/>
  <c r="Z57" i="3"/>
  <c r="AA57" i="3" s="1"/>
  <c r="AF14" i="3"/>
  <c r="AA14" i="3"/>
  <c r="AH26" i="2"/>
  <c r="AF9" i="3"/>
  <c r="AD113" i="3"/>
  <c r="Y9" i="3"/>
  <c r="Y113" i="3" s="1"/>
  <c r="AA8" i="3"/>
  <c r="S7" i="2"/>
  <c r="AH7" i="2" s="1"/>
  <c r="X7" i="3"/>
  <c r="AD8" i="3"/>
  <c r="X85" i="3"/>
  <c r="Y107" i="3"/>
  <c r="Y106" i="3" s="1"/>
  <c r="U122" i="3"/>
  <c r="U111" i="3"/>
  <c r="U78" i="3"/>
  <c r="U67" i="3"/>
  <c r="U53" i="3"/>
  <c r="U40" i="3"/>
  <c r="U48" i="3"/>
  <c r="U16" i="3"/>
  <c r="U25" i="3"/>
  <c r="Y25" i="3" s="1"/>
  <c r="AA25" i="3" s="1"/>
  <c r="AC25" i="3" s="1"/>
  <c r="AE25" i="3" s="1"/>
  <c r="AG25" i="3" s="1"/>
  <c r="AI25" i="3" s="1"/>
  <c r="AK25" i="3" s="1"/>
  <c r="AM25" i="3" s="1"/>
  <c r="AO25" i="3" s="1"/>
  <c r="AQ25" i="3" s="1"/>
  <c r="U28" i="3"/>
  <c r="Y36" i="3"/>
  <c r="AA36" i="3" s="1"/>
  <c r="Y35" i="3"/>
  <c r="W205" i="2"/>
  <c r="V184" i="2"/>
  <c r="W184" i="2" s="1"/>
  <c r="W170" i="2"/>
  <c r="Q149" i="2"/>
  <c r="Q36" i="2"/>
  <c r="Q148" i="2"/>
  <c r="Q59" i="2"/>
  <c r="Q47" i="2"/>
  <c r="Q205" i="2"/>
  <c r="Q28" i="2"/>
  <c r="Q206" i="2"/>
  <c r="Q161" i="2"/>
  <c r="Q52" i="2"/>
  <c r="Q111" i="2"/>
  <c r="Q104" i="2"/>
  <c r="Q102" i="2"/>
  <c r="Q288" i="2"/>
  <c r="Q64" i="2"/>
  <c r="Q272" i="2"/>
  <c r="Q274" i="2"/>
  <c r="Q275" i="2" s="1"/>
  <c r="Q93" i="2"/>
  <c r="Z122" i="3" l="1"/>
  <c r="Z85" i="3" s="1"/>
  <c r="Z83" i="3" s="1"/>
  <c r="AB115" i="3"/>
  <c r="AB110" i="3"/>
  <c r="AB111" i="3" s="1"/>
  <c r="W129" i="3"/>
  <c r="W123" i="3"/>
  <c r="U41" i="3"/>
  <c r="W41" i="3"/>
  <c r="V68" i="2"/>
  <c r="U187" i="2"/>
  <c r="AB57" i="3"/>
  <c r="AC57" i="3" s="1"/>
  <c r="Y28" i="3"/>
  <c r="S28" i="4"/>
  <c r="T26" i="2"/>
  <c r="AC14" i="3"/>
  <c r="AH14" i="3"/>
  <c r="AA9" i="3"/>
  <c r="S8" i="2"/>
  <c r="AH8" i="2" s="1"/>
  <c r="AH9" i="3"/>
  <c r="AF113" i="3"/>
  <c r="AF8" i="3"/>
  <c r="AC8" i="3"/>
  <c r="T7" i="2"/>
  <c r="Y115" i="3"/>
  <c r="U123" i="3"/>
  <c r="U128" i="3" s="1"/>
  <c r="U129" i="3"/>
  <c r="X83" i="3"/>
  <c r="X86" i="3"/>
  <c r="X87" i="3"/>
  <c r="AA107" i="3"/>
  <c r="AA106" i="3" s="1"/>
  <c r="Y110" i="3"/>
  <c r="AA35" i="3"/>
  <c r="AC36" i="3"/>
  <c r="X205" i="2"/>
  <c r="X184" i="2"/>
  <c r="Y184" i="2" s="1"/>
  <c r="X170" i="2"/>
  <c r="AB96" i="2"/>
  <c r="Q39" i="2"/>
  <c r="Q40" i="2" s="1"/>
  <c r="Q37" i="2"/>
  <c r="AD115" i="3" l="1"/>
  <c r="AB122" i="3"/>
  <c r="AB123" i="3" s="1"/>
  <c r="AB124" i="3" s="1"/>
  <c r="Z123" i="3"/>
  <c r="Z124" i="3" s="1"/>
  <c r="AD110" i="3"/>
  <c r="AD111" i="3" s="1"/>
  <c r="W128" i="3"/>
  <c r="W124" i="3"/>
  <c r="W68" i="2"/>
  <c r="V187" i="2"/>
  <c r="AD57" i="3"/>
  <c r="AE57" i="3" s="1"/>
  <c r="AA28" i="3"/>
  <c r="AJ14" i="3"/>
  <c r="AE14" i="3"/>
  <c r="U26" i="2"/>
  <c r="Z87" i="3"/>
  <c r="AF115" i="3"/>
  <c r="AH113" i="3"/>
  <c r="AJ9" i="3"/>
  <c r="T8" i="2"/>
  <c r="AC9" i="3"/>
  <c r="AA113" i="3"/>
  <c r="AA110" i="3" s="1"/>
  <c r="Z86" i="3"/>
  <c r="AH8" i="3"/>
  <c r="AE8" i="3"/>
  <c r="U7" i="2"/>
  <c r="U124" i="3"/>
  <c r="X88" i="3"/>
  <c r="Y7" i="3" s="1"/>
  <c r="Z88" i="3"/>
  <c r="AC107" i="3"/>
  <c r="AC106" i="3" s="1"/>
  <c r="Y122" i="3"/>
  <c r="Y111" i="3"/>
  <c r="AE36" i="3"/>
  <c r="AC35" i="3"/>
  <c r="Y205" i="2"/>
  <c r="Z184" i="2"/>
  <c r="Y170" i="2"/>
  <c r="AB85" i="3" l="1"/>
  <c r="AB86" i="3" s="1"/>
  <c r="AF110" i="3"/>
  <c r="AF111" i="3" s="1"/>
  <c r="AD122" i="3"/>
  <c r="AD85" i="3" s="1"/>
  <c r="X68" i="2"/>
  <c r="W187" i="2"/>
  <c r="AF57" i="3"/>
  <c r="AG57" i="3" s="1"/>
  <c r="AC28" i="3"/>
  <c r="AL14" i="3"/>
  <c r="AG14" i="3"/>
  <c r="V26" i="2"/>
  <c r="AA115" i="3"/>
  <c r="AL9" i="3"/>
  <c r="AJ113" i="3"/>
  <c r="AH115" i="3"/>
  <c r="AE9" i="3"/>
  <c r="AC113" i="3"/>
  <c r="AC110" i="3" s="1"/>
  <c r="U8" i="2"/>
  <c r="AA7" i="3"/>
  <c r="Y11" i="3"/>
  <c r="AJ8" i="3"/>
  <c r="AG8" i="3"/>
  <c r="V7" i="2"/>
  <c r="Y85" i="3"/>
  <c r="S120" i="2" s="1"/>
  <c r="AH120" i="2" s="1"/>
  <c r="Y123" i="3"/>
  <c r="Y124" i="3" s="1"/>
  <c r="AA122" i="3"/>
  <c r="AE107" i="3"/>
  <c r="AA111" i="3"/>
  <c r="AE35" i="3"/>
  <c r="AG36" i="3"/>
  <c r="Z205" i="2"/>
  <c r="AA184" i="2"/>
  <c r="AB184" i="2" s="1"/>
  <c r="Z170" i="2"/>
  <c r="AB87" i="3" l="1"/>
  <c r="AB83" i="3"/>
  <c r="AB88" i="3" s="1"/>
  <c r="AC7" i="3" s="1"/>
  <c r="AF122" i="3"/>
  <c r="AF123" i="3" s="1"/>
  <c r="AF124" i="3" s="1"/>
  <c r="AH110" i="3"/>
  <c r="AH122" i="3" s="1"/>
  <c r="AD123" i="3"/>
  <c r="AD124" i="3" s="1"/>
  <c r="Y68" i="2"/>
  <c r="X187" i="2"/>
  <c r="AH57" i="3"/>
  <c r="AI57" i="3" s="1"/>
  <c r="AE28" i="3"/>
  <c r="AI14" i="3"/>
  <c r="W26" i="2"/>
  <c r="AN14" i="3"/>
  <c r="AC115" i="3"/>
  <c r="X45" i="3"/>
  <c r="AF85" i="3"/>
  <c r="AH111" i="3"/>
  <c r="AD87" i="3"/>
  <c r="AD83" i="3"/>
  <c r="AD86" i="3"/>
  <c r="AG9" i="3"/>
  <c r="AE113" i="3"/>
  <c r="AE115" i="3" s="1"/>
  <c r="V8" i="2"/>
  <c r="AN9" i="3"/>
  <c r="AL113" i="3"/>
  <c r="AA11" i="3"/>
  <c r="Y15" i="3"/>
  <c r="Y12" i="3"/>
  <c r="AL8" i="3"/>
  <c r="AI8" i="3"/>
  <c r="W7" i="2"/>
  <c r="Y83" i="3"/>
  <c r="Y88" i="3" s="1"/>
  <c r="X11" i="3"/>
  <c r="Y87" i="3"/>
  <c r="Y86" i="3"/>
  <c r="AA85" i="3"/>
  <c r="AA123" i="3"/>
  <c r="AA124" i="3" s="1"/>
  <c r="AG107" i="3"/>
  <c r="AC122" i="3"/>
  <c r="S122" i="2"/>
  <c r="AH122" i="2" s="1"/>
  <c r="S121" i="2"/>
  <c r="AH121" i="2" s="1"/>
  <c r="AC111" i="3"/>
  <c r="AI36" i="3"/>
  <c r="AG35" i="3"/>
  <c r="AA205" i="2"/>
  <c r="AA170" i="2"/>
  <c r="AD88" i="3" l="1"/>
  <c r="AJ115" i="3"/>
  <c r="AJ110" i="3"/>
  <c r="AJ122" i="3" s="1"/>
  <c r="Z68" i="2"/>
  <c r="Y187" i="2"/>
  <c r="AJ57" i="3"/>
  <c r="AK57" i="3" s="1"/>
  <c r="AE110" i="3"/>
  <c r="AE122" i="3" s="1"/>
  <c r="Y24" i="3"/>
  <c r="Y27" i="3"/>
  <c r="AG28" i="3"/>
  <c r="AP14" i="3"/>
  <c r="AK14" i="3"/>
  <c r="X26" i="2"/>
  <c r="AJ111" i="3"/>
  <c r="AH85" i="3"/>
  <c r="AH123" i="3"/>
  <c r="AH124" i="3" s="1"/>
  <c r="AF86" i="3"/>
  <c r="AF87" i="3"/>
  <c r="AF83" i="3"/>
  <c r="AF88" i="3" s="1"/>
  <c r="AP9" i="3"/>
  <c r="AN113" i="3"/>
  <c r="AG113" i="3"/>
  <c r="AI9" i="3"/>
  <c r="W8" i="2"/>
  <c r="AE7" i="3"/>
  <c r="AC11" i="3"/>
  <c r="Y46" i="3"/>
  <c r="Y32" i="3"/>
  <c r="Y16" i="3"/>
  <c r="Y44" i="3"/>
  <c r="AA15" i="3"/>
  <c r="AA12" i="3"/>
  <c r="AN8" i="3"/>
  <c r="AK8" i="3"/>
  <c r="X7" i="2"/>
  <c r="S6" i="2"/>
  <c r="AH6" i="2" s="1"/>
  <c r="Z7" i="3"/>
  <c r="Z11" i="3" s="1"/>
  <c r="S118" i="2"/>
  <c r="AH118" i="2" s="1"/>
  <c r="AC85" i="3"/>
  <c r="AC86" i="3" s="1"/>
  <c r="AC123" i="3"/>
  <c r="AC124" i="3" s="1"/>
  <c r="AA83" i="3"/>
  <c r="T120" i="2"/>
  <c r="AA87" i="3"/>
  <c r="AA86" i="3"/>
  <c r="AI107" i="3"/>
  <c r="AI35" i="3"/>
  <c r="AK36" i="3"/>
  <c r="AB205" i="2"/>
  <c r="AB170" i="2"/>
  <c r="AL110" i="3" l="1"/>
  <c r="AN115" i="3" s="1"/>
  <c r="AL115" i="3"/>
  <c r="AA68" i="2"/>
  <c r="AL57" i="3"/>
  <c r="AM57" i="3" s="1"/>
  <c r="Z187" i="2"/>
  <c r="AG110" i="3"/>
  <c r="AG122" i="3" s="1"/>
  <c r="AE111" i="3"/>
  <c r="Y22" i="3"/>
  <c r="AA24" i="3"/>
  <c r="AA27" i="3"/>
  <c r="AI28" i="3"/>
  <c r="AM14" i="3"/>
  <c r="Y26" i="2"/>
  <c r="AG115" i="3"/>
  <c r="AP113" i="3"/>
  <c r="AH86" i="3"/>
  <c r="AH83" i="3"/>
  <c r="AH88" i="3" s="1"/>
  <c r="AH87" i="3"/>
  <c r="AJ123" i="3"/>
  <c r="AJ124" i="3" s="1"/>
  <c r="AJ85" i="3"/>
  <c r="AK9" i="3"/>
  <c r="AI113" i="3"/>
  <c r="X8" i="2"/>
  <c r="AN110" i="3"/>
  <c r="AL122" i="3"/>
  <c r="Y33" i="3"/>
  <c r="Y34" i="3" s="1"/>
  <c r="Y38" i="3" s="1"/>
  <c r="Y40" i="3" s="1"/>
  <c r="AA16" i="3"/>
  <c r="AA44" i="3"/>
  <c r="AA32" i="3"/>
  <c r="AA46" i="3"/>
  <c r="AC15" i="3"/>
  <c r="AC12" i="3"/>
  <c r="AG7" i="3"/>
  <c r="AE11" i="3"/>
  <c r="AP8" i="3"/>
  <c r="AM8" i="3"/>
  <c r="Y7" i="2"/>
  <c r="T6" i="2"/>
  <c r="X12" i="3"/>
  <c r="S10" i="2"/>
  <c r="AH10" i="2" s="1"/>
  <c r="X15" i="3"/>
  <c r="AC83" i="3"/>
  <c r="U118" i="2" s="1"/>
  <c r="U120" i="2"/>
  <c r="U121" i="2" s="1"/>
  <c r="AE85" i="3"/>
  <c r="AE86" i="3" s="1"/>
  <c r="AE123" i="3"/>
  <c r="AC87" i="3"/>
  <c r="T121" i="2"/>
  <c r="T122" i="2"/>
  <c r="AA88" i="3"/>
  <c r="AB7" i="3" s="1"/>
  <c r="AB11" i="3" s="1"/>
  <c r="T118" i="2"/>
  <c r="AK107" i="3"/>
  <c r="AM36" i="3"/>
  <c r="AK35" i="3"/>
  <c r="AL111" i="3" l="1"/>
  <c r="AG111" i="3"/>
  <c r="AB68" i="2"/>
  <c r="AN57" i="3"/>
  <c r="AO57" i="3" s="1"/>
  <c r="AA187" i="2"/>
  <c r="AI115" i="3"/>
  <c r="AE124" i="3"/>
  <c r="Y30" i="3"/>
  <c r="AA22" i="3"/>
  <c r="AC24" i="3"/>
  <c r="AC27" i="3"/>
  <c r="X24" i="3"/>
  <c r="S36" i="2" s="1"/>
  <c r="AH36" i="2" s="1"/>
  <c r="X27" i="3"/>
  <c r="S39" i="2" s="1"/>
  <c r="AH39" i="2" s="1"/>
  <c r="AK28" i="3"/>
  <c r="AO14" i="3"/>
  <c r="Z26" i="2"/>
  <c r="AI110" i="3"/>
  <c r="AM9" i="3"/>
  <c r="AK113" i="3"/>
  <c r="Y8" i="2"/>
  <c r="AJ83" i="3"/>
  <c r="AJ88" i="3" s="1"/>
  <c r="AJ87" i="3"/>
  <c r="AJ86" i="3"/>
  <c r="AL123" i="3"/>
  <c r="AL124" i="3" s="1"/>
  <c r="AL85" i="3"/>
  <c r="AP110" i="3"/>
  <c r="AN122" i="3"/>
  <c r="AN111" i="3"/>
  <c r="AP115" i="3"/>
  <c r="AC44" i="3"/>
  <c r="AC32" i="3"/>
  <c r="AC46" i="3"/>
  <c r="AC16" i="3"/>
  <c r="AA33" i="3"/>
  <c r="AA34" i="3" s="1"/>
  <c r="AE15" i="3"/>
  <c r="AE12" i="3"/>
  <c r="AI7" i="3"/>
  <c r="AG11" i="3"/>
  <c r="AO8" i="3"/>
  <c r="Z7" i="2"/>
  <c r="U6" i="2"/>
  <c r="Z12" i="3"/>
  <c r="T10" i="2"/>
  <c r="Z15" i="3"/>
  <c r="X32" i="3"/>
  <c r="X16" i="3"/>
  <c r="X44" i="3"/>
  <c r="X46" i="3"/>
  <c r="S57" i="2" s="1"/>
  <c r="AH57" i="2" s="1"/>
  <c r="S27" i="2"/>
  <c r="S11" i="2"/>
  <c r="AH11" i="2" s="1"/>
  <c r="V120" i="2"/>
  <c r="V121" i="2" s="1"/>
  <c r="AC88" i="3"/>
  <c r="AD7" i="3" s="1"/>
  <c r="AD11" i="3" s="1"/>
  <c r="AE83" i="3"/>
  <c r="AE88" i="3" s="1"/>
  <c r="U122" i="2"/>
  <c r="AE87" i="3"/>
  <c r="AG85" i="3"/>
  <c r="AG83" i="3" s="1"/>
  <c r="AG123" i="3"/>
  <c r="AM107" i="3"/>
  <c r="AM35" i="3"/>
  <c r="AO36" i="3"/>
  <c r="AG124" i="3" l="1"/>
  <c r="T28" i="4"/>
  <c r="AH27" i="2"/>
  <c r="AB187" i="2"/>
  <c r="AP57" i="3"/>
  <c r="AQ57" i="3" s="1"/>
  <c r="X22" i="3"/>
  <c r="AC22" i="3"/>
  <c r="AA38" i="3"/>
  <c r="AE24" i="3"/>
  <c r="AE27" i="3"/>
  <c r="AM28" i="3"/>
  <c r="Z24" i="3"/>
  <c r="T36" i="2" s="1"/>
  <c r="Z27" i="3"/>
  <c r="T39" i="2" s="1"/>
  <c r="AK115" i="3"/>
  <c r="AQ14" i="3"/>
  <c r="AB26" i="2" s="1"/>
  <c r="AA26" i="2"/>
  <c r="AI111" i="3"/>
  <c r="AK110" i="3"/>
  <c r="AK111" i="3" s="1"/>
  <c r="AI122" i="3"/>
  <c r="AI123" i="3" s="1"/>
  <c r="AL83" i="3"/>
  <c r="AL88" i="3" s="1"/>
  <c r="AL87" i="3"/>
  <c r="AL86" i="3"/>
  <c r="AP111" i="3"/>
  <c r="AP122" i="3"/>
  <c r="AN85" i="3"/>
  <c r="AN123" i="3"/>
  <c r="AN124" i="3" s="1"/>
  <c r="AO9" i="3"/>
  <c r="AM113" i="3"/>
  <c r="Z8" i="2"/>
  <c r="AE46" i="3"/>
  <c r="AE32" i="3"/>
  <c r="AE44" i="3"/>
  <c r="AE16" i="3"/>
  <c r="AK7" i="3"/>
  <c r="AI11" i="3"/>
  <c r="AC33" i="3"/>
  <c r="AC34" i="3" s="1"/>
  <c r="AG12" i="3"/>
  <c r="AG15" i="3"/>
  <c r="S37" i="2"/>
  <c r="AH37" i="2" s="1"/>
  <c r="AQ8" i="3"/>
  <c r="AB7" i="2" s="1"/>
  <c r="AA7" i="2"/>
  <c r="T11" i="2"/>
  <c r="T27" i="2"/>
  <c r="U28" i="4" s="1"/>
  <c r="S142" i="2"/>
  <c r="AH142" i="2" s="1"/>
  <c r="S198" i="2"/>
  <c r="AH198" i="2" s="1"/>
  <c r="S40" i="2"/>
  <c r="AH40" i="2" s="1"/>
  <c r="S155" i="2"/>
  <c r="S141" i="2"/>
  <c r="AH141" i="2" s="1"/>
  <c r="S28" i="2"/>
  <c r="AH28" i="2" s="1"/>
  <c r="Z44" i="3"/>
  <c r="S55" i="2"/>
  <c r="AH55" i="2" s="1"/>
  <c r="X47" i="3"/>
  <c r="X33" i="3"/>
  <c r="S44" i="2"/>
  <c r="AH44" i="2" s="1"/>
  <c r="AF7" i="3"/>
  <c r="AF11" i="3" s="1"/>
  <c r="V6" i="2"/>
  <c r="Z16" i="3"/>
  <c r="Z32" i="3"/>
  <c r="Z46" i="3"/>
  <c r="AB15" i="3"/>
  <c r="U10" i="2"/>
  <c r="AB12" i="3"/>
  <c r="V118" i="2"/>
  <c r="V122" i="2"/>
  <c r="AG87" i="3"/>
  <c r="W120" i="2"/>
  <c r="W122" i="2" s="1"/>
  <c r="AG86" i="3"/>
  <c r="AG88" i="3"/>
  <c r="W118" i="2"/>
  <c r="AO107" i="3"/>
  <c r="AQ36" i="3"/>
  <c r="AO35" i="3"/>
  <c r="S160" i="2" l="1"/>
  <c r="AH160" i="2" s="1"/>
  <c r="AH155" i="2"/>
  <c r="AE22" i="3"/>
  <c r="AA39" i="3"/>
  <c r="AA40" i="3"/>
  <c r="AA41" i="3" s="1"/>
  <c r="Z22" i="3"/>
  <c r="AC38" i="3"/>
  <c r="X19" i="3"/>
  <c r="X21" i="3"/>
  <c r="X20" i="3"/>
  <c r="AA30" i="3"/>
  <c r="AI85" i="3"/>
  <c r="X120" i="2" s="1"/>
  <c r="X122" i="2" s="1"/>
  <c r="AB24" i="3"/>
  <c r="U36" i="2" s="1"/>
  <c r="AB27" i="3"/>
  <c r="U39" i="2" s="1"/>
  <c r="AG24" i="3"/>
  <c r="AG27" i="3"/>
  <c r="AO28" i="3"/>
  <c r="AK122" i="3"/>
  <c r="AK85" i="3" s="1"/>
  <c r="AK83" i="3" s="1"/>
  <c r="AM115" i="3"/>
  <c r="AI124" i="3"/>
  <c r="AN86" i="3"/>
  <c r="AN83" i="3"/>
  <c r="AN88" i="3" s="1"/>
  <c r="AN87" i="3"/>
  <c r="AP85" i="3"/>
  <c r="AP123" i="3"/>
  <c r="AP124" i="3" s="1"/>
  <c r="AM110" i="3"/>
  <c r="AM111" i="3" s="1"/>
  <c r="AQ9" i="3"/>
  <c r="AO113" i="3"/>
  <c r="AA8" i="2"/>
  <c r="AI12" i="3"/>
  <c r="AI15" i="3"/>
  <c r="AK11" i="3"/>
  <c r="AM7" i="3"/>
  <c r="AG44" i="3"/>
  <c r="AG46" i="3"/>
  <c r="AG16" i="3"/>
  <c r="AG32" i="3"/>
  <c r="AE33" i="3"/>
  <c r="AE34" i="3" s="1"/>
  <c r="S150" i="2"/>
  <c r="S47" i="2"/>
  <c r="AH47" i="2" s="1"/>
  <c r="V10" i="2"/>
  <c r="AD15" i="3"/>
  <c r="AD12" i="3"/>
  <c r="X34" i="3"/>
  <c r="Y45" i="3"/>
  <c r="S45" i="2"/>
  <c r="AH45" i="2" s="1"/>
  <c r="U11" i="2"/>
  <c r="U27" i="2"/>
  <c r="X48" i="3"/>
  <c r="T55" i="2"/>
  <c r="AB16" i="3"/>
  <c r="AB32" i="3"/>
  <c r="AB44" i="3"/>
  <c r="AB46" i="3"/>
  <c r="U57" i="2" s="1"/>
  <c r="T57" i="2"/>
  <c r="S143" i="2"/>
  <c r="AH143" i="2" s="1"/>
  <c r="Z33" i="3"/>
  <c r="T44" i="2"/>
  <c r="T37" i="2"/>
  <c r="T40" i="2"/>
  <c r="T155" i="2"/>
  <c r="T160" i="2" s="1"/>
  <c r="T141" i="2"/>
  <c r="T198" i="2"/>
  <c r="T142" i="2"/>
  <c r="T28" i="2"/>
  <c r="W6" i="2"/>
  <c r="AH7" i="3"/>
  <c r="AH11" i="3" s="1"/>
  <c r="W121" i="2"/>
  <c r="AQ107" i="3"/>
  <c r="AQ35" i="3"/>
  <c r="S183" i="2" l="1"/>
  <c r="AH183" i="2" s="1"/>
  <c r="AH150" i="2"/>
  <c r="AI87" i="3"/>
  <c r="AC39" i="3"/>
  <c r="AC40" i="3"/>
  <c r="AC41" i="3" s="1"/>
  <c r="AG22" i="3"/>
  <c r="Z19" i="3"/>
  <c r="AB22" i="3"/>
  <c r="X38" i="3"/>
  <c r="X30" i="3" s="1"/>
  <c r="S42" i="2" s="1"/>
  <c r="AH42" i="2" s="1"/>
  <c r="Z21" i="3"/>
  <c r="AE38" i="3"/>
  <c r="AE30" i="3" s="1"/>
  <c r="Z20" i="3"/>
  <c r="AC30" i="3"/>
  <c r="AI83" i="3"/>
  <c r="AI88" i="3" s="1"/>
  <c r="AJ7" i="3" s="1"/>
  <c r="AJ11" i="3" s="1"/>
  <c r="X121" i="2"/>
  <c r="AI86" i="3"/>
  <c r="AD24" i="3"/>
  <c r="V36" i="2" s="1"/>
  <c r="AD27" i="3"/>
  <c r="V39" i="2" s="1"/>
  <c r="AI24" i="3"/>
  <c r="AI27" i="3"/>
  <c r="AQ28" i="3"/>
  <c r="AK123" i="3"/>
  <c r="AK124" i="3" s="1"/>
  <c r="AO115" i="3"/>
  <c r="AP87" i="3"/>
  <c r="AP86" i="3"/>
  <c r="AP83" i="3"/>
  <c r="AP88" i="3" s="1"/>
  <c r="AO110" i="3"/>
  <c r="AO122" i="3" s="1"/>
  <c r="AM122" i="3"/>
  <c r="AM85" i="3" s="1"/>
  <c r="AQ113" i="3"/>
  <c r="AB8" i="2"/>
  <c r="AG33" i="3"/>
  <c r="AG34" i="3" s="1"/>
  <c r="AO7" i="3"/>
  <c r="AM11" i="3"/>
  <c r="AK12" i="3"/>
  <c r="AK15" i="3"/>
  <c r="AI16" i="3"/>
  <c r="AI32" i="3"/>
  <c r="AI46" i="3"/>
  <c r="AI44" i="3"/>
  <c r="U37" i="2"/>
  <c r="T143" i="2"/>
  <c r="U55" i="2"/>
  <c r="T150" i="2"/>
  <c r="T183" i="2" s="1"/>
  <c r="S48" i="2"/>
  <c r="AH48" i="2" s="1"/>
  <c r="S199" i="2"/>
  <c r="AH199" i="2" s="1"/>
  <c r="X6" i="2"/>
  <c r="AB33" i="3"/>
  <c r="U45" i="2" s="1"/>
  <c r="U44" i="2"/>
  <c r="W10" i="2"/>
  <c r="AF15" i="3"/>
  <c r="AF12" i="3"/>
  <c r="S56" i="2"/>
  <c r="AH56" i="2" s="1"/>
  <c r="Z45" i="3"/>
  <c r="Y47" i="3"/>
  <c r="T47" i="2"/>
  <c r="AD16" i="3"/>
  <c r="AD32" i="3"/>
  <c r="AD46" i="3"/>
  <c r="V57" i="2" s="1"/>
  <c r="AD44" i="3"/>
  <c r="Z34" i="3"/>
  <c r="T45" i="2"/>
  <c r="T48" i="2" s="1"/>
  <c r="V11" i="2"/>
  <c r="V27" i="2"/>
  <c r="S46" i="2"/>
  <c r="AH46" i="2" s="1"/>
  <c r="U28" i="2"/>
  <c r="U141" i="2"/>
  <c r="U155" i="2"/>
  <c r="U160" i="2" s="1"/>
  <c r="U142" i="2"/>
  <c r="U40" i="2"/>
  <c r="U198" i="2"/>
  <c r="AK87" i="3"/>
  <c r="AK86" i="3"/>
  <c r="Y120" i="2"/>
  <c r="Y122" i="2" s="1"/>
  <c r="Y118" i="2"/>
  <c r="AK88" i="3" l="1"/>
  <c r="AL7" i="3" s="1"/>
  <c r="AL11" i="3" s="1"/>
  <c r="S50" i="2"/>
  <c r="X39" i="3"/>
  <c r="X40" i="3"/>
  <c r="X41" i="3" s="1"/>
  <c r="X51" i="3"/>
  <c r="Z38" i="3"/>
  <c r="AI22" i="3"/>
  <c r="AD22" i="3"/>
  <c r="AG38" i="3"/>
  <c r="AB21" i="3"/>
  <c r="AB20" i="3"/>
  <c r="AB19" i="3"/>
  <c r="AO111" i="3"/>
  <c r="AE39" i="3"/>
  <c r="AE40" i="3"/>
  <c r="AE41" i="3" s="1"/>
  <c r="X118" i="2"/>
  <c r="AQ110" i="3"/>
  <c r="AQ111" i="3" s="1"/>
  <c r="AF24" i="3"/>
  <c r="AF27" i="3"/>
  <c r="W39" i="2" s="1"/>
  <c r="AK24" i="3"/>
  <c r="AK27" i="3"/>
  <c r="AM123" i="3"/>
  <c r="AM124" i="3" s="1"/>
  <c r="AQ115" i="3"/>
  <c r="AI33" i="3"/>
  <c r="AI34" i="3" s="1"/>
  <c r="AI38" i="3" s="1"/>
  <c r="AK44" i="3"/>
  <c r="AK46" i="3"/>
  <c r="AK16" i="3"/>
  <c r="AK32" i="3"/>
  <c r="AM15" i="3"/>
  <c r="AM12" i="3"/>
  <c r="AQ7" i="3"/>
  <c r="AQ11" i="3" s="1"/>
  <c r="AO11" i="3"/>
  <c r="AB34" i="3"/>
  <c r="V37" i="2"/>
  <c r="U150" i="2"/>
  <c r="U183" i="2" s="1"/>
  <c r="T46" i="2"/>
  <c r="U47" i="2"/>
  <c r="U46" i="2"/>
  <c r="U48" i="2"/>
  <c r="V40" i="2"/>
  <c r="V198" i="2"/>
  <c r="V28" i="2"/>
  <c r="V142" i="2"/>
  <c r="V141" i="2"/>
  <c r="V155" i="2"/>
  <c r="V160" i="2" s="1"/>
  <c r="X10" i="2"/>
  <c r="AH12" i="3"/>
  <c r="AH15" i="3"/>
  <c r="Y48" i="3"/>
  <c r="Y51" i="3"/>
  <c r="S58" i="2"/>
  <c r="AD33" i="3"/>
  <c r="V45" i="2" s="1"/>
  <c r="V44" i="2"/>
  <c r="AA45" i="3"/>
  <c r="Z47" i="3"/>
  <c r="Y6" i="2"/>
  <c r="S206" i="2"/>
  <c r="AH206" i="2" s="1"/>
  <c r="T199" i="2"/>
  <c r="S144" i="2"/>
  <c r="AH144" i="2" s="1"/>
  <c r="S204" i="2"/>
  <c r="AH204" i="2" s="1"/>
  <c r="V55" i="2"/>
  <c r="AF16" i="3"/>
  <c r="AF32" i="3"/>
  <c r="AF46" i="3"/>
  <c r="W57" i="2" s="1"/>
  <c r="AF44" i="3"/>
  <c r="W55" i="2" s="1"/>
  <c r="W11" i="2"/>
  <c r="W27" i="2"/>
  <c r="U143" i="2"/>
  <c r="Y121" i="2"/>
  <c r="AO85" i="3"/>
  <c r="AO83" i="3" s="1"/>
  <c r="AO123" i="3"/>
  <c r="AM83" i="3"/>
  <c r="AM87" i="3"/>
  <c r="AM86" i="3"/>
  <c r="Z120" i="2"/>
  <c r="S59" i="2" l="1"/>
  <c r="AH59" i="2" s="1"/>
  <c r="AH58" i="2"/>
  <c r="T23" i="4"/>
  <c r="AH50" i="2"/>
  <c r="AO124" i="3"/>
  <c r="T50" i="2"/>
  <c r="U23" i="4" s="1"/>
  <c r="Z39" i="3"/>
  <c r="Z40" i="3"/>
  <c r="Z41" i="3" s="1"/>
  <c r="AG39" i="3"/>
  <c r="AG40" i="3"/>
  <c r="AG41" i="3" s="1"/>
  <c r="AF22" i="3"/>
  <c r="AD19" i="3"/>
  <c r="AD21" i="3"/>
  <c r="AD20" i="3"/>
  <c r="AI39" i="3"/>
  <c r="AI40" i="3"/>
  <c r="Z30" i="3"/>
  <c r="T42" i="2" s="1"/>
  <c r="AK22" i="3"/>
  <c r="X53" i="3"/>
  <c r="X65" i="3"/>
  <c r="X52" i="3"/>
  <c r="AQ122" i="3"/>
  <c r="AQ85" i="3" s="1"/>
  <c r="AQ87" i="3" s="1"/>
  <c r="AI30" i="3"/>
  <c r="W36" i="2"/>
  <c r="W37" i="2" s="1"/>
  <c r="AB38" i="3"/>
  <c r="S182" i="2"/>
  <c r="S52" i="2"/>
  <c r="AH52" i="2" s="1"/>
  <c r="AG30" i="3"/>
  <c r="AM24" i="3"/>
  <c r="AM27" i="3"/>
  <c r="AH24" i="3"/>
  <c r="X36" i="2" s="1"/>
  <c r="AH27" i="3"/>
  <c r="X39" i="2" s="1"/>
  <c r="AM46" i="3"/>
  <c r="AM16" i="3"/>
  <c r="AM32" i="3"/>
  <c r="AM44" i="3"/>
  <c r="AK33" i="3"/>
  <c r="AK34" i="3" s="1"/>
  <c r="AO12" i="3"/>
  <c r="AO15" i="3"/>
  <c r="AQ15" i="3"/>
  <c r="AQ12" i="3"/>
  <c r="AD34" i="3"/>
  <c r="V48" i="2"/>
  <c r="S62" i="2"/>
  <c r="Y53" i="3"/>
  <c r="Y65" i="3"/>
  <c r="U199" i="2"/>
  <c r="T206" i="2"/>
  <c r="T204" i="2"/>
  <c r="AF33" i="3"/>
  <c r="W45" i="2" s="1"/>
  <c r="W44" i="2"/>
  <c r="AH32" i="3"/>
  <c r="AH16" i="3"/>
  <c r="AH46" i="3"/>
  <c r="X57" i="2" s="1"/>
  <c r="AH44" i="3"/>
  <c r="X55" i="2" s="1"/>
  <c r="Z6" i="2"/>
  <c r="Y10" i="2"/>
  <c r="AJ12" i="3"/>
  <c r="AJ15" i="3"/>
  <c r="W142" i="2"/>
  <c r="W141" i="2"/>
  <c r="W40" i="2"/>
  <c r="W28" i="2"/>
  <c r="W155" i="2"/>
  <c r="W160" i="2" s="1"/>
  <c r="W198" i="2"/>
  <c r="X11" i="2"/>
  <c r="X27" i="2"/>
  <c r="Z48" i="3"/>
  <c r="Z51" i="3"/>
  <c r="T56" i="2"/>
  <c r="T144" i="2" s="1"/>
  <c r="AB45" i="3"/>
  <c r="AA47" i="3"/>
  <c r="V143" i="2"/>
  <c r="V47" i="2"/>
  <c r="V46" i="2"/>
  <c r="V150" i="2"/>
  <c r="V183" i="2" s="1"/>
  <c r="AA120" i="2"/>
  <c r="AA121" i="2" s="1"/>
  <c r="AO87" i="3"/>
  <c r="AO86" i="3"/>
  <c r="Z121" i="2"/>
  <c r="Z122" i="2"/>
  <c r="Z118" i="2"/>
  <c r="AM88" i="3"/>
  <c r="AN7" i="3" s="1"/>
  <c r="AN11" i="3" s="1"/>
  <c r="AO88" i="3"/>
  <c r="AA118" i="2"/>
  <c r="AQ123" i="3" l="1"/>
  <c r="AQ124" i="3" s="1"/>
  <c r="M33" i="4"/>
  <c r="AH62" i="2"/>
  <c r="S185" i="2"/>
  <c r="AH182" i="2"/>
  <c r="AI41" i="3"/>
  <c r="AD38" i="3"/>
  <c r="AH22" i="3"/>
  <c r="U50" i="2"/>
  <c r="AB39" i="3"/>
  <c r="AB40" i="3"/>
  <c r="AB41" i="3" s="1"/>
  <c r="AB30" i="3"/>
  <c r="U42" i="2" s="1"/>
  <c r="AM22" i="3"/>
  <c r="AF21" i="3"/>
  <c r="AF20" i="3"/>
  <c r="X67" i="3"/>
  <c r="X70" i="3"/>
  <c r="X74" i="3" s="1"/>
  <c r="X76" i="3" s="1"/>
  <c r="X66" i="3"/>
  <c r="AF19" i="3"/>
  <c r="AK38" i="3"/>
  <c r="AK30" i="3" s="1"/>
  <c r="T182" i="2"/>
  <c r="T185" i="2" s="1"/>
  <c r="T193" i="2" s="1"/>
  <c r="T51" i="2"/>
  <c r="T52" i="2"/>
  <c r="AQ24" i="3"/>
  <c r="AQ27" i="3"/>
  <c r="AJ24" i="3"/>
  <c r="Y36" i="2" s="1"/>
  <c r="AJ27" i="3"/>
  <c r="Y39" i="2" s="1"/>
  <c r="AO24" i="3"/>
  <c r="AO27" i="3"/>
  <c r="AO46" i="3"/>
  <c r="AQ46" i="3" s="1"/>
  <c r="AO44" i="3"/>
  <c r="AQ44" i="3" s="1"/>
  <c r="AO16" i="3"/>
  <c r="AO32" i="3"/>
  <c r="AM33" i="3"/>
  <c r="AM34" i="3" s="1"/>
  <c r="AM38" i="3" s="1"/>
  <c r="AQ16" i="3"/>
  <c r="AQ32" i="3"/>
  <c r="W48" i="2"/>
  <c r="W143" i="2"/>
  <c r="AL12" i="3"/>
  <c r="Z10" i="2"/>
  <c r="AL15" i="3"/>
  <c r="T58" i="2"/>
  <c r="T59" i="2" s="1"/>
  <c r="AA48" i="3"/>
  <c r="AA51" i="3"/>
  <c r="V199" i="2"/>
  <c r="U206" i="2"/>
  <c r="U204" i="2"/>
  <c r="AC45" i="3"/>
  <c r="AB47" i="3"/>
  <c r="W150" i="2"/>
  <c r="W183" i="2" s="1"/>
  <c r="AH33" i="3"/>
  <c r="X45" i="2" s="1"/>
  <c r="X44" i="2"/>
  <c r="S77" i="2"/>
  <c r="Y70" i="3"/>
  <c r="Y67" i="3"/>
  <c r="AA6" i="2"/>
  <c r="AP7" i="3"/>
  <c r="AP11" i="3" s="1"/>
  <c r="Z52" i="3"/>
  <c r="Z53" i="3"/>
  <c r="Z65" i="3"/>
  <c r="AJ32" i="3"/>
  <c r="AJ46" i="3"/>
  <c r="Y57" i="2" s="1"/>
  <c r="AJ44" i="3"/>
  <c r="Y55" i="2" s="1"/>
  <c r="X37" i="2"/>
  <c r="AJ16" i="3"/>
  <c r="S64" i="2"/>
  <c r="AH64" i="2" s="1"/>
  <c r="S271" i="2"/>
  <c r="AH271" i="2" s="1"/>
  <c r="Y27" i="2"/>
  <c r="Y11" i="2"/>
  <c r="W47" i="2"/>
  <c r="W46" i="2"/>
  <c r="X142" i="2"/>
  <c r="X141" i="2"/>
  <c r="X40" i="2"/>
  <c r="X28" i="2"/>
  <c r="X155" i="2"/>
  <c r="X160" i="2" s="1"/>
  <c r="X198" i="2"/>
  <c r="AF34" i="3"/>
  <c r="AA122" i="2"/>
  <c r="AQ86" i="3"/>
  <c r="AQ83" i="3"/>
  <c r="AB120" i="2"/>
  <c r="M28" i="4" l="1"/>
  <c r="AH77" i="2"/>
  <c r="S193" i="2"/>
  <c r="AH193" i="2" s="1"/>
  <c r="AH185" i="2"/>
  <c r="AH20" i="3"/>
  <c r="AQ22" i="3"/>
  <c r="AK39" i="3"/>
  <c r="AK40" i="3"/>
  <c r="AK41" i="3" s="1"/>
  <c r="U51" i="2"/>
  <c r="U182" i="2"/>
  <c r="U185" i="2" s="1"/>
  <c r="U193" i="2" s="1"/>
  <c r="U52" i="2"/>
  <c r="AO22" i="3"/>
  <c r="AF38" i="3"/>
  <c r="AH21" i="3"/>
  <c r="AH19" i="3"/>
  <c r="AM39" i="3"/>
  <c r="AM40" i="3"/>
  <c r="AM30" i="3"/>
  <c r="AJ22" i="3"/>
  <c r="V50" i="2"/>
  <c r="AD39" i="3"/>
  <c r="AD40" i="3"/>
  <c r="AD41" i="3" s="1"/>
  <c r="AD30" i="3"/>
  <c r="V42" i="2" s="1"/>
  <c r="AL24" i="3"/>
  <c r="Z36" i="2" s="1"/>
  <c r="AL27" i="3"/>
  <c r="Z39" i="2" s="1"/>
  <c r="AO33" i="3"/>
  <c r="AO34" i="3" s="1"/>
  <c r="AO38" i="3" s="1"/>
  <c r="AQ33" i="3"/>
  <c r="AQ34" i="3" s="1"/>
  <c r="AH34" i="3"/>
  <c r="Y37" i="2"/>
  <c r="X150" i="2"/>
  <c r="X183" i="2" s="1"/>
  <c r="X143" i="2"/>
  <c r="X48" i="2"/>
  <c r="Y74" i="3"/>
  <c r="S85" i="2"/>
  <c r="AH85" i="2" s="1"/>
  <c r="AJ33" i="3"/>
  <c r="Y44" i="2"/>
  <c r="S78" i="2"/>
  <c r="AH78" i="2" s="1"/>
  <c r="T62" i="2"/>
  <c r="N33" i="4" s="1"/>
  <c r="AA53" i="3"/>
  <c r="AA65" i="3"/>
  <c r="AA52" i="3"/>
  <c r="X47" i="2"/>
  <c r="X46" i="2"/>
  <c r="X78" i="3"/>
  <c r="X77" i="3"/>
  <c r="Z66" i="3"/>
  <c r="Z67" i="3"/>
  <c r="Z70" i="3"/>
  <c r="Y40" i="2"/>
  <c r="Y28" i="2"/>
  <c r="Y142" i="2"/>
  <c r="Y141" i="2"/>
  <c r="Y155" i="2"/>
  <c r="Y160" i="2" s="1"/>
  <c r="Y198" i="2"/>
  <c r="AL16" i="3"/>
  <c r="AL32" i="3"/>
  <c r="AL46" i="3"/>
  <c r="Z57" i="2" s="1"/>
  <c r="AL44" i="3"/>
  <c r="Z55" i="2" s="1"/>
  <c r="AB51" i="3"/>
  <c r="AB48" i="3"/>
  <c r="Z27" i="2"/>
  <c r="Z11" i="2"/>
  <c r="V206" i="2"/>
  <c r="W199" i="2"/>
  <c r="V204" i="2"/>
  <c r="AB6" i="2"/>
  <c r="U56" i="2"/>
  <c r="U144" i="2" s="1"/>
  <c r="AD45" i="3"/>
  <c r="AC47" i="3"/>
  <c r="AN15" i="3"/>
  <c r="AN12" i="3"/>
  <c r="AA10" i="2"/>
  <c r="AB121" i="2"/>
  <c r="AB122" i="2"/>
  <c r="AQ88" i="3"/>
  <c r="AB118" i="2"/>
  <c r="AO39" i="3" l="1"/>
  <c r="AO40" i="3"/>
  <c r="AO41" i="3" s="1"/>
  <c r="AF39" i="3"/>
  <c r="W50" i="2"/>
  <c r="AF40" i="3"/>
  <c r="AF41" i="3" s="1"/>
  <c r="AF30" i="3"/>
  <c r="W42" i="2" s="1"/>
  <c r="AH38" i="3"/>
  <c r="V182" i="2"/>
  <c r="V185" i="2" s="1"/>
  <c r="V193" i="2" s="1"/>
  <c r="V51" i="2"/>
  <c r="V52" i="2"/>
  <c r="AJ20" i="3"/>
  <c r="AJ19" i="3"/>
  <c r="AJ21" i="3"/>
  <c r="AO30" i="3"/>
  <c r="AM41" i="3"/>
  <c r="AL22" i="3"/>
  <c r="AQ38" i="3"/>
  <c r="AQ30" i="3" s="1"/>
  <c r="AN24" i="3"/>
  <c r="AN27" i="3"/>
  <c r="AA39" i="2" s="1"/>
  <c r="Z37" i="2"/>
  <c r="Y150" i="2"/>
  <c r="Y183" i="2" s="1"/>
  <c r="AN16" i="3"/>
  <c r="AN32" i="3"/>
  <c r="AN46" i="3"/>
  <c r="AA57" i="2" s="1"/>
  <c r="AN44" i="3"/>
  <c r="AA55" i="2" s="1"/>
  <c r="Z40" i="2"/>
  <c r="Z142" i="2"/>
  <c r="Z141" i="2"/>
  <c r="Z155" i="2"/>
  <c r="Z160" i="2" s="1"/>
  <c r="Z28" i="2"/>
  <c r="Z198" i="2"/>
  <c r="U58" i="2"/>
  <c r="U59" i="2" s="1"/>
  <c r="AC48" i="3"/>
  <c r="AC51" i="3"/>
  <c r="T77" i="2"/>
  <c r="N28" i="4" s="1"/>
  <c r="AA67" i="3"/>
  <c r="AA66" i="3"/>
  <c r="AA70" i="3"/>
  <c r="AA74" i="3" s="1"/>
  <c r="AA76" i="3" s="1"/>
  <c r="AE45" i="3"/>
  <c r="AD47" i="3"/>
  <c r="AB53" i="3"/>
  <c r="AB52" i="3"/>
  <c r="AB65" i="3"/>
  <c r="Z74" i="3"/>
  <c r="AL33" i="3"/>
  <c r="Z44" i="2"/>
  <c r="T271" i="2"/>
  <c r="T63" i="2"/>
  <c r="T64" i="2"/>
  <c r="AP15" i="3"/>
  <c r="AP12" i="3"/>
  <c r="AB10" i="2"/>
  <c r="Y47" i="2"/>
  <c r="AJ34" i="3"/>
  <c r="Y45" i="2"/>
  <c r="Y48" i="2" s="1"/>
  <c r="S189" i="2"/>
  <c r="AH189" i="2" s="1"/>
  <c r="S86" i="2"/>
  <c r="AH86" i="2" s="1"/>
  <c r="Y76" i="3"/>
  <c r="S89" i="2"/>
  <c r="AH89" i="2" s="1"/>
  <c r="X199" i="2"/>
  <c r="W206" i="2"/>
  <c r="W204" i="2"/>
  <c r="AA11" i="2"/>
  <c r="AA27" i="2"/>
  <c r="Y143" i="2"/>
  <c r="AQ39" i="3" l="1"/>
  <c r="AQ40" i="3"/>
  <c r="AQ41" i="3" s="1"/>
  <c r="AH39" i="3"/>
  <c r="X50" i="2"/>
  <c r="AH40" i="3"/>
  <c r="AH41" i="3" s="1"/>
  <c r="AH30" i="3"/>
  <c r="X42" i="2" s="1"/>
  <c r="AL19" i="3"/>
  <c r="AL21" i="3"/>
  <c r="AL20" i="3"/>
  <c r="AN22" i="3"/>
  <c r="W182" i="2"/>
  <c r="W185" i="2" s="1"/>
  <c r="W193" i="2" s="1"/>
  <c r="W51" i="2"/>
  <c r="W52" i="2"/>
  <c r="AA36" i="2"/>
  <c r="AA37" i="2" s="1"/>
  <c r="AJ38" i="3"/>
  <c r="AJ30" i="3" s="1"/>
  <c r="Y42" i="2" s="1"/>
  <c r="AP24" i="3"/>
  <c r="AP27" i="3"/>
  <c r="AB39" i="2" s="1"/>
  <c r="Z143" i="2"/>
  <c r="T85" i="2"/>
  <c r="T86" i="2" s="1"/>
  <c r="Y46" i="2"/>
  <c r="AP16" i="3"/>
  <c r="AP32" i="3"/>
  <c r="AP46" i="3"/>
  <c r="AB57" i="2" s="1"/>
  <c r="AP44" i="3"/>
  <c r="AB55" i="2" s="1"/>
  <c r="AD51" i="3"/>
  <c r="AD48" i="3"/>
  <c r="Y199" i="2"/>
  <c r="X206" i="2"/>
  <c r="X204" i="2"/>
  <c r="V56" i="2"/>
  <c r="V144" i="2" s="1"/>
  <c r="AE47" i="3"/>
  <c r="AF45" i="3"/>
  <c r="AL34" i="3"/>
  <c r="Z45" i="2"/>
  <c r="Z48" i="2" s="1"/>
  <c r="AA141" i="2"/>
  <c r="AA155" i="2"/>
  <c r="AA160" i="2" s="1"/>
  <c r="AA28" i="2"/>
  <c r="AA40" i="2"/>
  <c r="AA142" i="2"/>
  <c r="AA198" i="2"/>
  <c r="AB67" i="3"/>
  <c r="AB70" i="3"/>
  <c r="AB66" i="3"/>
  <c r="AA78" i="3"/>
  <c r="AA77" i="3"/>
  <c r="Z150" i="2"/>
  <c r="Z183" i="2" s="1"/>
  <c r="Y78" i="3"/>
  <c r="S91" i="2"/>
  <c r="S276" i="2"/>
  <c r="AH276" i="2" s="1"/>
  <c r="S274" i="2"/>
  <c r="AH274" i="2" s="1"/>
  <c r="Z47" i="2"/>
  <c r="T78" i="2"/>
  <c r="T79" i="2"/>
  <c r="AN33" i="3"/>
  <c r="AA45" i="2" s="1"/>
  <c r="AA44" i="2"/>
  <c r="U62" i="2"/>
  <c r="AC52" i="3"/>
  <c r="AC65" i="3"/>
  <c r="AC53" i="3"/>
  <c r="Z76" i="3"/>
  <c r="T91" i="2" s="1"/>
  <c r="N23" i="4" s="1"/>
  <c r="T89" i="2"/>
  <c r="AB27" i="2"/>
  <c r="AB11" i="2"/>
  <c r="M23" i="4" l="1"/>
  <c r="AH91" i="2"/>
  <c r="AN20" i="3"/>
  <c r="AN19" i="3"/>
  <c r="AN21" i="3"/>
  <c r="AP22" i="3"/>
  <c r="AJ39" i="3"/>
  <c r="Y50" i="2"/>
  <c r="AJ40" i="3"/>
  <c r="AJ41" i="3" s="1"/>
  <c r="X182" i="2"/>
  <c r="X185" i="2" s="1"/>
  <c r="X193" i="2" s="1"/>
  <c r="X51" i="2"/>
  <c r="X52" i="2"/>
  <c r="AL38" i="3"/>
  <c r="AB36" i="2"/>
  <c r="AB37" i="2" s="1"/>
  <c r="AN34" i="3"/>
  <c r="AA143" i="2"/>
  <c r="T189" i="2"/>
  <c r="AA48" i="2"/>
  <c r="AD53" i="3"/>
  <c r="AD52" i="3"/>
  <c r="AD65" i="3"/>
  <c r="AP33" i="3"/>
  <c r="AB45" i="2" s="1"/>
  <c r="AB44" i="2"/>
  <c r="Z77" i="3"/>
  <c r="Z78" i="3"/>
  <c r="AG45" i="3"/>
  <c r="AF47" i="3"/>
  <c r="T101" i="2"/>
  <c r="G29" i="4" s="1"/>
  <c r="G23" i="4" s="1"/>
  <c r="T92" i="2"/>
  <c r="T93" i="2"/>
  <c r="Z46" i="2"/>
  <c r="AB74" i="3"/>
  <c r="U85" i="2"/>
  <c r="V58" i="2"/>
  <c r="V59" i="2" s="1"/>
  <c r="AE51" i="3"/>
  <c r="AE48" i="3"/>
  <c r="T274" i="2"/>
  <c r="T276" i="2"/>
  <c r="AA150" i="2"/>
  <c r="AA183" i="2" s="1"/>
  <c r="U77" i="2"/>
  <c r="AC66" i="3"/>
  <c r="AC70" i="3"/>
  <c r="AC74" i="3" s="1"/>
  <c r="AC76" i="3" s="1"/>
  <c r="AC67" i="3"/>
  <c r="AB40" i="2"/>
  <c r="AB28" i="2"/>
  <c r="AB142" i="2"/>
  <c r="AB155" i="2"/>
  <c r="AB160" i="2" s="1"/>
  <c r="AB141" i="2"/>
  <c r="AB198" i="2"/>
  <c r="U63" i="2"/>
  <c r="U64" i="2"/>
  <c r="U271" i="2"/>
  <c r="AA47" i="2"/>
  <c r="AA46" i="2"/>
  <c r="S93" i="2"/>
  <c r="AH93" i="2" s="1"/>
  <c r="S101" i="2"/>
  <c r="Z199" i="2"/>
  <c r="Y206" i="2"/>
  <c r="Y204" i="2"/>
  <c r="F29" i="4" l="1"/>
  <c r="F23" i="4" s="1"/>
  <c r="AH101" i="2"/>
  <c r="AP21" i="3"/>
  <c r="AP19" i="3"/>
  <c r="AL39" i="3"/>
  <c r="Z50" i="2"/>
  <c r="AL40" i="3"/>
  <c r="AL41" i="3" s="1"/>
  <c r="AL30" i="3"/>
  <c r="Z42" i="2" s="1"/>
  <c r="Y182" i="2"/>
  <c r="Y185" i="2" s="1"/>
  <c r="Y193" i="2" s="1"/>
  <c r="Y51" i="2"/>
  <c r="Y52" i="2"/>
  <c r="AN38" i="3"/>
  <c r="AN30" i="3" s="1"/>
  <c r="AA42" i="2" s="1"/>
  <c r="AP20" i="3"/>
  <c r="W56" i="2"/>
  <c r="W144" i="2" s="1"/>
  <c r="AG47" i="3"/>
  <c r="AH45" i="3"/>
  <c r="AA199" i="2"/>
  <c r="Z206" i="2"/>
  <c r="Z204" i="2"/>
  <c r="AB150" i="2"/>
  <c r="AB183" i="2" s="1"/>
  <c r="AF51" i="3"/>
  <c r="AF48" i="3"/>
  <c r="S107" i="2"/>
  <c r="AH107" i="2" s="1"/>
  <c r="S288" i="2"/>
  <c r="AH288" i="2" s="1"/>
  <c r="S104" i="2"/>
  <c r="AH104" i="2" s="1"/>
  <c r="V62" i="2"/>
  <c r="AE65" i="3"/>
  <c r="AE53" i="3"/>
  <c r="AE52" i="3"/>
  <c r="AB46" i="2"/>
  <c r="AB47" i="2"/>
  <c r="U86" i="2"/>
  <c r="U276" i="2" s="1"/>
  <c r="U189" i="2"/>
  <c r="AP34" i="3"/>
  <c r="AB48" i="2"/>
  <c r="AB143" i="2"/>
  <c r="AB76" i="3"/>
  <c r="U89" i="2"/>
  <c r="AC78" i="3"/>
  <c r="AC77" i="3"/>
  <c r="AD70" i="3"/>
  <c r="AD66" i="3"/>
  <c r="AD67" i="3"/>
  <c r="U79" i="2"/>
  <c r="U78" i="2"/>
  <c r="T104" i="2"/>
  <c r="T107" i="2"/>
  <c r="AA50" i="2" l="1"/>
  <c r="AN39" i="3"/>
  <c r="AN40" i="3"/>
  <c r="AN41" i="3" s="1"/>
  <c r="AP38" i="3"/>
  <c r="Z182" i="2"/>
  <c r="Z185" i="2" s="1"/>
  <c r="Z193" i="2" s="1"/>
  <c r="Z51" i="2"/>
  <c r="Z52" i="2"/>
  <c r="U274" i="2"/>
  <c r="S109" i="2"/>
  <c r="S249" i="2"/>
  <c r="V77" i="2"/>
  <c r="AE70" i="3"/>
  <c r="AE74" i="3" s="1"/>
  <c r="AE76" i="3" s="1"/>
  <c r="AE67" i="3"/>
  <c r="AE66" i="3"/>
  <c r="AI45" i="3"/>
  <c r="X56" i="2" s="1"/>
  <c r="X144" i="2" s="1"/>
  <c r="AH47" i="3"/>
  <c r="T109" i="2"/>
  <c r="G34" i="4" s="1"/>
  <c r="T249" i="2"/>
  <c r="T251" i="2" s="1"/>
  <c r="AF53" i="3"/>
  <c r="AF65" i="3"/>
  <c r="AF52" i="3"/>
  <c r="AD74" i="3"/>
  <c r="AA206" i="2"/>
  <c r="AB199" i="2"/>
  <c r="AA204" i="2"/>
  <c r="V64" i="2"/>
  <c r="V271" i="2"/>
  <c r="V63" i="2"/>
  <c r="W58" i="2"/>
  <c r="W59" i="2" s="1"/>
  <c r="AG51" i="3"/>
  <c r="AG48" i="3"/>
  <c r="U91" i="2"/>
  <c r="AB77" i="3"/>
  <c r="AB78" i="3"/>
  <c r="F34" i="4" l="1"/>
  <c r="AH109" i="2"/>
  <c r="S251" i="2"/>
  <c r="AH251" i="2" s="1"/>
  <c r="AH249" i="2"/>
  <c r="AB50" i="2"/>
  <c r="AP39" i="3"/>
  <c r="AP40" i="3"/>
  <c r="AP41" i="3" s="1"/>
  <c r="AP30" i="3"/>
  <c r="AB42" i="2" s="1"/>
  <c r="AA182" i="2"/>
  <c r="AA185" i="2" s="1"/>
  <c r="AA193" i="2" s="1"/>
  <c r="AA51" i="2"/>
  <c r="AA52" i="2"/>
  <c r="V85" i="2"/>
  <c r="V86" i="2" s="1"/>
  <c r="V276" i="2" s="1"/>
  <c r="T113" i="2"/>
  <c r="T110" i="2"/>
  <c r="T209" i="2" s="1"/>
  <c r="T213" i="2" s="1"/>
  <c r="T112" i="2"/>
  <c r="AH51" i="3"/>
  <c r="AH48" i="3"/>
  <c r="AD76" i="3"/>
  <c r="V91" i="2" s="1"/>
  <c r="V89" i="2"/>
  <c r="W62" i="2"/>
  <c r="AG65" i="3"/>
  <c r="AG53" i="3"/>
  <c r="AG52" i="3"/>
  <c r="AJ45" i="3"/>
  <c r="AI47" i="3"/>
  <c r="AB206" i="2"/>
  <c r="AB204" i="2"/>
  <c r="AE77" i="3"/>
  <c r="AE78" i="3"/>
  <c r="U101" i="2"/>
  <c r="U93" i="2"/>
  <c r="U92" i="2"/>
  <c r="V79" i="2"/>
  <c r="V78" i="2"/>
  <c r="AF70" i="3"/>
  <c r="AF66" i="3"/>
  <c r="AF67" i="3"/>
  <c r="S112" i="2"/>
  <c r="AH112" i="2" s="1"/>
  <c r="S110" i="2"/>
  <c r="S209" i="2" l="1"/>
  <c r="AH209" i="2" s="1"/>
  <c r="AH110" i="2"/>
  <c r="AB182" i="2"/>
  <c r="AB185" i="2" s="1"/>
  <c r="AB193" i="2" s="1"/>
  <c r="AB51" i="2"/>
  <c r="AB52" i="2"/>
  <c r="V189" i="2"/>
  <c r="W77" i="2"/>
  <c r="AG66" i="3"/>
  <c r="AG67" i="3"/>
  <c r="AG70" i="3"/>
  <c r="AG74" i="3" s="1"/>
  <c r="AG76" i="3" s="1"/>
  <c r="W63" i="2"/>
  <c r="W271" i="2"/>
  <c r="W64" i="2"/>
  <c r="V93" i="2"/>
  <c r="V92" i="2"/>
  <c r="V101" i="2"/>
  <c r="AD77" i="3"/>
  <c r="AD78" i="3"/>
  <c r="AH52" i="3"/>
  <c r="AH53" i="3"/>
  <c r="AH65" i="3"/>
  <c r="V274" i="2"/>
  <c r="U107" i="2"/>
  <c r="U104" i="2"/>
  <c r="AF74" i="3"/>
  <c r="X58" i="2"/>
  <c r="X59" i="2" s="1"/>
  <c r="AI48" i="3"/>
  <c r="AI51" i="3"/>
  <c r="X62" i="2" s="1"/>
  <c r="AJ47" i="3"/>
  <c r="AK45" i="3"/>
  <c r="Y56" i="2"/>
  <c r="Y144" i="2" s="1"/>
  <c r="S213" i="2" l="1"/>
  <c r="AH213" i="2" s="1"/>
  <c r="W85" i="2"/>
  <c r="W189" i="2" s="1"/>
  <c r="AJ48" i="3"/>
  <c r="AJ51" i="3"/>
  <c r="Y58" i="2"/>
  <c r="Y59" i="2" s="1"/>
  <c r="AF76" i="3"/>
  <c r="W89" i="2"/>
  <c r="V104" i="2"/>
  <c r="V107" i="2"/>
  <c r="U249" i="2"/>
  <c r="U251" i="2" s="1"/>
  <c r="U109" i="2"/>
  <c r="AH67" i="3"/>
  <c r="AH70" i="3"/>
  <c r="AH66" i="3"/>
  <c r="AL45" i="3"/>
  <c r="AK47" i="3"/>
  <c r="AG78" i="3"/>
  <c r="AG77" i="3"/>
  <c r="X271" i="2"/>
  <c r="X63" i="2"/>
  <c r="X64" i="2"/>
  <c r="AI53" i="3"/>
  <c r="AI52" i="3"/>
  <c r="AI65" i="3"/>
  <c r="W78" i="2"/>
  <c r="W79" i="2"/>
  <c r="W86" i="2" l="1"/>
  <c r="W276" i="2" s="1"/>
  <c r="U113" i="2"/>
  <c r="U112" i="2"/>
  <c r="U110" i="2"/>
  <c r="U209" i="2" s="1"/>
  <c r="AK48" i="3"/>
  <c r="AK51" i="3"/>
  <c r="AL47" i="3"/>
  <c r="AM45" i="3"/>
  <c r="V109" i="2"/>
  <c r="V249" i="2"/>
  <c r="V251" i="2" s="1"/>
  <c r="X77" i="2"/>
  <c r="AI70" i="3"/>
  <c r="AI74" i="3" s="1"/>
  <c r="AI76" i="3" s="1"/>
  <c r="AI66" i="3"/>
  <c r="AI67" i="3"/>
  <c r="AH74" i="3"/>
  <c r="AF77" i="3"/>
  <c r="AF78" i="3"/>
  <c r="W91" i="2"/>
  <c r="AJ52" i="3"/>
  <c r="AJ65" i="3"/>
  <c r="AJ53" i="3"/>
  <c r="W274" i="2" l="1"/>
  <c r="X85" i="2"/>
  <c r="X189" i="2" s="1"/>
  <c r="AI78" i="3"/>
  <c r="AI77" i="3"/>
  <c r="AJ67" i="3"/>
  <c r="AJ70" i="3"/>
  <c r="AJ66" i="3"/>
  <c r="V112" i="2"/>
  <c r="V113" i="2"/>
  <c r="V110" i="2"/>
  <c r="V209" i="2" s="1"/>
  <c r="V213" i="2" s="1"/>
  <c r="W93" i="2"/>
  <c r="W101" i="2"/>
  <c r="W92" i="2"/>
  <c r="Z56" i="2"/>
  <c r="Z144" i="2" s="1"/>
  <c r="AM47" i="3"/>
  <c r="AN45" i="3"/>
  <c r="AL51" i="3"/>
  <c r="AL48" i="3"/>
  <c r="Y62" i="2"/>
  <c r="AK52" i="3"/>
  <c r="AK53" i="3"/>
  <c r="AK65" i="3"/>
  <c r="Y77" i="2" s="1"/>
  <c r="AH76" i="3"/>
  <c r="X89" i="2"/>
  <c r="U213" i="2"/>
  <c r="X78" i="2"/>
  <c r="X79" i="2"/>
  <c r="X86" i="2" l="1"/>
  <c r="X276" i="2" s="1"/>
  <c r="W107" i="2"/>
  <c r="W104" i="2"/>
  <c r="AH77" i="3"/>
  <c r="AH78" i="3"/>
  <c r="X91" i="2"/>
  <c r="Y64" i="2"/>
  <c r="Y63" i="2"/>
  <c r="Y271" i="2"/>
  <c r="Y78" i="2"/>
  <c r="Y79" i="2"/>
  <c r="AK67" i="3"/>
  <c r="AK66" i="3"/>
  <c r="AK70" i="3"/>
  <c r="AK74" i="3" s="1"/>
  <c r="AK76" i="3" s="1"/>
  <c r="AL65" i="3"/>
  <c r="AL53" i="3"/>
  <c r="AL52" i="3"/>
  <c r="AJ74" i="3"/>
  <c r="AO45" i="3"/>
  <c r="AN47" i="3"/>
  <c r="Z58" i="2"/>
  <c r="Z59" i="2" s="1"/>
  <c r="AM48" i="3"/>
  <c r="AM51" i="3"/>
  <c r="Y85" i="2" l="1"/>
  <c r="Y86" i="2" s="1"/>
  <c r="Y276" i="2" s="1"/>
  <c r="X274" i="2"/>
  <c r="AL67" i="3"/>
  <c r="AL70" i="3"/>
  <c r="AL66" i="3"/>
  <c r="AK78" i="3"/>
  <c r="AK77" i="3"/>
  <c r="AJ76" i="3"/>
  <c r="Y89" i="2"/>
  <c r="Z62" i="2"/>
  <c r="AM52" i="3"/>
  <c r="AM53" i="3"/>
  <c r="AM65" i="3"/>
  <c r="X92" i="2"/>
  <c r="X101" i="2"/>
  <c r="X93" i="2"/>
  <c r="AN48" i="3"/>
  <c r="AN51" i="3"/>
  <c r="AA56" i="2"/>
  <c r="AA144" i="2" s="1"/>
  <c r="AO47" i="3"/>
  <c r="AP45" i="3"/>
  <c r="W109" i="2"/>
  <c r="W249" i="2"/>
  <c r="W251" i="2" s="1"/>
  <c r="Y189" i="2" l="1"/>
  <c r="Y274" i="2"/>
  <c r="AA58" i="2"/>
  <c r="AA59" i="2" s="1"/>
  <c r="AO48" i="3"/>
  <c r="AO51" i="3"/>
  <c r="AQ45" i="3"/>
  <c r="AQ47" i="3" s="1"/>
  <c r="AP47" i="3"/>
  <c r="AB56" i="2"/>
  <c r="AB144" i="2" s="1"/>
  <c r="AN65" i="3"/>
  <c r="AN53" i="3"/>
  <c r="AN52" i="3"/>
  <c r="AJ77" i="3"/>
  <c r="Y91" i="2"/>
  <c r="AJ78" i="3"/>
  <c r="X104" i="2"/>
  <c r="X107" i="2"/>
  <c r="W110" i="2"/>
  <c r="W209" i="2" s="1"/>
  <c r="W112" i="2"/>
  <c r="W113" i="2"/>
  <c r="Z77" i="2"/>
  <c r="AM70" i="3"/>
  <c r="AM74" i="3" s="1"/>
  <c r="AM76" i="3" s="1"/>
  <c r="AM67" i="3"/>
  <c r="AM66" i="3"/>
  <c r="AL74" i="3"/>
  <c r="Z85" i="2"/>
  <c r="Z63" i="2"/>
  <c r="Z271" i="2"/>
  <c r="Z64" i="2"/>
  <c r="Z78" i="2" l="1"/>
  <c r="Z79" i="2"/>
  <c r="W213" i="2"/>
  <c r="X109" i="2"/>
  <c r="X249" i="2"/>
  <c r="X251" i="2" s="1"/>
  <c r="AM78" i="3"/>
  <c r="AM77" i="3"/>
  <c r="AP48" i="3"/>
  <c r="AP51" i="3"/>
  <c r="AB58" i="2"/>
  <c r="AB59" i="2" s="1"/>
  <c r="AN70" i="3"/>
  <c r="AN66" i="3"/>
  <c r="AN67" i="3"/>
  <c r="AL76" i="3"/>
  <c r="Z89" i="2"/>
  <c r="AQ48" i="3"/>
  <c r="AQ51" i="3"/>
  <c r="Z189" i="2"/>
  <c r="Z86" i="2"/>
  <c r="Z276" i="2" s="1"/>
  <c r="AA62" i="2"/>
  <c r="AO65" i="3"/>
  <c r="AA77" i="2" s="1"/>
  <c r="AO52" i="3"/>
  <c r="AO53" i="3"/>
  <c r="Y101" i="2"/>
  <c r="Y93" i="2"/>
  <c r="Y92" i="2"/>
  <c r="Y107" i="2" l="1"/>
  <c r="Y104" i="2"/>
  <c r="AA78" i="2"/>
  <c r="AA79" i="2"/>
  <c r="X113" i="2"/>
  <c r="X110" i="2"/>
  <c r="X209" i="2" s="1"/>
  <c r="X213" i="2" s="1"/>
  <c r="X112" i="2"/>
  <c r="AN74" i="3"/>
  <c r="AO70" i="3"/>
  <c r="AO74" i="3" s="1"/>
  <c r="AO76" i="3" s="1"/>
  <c r="AO66" i="3"/>
  <c r="AO67" i="3"/>
  <c r="Z91" i="2"/>
  <c r="AL77" i="3"/>
  <c r="AL78" i="3"/>
  <c r="AP53" i="3"/>
  <c r="AB62" i="2"/>
  <c r="AP52" i="3"/>
  <c r="AP65" i="3"/>
  <c r="Z274" i="2"/>
  <c r="AA271" i="2"/>
  <c r="AA63" i="2"/>
  <c r="AA64" i="2"/>
  <c r="AQ65" i="3"/>
  <c r="AQ52" i="3"/>
  <c r="AQ53" i="3"/>
  <c r="AA85" i="2" l="1"/>
  <c r="AA189" i="2" s="1"/>
  <c r="AN76" i="3"/>
  <c r="AA89" i="2"/>
  <c r="AB77" i="2"/>
  <c r="AP70" i="3"/>
  <c r="AP67" i="3"/>
  <c r="AP66" i="3"/>
  <c r="AQ70" i="3"/>
  <c r="AQ74" i="3" s="1"/>
  <c r="AQ76" i="3" s="1"/>
  <c r="AQ67" i="3"/>
  <c r="AQ66" i="3"/>
  <c r="AB63" i="2"/>
  <c r="AB271" i="2"/>
  <c r="AB64" i="2"/>
  <c r="AO77" i="3"/>
  <c r="AO78" i="3"/>
  <c r="Z92" i="2"/>
  <c r="Z101" i="2"/>
  <c r="Z93" i="2"/>
  <c r="Y249" i="2"/>
  <c r="Y251" i="2" s="1"/>
  <c r="Y109" i="2"/>
  <c r="AB85" i="2" l="1"/>
  <c r="AB189" i="2" s="1"/>
  <c r="AP74" i="3"/>
  <c r="AP76" i="3" s="1"/>
  <c r="AA86" i="2"/>
  <c r="AA276" i="2" s="1"/>
  <c r="Z107" i="2"/>
  <c r="Z104" i="2"/>
  <c r="AB78" i="2"/>
  <c r="AB79" i="2"/>
  <c r="AQ77" i="3"/>
  <c r="AQ78" i="3"/>
  <c r="Y112" i="2"/>
  <c r="Y110" i="2"/>
  <c r="Y209" i="2" s="1"/>
  <c r="Y213" i="2" s="1"/>
  <c r="Y113" i="2"/>
  <c r="AN77" i="3"/>
  <c r="AA91" i="2"/>
  <c r="AN78" i="3"/>
  <c r="AB89" i="2" l="1"/>
  <c r="AB86" i="2"/>
  <c r="AB276" i="2" s="1"/>
  <c r="AA274" i="2"/>
  <c r="AA101" i="2"/>
  <c r="AA92" i="2"/>
  <c r="AA93" i="2"/>
  <c r="Z249" i="2"/>
  <c r="Z251" i="2" s="1"/>
  <c r="Z109" i="2"/>
  <c r="AB91" i="2"/>
  <c r="AP77" i="3"/>
  <c r="AP78" i="3"/>
  <c r="AB274" i="2" l="1"/>
  <c r="AB93" i="2"/>
  <c r="AB101" i="2"/>
  <c r="AB92" i="2"/>
  <c r="Z113" i="2"/>
  <c r="Z110" i="2"/>
  <c r="Z209" i="2" s="1"/>
  <c r="Z213" i="2" s="1"/>
  <c r="Z112" i="2"/>
  <c r="AA104" i="2"/>
  <c r="AA107" i="2"/>
  <c r="AA249" i="2" l="1"/>
  <c r="AA109" i="2"/>
  <c r="AB104" i="2"/>
  <c r="AB107" i="2"/>
  <c r="AB109" i="2" l="1"/>
  <c r="AB249" i="2"/>
  <c r="AA113" i="2"/>
  <c r="AA110" i="2"/>
  <c r="AA209" i="2" s="1"/>
  <c r="AA213" i="2" s="1"/>
  <c r="AA112" i="2"/>
  <c r="AA250" i="2" l="1"/>
  <c r="AA251" i="2" s="1"/>
  <c r="AB251" i="2"/>
  <c r="AB110" i="2"/>
  <c r="AB209" i="2" s="1"/>
  <c r="AB213" i="2" s="1"/>
  <c r="AB112" i="2"/>
  <c r="AB113" i="2"/>
  <c r="Y19" i="3" l="1"/>
  <c r="AA19" i="3" l="1"/>
  <c r="S31" i="2"/>
  <c r="AH31" i="2" s="1"/>
  <c r="Y21" i="3"/>
  <c r="Y20" i="3"/>
  <c r="AA20" i="3" l="1"/>
  <c r="S32" i="2"/>
  <c r="AH32" i="2" s="1"/>
  <c r="AA21" i="3"/>
  <c r="S33" i="2"/>
  <c r="AH33" i="2" s="1"/>
  <c r="AC19" i="3"/>
  <c r="T31" i="2"/>
  <c r="S34" i="2" l="1"/>
  <c r="AH34" i="2" s="1"/>
  <c r="AC21" i="3"/>
  <c r="T33" i="2"/>
  <c r="AE19" i="3"/>
  <c r="U31" i="2"/>
  <c r="AC20" i="3"/>
  <c r="T32" i="2"/>
  <c r="T34" i="2" l="1"/>
  <c r="AE20" i="3"/>
  <c r="U32" i="2"/>
  <c r="AG19" i="3"/>
  <c r="V31" i="2"/>
  <c r="AE21" i="3"/>
  <c r="U33" i="2"/>
  <c r="U34" i="2" l="1"/>
  <c r="AG21" i="3"/>
  <c r="V33" i="2"/>
  <c r="AI19" i="3"/>
  <c r="W31" i="2"/>
  <c r="AG20" i="3"/>
  <c r="V32" i="2"/>
  <c r="V34" i="2" l="1"/>
  <c r="AI20" i="3"/>
  <c r="W32" i="2"/>
  <c r="AK19" i="3"/>
  <c r="X31" i="2"/>
  <c r="AI21" i="3"/>
  <c r="W33" i="2"/>
  <c r="W34" i="2" l="1"/>
  <c r="AK21" i="3"/>
  <c r="X33" i="2"/>
  <c r="AM19" i="3"/>
  <c r="Y31" i="2"/>
  <c r="AK20" i="3"/>
  <c r="X32" i="2"/>
  <c r="X34" i="2" l="1"/>
  <c r="AM20" i="3"/>
  <c r="Y32" i="2"/>
  <c r="AO19" i="3"/>
  <c r="Z31" i="2"/>
  <c r="AM21" i="3"/>
  <c r="Y33" i="2"/>
  <c r="Y34" i="2" l="1"/>
  <c r="AO21" i="3"/>
  <c r="Z33" i="2"/>
  <c r="AQ19" i="3"/>
  <c r="AB31" i="2" s="1"/>
  <c r="AA31" i="2"/>
  <c r="AO20" i="3"/>
  <c r="Z32" i="2"/>
  <c r="Z34" i="2" l="1"/>
  <c r="AQ20" i="3"/>
  <c r="AB32" i="2" s="1"/>
  <c r="AA32" i="2"/>
  <c r="AQ21" i="3"/>
  <c r="AB33" i="2" s="1"/>
  <c r="AA33" i="2"/>
  <c r="AA34" i="2" l="1"/>
  <c r="AB34" i="2"/>
  <c r="Y41" i="3"/>
  <c r="Y39" i="3"/>
  <c r="S51" i="2" l="1"/>
  <c r="AH51" i="2" s="1"/>
  <c r="S23" i="4"/>
  <c r="S33" i="4" s="1"/>
  <c r="L33" i="4"/>
  <c r="Y66" i="3"/>
  <c r="L28" i="4"/>
  <c r="Y52" i="3"/>
  <c r="S63" i="2"/>
  <c r="AH63" i="2" s="1"/>
  <c r="S79" i="2" l="1"/>
  <c r="AH79" i="2" s="1"/>
  <c r="Y77" i="3" l="1"/>
  <c r="L23" i="4"/>
  <c r="E29" i="4" l="1"/>
  <c r="E23" i="4" s="1"/>
  <c r="S92" i="2"/>
  <c r="AH92" i="2" s="1"/>
  <c r="E34" i="4" l="1"/>
  <c r="D251" i="2"/>
  <c r="T252" i="2" l="1"/>
  <c r="K11" i="4"/>
  <c r="L11" i="4" s="1"/>
  <c r="S252" i="2"/>
  <c r="AH252" i="2" s="1"/>
  <c r="Y252" i="2"/>
  <c r="W252" i="2"/>
  <c r="U252" i="2"/>
  <c r="AA252" i="2"/>
  <c r="V252" i="2"/>
  <c r="X252" i="2"/>
  <c r="Z252" i="2"/>
  <c r="S113" i="2"/>
  <c r="AH113" i="2" s="1"/>
  <c r="S171" i="2" l="1"/>
  <c r="AH171" i="2" s="1"/>
  <c r="S67" i="2"/>
  <c r="AH67" i="2" s="1"/>
  <c r="X56" i="3" l="1"/>
  <c r="Y56" i="3" s="1"/>
  <c r="S186" i="2"/>
  <c r="T171" i="2"/>
  <c r="S191" i="2" l="1"/>
  <c r="AH191" i="2" s="1"/>
  <c r="AH186" i="2"/>
  <c r="U171" i="2"/>
  <c r="S219" i="2" l="1"/>
  <c r="AH219" i="2" s="1"/>
  <c r="S192" i="2"/>
  <c r="AH192" i="2" s="1"/>
  <c r="S217" i="2"/>
  <c r="S140" i="2" s="1"/>
  <c r="V171" i="2"/>
  <c r="AH217" i="2" l="1"/>
  <c r="AH140" i="2"/>
  <c r="S162" i="2"/>
  <c r="S163" i="2" s="1"/>
  <c r="S147" i="2"/>
  <c r="AH147" i="2" s="1"/>
  <c r="T67" i="2"/>
  <c r="T33" i="4"/>
  <c r="AH162" i="2"/>
  <c r="S253" i="2"/>
  <c r="AH253" i="2" s="1"/>
  <c r="W171" i="2"/>
  <c r="Z56" i="3"/>
  <c r="AA56" i="3" s="1"/>
  <c r="T186" i="2"/>
  <c r="T191" i="2" s="1"/>
  <c r="S152" i="2"/>
  <c r="AH152" i="2" s="1"/>
  <c r="S172" i="2" l="1"/>
  <c r="S174" i="2" s="1"/>
  <c r="S151" i="2"/>
  <c r="AH151" i="2" s="1"/>
  <c r="S164" i="2"/>
  <c r="AH164" i="2" s="1"/>
  <c r="AH163" i="2"/>
  <c r="T192" i="2"/>
  <c r="T219" i="2"/>
  <c r="T217" i="2"/>
  <c r="T140" i="2" s="1"/>
  <c r="X171" i="2"/>
  <c r="AH172" i="2" l="1"/>
  <c r="AH174" i="2"/>
  <c r="S176" i="2"/>
  <c r="AH176" i="2" s="1"/>
  <c r="S175" i="2"/>
  <c r="AH175" i="2" s="1"/>
  <c r="S270" i="2"/>
  <c r="AH270" i="2" s="1"/>
  <c r="Y171" i="2"/>
  <c r="T147" i="2"/>
  <c r="U67" i="2"/>
  <c r="T162" i="2"/>
  <c r="U33" i="4" s="1"/>
  <c r="S272" i="2"/>
  <c r="AH272" i="2" s="1"/>
  <c r="S275" i="2" l="1"/>
  <c r="AH275" i="2" s="1"/>
  <c r="T152" i="2"/>
  <c r="T172" i="2"/>
  <c r="T174" i="2" s="1"/>
  <c r="T151" i="2"/>
  <c r="T163" i="2"/>
  <c r="T164" i="2" s="1"/>
  <c r="T253" i="2"/>
  <c r="U186" i="2"/>
  <c r="U191" i="2" s="1"/>
  <c r="AB56" i="3"/>
  <c r="AC56" i="3" s="1"/>
  <c r="Z171" i="2"/>
  <c r="AA171" i="2" l="1"/>
  <c r="U219" i="2"/>
  <c r="U217" i="2"/>
  <c r="U140" i="2" s="1"/>
  <c r="U192" i="2"/>
  <c r="T270" i="2"/>
  <c r="T176" i="2"/>
  <c r="T175" i="2"/>
  <c r="T272" i="2" l="1"/>
  <c r="T275" i="2"/>
  <c r="U147" i="2"/>
  <c r="U162" i="2"/>
  <c r="V67" i="2"/>
  <c r="AB171" i="2"/>
  <c r="V186" i="2" l="1"/>
  <c r="V191" i="2" s="1"/>
  <c r="AD56" i="3"/>
  <c r="AE56" i="3" s="1"/>
  <c r="U163" i="2"/>
  <c r="U164" i="2" s="1"/>
  <c r="U253" i="2"/>
  <c r="U151" i="2"/>
  <c r="U172" i="2"/>
  <c r="U174" i="2" s="1"/>
  <c r="U152" i="2"/>
  <c r="U270" i="2" l="1"/>
  <c r="U175" i="2"/>
  <c r="U176" i="2"/>
  <c r="V192" i="2"/>
  <c r="V217" i="2"/>
  <c r="V140" i="2" s="1"/>
  <c r="V219" i="2"/>
  <c r="V162" i="2" l="1"/>
  <c r="V147" i="2"/>
  <c r="W67" i="2"/>
  <c r="U275" i="2"/>
  <c r="U272" i="2"/>
  <c r="V151" i="2" l="1"/>
  <c r="V152" i="2"/>
  <c r="V172" i="2"/>
  <c r="V174" i="2" s="1"/>
  <c r="AF56" i="3"/>
  <c r="AG56" i="3" s="1"/>
  <c r="W186" i="2"/>
  <c r="W191" i="2" s="1"/>
  <c r="V163" i="2"/>
  <c r="V164" i="2" s="1"/>
  <c r="V253" i="2"/>
  <c r="W192" i="2" l="1"/>
  <c r="W219" i="2"/>
  <c r="W217" i="2"/>
  <c r="W140" i="2" s="1"/>
  <c r="V176" i="2"/>
  <c r="V175" i="2"/>
  <c r="V270" i="2"/>
  <c r="V272" i="2" l="1"/>
  <c r="V275" i="2"/>
  <c r="W162" i="2"/>
  <c r="X67" i="2"/>
  <c r="W147" i="2"/>
  <c r="W152" i="2" l="1"/>
  <c r="W172" i="2"/>
  <c r="W174" i="2" s="1"/>
  <c r="W151" i="2"/>
  <c r="AH56" i="3"/>
  <c r="AI56" i="3" s="1"/>
  <c r="X186" i="2"/>
  <c r="X191" i="2" s="1"/>
  <c r="W163" i="2"/>
  <c r="W164" i="2" s="1"/>
  <c r="W253" i="2"/>
  <c r="X192" i="2" l="1"/>
  <c r="X219" i="2"/>
  <c r="X217" i="2"/>
  <c r="X140" i="2" s="1"/>
  <c r="W176" i="2"/>
  <c r="W270" i="2"/>
  <c r="W175" i="2"/>
  <c r="Y67" i="2" l="1"/>
  <c r="X162" i="2"/>
  <c r="X147" i="2"/>
  <c r="W272" i="2"/>
  <c r="W275" i="2"/>
  <c r="X151" i="2" l="1"/>
  <c r="X172" i="2"/>
  <c r="X174" i="2" s="1"/>
  <c r="X152" i="2"/>
  <c r="X163" i="2"/>
  <c r="X164" i="2" s="1"/>
  <c r="X253" i="2"/>
  <c r="AJ56" i="3"/>
  <c r="AK56" i="3" s="1"/>
  <c r="Y186" i="2"/>
  <c r="Y191" i="2" s="1"/>
  <c r="Y219" i="2" l="1"/>
  <c r="Y217" i="2"/>
  <c r="Y140" i="2" s="1"/>
  <c r="Y192" i="2"/>
  <c r="X176" i="2"/>
  <c r="X270" i="2"/>
  <c r="X175" i="2"/>
  <c r="X272" i="2" l="1"/>
  <c r="X275" i="2"/>
  <c r="Y147" i="2"/>
  <c r="Z67" i="2"/>
  <c r="Y162" i="2"/>
  <c r="Z186" i="2" l="1"/>
  <c r="Z191" i="2" s="1"/>
  <c r="AL56" i="3"/>
  <c r="AM56" i="3" s="1"/>
  <c r="Y163" i="2"/>
  <c r="Y164" i="2" s="1"/>
  <c r="Y253" i="2"/>
  <c r="Y172" i="2"/>
  <c r="Y174" i="2" s="1"/>
  <c r="Y151" i="2"/>
  <c r="Y152" i="2"/>
  <c r="Y270" i="2" l="1"/>
  <c r="Y175" i="2"/>
  <c r="Y176" i="2"/>
  <c r="Z192" i="2"/>
  <c r="Z219" i="2"/>
  <c r="Z217" i="2"/>
  <c r="Z140" i="2" s="1"/>
  <c r="Z147" i="2" l="1"/>
  <c r="Z162" i="2"/>
  <c r="AA67" i="2"/>
  <c r="Y272" i="2"/>
  <c r="Y275" i="2"/>
  <c r="AA186" i="2" l="1"/>
  <c r="AA191" i="2" s="1"/>
  <c r="AN56" i="3"/>
  <c r="AO56" i="3" s="1"/>
  <c r="Z163" i="2"/>
  <c r="Z164" i="2" s="1"/>
  <c r="Z253" i="2"/>
  <c r="Z172" i="2"/>
  <c r="Z174" i="2" s="1"/>
  <c r="Z152" i="2"/>
  <c r="Z151" i="2"/>
  <c r="Z270" i="2" l="1"/>
  <c r="Z175" i="2"/>
  <c r="Z176" i="2"/>
  <c r="AA219" i="2"/>
  <c r="AA192" i="2"/>
  <c r="AA217" i="2"/>
  <c r="AA140" i="2" s="1"/>
  <c r="AA162" i="2" l="1"/>
  <c r="AB67" i="2"/>
  <c r="AA147" i="2"/>
  <c r="Z275" i="2"/>
  <c r="Z272" i="2"/>
  <c r="AA172" i="2" l="1"/>
  <c r="AA174" i="2" s="1"/>
  <c r="AA151" i="2"/>
  <c r="AA152" i="2"/>
  <c r="AP56" i="3"/>
  <c r="AQ56" i="3" s="1"/>
  <c r="AB186" i="2"/>
  <c r="AB191" i="2" s="1"/>
  <c r="AA163" i="2"/>
  <c r="AA164" i="2" s="1"/>
  <c r="AA253" i="2"/>
  <c r="AB219" i="2" l="1"/>
  <c r="AB217" i="2"/>
  <c r="AB140" i="2" s="1"/>
  <c r="AB192" i="2"/>
  <c r="AA176" i="2"/>
  <c r="AA270" i="2"/>
  <c r="AA175" i="2"/>
  <c r="AA275" i="2" l="1"/>
  <c r="AA272" i="2"/>
  <c r="AB162" i="2"/>
  <c r="AB163" i="2" s="1"/>
  <c r="AB164" i="2" s="1"/>
  <c r="AB147" i="2"/>
  <c r="AB151" i="2" l="1"/>
  <c r="AB172" i="2"/>
  <c r="AB174" i="2" s="1"/>
  <c r="AB152" i="2"/>
  <c r="AB270" i="2" l="1"/>
  <c r="AB176" i="2"/>
  <c r="AB175" i="2"/>
  <c r="AB272" i="2" l="1"/>
  <c r="AB275" i="2"/>
</calcChain>
</file>

<file path=xl/sharedStrings.xml><?xml version="1.0" encoding="utf-8"?>
<sst xmlns="http://schemas.openxmlformats.org/spreadsheetml/2006/main" count="1224" uniqueCount="506">
  <si>
    <t>Valuation</t>
  </si>
  <si>
    <t>TNE.AX</t>
  </si>
  <si>
    <t xml:space="preserve">DDM </t>
  </si>
  <si>
    <t>Units</t>
  </si>
  <si>
    <t>Current Price =</t>
  </si>
  <si>
    <t>Risk Free Rate</t>
  </si>
  <si>
    <t>%</t>
  </si>
  <si>
    <t>Shares Outstanding =</t>
  </si>
  <si>
    <t>Beta</t>
  </si>
  <si>
    <t>x</t>
  </si>
  <si>
    <t>AS51 Index</t>
  </si>
  <si>
    <t>Market Premium</t>
  </si>
  <si>
    <t>TARGET Relative Forward PE</t>
  </si>
  <si>
    <t>Ke</t>
  </si>
  <si>
    <t>TARGET Forward PE</t>
  </si>
  <si>
    <t>ROE</t>
  </si>
  <si>
    <t>% p.a.</t>
  </si>
  <si>
    <t>PE Price Target =</t>
  </si>
  <si>
    <t>LT Payout Ratio</t>
  </si>
  <si>
    <t>LT growth rate</t>
  </si>
  <si>
    <t>Dividend Discount Model</t>
  </si>
  <si>
    <t>Implied 12M PE Ratio</t>
  </si>
  <si>
    <t>86.2x</t>
  </si>
  <si>
    <t>Notes</t>
  </si>
  <si>
    <t>Implied12M EV/EBITDA Ratio</t>
  </si>
  <si>
    <t>Actual Values</t>
  </si>
  <si>
    <t>(hard coded)</t>
  </si>
  <si>
    <t>EV- market</t>
  </si>
  <si>
    <t>Formula</t>
  </si>
  <si>
    <t>ND/EV</t>
  </si>
  <si>
    <t>Manual entry (assumption)</t>
  </si>
  <si>
    <t>(usually from guidance given by management)</t>
  </si>
  <si>
    <t>Actual ---&gt;</t>
  </si>
  <si>
    <t>Forecast -----&gt;</t>
  </si>
  <si>
    <t>PE</t>
  </si>
  <si>
    <t>NPAT(AUDm)</t>
  </si>
  <si>
    <t>EBITDA (AUDm)</t>
  </si>
  <si>
    <t>Consensus</t>
  </si>
  <si>
    <t>Blackwattle</t>
  </si>
  <si>
    <t>Underlying NPAT</t>
  </si>
  <si>
    <t>EBITDA-EBITDA</t>
  </si>
  <si>
    <t>Difference</t>
  </si>
  <si>
    <t>EPS (Acps)</t>
  </si>
  <si>
    <t>PBT (AUDm)</t>
  </si>
  <si>
    <t>Revenue (AUDm)</t>
  </si>
  <si>
    <t>Shares Outstanding</t>
  </si>
  <si>
    <t>PBT</t>
  </si>
  <si>
    <t>Rev-Total Revenue exc interest</t>
  </si>
  <si>
    <t>EPS</t>
  </si>
  <si>
    <t>PBT margin (cons)</t>
  </si>
  <si>
    <t>EBIT (AUDm)</t>
  </si>
  <si>
    <t>EV / EBITDA</t>
  </si>
  <si>
    <t>DPS (Acps)</t>
  </si>
  <si>
    <t>Net debt</t>
  </si>
  <si>
    <t>EBIT</t>
  </si>
  <si>
    <t>Dividends</t>
  </si>
  <si>
    <t>Dividend Yield</t>
  </si>
  <si>
    <t>FY24</t>
  </si>
  <si>
    <t>% Diff</t>
  </si>
  <si>
    <t>OLD</t>
  </si>
  <si>
    <t>EV/EBITDA</t>
  </si>
  <si>
    <t>EV/Sales</t>
  </si>
  <si>
    <t>EBITDA Growth</t>
  </si>
  <si>
    <t>EBITDA margin</t>
  </si>
  <si>
    <t>Revenue Growth</t>
  </si>
  <si>
    <t>EBIT margin</t>
  </si>
  <si>
    <t>Rule of 40 (EBIT)</t>
  </si>
  <si>
    <t>Market Cap</t>
  </si>
  <si>
    <t>Stock</t>
  </si>
  <si>
    <t>EBITDA</t>
  </si>
  <si>
    <t>FY1</t>
  </si>
  <si>
    <t>FY2</t>
  </si>
  <si>
    <t>NTM</t>
  </si>
  <si>
    <t>FY0-3 CAGR</t>
  </si>
  <si>
    <t>FY3</t>
  </si>
  <si>
    <t>AUDm</t>
  </si>
  <si>
    <t>Code</t>
  </si>
  <si>
    <t>D&amp;A</t>
  </si>
  <si>
    <t>Net Interest</t>
  </si>
  <si>
    <t>Global SaaS</t>
  </si>
  <si>
    <t>SAP.N</t>
  </si>
  <si>
    <t>Tax</t>
  </si>
  <si>
    <t>ORCL.K</t>
  </si>
  <si>
    <t>Tax Rate</t>
  </si>
  <si>
    <t>WDAY.O</t>
  </si>
  <si>
    <t>NPAT</t>
  </si>
  <si>
    <t>CRM.N</t>
  </si>
  <si>
    <t>NOW.N</t>
  </si>
  <si>
    <t>FY25</t>
  </si>
  <si>
    <t>MSFT.O</t>
  </si>
  <si>
    <t>SGE.L</t>
  </si>
  <si>
    <t>TRBG.L</t>
  </si>
  <si>
    <t>MEDIAN</t>
  </si>
  <si>
    <t>MEAN</t>
  </si>
  <si>
    <t>Aus Tech/SaaS</t>
  </si>
  <si>
    <t>OCL.AX</t>
  </si>
  <si>
    <t>SDR.AX</t>
  </si>
  <si>
    <t>RDY.AX</t>
  </si>
  <si>
    <t>FY26</t>
  </si>
  <si>
    <t>RUL.AX</t>
  </si>
  <si>
    <t>WTC.AX</t>
  </si>
  <si>
    <t>XRO.AX</t>
  </si>
  <si>
    <t>360.AX</t>
  </si>
  <si>
    <t>Digital Gaming</t>
  </si>
  <si>
    <t>2yr EPS</t>
  </si>
  <si>
    <t xml:space="preserve">EBITDA </t>
  </si>
  <si>
    <t>CAGR</t>
  </si>
  <si>
    <t>Margin</t>
  </si>
  <si>
    <t>USDm</t>
  </si>
  <si>
    <t>SCPL US Equity</t>
  </si>
  <si>
    <t>ZNGA US Equity</t>
  </si>
  <si>
    <t>TTWO US Equity</t>
  </si>
  <si>
    <t>EA US Equity</t>
  </si>
  <si>
    <t>ROVIO FH Equity</t>
  </si>
  <si>
    <t>ATVI US Equity</t>
  </si>
  <si>
    <t>GLUU US Equity</t>
  </si>
  <si>
    <t>ALL AU Equity</t>
  </si>
  <si>
    <t>Slots Manufacturers</t>
  </si>
  <si>
    <t>SGMS US Equity</t>
  </si>
  <si>
    <t>IGT US Equity</t>
  </si>
  <si>
    <t>AGI AU Equity</t>
  </si>
  <si>
    <t>EVRI US Equity</t>
  </si>
  <si>
    <t>AGS US Equity</t>
  </si>
  <si>
    <t>192080-KR</t>
  </si>
  <si>
    <t>TNE Model Summary</t>
  </si>
  <si>
    <t>Earnings changes=&gt;</t>
  </si>
  <si>
    <t>Actual ----------&gt;</t>
  </si>
  <si>
    <t>Source</t>
  </si>
  <si>
    <t>FY12A</t>
  </si>
  <si>
    <t>FY13A</t>
  </si>
  <si>
    <t>FY14A</t>
  </si>
  <si>
    <t>FY15A</t>
  </si>
  <si>
    <t>FY16A</t>
  </si>
  <si>
    <t>FY17A</t>
  </si>
  <si>
    <t>FY18A</t>
  </si>
  <si>
    <t>FY19A</t>
  </si>
  <si>
    <t>FY20A</t>
  </si>
  <si>
    <t>FY21A</t>
  </si>
  <si>
    <t>FY22A</t>
  </si>
  <si>
    <t>FY23A</t>
  </si>
  <si>
    <t>FY24A</t>
  </si>
  <si>
    <t>FY25E</t>
  </si>
  <si>
    <t>FY26E</t>
  </si>
  <si>
    <t>FY27E</t>
  </si>
  <si>
    <t>FY28E</t>
  </si>
  <si>
    <t>FY29E</t>
  </si>
  <si>
    <t>FY30E</t>
  </si>
  <si>
    <t>FY31E</t>
  </si>
  <si>
    <t>FY32E</t>
  </si>
  <si>
    <t>FY33E</t>
  </si>
  <si>
    <t>FY34E</t>
  </si>
  <si>
    <t>FY35E</t>
  </si>
  <si>
    <t>FY24E</t>
  </si>
  <si>
    <t>P &amp;L</t>
  </si>
  <si>
    <t>Revenue</t>
  </si>
  <si>
    <t>*restated in FY19, with new revenue recognition</t>
  </si>
  <si>
    <t>Rev-SaaS fees</t>
  </si>
  <si>
    <t>SaaS fees</t>
  </si>
  <si>
    <t>AR</t>
  </si>
  <si>
    <t>Rev-Annual licence fees</t>
  </si>
  <si>
    <t>Annual licence fees</t>
  </si>
  <si>
    <t>Rev-Consulting services</t>
  </si>
  <si>
    <t>Consulting services</t>
  </si>
  <si>
    <t>Rev-Legacy licence services (initial fees)</t>
  </si>
  <si>
    <t>Legacy licence services (initial fees)</t>
  </si>
  <si>
    <t>Rev-Revenue from contracts with customers</t>
  </si>
  <si>
    <t>Revenue from contracts with customers</t>
  </si>
  <si>
    <t>Growth</t>
  </si>
  <si>
    <t>% YoY</t>
  </si>
  <si>
    <t>Traditional Consulting Model</t>
  </si>
  <si>
    <t>Growth from upgrades/implementations (Consulting:SaaS 1.6 ratio)</t>
  </si>
  <si>
    <t>Saas Flip</t>
  </si>
  <si>
    <t>Other Growth</t>
  </si>
  <si>
    <t>Other Growth % of pcp</t>
  </si>
  <si>
    <t>Annual license fees + Legacy</t>
  </si>
  <si>
    <t>Total Revenue</t>
  </si>
  <si>
    <t>Rev-Other income exc interest</t>
  </si>
  <si>
    <t>Other income exc interest</t>
  </si>
  <si>
    <t>Total Revenue exc interest</t>
  </si>
  <si>
    <t>Preso</t>
  </si>
  <si>
    <t>Cost of Sales</t>
  </si>
  <si>
    <t>Costs-Variable costs</t>
  </si>
  <si>
    <t>Variable costs</t>
  </si>
  <si>
    <t>Costs-Variable customer SaaS costs</t>
  </si>
  <si>
    <t>Variable customer SaaS costs</t>
  </si>
  <si>
    <t>Costs-Other</t>
  </si>
  <si>
    <t>Other</t>
  </si>
  <si>
    <t>GP-Gross Profit</t>
  </si>
  <si>
    <t>Gross Profit</t>
  </si>
  <si>
    <t>Gross profit margin</t>
  </si>
  <si>
    <t>Opex-Operating costs</t>
  </si>
  <si>
    <t>Operating costs</t>
  </si>
  <si>
    <t>% of sales</t>
  </si>
  <si>
    <t>EBITDA-EBITDAR</t>
  </si>
  <si>
    <t>EBITDAR</t>
  </si>
  <si>
    <t>Opex-R&amp;D- total</t>
  </si>
  <si>
    <t>R&amp;D- total</t>
  </si>
  <si>
    <t>Opex-R&amp;D- capitalisation</t>
  </si>
  <si>
    <t>R&amp;D- capitalisation</t>
  </si>
  <si>
    <t>R&amp;D- net</t>
  </si>
  <si>
    <t>R&amp;D % of sales</t>
  </si>
  <si>
    <t>R&amp;D capitalisation %</t>
  </si>
  <si>
    <t xml:space="preserve">D&amp;A </t>
  </si>
  <si>
    <t>D&amp;A-Depreciation</t>
  </si>
  <si>
    <t>Depreciation</t>
  </si>
  <si>
    <t>D&amp;A-R&amp;D amortisation</t>
  </si>
  <si>
    <t>R&amp;D amortisation</t>
  </si>
  <si>
    <t>D&amp;A-Other amortisation</t>
  </si>
  <si>
    <t>Other amortisation</t>
  </si>
  <si>
    <t xml:space="preserve">D&amp;A-D&amp;A </t>
  </si>
  <si>
    <t>D&amp;A / Revenue</t>
  </si>
  <si>
    <t>Underlying EBIT Growth</t>
  </si>
  <si>
    <t>EBIT Margin</t>
  </si>
  <si>
    <t>Interest</t>
  </si>
  <si>
    <t>Interest income</t>
  </si>
  <si>
    <t>Interest expense</t>
  </si>
  <si>
    <t>Interest expense rate</t>
  </si>
  <si>
    <t>PBTSoftware</t>
  </si>
  <si>
    <t>Software</t>
  </si>
  <si>
    <t>PBTConsulting</t>
  </si>
  <si>
    <t>Consulting</t>
  </si>
  <si>
    <t>PBTCorporate</t>
  </si>
  <si>
    <t>Corporate</t>
  </si>
  <si>
    <t>PBT Margin</t>
  </si>
  <si>
    <t>Guidance at 1H low</t>
  </si>
  <si>
    <t>Guidance at 1H high</t>
  </si>
  <si>
    <t>Tax expense</t>
  </si>
  <si>
    <t>Underlying Tax rate</t>
  </si>
  <si>
    <t>Statutory NPAT</t>
  </si>
  <si>
    <t>Significant items after tax</t>
  </si>
  <si>
    <t>Underlying NPAT Growth</t>
  </si>
  <si>
    <t>Underlying NPAT margin</t>
  </si>
  <si>
    <t>YE Basic Shares Outstanding</t>
  </si>
  <si>
    <t>#m</t>
  </si>
  <si>
    <t>Weighted Average Basic Shares Outstanding</t>
  </si>
  <si>
    <t>Dilution</t>
  </si>
  <si>
    <t>Weighted Average Diluted Shares Outstanding</t>
  </si>
  <si>
    <t>Underlying EPS</t>
  </si>
  <si>
    <t>AUDps</t>
  </si>
  <si>
    <t>EPS Growth</t>
  </si>
  <si>
    <t>Average Share Price</t>
  </si>
  <si>
    <t>PE multiple</t>
  </si>
  <si>
    <t>Ordinary</t>
  </si>
  <si>
    <t>Special</t>
  </si>
  <si>
    <t>Payout Ratio</t>
  </si>
  <si>
    <t>Dividend Growth</t>
  </si>
  <si>
    <t>Operating metrics</t>
  </si>
  <si>
    <t>KPIARR</t>
  </si>
  <si>
    <t>ARR</t>
  </si>
  <si>
    <t>KPISaaS ARR</t>
  </si>
  <si>
    <t>SaaS ARR</t>
  </si>
  <si>
    <t>KPIAnnual licence ARR</t>
  </si>
  <si>
    <t>Annual licence ARR</t>
  </si>
  <si>
    <t>KPITotal ARR</t>
  </si>
  <si>
    <t>Total ARR</t>
  </si>
  <si>
    <t>Growth exc SaaS-flip, assume 2x</t>
  </si>
  <si>
    <t>KPIUK ARR</t>
  </si>
  <si>
    <t>UK ARR</t>
  </si>
  <si>
    <t>KPIUK Revenue</t>
  </si>
  <si>
    <t>UK Revenue</t>
  </si>
  <si>
    <t>KPIUK PBT</t>
  </si>
  <si>
    <t>UK PBT</t>
  </si>
  <si>
    <t>UK PBT margin</t>
  </si>
  <si>
    <t>KPINRR</t>
  </si>
  <si>
    <t>NRR</t>
  </si>
  <si>
    <t>Target 115%</t>
  </si>
  <si>
    <t>KPIChurn</t>
  </si>
  <si>
    <t>Churn</t>
  </si>
  <si>
    <t>Target 1%</t>
  </si>
  <si>
    <t>Customer/user growth</t>
  </si>
  <si>
    <t>KPIProducts per customer</t>
  </si>
  <si>
    <t>Products per customer</t>
  </si>
  <si>
    <t>#</t>
  </si>
  <si>
    <t>NR</t>
  </si>
  <si>
    <t>KPIProducts per customer inc T&amp;S</t>
  </si>
  <si>
    <t>Products per customer inc T&amp;S</t>
  </si>
  <si>
    <t>KPISaaS customers</t>
  </si>
  <si>
    <t>SaaS customers</t>
  </si>
  <si>
    <t>KPISaas ARR per customer</t>
  </si>
  <si>
    <t>Saas ARR per customer</t>
  </si>
  <si>
    <t>KPI</t>
  </si>
  <si>
    <t>Balance Sheet</t>
  </si>
  <si>
    <t>Assets</t>
  </si>
  <si>
    <t xml:space="preserve">Cash </t>
  </si>
  <si>
    <t>Current Receivables</t>
  </si>
  <si>
    <t>Inventories/Prepayments</t>
  </si>
  <si>
    <t>PPE</t>
  </si>
  <si>
    <t>Intangibles</t>
  </si>
  <si>
    <t>Right-of-use-Assets</t>
  </si>
  <si>
    <t xml:space="preserve">Other </t>
  </si>
  <si>
    <t>TOTAL ASSETS</t>
  </si>
  <si>
    <t>Rec / Total Revenue</t>
  </si>
  <si>
    <t>Inv/ Total Revenue</t>
  </si>
  <si>
    <t>Working Capital</t>
  </si>
  <si>
    <t>ROA</t>
  </si>
  <si>
    <t>ROTA</t>
  </si>
  <si>
    <t>Liabilities</t>
  </si>
  <si>
    <t>Current Payables</t>
  </si>
  <si>
    <t>Employee Provisions</t>
  </si>
  <si>
    <t>Lease Liabilities</t>
  </si>
  <si>
    <t>Total debt</t>
  </si>
  <si>
    <t xml:space="preserve">TOTAL LIABILITIES </t>
  </si>
  <si>
    <t>Payables /  Total Revenue</t>
  </si>
  <si>
    <t>Adjusted Net Debt</t>
  </si>
  <si>
    <t>Adj Net Debt/EBITDA</t>
  </si>
  <si>
    <t>Target Net Debt/EBITDA</t>
  </si>
  <si>
    <t>Gearing ND/(ND+E)</t>
  </si>
  <si>
    <t>Equity</t>
  </si>
  <si>
    <t>Issued Capital</t>
  </si>
  <si>
    <t xml:space="preserve">Retained Profits </t>
  </si>
  <si>
    <t xml:space="preserve">Reserves </t>
  </si>
  <si>
    <t xml:space="preserve">Minorities </t>
  </si>
  <si>
    <t xml:space="preserve">TOTAL EQUITY </t>
  </si>
  <si>
    <t>P/B</t>
  </si>
  <si>
    <t>Cash Flow</t>
  </si>
  <si>
    <t>CFO</t>
  </si>
  <si>
    <t>Receipts from customers</t>
  </si>
  <si>
    <t>Payments to suppliers and employees</t>
  </si>
  <si>
    <t>Total EBITDA</t>
  </si>
  <si>
    <t>Non-cash/Significant Items (inc share-based payments)</t>
  </si>
  <si>
    <t>Gross Operating Cash Flow</t>
  </si>
  <si>
    <t>Interest Received</t>
  </si>
  <si>
    <t>Interest Paid</t>
  </si>
  <si>
    <t>Interest on Lease Liabilities</t>
  </si>
  <si>
    <t>Income Tax Paid</t>
  </si>
  <si>
    <t>Net Operating Cash Flow</t>
  </si>
  <si>
    <t>Net OCF Growth</t>
  </si>
  <si>
    <t>Underlying EBITDA / Gross OCF conversion</t>
  </si>
  <si>
    <t>Tax conversion</t>
  </si>
  <si>
    <t>CFI</t>
  </si>
  <si>
    <t>Capex (PP&amp;E)</t>
  </si>
  <si>
    <t>Capex (Intangibles)</t>
  </si>
  <si>
    <t>CFAcquisitions</t>
  </si>
  <si>
    <t>Acquisitions</t>
  </si>
  <si>
    <t>Associate investments</t>
  </si>
  <si>
    <t>Asset Sales</t>
  </si>
  <si>
    <t>Investing Cash Flow</t>
  </si>
  <si>
    <t>Capex / Sales</t>
  </si>
  <si>
    <t>Intangibles / Sales</t>
  </si>
  <si>
    <t>CFF</t>
  </si>
  <si>
    <t>Dividends paid</t>
  </si>
  <si>
    <t xml:space="preserve">Issue of shares </t>
  </si>
  <si>
    <t>Lease Principal Payments</t>
  </si>
  <si>
    <t>Change in Debt</t>
  </si>
  <si>
    <t>Financing Cash Flow</t>
  </si>
  <si>
    <t>Dividend Conversion</t>
  </si>
  <si>
    <t>Debt financing of CFI</t>
  </si>
  <si>
    <t>Net Change in Cash Flow</t>
  </si>
  <si>
    <t>Cash EPS</t>
  </si>
  <si>
    <t>Free Cash Flow</t>
  </si>
  <si>
    <t>FCF</t>
  </si>
  <si>
    <t>Net OCF</t>
  </si>
  <si>
    <t>Net Capex</t>
  </si>
  <si>
    <t>FCFps</t>
  </si>
  <si>
    <t>FCF Yield</t>
  </si>
  <si>
    <t>OCF / Sales</t>
  </si>
  <si>
    <t>FCF Margin</t>
  </si>
  <si>
    <t>FCF/NPAT</t>
  </si>
  <si>
    <t>FCF Usage</t>
  </si>
  <si>
    <t xml:space="preserve">M&amp;A </t>
  </si>
  <si>
    <t>Debt Reduction</t>
  </si>
  <si>
    <t>ND/EBITDA</t>
  </si>
  <si>
    <t>Dividends (incl. specials)</t>
  </si>
  <si>
    <t>NPAT Payout Ratio</t>
  </si>
  <si>
    <t>FCF Payout Ratio</t>
  </si>
  <si>
    <t>Discount</t>
  </si>
  <si>
    <t>Dividend</t>
  </si>
  <si>
    <t>Final Value</t>
  </si>
  <si>
    <t>Discounted Dividend</t>
  </si>
  <si>
    <t>Implied PE multiple</t>
  </si>
  <si>
    <t>Implied EV/EBITDA multiple</t>
  </si>
  <si>
    <t>Implied Div Yield</t>
  </si>
  <si>
    <t>Implied FCF Yield</t>
  </si>
  <si>
    <t>DA</t>
  </si>
  <si>
    <t>Capex</t>
  </si>
  <si>
    <t>Discounted FCF</t>
  </si>
  <si>
    <t>Net Debt</t>
  </si>
  <si>
    <t>Equity value</t>
  </si>
  <si>
    <t>ROIC</t>
  </si>
  <si>
    <t>Invested Capital</t>
  </si>
  <si>
    <t>Underlying EBIT</t>
  </si>
  <si>
    <t>ROFE</t>
  </si>
  <si>
    <t>Underlying NOPAT</t>
  </si>
  <si>
    <t>Incremental ROIC</t>
  </si>
  <si>
    <t>Quality Score</t>
  </si>
  <si>
    <t>LTIs</t>
  </si>
  <si>
    <t>EPSg</t>
  </si>
  <si>
    <t>CEO/COO/CFO also get STI as percent of PBT: CEO 0.78%, COO 0.533%, CFO 0.297%</t>
  </si>
  <si>
    <t>Minimum Target</t>
  </si>
  <si>
    <t>Middle Target</t>
  </si>
  <si>
    <t>Maximum Target</t>
  </si>
  <si>
    <t>EPS 3yr CAGR</t>
  </si>
  <si>
    <t>EPS CAGR Target</t>
  </si>
  <si>
    <t>Cash Flow Audit</t>
  </si>
  <si>
    <t>Operating Cash Flow</t>
  </si>
  <si>
    <t>Significant Items</t>
  </si>
  <si>
    <t>Working Capital Impact</t>
  </si>
  <si>
    <t>Average EBITDA Conversion</t>
  </si>
  <si>
    <t>Total</t>
  </si>
  <si>
    <t>Segments</t>
  </si>
  <si>
    <t>Seasonality- 5yr averages</t>
  </si>
  <si>
    <t>1H16</t>
  </si>
  <si>
    <t>2H16</t>
  </si>
  <si>
    <t>1H17</t>
  </si>
  <si>
    <t>2H17</t>
  </si>
  <si>
    <t>1H18</t>
  </si>
  <si>
    <t>2H18</t>
  </si>
  <si>
    <t>1H19</t>
  </si>
  <si>
    <t>2H19</t>
  </si>
  <si>
    <t>1H20</t>
  </si>
  <si>
    <t>2H20</t>
  </si>
  <si>
    <t>1H21</t>
  </si>
  <si>
    <t>2H21</t>
  </si>
  <si>
    <t>1H22</t>
  </si>
  <si>
    <t>2H22</t>
  </si>
  <si>
    <t>1H23</t>
  </si>
  <si>
    <t>2H23</t>
  </si>
  <si>
    <t>1H24</t>
  </si>
  <si>
    <t>2H24</t>
  </si>
  <si>
    <t>1H25</t>
  </si>
  <si>
    <t>2H25</t>
  </si>
  <si>
    <t>1H26</t>
  </si>
  <si>
    <t>2H26</t>
  </si>
  <si>
    <t>1H27</t>
  </si>
  <si>
    <t>2H27</t>
  </si>
  <si>
    <t>1H28</t>
  </si>
  <si>
    <t>2H28</t>
  </si>
  <si>
    <t>1H29</t>
  </si>
  <si>
    <t>2H29</t>
  </si>
  <si>
    <t>1H30</t>
  </si>
  <si>
    <t>2H30</t>
  </si>
  <si>
    <t>1H31</t>
  </si>
  <si>
    <t>2H31</t>
  </si>
  <si>
    <t>1H32</t>
  </si>
  <si>
    <t>2H32</t>
  </si>
  <si>
    <t>1H33</t>
  </si>
  <si>
    <t>2H33</t>
  </si>
  <si>
    <t>1H34</t>
  </si>
  <si>
    <t>2H34</t>
  </si>
  <si>
    <t>1H35</t>
  </si>
  <si>
    <t>2H35</t>
  </si>
  <si>
    <t>1H</t>
  </si>
  <si>
    <t>2H</t>
  </si>
  <si>
    <t>Margin change</t>
  </si>
  <si>
    <t>SaaS ARR growth</t>
  </si>
  <si>
    <t>Annual licence ARR growth</t>
  </si>
  <si>
    <t>KPIUK margin (PBT)</t>
  </si>
  <si>
    <t>UK margin (PBT)</t>
  </si>
  <si>
    <t>Non-UK ARR</t>
  </si>
  <si>
    <t>SaaS flip</t>
  </si>
  <si>
    <t>SaaS Plus</t>
  </si>
  <si>
    <t>SaaS flip pre FY24 /Saas + post FY24</t>
  </si>
  <si>
    <t>Growth exc SaaS-flip @2x</t>
  </si>
  <si>
    <t>Price</t>
  </si>
  <si>
    <t>Customers (Logos)</t>
  </si>
  <si>
    <t>Users per customer (rateable properties, students)</t>
  </si>
  <si>
    <t xml:space="preserve">UK contribution </t>
  </si>
  <si>
    <t>SaaS-flip contribution @ 2x</t>
  </si>
  <si>
    <t>ARR growth breakdown</t>
  </si>
  <si>
    <t>Total ARR growth</t>
  </si>
  <si>
    <t>Customers</t>
  </si>
  <si>
    <t>NRR (Total inc UK)</t>
  </si>
  <si>
    <t>Price/Other</t>
  </si>
  <si>
    <t>SaaS+- Current forecast</t>
  </si>
  <si>
    <t>Reference case</t>
  </si>
  <si>
    <t>Other Income</t>
  </si>
  <si>
    <t>Total revenue</t>
  </si>
  <si>
    <t>Growth-Total</t>
  </si>
  <si>
    <t>Growth- software</t>
  </si>
  <si>
    <t>Growth- consulting</t>
  </si>
  <si>
    <t>Total PBT</t>
  </si>
  <si>
    <t>PBT margin- Software</t>
  </si>
  <si>
    <t>PBT margin- Consulting</t>
  </si>
  <si>
    <t>Growth from prior period consulting (1:1.6 factor)</t>
  </si>
  <si>
    <t>Growth- Other</t>
  </si>
  <si>
    <t>Growth rate- Other</t>
  </si>
  <si>
    <t>Growth rate</t>
  </si>
  <si>
    <t>Expenses</t>
  </si>
  <si>
    <t>Total Expenses</t>
  </si>
  <si>
    <t>PBT margin- Total</t>
  </si>
  <si>
    <t>SaaS+- Scenario</t>
  </si>
  <si>
    <t>Additional implentations and upgrades</t>
  </si>
  <si>
    <t>Shorter implementation factor</t>
  </si>
  <si>
    <t>Faster sales cycle</t>
  </si>
  <si>
    <t>N</t>
  </si>
  <si>
    <t>Days to Implement</t>
  </si>
  <si>
    <t>Cost savings</t>
  </si>
  <si>
    <t>Y</t>
  </si>
  <si>
    <t xml:space="preserve">0.5 Faster sales cycle </t>
  </si>
  <si>
    <t>SaaS+ pricing uplift</t>
  </si>
  <si>
    <t>Consulting- reference case</t>
  </si>
  <si>
    <t>SaaS+ foregone consulting revenue</t>
  </si>
  <si>
    <t>Percentage of SaaS+ migrations</t>
  </si>
  <si>
    <t>Consulting cost savings</t>
  </si>
  <si>
    <t>Consulting rev</t>
  </si>
  <si>
    <t>Rev foregone</t>
  </si>
  <si>
    <t>Tot</t>
  </si>
  <si>
    <t>SaaS+ revenue</t>
  </si>
  <si>
    <t>Hardcode Chart</t>
  </si>
  <si>
    <t>Reference</t>
  </si>
  <si>
    <t>SaaS+- price only</t>
  </si>
  <si>
    <t>SaaS+: price + cost</t>
  </si>
  <si>
    <t>SaaS+: price + sales cycle</t>
  </si>
  <si>
    <t>Live</t>
  </si>
  <si>
    <t>Interest income rate</t>
  </si>
  <si>
    <t>FY25A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</si>
</sst>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8" formatCode="&quot;$&quot;#,##0.00;[Red]\-&quot;$&quot;#,##0.00"/>
    <numFmt numFmtId="164" formatCode="#,##0.0"/>
    <numFmt numFmtId="165" formatCode="0.0%"/>
    <numFmt numFmtId="166" formatCode="0.0"/>
    <numFmt numFmtId="167" formatCode="0.000"/>
    <numFmt numFmtId="168" formatCode="&quot;$&quot;#,##0.0;[Red]\-&quot;$&quot;#,##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b/>
      <sz val="11"/>
      <color rgb="FF9C0006"/>
      <name val="Calibri"/>
      <family val="2"/>
    </font>
    <font>
      <sz val="11"/>
      <color rgb="FF0070C0"/>
      <name val="Calibri"/>
      <family val="2"/>
    </font>
    <font>
      <b/>
      <sz val="11"/>
      <color rgb="FFFFFFFF"/>
      <name val="Calibri"/>
      <family val="2"/>
    </font>
    <font>
      <sz val="11"/>
      <color rgb="FFD9D9D9"/>
      <name val="Calibri"/>
      <family val="2"/>
    </font>
    <font>
      <sz val="11"/>
      <name val="Calibri"/>
      <family val="2"/>
    </font>
    <font>
      <sz val="10"/>
      <color rgb="FFD9D9D9"/>
      <name val="Calibri"/>
      <family val="2"/>
    </font>
    <font>
      <sz val="9"/>
      <color rgb="FFFF0000"/>
      <name val="Arial"/>
      <family val="2"/>
    </font>
    <font>
      <sz val="10"/>
      <color rgb="FFBFBFBF"/>
      <name val="Calibri"/>
      <family val="2"/>
    </font>
    <font>
      <b/>
      <sz val="10"/>
      <color rgb="FFD9D9D9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BFBFBF"/>
      <name val="Calibri"/>
      <family val="2"/>
    </font>
    <font>
      <sz val="10"/>
      <name val="Calibri"/>
      <family val="2"/>
    </font>
    <font>
      <sz val="9"/>
      <name val="Arial"/>
      <family val="2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b/>
      <sz val="10"/>
      <color rgb="FFBFBFB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EBF1DE"/>
        <bgColor rgb="FF000000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3" xfId="0" applyFont="1" applyBorder="1"/>
    <xf numFmtId="0" fontId="4" fillId="0" borderId="4" xfId="0" applyFont="1" applyBorder="1" applyAlignment="1">
      <alignment horizontal="right"/>
    </xf>
    <xf numFmtId="8" fontId="5" fillId="0" borderId="5" xfId="0" applyNumberFormat="1" applyFont="1" applyBorder="1" applyAlignment="1">
      <alignment horizontal="center"/>
    </xf>
    <xf numFmtId="8" fontId="2" fillId="0" borderId="0" xfId="0" applyNumberFormat="1" applyFont="1" applyAlignment="1">
      <alignment horizontal="center"/>
    </xf>
    <xf numFmtId="0" fontId="2" fillId="0" borderId="2" xfId="0" applyFont="1" applyBorder="1"/>
    <xf numFmtId="0" fontId="6" fillId="3" borderId="2" xfId="0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4" fillId="0" borderId="7" xfId="0" applyFont="1" applyBorder="1" applyAlignment="1">
      <alignment horizontal="right"/>
    </xf>
    <xf numFmtId="0" fontId="7" fillId="0" borderId="8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/>
    <xf numFmtId="0" fontId="4" fillId="0" borderId="3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right"/>
    </xf>
    <xf numFmtId="0" fontId="4" fillId="2" borderId="9" xfId="0" applyFont="1" applyFill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9" fontId="9" fillId="4" borderId="2" xfId="0" applyNumberFormat="1" applyFont="1" applyFill="1" applyBorder="1" applyAlignment="1">
      <alignment horizontal="center"/>
    </xf>
    <xf numFmtId="10" fontId="2" fillId="0" borderId="0" xfId="0" applyNumberFormat="1" applyFont="1"/>
    <xf numFmtId="0" fontId="4" fillId="0" borderId="11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8" fontId="4" fillId="0" borderId="1" xfId="0" applyNumberFormat="1" applyFont="1" applyBorder="1" applyAlignment="1">
      <alignment horizontal="center"/>
    </xf>
    <xf numFmtId="9" fontId="4" fillId="5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2" xfId="0" applyFont="1" applyBorder="1"/>
    <xf numFmtId="0" fontId="4" fillId="0" borderId="1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11" fillId="7" borderId="0" xfId="0" applyFont="1" applyFill="1" applyAlignment="1">
      <alignment horizontal="left"/>
    </xf>
    <xf numFmtId="0" fontId="2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4" fillId="0" borderId="14" xfId="0" applyFont="1" applyBorder="1"/>
    <xf numFmtId="0" fontId="2" fillId="0" borderId="1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4" fillId="0" borderId="15" xfId="0" applyFont="1" applyBorder="1"/>
    <xf numFmtId="0" fontId="2" fillId="0" borderId="0" xfId="0" applyFont="1" applyAlignment="1">
      <alignment vertical="center" wrapText="1"/>
    </xf>
    <xf numFmtId="10" fontId="2" fillId="0" borderId="14" xfId="0" applyNumberFormat="1" applyFont="1" applyBorder="1" applyAlignment="1">
      <alignment horizontal="center"/>
    </xf>
    <xf numFmtId="0" fontId="13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11" fillId="6" borderId="0" xfId="0" applyFont="1" applyFill="1" applyAlignment="1">
      <alignment horizontal="left"/>
    </xf>
    <xf numFmtId="0" fontId="11" fillId="6" borderId="0" xfId="0" applyFont="1" applyFill="1" applyAlignment="1">
      <alignment horizontal="right"/>
    </xf>
    <xf numFmtId="0" fontId="11" fillId="6" borderId="0" xfId="0" applyFont="1" applyFill="1" applyAlignment="1">
      <alignment horizontal="center" vertical="center"/>
    </xf>
    <xf numFmtId="6" fontId="2" fillId="0" borderId="0" xfId="0" applyNumberFormat="1" applyFont="1" applyAlignment="1">
      <alignment horizontal="center"/>
    </xf>
    <xf numFmtId="0" fontId="11" fillId="6" borderId="15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9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1" fillId="6" borderId="15" xfId="0" applyFont="1" applyFill="1" applyBorder="1" applyAlignment="1">
      <alignment horizontal="center"/>
    </xf>
    <xf numFmtId="0" fontId="2" fillId="8" borderId="0" xfId="0" applyFont="1" applyFill="1"/>
    <xf numFmtId="0" fontId="2" fillId="9" borderId="0" xfId="0" applyFont="1" applyFill="1"/>
    <xf numFmtId="0" fontId="11" fillId="6" borderId="0" xfId="0" applyFont="1" applyFill="1"/>
    <xf numFmtId="0" fontId="11" fillId="7" borderId="0" xfId="0" applyFont="1" applyFill="1"/>
    <xf numFmtId="0" fontId="11" fillId="8" borderId="0" xfId="0" applyFont="1" applyFill="1"/>
    <xf numFmtId="0" fontId="11" fillId="9" borderId="0" xfId="0" applyFont="1" applyFill="1"/>
    <xf numFmtId="0" fontId="14" fillId="0" borderId="0" xfId="0" applyFont="1"/>
    <xf numFmtId="0" fontId="4" fillId="0" borderId="16" xfId="0" applyFont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3" fillId="10" borderId="0" xfId="0" applyFont="1" applyFill="1"/>
    <xf numFmtId="0" fontId="4" fillId="10" borderId="17" xfId="0" applyFont="1" applyFill="1" applyBorder="1" applyAlignment="1">
      <alignment horizontal="center"/>
    </xf>
    <xf numFmtId="0" fontId="2" fillId="10" borderId="0" xfId="0" applyFont="1" applyFill="1"/>
    <xf numFmtId="0" fontId="2" fillId="10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0" borderId="0" xfId="0" applyFont="1" applyAlignment="1">
      <alignment horizontal="left" indent="1"/>
    </xf>
    <xf numFmtId="0" fontId="3" fillId="0" borderId="17" xfId="0" applyFont="1" applyBorder="1"/>
    <xf numFmtId="0" fontId="2" fillId="0" borderId="0" xfId="0" applyFont="1" applyAlignment="1">
      <alignment horizontal="left" indent="1"/>
    </xf>
    <xf numFmtId="0" fontId="2" fillId="0" borderId="17" xfId="0" applyFont="1" applyBorder="1" applyAlignment="1">
      <alignment horizontal="center"/>
    </xf>
    <xf numFmtId="4" fontId="13" fillId="0" borderId="0" xfId="0" applyNumberFormat="1" applyFont="1" applyAlignment="1">
      <alignment horizontal="center"/>
    </xf>
    <xf numFmtId="0" fontId="13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4" fillId="0" borderId="14" xfId="0" applyFont="1" applyBorder="1" applyAlignment="1">
      <alignment horizontal="left" indent="1"/>
    </xf>
    <xf numFmtId="0" fontId="7" fillId="0" borderId="14" xfId="0" applyFont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10" fontId="2" fillId="0" borderId="0" xfId="0" applyNumberFormat="1" applyFont="1" applyAlignment="1">
      <alignment horizontal="center"/>
    </xf>
    <xf numFmtId="9" fontId="2" fillId="8" borderId="0" xfId="0" applyNumberFormat="1" applyFont="1" applyFill="1" applyAlignment="1">
      <alignment horizontal="center"/>
    </xf>
    <xf numFmtId="9" fontId="2" fillId="9" borderId="0" xfId="0" applyNumberFormat="1" applyFont="1" applyFill="1" applyAlignment="1">
      <alignment horizontal="center"/>
    </xf>
    <xf numFmtId="0" fontId="4" fillId="11" borderId="0" xfId="0" applyFont="1" applyFill="1" applyAlignment="1">
      <alignment horizontal="left" indent="1"/>
    </xf>
    <xf numFmtId="0" fontId="4" fillId="11" borderId="17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2" fillId="0" borderId="0" xfId="0" applyFont="1" applyAlignment="1">
      <alignment horizontal="left" indent="2"/>
    </xf>
    <xf numFmtId="9" fontId="2" fillId="2" borderId="0" xfId="0" applyNumberFormat="1" applyFont="1" applyFill="1" applyAlignment="1">
      <alignment horizontal="center"/>
    </xf>
    <xf numFmtId="0" fontId="2" fillId="0" borderId="15" xfId="0" applyFont="1" applyBorder="1" applyAlignment="1">
      <alignment horizontal="left" indent="2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0" fontId="2" fillId="0" borderId="15" xfId="0" applyNumberFormat="1" applyFont="1" applyBorder="1" applyAlignment="1">
      <alignment horizontal="center"/>
    </xf>
    <xf numFmtId="9" fontId="2" fillId="2" borderId="15" xfId="0" applyNumberFormat="1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10" fillId="0" borderId="14" xfId="0" applyFont="1" applyBorder="1" applyAlignment="1">
      <alignment horizontal="center"/>
    </xf>
    <xf numFmtId="10" fontId="2" fillId="8" borderId="0" xfId="0" applyNumberFormat="1" applyFont="1" applyFill="1" applyAlignment="1">
      <alignment horizontal="center"/>
    </xf>
    <xf numFmtId="10" fontId="2" fillId="9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0" borderId="15" xfId="0" applyFont="1" applyBorder="1" applyAlignment="1">
      <alignment horizontal="left" indent="1"/>
    </xf>
    <xf numFmtId="0" fontId="10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10" fontId="13" fillId="0" borderId="0" xfId="0" applyNumberFormat="1" applyFont="1" applyAlignment="1">
      <alignment horizontal="center"/>
    </xf>
    <xf numFmtId="9" fontId="13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15" fillId="0" borderId="0" xfId="0" applyFont="1"/>
    <xf numFmtId="9" fontId="15" fillId="0" borderId="0" xfId="0" applyNumberFormat="1" applyFont="1"/>
    <xf numFmtId="0" fontId="15" fillId="8" borderId="0" xfId="0" applyFont="1" applyFill="1"/>
    <xf numFmtId="0" fontId="15" fillId="9" borderId="0" xfId="0" applyFont="1" applyFill="1"/>
    <xf numFmtId="0" fontId="2" fillId="0" borderId="17" xfId="0" applyFont="1" applyBorder="1"/>
    <xf numFmtId="9" fontId="13" fillId="2" borderId="0" xfId="0" applyNumberFormat="1" applyFont="1" applyFill="1" applyAlignment="1">
      <alignment horizontal="center"/>
    </xf>
    <xf numFmtId="9" fontId="13" fillId="8" borderId="0" xfId="0" applyNumberFormat="1" applyFont="1" applyFill="1" applyAlignment="1">
      <alignment horizontal="center"/>
    </xf>
    <xf numFmtId="9" fontId="13" fillId="9" borderId="0" xfId="0" applyNumberFormat="1" applyFont="1" applyFill="1" applyAlignment="1">
      <alignment horizontal="center"/>
    </xf>
    <xf numFmtId="10" fontId="15" fillId="0" borderId="0" xfId="0" applyNumberFormat="1" applyFont="1"/>
    <xf numFmtId="0" fontId="16" fillId="0" borderId="0" xfId="0" applyFont="1"/>
    <xf numFmtId="0" fontId="13" fillId="12" borderId="0" xfId="0" applyFont="1" applyFill="1" applyAlignment="1">
      <alignment horizontal="center"/>
    </xf>
    <xf numFmtId="10" fontId="10" fillId="0" borderId="0" xfId="0" applyNumberFormat="1" applyFont="1" applyAlignment="1">
      <alignment horizontal="center"/>
    </xf>
    <xf numFmtId="0" fontId="10" fillId="8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7" fillId="0" borderId="0" xfId="0" applyFont="1"/>
    <xf numFmtId="0" fontId="4" fillId="0" borderId="14" xfId="0" applyFont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8" fontId="13" fillId="0" borderId="0" xfId="0" applyNumberFormat="1" applyFont="1" applyAlignment="1">
      <alignment horizontal="center"/>
    </xf>
    <xf numFmtId="8" fontId="13" fillId="8" borderId="0" xfId="0" applyNumberFormat="1" applyFont="1" applyFill="1" applyAlignment="1">
      <alignment horizontal="center"/>
    </xf>
    <xf numFmtId="8" fontId="13" fillId="9" borderId="0" xfId="0" applyNumberFormat="1" applyFont="1" applyFill="1" applyAlignment="1">
      <alignment horizontal="center"/>
    </xf>
    <xf numFmtId="9" fontId="2" fillId="13" borderId="0" xfId="0" applyNumberFormat="1" applyFont="1" applyFill="1" applyAlignment="1">
      <alignment horizontal="center"/>
    </xf>
    <xf numFmtId="0" fontId="13" fillId="0" borderId="17" xfId="0" applyFont="1" applyBorder="1" applyAlignment="1">
      <alignment horizontal="center"/>
    </xf>
    <xf numFmtId="0" fontId="3" fillId="8" borderId="0" xfId="0" applyFont="1" applyFill="1"/>
    <xf numFmtId="0" fontId="2" fillId="8" borderId="17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13" fillId="0" borderId="0" xfId="0" applyFont="1" applyAlignment="1">
      <alignment horizontal="left" indent="1"/>
    </xf>
    <xf numFmtId="0" fontId="18" fillId="0" borderId="0" xfId="0" applyFont="1"/>
    <xf numFmtId="0" fontId="2" fillId="10" borderId="17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3" fontId="4" fillId="0" borderId="14" xfId="0" applyNumberFormat="1" applyFont="1" applyBorder="1" applyAlignment="1">
      <alignment horizontal="center"/>
    </xf>
    <xf numFmtId="10" fontId="2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left" indent="1"/>
    </xf>
    <xf numFmtId="0" fontId="10" fillId="10" borderId="0" xfId="0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8" borderId="0" xfId="0" applyNumberFormat="1" applyFont="1" applyFill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18" fillId="0" borderId="17" xfId="0" applyFont="1" applyBorder="1"/>
    <xf numFmtId="0" fontId="19" fillId="0" borderId="0" xfId="0" applyFont="1" applyAlignment="1">
      <alignment horizontal="center"/>
    </xf>
    <xf numFmtId="0" fontId="18" fillId="8" borderId="0" xfId="0" applyFont="1" applyFill="1"/>
    <xf numFmtId="0" fontId="18" fillId="9" borderId="0" xfId="0" applyFont="1" applyFill="1"/>
    <xf numFmtId="0" fontId="4" fillId="0" borderId="18" xfId="0" applyFont="1" applyBorder="1"/>
    <xf numFmtId="8" fontId="4" fillId="13" borderId="14" xfId="0" applyNumberFormat="1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10" fontId="4" fillId="0" borderId="0" xfId="0" applyNumberFormat="1" applyFont="1" applyAlignment="1">
      <alignment horizontal="center"/>
    </xf>
    <xf numFmtId="10" fontId="4" fillId="8" borderId="0" xfId="0" applyNumberFormat="1" applyFont="1" applyFill="1" applyAlignment="1">
      <alignment horizontal="center"/>
    </xf>
    <xf numFmtId="10" fontId="4" fillId="9" borderId="0" xfId="0" applyNumberFormat="1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13" borderId="0" xfId="0" applyFont="1" applyFill="1" applyAlignment="1">
      <alignment horizontal="center"/>
    </xf>
    <xf numFmtId="8" fontId="4" fillId="13" borderId="0" xfId="0" applyNumberFormat="1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10" fontId="4" fillId="0" borderId="14" xfId="0" applyNumberFormat="1" applyFont="1" applyBorder="1" applyAlignment="1">
      <alignment horizontal="center"/>
    </xf>
    <xf numFmtId="10" fontId="4" fillId="8" borderId="14" xfId="0" applyNumberFormat="1" applyFont="1" applyFill="1" applyBorder="1" applyAlignment="1">
      <alignment horizontal="center"/>
    </xf>
    <xf numFmtId="10" fontId="4" fillId="9" borderId="14" xfId="0" applyNumberFormat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10" fontId="10" fillId="8" borderId="0" xfId="0" applyNumberFormat="1" applyFont="1" applyFill="1" applyAlignment="1">
      <alignment horizontal="center"/>
    </xf>
    <xf numFmtId="10" fontId="10" fillId="9" borderId="0" xfId="0" applyNumberFormat="1" applyFont="1" applyFill="1" applyAlignment="1">
      <alignment horizontal="center"/>
    </xf>
    <xf numFmtId="0" fontId="20" fillId="0" borderId="0" xfId="0" applyFont="1"/>
    <xf numFmtId="0" fontId="13" fillId="12" borderId="0" xfId="0" applyFont="1" applyFill="1"/>
    <xf numFmtId="0" fontId="7" fillId="6" borderId="0" xfId="0" applyFont="1" applyFill="1"/>
    <xf numFmtId="0" fontId="7" fillId="12" borderId="0" xfId="0" applyFont="1" applyFill="1"/>
    <xf numFmtId="0" fontId="7" fillId="12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21" fillId="0" borderId="0" xfId="0" applyFont="1"/>
    <xf numFmtId="10" fontId="13" fillId="8" borderId="0" xfId="0" applyNumberFormat="1" applyFont="1" applyFill="1" applyAlignment="1">
      <alignment horizontal="center"/>
    </xf>
    <xf numFmtId="10" fontId="13" fillId="9" borderId="0" xfId="0" applyNumberFormat="1" applyFont="1" applyFill="1" applyAlignment="1">
      <alignment horizontal="center"/>
    </xf>
    <xf numFmtId="0" fontId="13" fillId="8" borderId="15" xfId="0" applyFont="1" applyFill="1" applyBorder="1" applyAlignment="1">
      <alignment horizontal="center"/>
    </xf>
    <xf numFmtId="0" fontId="13" fillId="9" borderId="15" xfId="0" applyFont="1" applyFill="1" applyBorder="1" applyAlignment="1">
      <alignment horizontal="center"/>
    </xf>
    <xf numFmtId="0" fontId="13" fillId="8" borderId="0" xfId="0" applyFont="1" applyFill="1"/>
    <xf numFmtId="0" fontId="13" fillId="9" borderId="0" xfId="0" applyFont="1" applyFill="1"/>
    <xf numFmtId="0" fontId="22" fillId="0" borderId="0" xfId="0" applyFont="1"/>
    <xf numFmtId="0" fontId="22" fillId="8" borderId="0" xfId="0" applyFont="1" applyFill="1"/>
    <xf numFmtId="0" fontId="22" fillId="9" borderId="0" xfId="0" applyFont="1" applyFill="1"/>
    <xf numFmtId="0" fontId="21" fillId="8" borderId="0" xfId="0" applyFont="1" applyFill="1"/>
    <xf numFmtId="0" fontId="21" fillId="9" borderId="0" xfId="0" applyFont="1" applyFill="1"/>
    <xf numFmtId="0" fontId="23" fillId="0" borderId="0" xfId="0" applyFont="1" applyAlignment="1">
      <alignment horizontal="center"/>
    </xf>
    <xf numFmtId="0" fontId="4" fillId="14" borderId="0" xfId="0" applyFont="1" applyFill="1" applyAlignment="1">
      <alignment horizontal="center"/>
    </xf>
    <xf numFmtId="0" fontId="3" fillId="15" borderId="0" xfId="0" applyFont="1" applyFill="1"/>
    <xf numFmtId="0" fontId="2" fillId="15" borderId="17" xfId="0" applyFont="1" applyFill="1" applyBorder="1" applyAlignment="1">
      <alignment horizontal="center"/>
    </xf>
    <xf numFmtId="0" fontId="4" fillId="15" borderId="0" xfId="0" applyFont="1" applyFill="1" applyAlignment="1">
      <alignment horizontal="center"/>
    </xf>
    <xf numFmtId="0" fontId="7" fillId="15" borderId="0" xfId="0" applyFont="1" applyFill="1" applyAlignment="1">
      <alignment horizontal="center"/>
    </xf>
    <xf numFmtId="0" fontId="4" fillId="0" borderId="15" xfId="0" applyFont="1" applyBorder="1" applyAlignment="1">
      <alignment horizontal="left" indent="1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10" fontId="1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 indent="3"/>
    </xf>
    <xf numFmtId="0" fontId="21" fillId="12" borderId="0" xfId="0" applyFont="1" applyFill="1"/>
    <xf numFmtId="0" fontId="7" fillId="0" borderId="2" xfId="0" applyFont="1" applyBorder="1" applyAlignment="1">
      <alignment horizontal="center"/>
    </xf>
    <xf numFmtId="0" fontId="2" fillId="0" borderId="20" xfId="0" applyFont="1" applyBorder="1" applyAlignment="1">
      <alignment horizontal="left" indent="1"/>
    </xf>
    <xf numFmtId="0" fontId="13" fillId="0" borderId="16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9" fontId="13" fillId="0" borderId="20" xfId="0" applyNumberFormat="1" applyFont="1" applyBorder="1" applyAlignment="1">
      <alignment horizontal="center"/>
    </xf>
    <xf numFmtId="0" fontId="13" fillId="8" borderId="20" xfId="0" applyFont="1" applyFill="1" applyBorder="1" applyAlignment="1">
      <alignment horizontal="center"/>
    </xf>
    <xf numFmtId="0" fontId="13" fillId="9" borderId="20" xfId="0" applyFont="1" applyFill="1" applyBorder="1" applyAlignment="1">
      <alignment horizontal="center"/>
    </xf>
    <xf numFmtId="0" fontId="25" fillId="0" borderId="0" xfId="0" applyFont="1"/>
    <xf numFmtId="0" fontId="4" fillId="0" borderId="21" xfId="0" applyFont="1" applyBorder="1" applyAlignment="1">
      <alignment horizontal="left" indent="1"/>
    </xf>
    <xf numFmtId="0" fontId="4" fillId="0" borderId="22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9" fontId="7" fillId="0" borderId="21" xfId="0" applyNumberFormat="1" applyFont="1" applyBorder="1" applyAlignment="1">
      <alignment horizontal="center"/>
    </xf>
    <xf numFmtId="0" fontId="4" fillId="0" borderId="21" xfId="0" applyFont="1" applyBorder="1"/>
    <xf numFmtId="0" fontId="7" fillId="8" borderId="21" xfId="0" applyFont="1" applyFill="1" applyBorder="1" applyAlignment="1">
      <alignment horizontal="center"/>
    </xf>
    <xf numFmtId="0" fontId="7" fillId="9" borderId="21" xfId="0" applyFont="1" applyFill="1" applyBorder="1" applyAlignment="1">
      <alignment horizontal="center"/>
    </xf>
    <xf numFmtId="0" fontId="4" fillId="0" borderId="20" xfId="0" applyFont="1" applyBorder="1" applyAlignment="1">
      <alignment horizontal="left" indent="1"/>
    </xf>
    <xf numFmtId="0" fontId="4" fillId="0" borderId="20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4" fontId="7" fillId="0" borderId="20" xfId="0" applyNumberFormat="1" applyFont="1" applyBorder="1" applyAlignment="1">
      <alignment horizontal="center"/>
    </xf>
    <xf numFmtId="0" fontId="2" fillId="0" borderId="0" xfId="0" applyFont="1" applyAlignment="1">
      <alignment vertical="center" readingOrder="1"/>
    </xf>
    <xf numFmtId="0" fontId="13" fillId="0" borderId="0" xfId="0" applyFont="1" applyAlignment="1">
      <alignment horizontal="right"/>
    </xf>
    <xf numFmtId="0" fontId="10" fillId="2" borderId="0" xfId="0" applyFont="1" applyFill="1" applyAlignment="1">
      <alignment horizontal="center"/>
    </xf>
    <xf numFmtId="0" fontId="18" fillId="0" borderId="0" xfId="0" applyFont="1" applyAlignment="1">
      <alignment horizontal="right"/>
    </xf>
    <xf numFmtId="9" fontId="10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4" fontId="21" fillId="0" borderId="0" xfId="0" applyNumberFormat="1" applyFont="1"/>
    <xf numFmtId="9" fontId="18" fillId="0" borderId="0" xfId="0" applyNumberFormat="1" applyFont="1"/>
    <xf numFmtId="164" fontId="1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166" fontId="7" fillId="0" borderId="14" xfId="0" applyNumberFormat="1" applyFont="1" applyBorder="1" applyAlignment="1">
      <alignment horizontal="center"/>
    </xf>
    <xf numFmtId="165" fontId="13" fillId="0" borderId="0" xfId="0" applyNumberFormat="1" applyFont="1" applyAlignment="1">
      <alignment horizontal="center"/>
    </xf>
    <xf numFmtId="2" fontId="7" fillId="0" borderId="14" xfId="0" applyNumberFormat="1" applyFont="1" applyBorder="1" applyAlignment="1">
      <alignment horizontal="center"/>
    </xf>
    <xf numFmtId="167" fontId="2" fillId="0" borderId="15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65" fontId="4" fillId="0" borderId="14" xfId="0" applyNumberFormat="1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168" fontId="4" fillId="0" borderId="0" xfId="0" applyNumberFormat="1" applyFont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165" fontId="13" fillId="0" borderId="0" xfId="1" applyNumberFormat="1" applyFont="1" applyAlignment="1">
      <alignment horizontal="center"/>
    </xf>
    <xf numFmtId="8" fontId="4" fillId="0" borderId="14" xfId="0" applyNumberFormat="1" applyFont="1" applyBorder="1" applyAlignment="1">
      <alignment horizontal="center"/>
    </xf>
    <xf numFmtId="166" fontId="4" fillId="0" borderId="14" xfId="0" applyNumberFormat="1" applyFont="1" applyBorder="1" applyAlignment="1">
      <alignment horizontal="center"/>
    </xf>
    <xf numFmtId="164" fontId="13" fillId="2" borderId="0" xfId="0" applyNumberFormat="1" applyFont="1" applyFill="1" applyAlignment="1">
      <alignment horizontal="center"/>
    </xf>
    <xf numFmtId="164" fontId="4" fillId="0" borderId="14" xfId="0" applyNumberFormat="1" applyFont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10" fillId="0" borderId="0" xfId="0" applyNumberFormat="1" applyFont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4" fontId="13" fillId="0" borderId="15" xfId="0" applyNumberFormat="1" applyFont="1" applyBorder="1" applyAlignment="1">
      <alignment horizontal="center"/>
    </xf>
    <xf numFmtId="166" fontId="7" fillId="0" borderId="15" xfId="0" applyNumberFormat="1" applyFont="1" applyBorder="1" applyAlignment="1">
      <alignment horizontal="center"/>
    </xf>
    <xf numFmtId="2" fontId="7" fillId="0" borderId="15" xfId="0" applyNumberFormat="1" applyFont="1" applyBorder="1" applyAlignment="1">
      <alignment horizontal="center"/>
    </xf>
    <xf numFmtId="165" fontId="13" fillId="3" borderId="0" xfId="0" applyNumberFormat="1" applyFont="1" applyFill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14" fillId="0" borderId="0" xfId="0" applyFont="1"/>
    <xf numFmtId="0" fontId="14" fillId="0" borderId="19" xfId="0" applyFont="1" applyBorder="1"/>
    <xf numFmtId="0" fontId="12" fillId="0" borderId="0" xfId="0" applyFont="1"/>
    <xf numFmtId="0" fontId="12" fillId="0" borderId="19" xfId="0" applyFont="1" applyBorder="1"/>
    <xf numFmtId="0" fontId="16" fillId="0" borderId="0" xfId="0" applyFont="1"/>
    <xf numFmtId="0" fontId="16" fillId="0" borderId="19" xfId="0" applyFont="1" applyBorder="1"/>
    <xf numFmtId="0" fontId="20" fillId="0" borderId="0" xfId="0" applyFont="1"/>
    <xf numFmtId="0" fontId="20" fillId="0" borderId="19" xfId="0" applyFont="1" applyBorder="1"/>
    <xf numFmtId="164" fontId="7" fillId="0" borderId="15" xfId="0" applyNumberFormat="1" applyFont="1" applyBorder="1" applyAlignment="1">
      <alignment horizontal="center"/>
    </xf>
    <xf numFmtId="9" fontId="2" fillId="0" borderId="0" xfId="1" applyFont="1" applyAlignment="1">
      <alignment horizontal="center"/>
    </xf>
    <xf numFmtId="4" fontId="2" fillId="0" borderId="14" xfId="0" applyNumberFormat="1" applyFont="1" applyBorder="1" applyAlignment="1">
      <alignment horizontal="center"/>
    </xf>
    <xf numFmtId="0" fontId="23" fillId="0" borderId="14" xfId="0" applyFont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6642-D278-451A-82F1-8116512601FC}">
  <dimension ref="A1:AD135"/>
  <sheetViews>
    <sheetView tabSelected="1" topLeftCell="A6" workbookViewId="0">
      <selection activeCell="L27" sqref="L27"/>
    </sheetView>
  </sheetViews>
  <sheetFormatPr defaultRowHeight="15" x14ac:dyDescent="0.25"/>
  <sheetData>
    <row r="1" spans="1:30" ht="15.75" thickBot="1" x14ac:dyDescent="0.3">
      <c r="A1" s="281"/>
      <c r="B1" s="281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thickBot="1" x14ac:dyDescent="0.3">
      <c r="A2" s="3"/>
      <c r="B2" s="3" t="s">
        <v>0</v>
      </c>
      <c r="C2" s="4" t="s">
        <v>1</v>
      </c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thickBot="1" x14ac:dyDescent="0.3">
      <c r="A3" s="282"/>
      <c r="B3" s="282"/>
      <c r="C3" s="2"/>
      <c r="D3" s="2"/>
      <c r="E3" s="2"/>
      <c r="F3" s="2"/>
      <c r="G3" s="2"/>
      <c r="H3" s="1"/>
      <c r="I3" s="3" t="s">
        <v>2</v>
      </c>
      <c r="J3" s="5" t="s">
        <v>3</v>
      </c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/>
      <c r="B4" s="6"/>
      <c r="C4" s="7" t="s">
        <v>4</v>
      </c>
      <c r="D4" s="8">
        <v>27.2</v>
      </c>
      <c r="E4" s="2"/>
      <c r="F4" s="9">
        <v>38</v>
      </c>
      <c r="G4" s="2"/>
      <c r="H4" s="1"/>
      <c r="I4" s="10" t="s">
        <v>5</v>
      </c>
      <c r="J4" s="11" t="s">
        <v>6</v>
      </c>
      <c r="K4" s="12">
        <v>0.04</v>
      </c>
      <c r="L4" s="1"/>
      <c r="M4" s="12">
        <v>0.04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thickBot="1" x14ac:dyDescent="0.3">
      <c r="A5" s="1"/>
      <c r="B5" s="13"/>
      <c r="C5" s="14" t="s">
        <v>7</v>
      </c>
      <c r="D5" s="15" t="e">
        <v>#NAME?</v>
      </c>
      <c r="E5" s="2"/>
      <c r="F5" s="2" t="e">
        <v>#NAME?</v>
      </c>
      <c r="G5" s="2"/>
      <c r="H5" s="1"/>
      <c r="I5" s="10" t="s">
        <v>8</v>
      </c>
      <c r="J5" s="16" t="s">
        <v>9</v>
      </c>
      <c r="K5" s="17">
        <v>0.9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18"/>
      <c r="B6" s="20"/>
      <c r="C6" s="21" t="s">
        <v>10</v>
      </c>
      <c r="D6" s="22"/>
      <c r="E6" s="2"/>
      <c r="F6" s="18"/>
      <c r="G6" s="18"/>
      <c r="H6" s="1"/>
      <c r="I6" s="10" t="s">
        <v>11</v>
      </c>
      <c r="J6" s="11" t="s">
        <v>6</v>
      </c>
      <c r="K6" s="12">
        <v>0.06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1"/>
      <c r="B7" s="23"/>
      <c r="C7" s="21" t="s">
        <v>12</v>
      </c>
      <c r="D7" s="24"/>
      <c r="E7" s="2"/>
      <c r="F7" s="1"/>
      <c r="G7" s="2"/>
      <c r="H7" s="1"/>
      <c r="I7" s="10" t="s">
        <v>13</v>
      </c>
      <c r="J7" s="11" t="s">
        <v>6</v>
      </c>
      <c r="K7" s="25">
        <f>K4+K5*K6</f>
        <v>9.4E-2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2"/>
      <c r="B8" s="23"/>
      <c r="C8" s="21" t="s">
        <v>14</v>
      </c>
      <c r="D8" s="22"/>
      <c r="E8" s="2"/>
      <c r="F8" s="2"/>
      <c r="G8" s="1"/>
      <c r="H8" s="1"/>
      <c r="I8" s="10" t="s">
        <v>15</v>
      </c>
      <c r="J8" s="26" t="s">
        <v>16</v>
      </c>
      <c r="K8" s="12">
        <v>0.3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thickBot="1" x14ac:dyDescent="0.3">
      <c r="A9" s="1"/>
      <c r="B9" s="27"/>
      <c r="C9" s="14" t="s">
        <v>17</v>
      </c>
      <c r="D9" s="15"/>
      <c r="E9" s="28">
        <v>-1</v>
      </c>
      <c r="F9" s="1"/>
      <c r="G9" s="2"/>
      <c r="H9" s="1"/>
      <c r="I9" s="10" t="s">
        <v>18</v>
      </c>
      <c r="J9" s="26" t="s">
        <v>16</v>
      </c>
      <c r="K9" s="12">
        <v>0.8</v>
      </c>
      <c r="L9" s="1"/>
      <c r="M9" s="29">
        <v>3.4000000000000002E-2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thickBot="1" x14ac:dyDescent="0.3">
      <c r="A10" s="281"/>
      <c r="B10" s="281"/>
      <c r="C10" s="1"/>
      <c r="D10" s="1"/>
      <c r="E10" s="1"/>
      <c r="F10" s="1"/>
      <c r="G10" s="2"/>
      <c r="H10" s="1"/>
      <c r="I10" s="10" t="s">
        <v>19</v>
      </c>
      <c r="J10" s="26" t="s">
        <v>16</v>
      </c>
      <c r="K10" s="25">
        <f>K8*(1-K9)</f>
        <v>5.9999999999999984E-2</v>
      </c>
      <c r="L10" s="1"/>
      <c r="M10" s="25">
        <v>0.06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thickBot="1" x14ac:dyDescent="0.3">
      <c r="A11" s="281"/>
      <c r="B11" s="281"/>
      <c r="C11" s="2"/>
      <c r="D11" s="2"/>
      <c r="E11" s="2"/>
      <c r="F11" s="2"/>
      <c r="G11" s="2"/>
      <c r="H11" s="1"/>
      <c r="I11" s="30"/>
      <c r="J11" s="31" t="s">
        <v>20</v>
      </c>
      <c r="K11" s="32">
        <f>Annual!D251</f>
        <v>34.142187923032253</v>
      </c>
      <c r="L11" s="33">
        <f>K11/D4-1</f>
        <v>0.25522749717030346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thickBot="1" x14ac:dyDescent="0.3">
      <c r="A12" s="281"/>
      <c r="B12" s="281"/>
      <c r="C12" s="2"/>
      <c r="D12" s="2"/>
      <c r="E12" s="2"/>
      <c r="F12" s="2"/>
      <c r="G12" s="2"/>
      <c r="H12" s="1"/>
      <c r="I12" s="30"/>
      <c r="J12" s="31"/>
      <c r="K12" s="34"/>
      <c r="L12" s="3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281"/>
      <c r="B13" s="281"/>
      <c r="C13" s="2"/>
      <c r="D13" s="2"/>
      <c r="E13" s="2"/>
      <c r="F13" s="2"/>
      <c r="G13" s="2"/>
      <c r="H13" s="1"/>
      <c r="I13" s="36" t="s">
        <v>21</v>
      </c>
      <c r="J13" s="11" t="s">
        <v>9</v>
      </c>
      <c r="K13" s="37" t="s">
        <v>22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5">
      <c r="A14" s="1"/>
      <c r="B14" s="3" t="s">
        <v>23</v>
      </c>
      <c r="C14" s="5" t="s">
        <v>3</v>
      </c>
      <c r="D14" s="1"/>
      <c r="E14" s="1"/>
      <c r="F14" s="2"/>
      <c r="G14" s="2"/>
      <c r="H14" s="1"/>
      <c r="I14" s="36" t="s">
        <v>24</v>
      </c>
      <c r="J14" s="11" t="s">
        <v>9</v>
      </c>
      <c r="K14" s="37" t="e">
        <v>#NAME?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/>
      <c r="B15" s="36" t="s">
        <v>25</v>
      </c>
      <c r="C15" s="38">
        <v>1000</v>
      </c>
      <c r="D15" s="18" t="s">
        <v>26</v>
      </c>
      <c r="E15" s="1"/>
      <c r="F15" s="2"/>
      <c r="G15" s="2"/>
      <c r="H15" s="1"/>
      <c r="I15" s="36" t="s">
        <v>27</v>
      </c>
      <c r="J15" s="11"/>
      <c r="K15" s="39" t="e">
        <v>#NAME?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2"/>
      <c r="B16" s="36" t="s">
        <v>28</v>
      </c>
      <c r="C16" s="26">
        <v>1000</v>
      </c>
      <c r="D16" s="18"/>
      <c r="E16" s="1"/>
      <c r="F16" s="1"/>
      <c r="G16" s="1"/>
      <c r="H16" s="1"/>
      <c r="I16" s="36" t="s">
        <v>29</v>
      </c>
      <c r="J16" s="11"/>
      <c r="K16" s="37" t="e">
        <v>#NAME?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2"/>
      <c r="B17" s="36" t="s">
        <v>30</v>
      </c>
      <c r="C17" s="17">
        <v>1000</v>
      </c>
      <c r="D17" s="18" t="s">
        <v>31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283"/>
      <c r="B18" s="283"/>
      <c r="C18" s="2"/>
      <c r="D18" s="2"/>
      <c r="E18" s="2"/>
      <c r="F18" s="2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281"/>
      <c r="B19" s="281"/>
      <c r="C19" s="40" t="s">
        <v>32</v>
      </c>
      <c r="D19" s="40"/>
      <c r="E19" s="41" t="s">
        <v>33</v>
      </c>
      <c r="F19" s="42"/>
      <c r="G19" s="42"/>
      <c r="H19" s="1"/>
      <c r="I19" s="1"/>
      <c r="J19" s="40" t="s">
        <v>32</v>
      </c>
      <c r="K19" s="40"/>
      <c r="L19" s="41" t="s">
        <v>33</v>
      </c>
      <c r="M19" s="42"/>
      <c r="N19" s="42"/>
      <c r="O19" s="1"/>
      <c r="P19" s="1"/>
      <c r="Q19" s="40" t="s">
        <v>32</v>
      </c>
      <c r="R19" s="40"/>
      <c r="S19" s="41" t="s">
        <v>33</v>
      </c>
      <c r="T19" s="42"/>
      <c r="U19" s="42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281"/>
      <c r="B20" s="281"/>
      <c r="C20" s="40">
        <v>2024</v>
      </c>
      <c r="D20" s="40">
        <f>C20+1</f>
        <v>2025</v>
      </c>
      <c r="E20" s="43">
        <f t="shared" ref="E20:G20" si="0">D20+1</f>
        <v>2026</v>
      </c>
      <c r="F20" s="43">
        <f t="shared" si="0"/>
        <v>2027</v>
      </c>
      <c r="G20" s="43">
        <f t="shared" si="0"/>
        <v>2028</v>
      </c>
      <c r="H20" s="1"/>
      <c r="I20" s="1"/>
      <c r="J20" s="40">
        <f>C20</f>
        <v>2024</v>
      </c>
      <c r="K20" s="40">
        <f t="shared" ref="K20:N20" si="1">D20</f>
        <v>2025</v>
      </c>
      <c r="L20" s="43">
        <f t="shared" si="1"/>
        <v>2026</v>
      </c>
      <c r="M20" s="43">
        <f t="shared" si="1"/>
        <v>2027</v>
      </c>
      <c r="N20" s="43">
        <f t="shared" si="1"/>
        <v>2028</v>
      </c>
      <c r="O20" s="1"/>
      <c r="P20" s="1"/>
      <c r="Q20" s="40">
        <f>C20</f>
        <v>2024</v>
      </c>
      <c r="R20" s="40">
        <f t="shared" ref="R20:U20" si="2">D20</f>
        <v>2025</v>
      </c>
      <c r="S20" s="43">
        <f t="shared" si="2"/>
        <v>2026</v>
      </c>
      <c r="T20" s="43">
        <f t="shared" si="2"/>
        <v>2027</v>
      </c>
      <c r="U20" s="43">
        <f t="shared" si="2"/>
        <v>2028</v>
      </c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5">
      <c r="A21" s="1"/>
      <c r="B21" s="3" t="s">
        <v>34</v>
      </c>
      <c r="C21" s="2"/>
      <c r="D21" s="2"/>
      <c r="E21" s="2"/>
      <c r="F21" s="1"/>
      <c r="G21" s="1"/>
      <c r="H21" s="1"/>
      <c r="I21" s="3" t="s">
        <v>35</v>
      </c>
      <c r="J21" s="2"/>
      <c r="K21" s="2"/>
      <c r="L21" s="2"/>
      <c r="M21" s="2"/>
      <c r="N21" s="1"/>
      <c r="O21" s="1"/>
      <c r="P21" s="3" t="s">
        <v>36</v>
      </c>
      <c r="Q21" s="2"/>
      <c r="R21" s="2"/>
      <c r="S21" s="2"/>
      <c r="T21" s="2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A22" s="1"/>
      <c r="B22" s="44" t="s">
        <v>37</v>
      </c>
      <c r="C22" s="45"/>
      <c r="D22" s="45"/>
      <c r="E22" s="45"/>
      <c r="F22" s="45"/>
      <c r="G22" s="45"/>
      <c r="H22" s="1"/>
      <c r="I22" s="44" t="s">
        <v>37</v>
      </c>
      <c r="J22" s="45"/>
      <c r="K22" s="45"/>
      <c r="L22" s="45"/>
      <c r="M22" s="45"/>
      <c r="N22" s="45"/>
      <c r="O22" s="1"/>
      <c r="P22" s="44" t="s">
        <v>37</v>
      </c>
      <c r="Q22" s="45"/>
      <c r="R22" s="45"/>
      <c r="S22" s="45"/>
      <c r="T22" s="45"/>
      <c r="U22" s="45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/>
      <c r="B23" s="44" t="s">
        <v>38</v>
      </c>
      <c r="C23" s="280">
        <f>$D$4/C29</f>
        <v>75.507661016949172</v>
      </c>
      <c r="D23" s="280">
        <f t="shared" ref="D23:G23" si="3">$D$4/D29</f>
        <v>65.184260228849581</v>
      </c>
      <c r="E23" s="280">
        <f t="shared" si="3"/>
        <v>54.855736028546531</v>
      </c>
      <c r="F23" s="280">
        <f>$D$4/F29</f>
        <v>45.729442758704749</v>
      </c>
      <c r="G23" s="280">
        <f t="shared" si="3"/>
        <v>37.342754838901136</v>
      </c>
      <c r="H23" s="46" t="s">
        <v>39</v>
      </c>
      <c r="I23" s="44" t="s">
        <v>38</v>
      </c>
      <c r="J23" s="280">
        <f>INDEX(Annual!$A:$AC,MATCH(Value!$H23,Annual!$A:$A,0),MATCH(J$20,Annual!$A$1:$AC$1,0))</f>
        <v>117.99999999999997</v>
      </c>
      <c r="K23" s="280">
        <f>INDEX(Annual!$A:$AC,MATCH(Value!$H23,Annual!$A:$A,0),MATCH(K$20,Annual!$A$1:$AC$1,0))</f>
        <v>137.64499999999998</v>
      </c>
      <c r="L23" s="280">
        <f>INDEX(Annual!$A:$AC,MATCH(Value!$H23,Annual!$A:$A,0),MATCH(L$20,Annual!$A$1:$AC$1,0))</f>
        <v>162.63254576253257</v>
      </c>
      <c r="M23" s="280">
        <f>INDEX(Annual!$A:$AC,MATCH(Value!$H23,Annual!$A:$A,0),MATCH(M$20,Annual!$A$1:$AC$1,0))</f>
        <v>195.08936610214425</v>
      </c>
      <c r="N23" s="280">
        <f>INDEX(Annual!$A:$AC,MATCH(Value!$H23,Annual!$A:$A,0),MATCH(N$20,Annual!$A$1:$AC$1,0))</f>
        <v>238.90385266130309</v>
      </c>
      <c r="O23" s="47" t="s">
        <v>40</v>
      </c>
      <c r="P23" s="44" t="s">
        <v>38</v>
      </c>
      <c r="Q23" s="280">
        <f>INDEX(Annual!$A:$AC,MATCH($O23,Annual!$A:$A,0),MATCH(Q$20,Annual!$A$1:$AC$1,0))</f>
        <v>215.8</v>
      </c>
      <c r="R23" s="280">
        <f>INDEX(Annual!$A:$AC,MATCH($O23,Annual!$A:$A,0),MATCH(R$20,Annual!$A$1:$AC$1,0))</f>
        <v>255.7</v>
      </c>
      <c r="S23" s="280">
        <f>INDEX(Annual!$A:$AC,MATCH($O23,Annual!$A:$A,0),MATCH(S$20,Annual!$A$1:$AC$1,0))</f>
        <v>298.0666307702719</v>
      </c>
      <c r="T23" s="280">
        <f>INDEX(Annual!$A:$AC,MATCH($O23,Annual!$A:$A,0),MATCH(T$20,Annual!$A$1:$AC$1,0))</f>
        <v>350.58886047852269</v>
      </c>
      <c r="U23" s="280">
        <f>INDEX(Annual!$A:$AC,MATCH($O23,Annual!$A:$A,0),MATCH(U$20,Annual!$A$1:$AC$1,0))</f>
        <v>420.92193567147518</v>
      </c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/>
      <c r="B24" s="1" t="s">
        <v>41</v>
      </c>
      <c r="C24" s="2" t="e">
        <v>#NAME?</v>
      </c>
      <c r="D24" s="2" t="e">
        <v>#NAME?</v>
      </c>
      <c r="E24" s="2" t="e">
        <v>#NAME?</v>
      </c>
      <c r="F24" s="2" t="e">
        <v>#NAME?</v>
      </c>
      <c r="G24" s="2" t="e">
        <v>#NAME?</v>
      </c>
      <c r="H24" s="1"/>
      <c r="I24" s="1" t="s">
        <v>41</v>
      </c>
      <c r="J24" s="2"/>
      <c r="K24" s="2"/>
      <c r="L24" s="2"/>
      <c r="M24" s="2"/>
      <c r="N24" s="2"/>
      <c r="O24" s="1"/>
      <c r="P24" s="1" t="s">
        <v>41</v>
      </c>
      <c r="Q24" s="2"/>
      <c r="R24" s="2"/>
      <c r="S24" s="2"/>
      <c r="T24" s="2"/>
      <c r="U24" s="2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281"/>
      <c r="B25" s="281"/>
      <c r="C25" s="49"/>
      <c r="D25" s="49"/>
      <c r="E25" s="49"/>
      <c r="F25" s="1"/>
      <c r="G25" s="1"/>
      <c r="H25" s="1"/>
      <c r="I25" s="1"/>
      <c r="J25" s="51"/>
      <c r="K25" s="51"/>
      <c r="L25" s="2"/>
      <c r="M25" s="2"/>
      <c r="N25" s="2"/>
      <c r="O25" s="1"/>
      <c r="P25" s="1"/>
      <c r="Q25" s="51"/>
      <c r="R25" s="51"/>
      <c r="S25" s="51"/>
      <c r="T25" s="51"/>
      <c r="U25" s="5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3" t="s">
        <v>42</v>
      </c>
      <c r="C26" s="2"/>
      <c r="D26" s="2"/>
      <c r="E26" s="2"/>
      <c r="F26" s="1"/>
      <c r="G26" s="1"/>
      <c r="H26" s="1"/>
      <c r="I26" s="3" t="s">
        <v>43</v>
      </c>
      <c r="J26" s="2"/>
      <c r="K26" s="2"/>
      <c r="L26" s="2"/>
      <c r="M26" s="2"/>
      <c r="N26" s="2"/>
      <c r="O26" s="1"/>
      <c r="P26" s="3" t="s">
        <v>44</v>
      </c>
      <c r="Q26" s="2"/>
      <c r="R26" s="2"/>
      <c r="S26" s="2"/>
      <c r="T26" s="2"/>
      <c r="U26" s="2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 t="str">
        <f>Annual!A96</f>
        <v>YE Basic Shares Outstanding</v>
      </c>
      <c r="B27" s="44" t="s">
        <v>45</v>
      </c>
      <c r="C27" s="45"/>
      <c r="D27" s="280">
        <f>INDEX(Annual!$A:$AC,MATCH($A27,Annual!$A:$A,0),MATCH(D$20,Annual!$A$1:$AC$1,0))</f>
        <v>327.36854099999999</v>
      </c>
      <c r="E27" s="280">
        <f>INDEX(Annual!$A:$AC,MATCH($A27,Annual!$A:$A,0),MATCH(E$20,Annual!$A$1:$AC$1,0))</f>
        <v>327.36854099999999</v>
      </c>
      <c r="F27" s="280">
        <f>INDEX(Annual!$A:$AC,MATCH($A27,Annual!$A:$A,0),MATCH(F$20,Annual!$A$1:$AC$1,0))</f>
        <v>327.36854099999999</v>
      </c>
      <c r="G27" s="280">
        <f>INDEX(Annual!$A:$AC,MATCH($A27,Annual!$A:$A,0),MATCH(G$20,Annual!$A$1:$AC$1,0))</f>
        <v>327.36854099999999</v>
      </c>
      <c r="H27" s="1"/>
      <c r="I27" s="44" t="s">
        <v>37</v>
      </c>
      <c r="J27" s="45"/>
      <c r="K27" s="45"/>
      <c r="L27" s="45"/>
      <c r="M27" s="45"/>
      <c r="N27" s="45"/>
      <c r="O27" s="1"/>
      <c r="P27" s="44" t="s">
        <v>37</v>
      </c>
      <c r="Q27" s="45"/>
      <c r="R27" s="45"/>
      <c r="S27" s="295">
        <v>687.91</v>
      </c>
      <c r="T27" s="295">
        <v>787.1</v>
      </c>
      <c r="U27" s="45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44" t="s">
        <v>37</v>
      </c>
      <c r="C28" s="45"/>
      <c r="D28" s="45"/>
      <c r="E28" s="295">
        <v>0.49</v>
      </c>
      <c r="F28" s="295">
        <v>0.59</v>
      </c>
      <c r="G28" s="45"/>
      <c r="H28" s="47" t="s">
        <v>46</v>
      </c>
      <c r="I28" s="44" t="s">
        <v>38</v>
      </c>
      <c r="J28" s="280">
        <f>INDEX(Annual!$A:$AC,MATCH(Value!$H28,Annual!$A:$A,0),MATCH(J$20,Annual!$A$1:$AC$1,0))</f>
        <v>152.89999999999998</v>
      </c>
      <c r="K28" s="280">
        <f>INDEX(Annual!$A:$AC,MATCH(Value!$H28,Annual!$A:$A,0),MATCH(K$20,Annual!$A$1:$AC$1,0))</f>
        <v>181.54599999999999</v>
      </c>
      <c r="L28" s="280">
        <f>INDEX(Annual!$A:$AC,MATCH(Value!$H28,Annual!$A:$A,0),MATCH(L$20,Annual!$A$1:$AC$1,0))</f>
        <v>214.5406327555477</v>
      </c>
      <c r="M28" s="280">
        <f>INDEX(Annual!$A:$AC,MATCH(Value!$H28,Annual!$A:$A,0),MATCH(M$20,Annual!$A$1:$AC$1,0))</f>
        <v>257.36811021125851</v>
      </c>
      <c r="N28" s="280">
        <f>INDEX(Annual!$A:$AC,MATCH(Value!$H28,Annual!$A:$A,0),MATCH(N$20,Annual!$A$1:$AC$1,0))</f>
        <v>315.19478329995422</v>
      </c>
      <c r="O28" s="47" t="s">
        <v>47</v>
      </c>
      <c r="P28" s="44" t="s">
        <v>38</v>
      </c>
      <c r="Q28" s="280">
        <f>INDEX(Annual!$A:$AC,MATCH($O28,Annual!$A:$A,0),MATCH(Q$20,Annual!$A$1:$AC$1,0))</f>
        <v>515.4</v>
      </c>
      <c r="R28" s="280">
        <f>INDEX(Annual!$A:$AC,MATCH($O28,Annual!$A:$A,0),MATCH(R$20,Annual!$A$1:$AC$1,0))</f>
        <v>610.02800000000002</v>
      </c>
      <c r="S28" s="280">
        <f>INDEX(Annual!$A:$AC,MATCH($O28,Annual!$A:$A,0),MATCH(S$20,Annual!$A$1:$AC$1,0))</f>
        <v>694.60400197551405</v>
      </c>
      <c r="T28" s="280">
        <f>INDEX(Annual!$A:$AC,MATCH($O28,Annual!$A:$A,0),MATCH(T$20,Annual!$A$1:$AC$1,0))</f>
        <v>798.24445575769994</v>
      </c>
      <c r="U28" s="280">
        <f>INDEX(Annual!$A:$AC,MATCH($O28,Annual!$A:$A,0),MATCH(U$20,Annual!$A$1:$AC$1,0))</f>
        <v>936.79645020788871</v>
      </c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47" t="s">
        <v>48</v>
      </c>
      <c r="B29" s="44" t="s">
        <v>38</v>
      </c>
      <c r="C29" s="294">
        <f>INDEX(Annual!$A:$AC,MATCH($A29,Annual!$A:$A,0),MATCH(C$20,Annual!$A$1:$AC$1,0))</f>
        <v>0.36022834813932891</v>
      </c>
      <c r="D29" s="294">
        <f>INDEX(Annual!$A:$AC,MATCH($A29,Annual!$A:$A,0),MATCH(D$20,Annual!$A$1:$AC$1,0))</f>
        <v>0.41727864831948625</v>
      </c>
      <c r="E29" s="294">
        <f>INDEX(Annual!$A:$AC,MATCH($A29,Annual!$A:$A,0),MATCH(E$20,Annual!$A$1:$AC$1,0))</f>
        <v>0.49584604946044869</v>
      </c>
      <c r="F29" s="294">
        <f>INDEX(Annual!$A:$AC,MATCH($A29,Annual!$A:$A,0),MATCH(F$20,Annual!$A$1:$AC$1,0))</f>
        <v>0.59480278698175015</v>
      </c>
      <c r="G29" s="294">
        <f>INDEX(Annual!$A:$AC,MATCH($A29,Annual!$A:$A,0),MATCH(G$20,Annual!$A$1:$AC$1,0))</f>
        <v>0.72838761139456409</v>
      </c>
      <c r="H29" s="1"/>
      <c r="I29" s="1" t="s">
        <v>41</v>
      </c>
      <c r="J29" s="2"/>
      <c r="K29" s="2"/>
      <c r="L29" s="2"/>
      <c r="M29" s="2"/>
      <c r="N29" s="2"/>
      <c r="O29" s="2"/>
      <c r="P29" s="1" t="s">
        <v>41</v>
      </c>
      <c r="Q29" s="2"/>
      <c r="R29" s="2"/>
      <c r="S29" s="293">
        <f>S28/S27-1</f>
        <v>9.7309269752061667E-3</v>
      </c>
      <c r="T29" s="293">
        <f t="shared" ref="T29:U29" si="4">T28/T27-1</f>
        <v>1.415888166395618E-2</v>
      </c>
      <c r="U29" s="293" t="e">
        <f t="shared" si="4"/>
        <v>#DIV/0!</v>
      </c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 t="s">
        <v>41</v>
      </c>
      <c r="C30" s="2"/>
      <c r="D30" s="2"/>
      <c r="E30" s="293">
        <f>E29/E28-1</f>
        <v>1.1930713184589159E-2</v>
      </c>
      <c r="F30" s="293">
        <f t="shared" ref="F30" si="5">F29/F28-1</f>
        <v>8.1403169182205914E-3</v>
      </c>
      <c r="G30" s="2"/>
      <c r="H30" s="1"/>
      <c r="I30" s="1" t="s">
        <v>49</v>
      </c>
      <c r="J30" s="2"/>
      <c r="K30" s="2"/>
      <c r="L30" s="2"/>
      <c r="M30" s="2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281"/>
      <c r="B31" s="281"/>
      <c r="C31" s="2"/>
      <c r="D31" s="2"/>
      <c r="E31" s="2"/>
      <c r="F31" s="1"/>
      <c r="G31" s="1"/>
      <c r="H31" s="1"/>
      <c r="I31" s="3" t="s">
        <v>50</v>
      </c>
      <c r="J31" s="2"/>
      <c r="K31" s="2"/>
      <c r="L31" s="2"/>
      <c r="M31" s="1"/>
      <c r="N31" s="1"/>
      <c r="O31" s="1"/>
      <c r="P31" s="3" t="s">
        <v>51</v>
      </c>
      <c r="Q31" s="2"/>
      <c r="R31" s="2"/>
      <c r="S31" s="2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3" t="s">
        <v>52</v>
      </c>
      <c r="C32" s="2"/>
      <c r="D32" s="2"/>
      <c r="E32" s="2"/>
      <c r="F32" s="1"/>
      <c r="G32" s="1"/>
      <c r="H32" s="47"/>
      <c r="I32" s="44" t="s">
        <v>37</v>
      </c>
      <c r="J32" s="45"/>
      <c r="K32" s="45"/>
      <c r="L32" s="45"/>
      <c r="M32" s="45"/>
      <c r="N32" s="45"/>
      <c r="O32" s="47" t="s">
        <v>53</v>
      </c>
      <c r="P32" s="44" t="s">
        <v>37</v>
      </c>
      <c r="Q32" s="45"/>
      <c r="R32" s="45"/>
      <c r="S32" s="45"/>
      <c r="T32" s="45"/>
      <c r="U32" s="45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44" t="s">
        <v>37</v>
      </c>
      <c r="C33" s="45" t="e">
        <v>#NAME?</v>
      </c>
      <c r="D33" s="45" t="e">
        <v>#NAME?</v>
      </c>
      <c r="E33" s="45" t="e">
        <v>#NAME?</v>
      </c>
      <c r="F33" s="45" t="e">
        <v>#NAME?</v>
      </c>
      <c r="G33" s="45" t="e">
        <v>#NAME?</v>
      </c>
      <c r="H33" s="47" t="s">
        <v>54</v>
      </c>
      <c r="I33" s="44" t="s">
        <v>38</v>
      </c>
      <c r="J33" s="280">
        <f>INDEX(Annual!$A:$AC,MATCH(Value!$H33,Annual!$A:$A,0),MATCH(J$20,Annual!$A$1:$AC$1,0))</f>
        <v>147</v>
      </c>
      <c r="K33" s="280">
        <f>INDEX(Annual!$A:$AC,MATCH(Value!$H33,Annual!$A:$A,0),MATCH(K$20,Annual!$A$1:$AC$1,0))</f>
        <v>174.90299999999999</v>
      </c>
      <c r="L33" s="280">
        <f>INDEX(Annual!$A:$AC,MATCH(Value!$H33,Annual!$A:$A,0),MATCH(L$20,Annual!$A$1:$AC$1,0))</f>
        <v>205.74063275554769</v>
      </c>
      <c r="M33" s="280">
        <f>INDEX(Annual!$A:$AC,MATCH(Value!$H33,Annual!$A:$A,0),MATCH(M$20,Annual!$A$1:$AC$1,0))</f>
        <v>246.26811021125852</v>
      </c>
      <c r="N33" s="280">
        <f>INDEX(Annual!$A:$AC,MATCH(Value!$H33,Annual!$A:$A,0),MATCH(N$20,Annual!$A$1:$AC$1,0))</f>
        <v>301.49478329995424</v>
      </c>
      <c r="O33" s="47" t="s">
        <v>53</v>
      </c>
      <c r="P33" s="52" t="s">
        <v>38</v>
      </c>
      <c r="Q33" s="280">
        <f>(INDEX(Annual!$A:$AC,MATCH($O33,Annual!$A:$A,0),MATCH(Q$20,Annual!$A$1:$AC$1,0))+$D$4*C27)/Q23</f>
        <v>-1.2914735866543094</v>
      </c>
      <c r="R33" s="280">
        <f>(INDEX(Annual!$A:$AC,MATCH($O33,Annual!$A:$A,0),MATCH(R$20,Annual!$A$1:$AC$1,0))+$D$4*D27)/R23</f>
        <v>33.573653950723504</v>
      </c>
      <c r="S33" s="280">
        <f>(INDEX(Annual!$A:$AC,MATCH($O33,Annual!$A:$A,0),MATCH(S$20,Annual!$A$1:$AC$1,0))+$D$4*E27)/S23</f>
        <v>28.709139068329634</v>
      </c>
      <c r="T33" s="280">
        <f>(INDEX(Annual!$A:$AC,MATCH($O33,Annual!$A:$A,0),MATCH(T$20,Annual!$A$1:$AC$1,0))+$D$4*F27)/T23</f>
        <v>24.206202033983978</v>
      </c>
      <c r="U33" s="280">
        <f>(INDEX(Annual!$A:$AC,MATCH($O33,Annual!$A:$A,0),MATCH(U$20,Annual!$A$1:$AC$1,0))+$D$4*G27)/U23</f>
        <v>19.974314466345724</v>
      </c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47" t="s">
        <v>55</v>
      </c>
      <c r="B34" s="44" t="s">
        <v>38</v>
      </c>
      <c r="C34" s="280">
        <f>INDEX(Annual!$A:$AC,MATCH($A34,Annual!$A:$A,0),MATCH(C$20,Annual!$A$1:$AC$1,0))</f>
        <v>0.22</v>
      </c>
      <c r="D34" s="280">
        <f>INDEX(Annual!$A:$AC,MATCH($A34,Annual!$A:$A,0),MATCH(D$20,Annual!$A$1:$AC$1,0))</f>
        <v>0.36599999999999999</v>
      </c>
      <c r="E34" s="280">
        <f>INDEX(Annual!$A:$AC,MATCH($A34,Annual!$A:$A,0),MATCH(E$20,Annual!$A$1:$AC$1,0))</f>
        <v>0.30742455066547819</v>
      </c>
      <c r="F34" s="280">
        <f>INDEX(Annual!$A:$AC,MATCH($A34,Annual!$A:$A,0),MATCH(F$20,Annual!$A$1:$AC$1,0))</f>
        <v>0.36877772792868507</v>
      </c>
      <c r="G34" s="280">
        <f>INDEX(Annual!$A:$AC,MATCH($A34,Annual!$A:$A,0),MATCH(G$20,Annual!$A$1:$AC$1,0))</f>
        <v>0.45160031906462972</v>
      </c>
      <c r="H34" s="1"/>
      <c r="I34" s="1" t="s">
        <v>41</v>
      </c>
      <c r="J34" s="2"/>
      <c r="K34" s="2"/>
      <c r="L34" s="2"/>
      <c r="M34" s="2"/>
      <c r="N34" s="2"/>
      <c r="O34" s="47"/>
      <c r="P34" s="1" t="s">
        <v>41</v>
      </c>
      <c r="Q34" s="2"/>
      <c r="R34" s="2"/>
      <c r="S34" s="2"/>
      <c r="T34" s="2"/>
      <c r="U34" s="2"/>
      <c r="V34" s="53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44" t="s">
        <v>56</v>
      </c>
      <c r="C35" s="54"/>
      <c r="D35" s="54"/>
      <c r="E35" s="54"/>
      <c r="F35" s="54"/>
      <c r="G35" s="54"/>
      <c r="H35" s="1"/>
      <c r="I35" s="53"/>
      <c r="J35" s="53"/>
      <c r="K35" s="53"/>
      <c r="L35" s="53"/>
      <c r="M35" s="53"/>
      <c r="N35" s="53"/>
      <c r="O35" s="53"/>
      <c r="P35" s="53"/>
      <c r="Q35" s="55"/>
      <c r="R35" s="51"/>
      <c r="S35" s="51"/>
      <c r="T35" s="51"/>
      <c r="U35" s="51"/>
      <c r="V35" s="53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281"/>
      <c r="B36" s="281"/>
      <c r="C36" s="2"/>
      <c r="D36" s="2"/>
      <c r="E36" s="2"/>
      <c r="F36" s="2"/>
      <c r="G36" s="2"/>
      <c r="H36" s="1"/>
      <c r="I36" s="1"/>
      <c r="J36" s="1"/>
      <c r="K36" s="1"/>
      <c r="L36" s="2"/>
      <c r="M36" s="2"/>
      <c r="N36" s="2"/>
      <c r="O36" s="1"/>
      <c r="P36" s="53"/>
      <c r="Q36" s="55"/>
      <c r="R36" s="51"/>
      <c r="S36" s="51"/>
      <c r="T36" s="51"/>
      <c r="U36" s="51"/>
      <c r="V36" s="53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56" t="s">
        <v>57</v>
      </c>
      <c r="C37" s="56" t="s">
        <v>37</v>
      </c>
      <c r="D37" s="56" t="s">
        <v>38</v>
      </c>
      <c r="E37" s="56" t="s">
        <v>58</v>
      </c>
      <c r="F37" s="56" t="s">
        <v>59</v>
      </c>
      <c r="G37" s="56" t="s">
        <v>58</v>
      </c>
      <c r="H37" s="1"/>
      <c r="I37" s="57"/>
      <c r="J37" s="58" t="s">
        <v>34</v>
      </c>
      <c r="K37" s="58"/>
      <c r="L37" s="58" t="s">
        <v>60</v>
      </c>
      <c r="M37" s="58"/>
      <c r="N37" s="58" t="s">
        <v>61</v>
      </c>
      <c r="O37" s="59" t="s">
        <v>62</v>
      </c>
      <c r="P37" s="59" t="s">
        <v>63</v>
      </c>
      <c r="Q37" s="59" t="s">
        <v>64</v>
      </c>
      <c r="R37" s="59" t="s">
        <v>65</v>
      </c>
      <c r="S37" s="59" t="s">
        <v>66</v>
      </c>
      <c r="T37" s="40" t="s">
        <v>67</v>
      </c>
      <c r="U37" s="40" t="s">
        <v>56</v>
      </c>
      <c r="V37" s="40" t="s">
        <v>68</v>
      </c>
      <c r="W37" s="56"/>
      <c r="X37" s="56"/>
      <c r="Y37" s="1"/>
      <c r="Z37" s="1"/>
      <c r="AA37" s="1"/>
      <c r="AB37" s="1"/>
      <c r="AC37" s="1"/>
      <c r="AD37" s="1"/>
    </row>
    <row r="38" spans="1:30" x14ac:dyDescent="0.25">
      <c r="A38" s="1"/>
      <c r="B38" s="2" t="s">
        <v>69</v>
      </c>
      <c r="C38" s="2" t="e">
        <v>#NAME?</v>
      </c>
      <c r="D38" s="60">
        <v>257</v>
      </c>
      <c r="E38" s="2" t="e">
        <v>#NAME?</v>
      </c>
      <c r="F38" s="2"/>
      <c r="G38" s="2" t="e">
        <v>#DIV/0!</v>
      </c>
      <c r="H38" s="1"/>
      <c r="I38" s="57"/>
      <c r="J38" s="40" t="s">
        <v>70</v>
      </c>
      <c r="K38" s="40" t="s">
        <v>71</v>
      </c>
      <c r="L38" s="40" t="s">
        <v>70</v>
      </c>
      <c r="M38" s="40" t="s">
        <v>71</v>
      </c>
      <c r="N38" s="40" t="s">
        <v>72</v>
      </c>
      <c r="O38" s="61" t="s">
        <v>73</v>
      </c>
      <c r="P38" s="59" t="s">
        <v>70</v>
      </c>
      <c r="Q38" s="61" t="s">
        <v>73</v>
      </c>
      <c r="R38" s="59" t="s">
        <v>74</v>
      </c>
      <c r="S38" s="59" t="s">
        <v>74</v>
      </c>
      <c r="T38" s="40" t="s">
        <v>75</v>
      </c>
      <c r="U38" s="40" t="s">
        <v>72</v>
      </c>
      <c r="V38" s="62" t="s">
        <v>76</v>
      </c>
      <c r="W38" s="51"/>
      <c r="X38" s="51"/>
      <c r="Y38" s="1">
        <v>0.86521739099999995</v>
      </c>
      <c r="Z38" s="1"/>
      <c r="AA38" s="1"/>
      <c r="AB38" s="1"/>
      <c r="AC38" s="1"/>
      <c r="AD38" s="1"/>
    </row>
    <row r="39" spans="1:30" x14ac:dyDescent="0.25">
      <c r="A39" s="1"/>
      <c r="B39" s="2" t="s">
        <v>77</v>
      </c>
      <c r="C39" s="2" t="e">
        <v>#NAME?</v>
      </c>
      <c r="D39" s="60">
        <v>80</v>
      </c>
      <c r="E39" s="2" t="e">
        <v>#NAME?</v>
      </c>
      <c r="F39" s="2"/>
      <c r="G39" s="2" t="e">
        <v>#DIV/0!</v>
      </c>
      <c r="H39" s="1"/>
      <c r="I39" s="63" t="e">
        <v>#NAME?</v>
      </c>
      <c r="J39" s="5" t="e">
        <v>#NAME?</v>
      </c>
      <c r="K39" s="5" t="e">
        <v>#NAME?</v>
      </c>
      <c r="L39" s="5" t="e">
        <v>#NAME?</v>
      </c>
      <c r="M39" s="5" t="e">
        <v>#NAME?</v>
      </c>
      <c r="N39" s="5" t="e">
        <v>#NAME?</v>
      </c>
      <c r="O39" s="26" t="e">
        <v>#NAME?</v>
      </c>
      <c r="P39" s="5" t="e">
        <v>#NAME?</v>
      </c>
      <c r="Q39" s="5" t="e">
        <v>#NAME?</v>
      </c>
      <c r="R39" s="5" t="e">
        <v>#NAME?</v>
      </c>
      <c r="S39" s="5" t="e">
        <v>#NAME?</v>
      </c>
      <c r="T39" s="5" t="e">
        <v>#NAME?</v>
      </c>
      <c r="U39" s="5" t="e">
        <v>#NAME?</v>
      </c>
      <c r="V39" s="5" t="s">
        <v>1</v>
      </c>
      <c r="W39" s="51"/>
      <c r="X39" s="51"/>
      <c r="Y39" s="1"/>
      <c r="Z39" s="1"/>
      <c r="AA39" s="1"/>
      <c r="AB39" s="1"/>
      <c r="AC39" s="1"/>
      <c r="AD39" s="1"/>
    </row>
    <row r="40" spans="1:30" x14ac:dyDescent="0.25">
      <c r="A40" s="1"/>
      <c r="B40" s="2" t="s">
        <v>54</v>
      </c>
      <c r="C40" s="2" t="e">
        <v>#NAME?</v>
      </c>
      <c r="D40" s="60">
        <v>177</v>
      </c>
      <c r="E40" s="2" t="e">
        <v>#NAME?</v>
      </c>
      <c r="F40" s="2"/>
      <c r="G40" s="2" t="e">
        <v>#DIV/0!</v>
      </c>
      <c r="H40" s="1"/>
      <c r="I40" s="3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49"/>
      <c r="X40" s="49"/>
      <c r="Y40" s="1"/>
      <c r="Z40" s="1"/>
      <c r="AA40" s="1"/>
      <c r="AB40" s="1"/>
      <c r="AC40" s="1"/>
      <c r="AD40" s="1"/>
    </row>
    <row r="41" spans="1:30" x14ac:dyDescent="0.25">
      <c r="A41" s="1"/>
      <c r="B41" s="2" t="s">
        <v>78</v>
      </c>
      <c r="C41" s="2" t="e">
        <v>#NAME?</v>
      </c>
      <c r="D41" s="60">
        <v>-7</v>
      </c>
      <c r="E41" s="2" t="e">
        <v>#NAME?</v>
      </c>
      <c r="F41" s="2"/>
      <c r="G41" s="2" t="e">
        <v>#DIV/0!</v>
      </c>
      <c r="H41" s="1"/>
      <c r="I41" s="64" t="s">
        <v>79</v>
      </c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51"/>
      <c r="X41" s="51"/>
      <c r="Y41" s="1"/>
      <c r="Z41" s="1"/>
      <c r="AA41" s="1"/>
      <c r="AB41" s="1"/>
      <c r="AC41" s="1"/>
      <c r="AD41" s="1"/>
    </row>
    <row r="42" spans="1:30" x14ac:dyDescent="0.25">
      <c r="A42" s="1"/>
      <c r="B42" s="2" t="s">
        <v>46</v>
      </c>
      <c r="C42" s="2" t="e">
        <v>#NAME?</v>
      </c>
      <c r="D42" s="60">
        <v>185</v>
      </c>
      <c r="E42" s="2" t="e">
        <v>#NAME?</v>
      </c>
      <c r="F42" s="2"/>
      <c r="G42" s="2" t="e">
        <v>#DIV/0!</v>
      </c>
      <c r="H42" s="1"/>
      <c r="I42" s="65" t="e">
        <v>#NAME?</v>
      </c>
      <c r="J42" s="26" t="e">
        <v>#NAME?</v>
      </c>
      <c r="K42" s="26" t="e">
        <v>#NAME?</v>
      </c>
      <c r="L42" s="26" t="e">
        <v>#NAME?</v>
      </c>
      <c r="M42" s="26" t="e">
        <v>#NAME?</v>
      </c>
      <c r="N42" s="26" t="e">
        <v>#NAME?</v>
      </c>
      <c r="O42" s="26" t="e">
        <v>#NAME?</v>
      </c>
      <c r="P42" s="26" t="e">
        <v>#NAME?</v>
      </c>
      <c r="Q42" s="26" t="e">
        <v>#NAME?</v>
      </c>
      <c r="R42" s="26" t="e">
        <v>#NAME?</v>
      </c>
      <c r="S42" s="26" t="e">
        <v>#NAME?</v>
      </c>
      <c r="T42" s="26" t="e">
        <v>#NAME?</v>
      </c>
      <c r="U42" s="26" t="e">
        <v>#NAME?</v>
      </c>
      <c r="V42" s="26" t="s">
        <v>80</v>
      </c>
      <c r="W42" s="49"/>
      <c r="X42" s="49"/>
      <c r="Y42" s="1"/>
      <c r="Z42" s="1"/>
      <c r="AA42" s="1"/>
      <c r="AB42" s="1"/>
      <c r="AC42" s="1"/>
      <c r="AD42" s="1"/>
    </row>
    <row r="43" spans="1:30" x14ac:dyDescent="0.25">
      <c r="A43" s="1"/>
      <c r="B43" s="2" t="s">
        <v>81</v>
      </c>
      <c r="C43" s="2" t="e">
        <v>#NAME?</v>
      </c>
      <c r="D43" s="60">
        <v>43</v>
      </c>
      <c r="E43" s="2" t="e">
        <v>#NAME?</v>
      </c>
      <c r="F43" s="2"/>
      <c r="G43" s="2" t="e">
        <v>#DIV/0!</v>
      </c>
      <c r="H43" s="1"/>
      <c r="I43" s="65" t="e">
        <v>#NAME?</v>
      </c>
      <c r="J43" s="26" t="e">
        <v>#NAME?</v>
      </c>
      <c r="K43" s="26" t="e">
        <v>#NAME?</v>
      </c>
      <c r="L43" s="26" t="e">
        <v>#NAME?</v>
      </c>
      <c r="M43" s="26" t="e">
        <v>#NAME?</v>
      </c>
      <c r="N43" s="26" t="e">
        <v>#NAME?</v>
      </c>
      <c r="O43" s="26" t="e">
        <v>#NAME?</v>
      </c>
      <c r="P43" s="26" t="e">
        <v>#NAME?</v>
      </c>
      <c r="Q43" s="26" t="e">
        <v>#NAME?</v>
      </c>
      <c r="R43" s="26" t="e">
        <v>#NAME?</v>
      </c>
      <c r="S43" s="26" t="e">
        <v>#NAME?</v>
      </c>
      <c r="T43" s="26" t="e">
        <v>#NAME?</v>
      </c>
      <c r="U43" s="26" t="e">
        <v>#NAME?</v>
      </c>
      <c r="V43" s="26" t="s">
        <v>82</v>
      </c>
      <c r="W43" s="51"/>
      <c r="X43" s="51"/>
      <c r="Y43" s="1"/>
      <c r="Z43" s="1"/>
      <c r="AA43" s="1"/>
      <c r="AB43" s="1"/>
      <c r="AC43" s="1"/>
      <c r="AD43" s="1"/>
    </row>
    <row r="44" spans="1:30" x14ac:dyDescent="0.25">
      <c r="A44" s="1"/>
      <c r="B44" s="2" t="s">
        <v>83</v>
      </c>
      <c r="C44" s="2" t="e">
        <v>#NAME?</v>
      </c>
      <c r="D44" s="66">
        <v>0.23</v>
      </c>
      <c r="E44" s="2" t="e">
        <v>#NAME?</v>
      </c>
      <c r="F44" s="2"/>
      <c r="G44" s="2" t="e">
        <v>#DIV/0!</v>
      </c>
      <c r="H44" s="1"/>
      <c r="I44" s="65" t="e">
        <v>#NAME?</v>
      </c>
      <c r="J44" s="26" t="e">
        <v>#NAME?</v>
      </c>
      <c r="K44" s="26" t="e">
        <v>#NAME?</v>
      </c>
      <c r="L44" s="26" t="e">
        <v>#NAME?</v>
      </c>
      <c r="M44" s="26" t="e">
        <v>#NAME?</v>
      </c>
      <c r="N44" s="26" t="e">
        <v>#NAME?</v>
      </c>
      <c r="O44" s="26" t="e">
        <v>#NAME?</v>
      </c>
      <c r="P44" s="26" t="e">
        <v>#NAME?</v>
      </c>
      <c r="Q44" s="26" t="e">
        <v>#NAME?</v>
      </c>
      <c r="R44" s="26" t="e">
        <v>#NAME?</v>
      </c>
      <c r="S44" s="26" t="e">
        <v>#NAME?</v>
      </c>
      <c r="T44" s="26" t="e">
        <v>#NAME?</v>
      </c>
      <c r="U44" s="26" t="e">
        <v>#NAME?</v>
      </c>
      <c r="V44" s="26" t="s">
        <v>84</v>
      </c>
      <c r="W44" s="51"/>
      <c r="X44" s="51"/>
      <c r="Y44" s="1"/>
      <c r="Z44" s="1"/>
      <c r="AA44" s="1"/>
      <c r="AB44" s="1"/>
      <c r="AC44" s="1"/>
      <c r="AD44" s="1"/>
    </row>
    <row r="45" spans="1:30" x14ac:dyDescent="0.25">
      <c r="A45" s="1"/>
      <c r="B45" s="2" t="s">
        <v>85</v>
      </c>
      <c r="C45" s="2" t="e">
        <v>#NAME?</v>
      </c>
      <c r="D45" s="60">
        <v>142</v>
      </c>
      <c r="E45" s="2" t="e">
        <v>#NAME?</v>
      </c>
      <c r="F45" s="2"/>
      <c r="G45" s="2" t="e">
        <v>#DIV/0!</v>
      </c>
      <c r="H45" s="1"/>
      <c r="I45" s="65" t="e">
        <v>#NAME?</v>
      </c>
      <c r="J45" s="26" t="e">
        <v>#NAME?</v>
      </c>
      <c r="K45" s="26" t="e">
        <v>#NAME?</v>
      </c>
      <c r="L45" s="26" t="e">
        <v>#NAME?</v>
      </c>
      <c r="M45" s="26" t="e">
        <v>#NAME?</v>
      </c>
      <c r="N45" s="26" t="e">
        <v>#NAME?</v>
      </c>
      <c r="O45" s="26" t="e">
        <v>#NAME?</v>
      </c>
      <c r="P45" s="26" t="e">
        <v>#NAME?</v>
      </c>
      <c r="Q45" s="26" t="e">
        <v>#NAME?</v>
      </c>
      <c r="R45" s="26" t="e">
        <v>#NAME?</v>
      </c>
      <c r="S45" s="26" t="e">
        <v>#NAME?</v>
      </c>
      <c r="T45" s="26" t="e">
        <v>#NAME?</v>
      </c>
      <c r="U45" s="26" t="e">
        <v>#NAME?</v>
      </c>
      <c r="V45" s="26" t="s">
        <v>86</v>
      </c>
      <c r="W45" s="49"/>
      <c r="X45" s="49"/>
      <c r="Y45" s="1"/>
      <c r="Z45" s="1"/>
      <c r="AA45" s="1"/>
      <c r="AB45" s="1"/>
      <c r="AC45" s="1"/>
      <c r="AD45" s="1"/>
    </row>
    <row r="46" spans="1:30" x14ac:dyDescent="0.25">
      <c r="A46" s="281"/>
      <c r="B46" s="281"/>
      <c r="C46" s="2"/>
      <c r="D46" s="2"/>
      <c r="E46" s="2"/>
      <c r="F46" s="1"/>
      <c r="G46" s="2"/>
      <c r="H46" s="1"/>
      <c r="I46" s="65" t="e">
        <v>#NAME?</v>
      </c>
      <c r="J46" s="26" t="e">
        <v>#NAME?</v>
      </c>
      <c r="K46" s="26" t="e">
        <v>#NAME?</v>
      </c>
      <c r="L46" s="26" t="e">
        <v>#NAME?</v>
      </c>
      <c r="M46" s="26" t="e">
        <v>#NAME?</v>
      </c>
      <c r="N46" s="26" t="e">
        <v>#NAME?</v>
      </c>
      <c r="O46" s="26" t="e">
        <v>#NAME?</v>
      </c>
      <c r="P46" s="26" t="e">
        <v>#NAME?</v>
      </c>
      <c r="Q46" s="26" t="e">
        <v>#NAME?</v>
      </c>
      <c r="R46" s="26" t="e">
        <v>#NAME?</v>
      </c>
      <c r="S46" s="26" t="e">
        <v>#NAME?</v>
      </c>
      <c r="T46" s="26" t="e">
        <v>#NAME?</v>
      </c>
      <c r="U46" s="26" t="e">
        <v>#NAME?</v>
      </c>
      <c r="V46" s="26" t="s">
        <v>87</v>
      </c>
      <c r="W46" s="67"/>
      <c r="X46" s="67"/>
      <c r="Y46" s="1"/>
      <c r="Z46" s="1"/>
      <c r="AA46" s="1"/>
      <c r="AB46" s="1"/>
      <c r="AC46" s="1"/>
      <c r="AD46" s="1"/>
    </row>
    <row r="47" spans="1:30" x14ac:dyDescent="0.25">
      <c r="A47" s="1"/>
      <c r="B47" s="56" t="s">
        <v>88</v>
      </c>
      <c r="C47" s="56" t="s">
        <v>37</v>
      </c>
      <c r="D47" s="56" t="s">
        <v>38</v>
      </c>
      <c r="E47" s="56" t="s">
        <v>58</v>
      </c>
      <c r="F47" s="56" t="s">
        <v>59</v>
      </c>
      <c r="G47" s="56" t="s">
        <v>58</v>
      </c>
      <c r="H47" s="1"/>
      <c r="I47" s="65" t="e">
        <v>#NAME?</v>
      </c>
      <c r="J47" s="26" t="e">
        <v>#NAME?</v>
      </c>
      <c r="K47" s="26" t="e">
        <v>#NAME?</v>
      </c>
      <c r="L47" s="26" t="e">
        <v>#NAME?</v>
      </c>
      <c r="M47" s="26" t="e">
        <v>#NAME?</v>
      </c>
      <c r="N47" s="26" t="e">
        <v>#NAME?</v>
      </c>
      <c r="O47" s="26" t="e">
        <v>#NAME?</v>
      </c>
      <c r="P47" s="26" t="e">
        <v>#NAME?</v>
      </c>
      <c r="Q47" s="26" t="e">
        <v>#NAME?</v>
      </c>
      <c r="R47" s="26" t="e">
        <v>#NAME?</v>
      </c>
      <c r="S47" s="26" t="e">
        <v>#NAME?</v>
      </c>
      <c r="T47" s="26" t="e">
        <v>#NAME?</v>
      </c>
      <c r="U47" s="26" t="e">
        <v>#NAME?</v>
      </c>
      <c r="V47" s="26" t="s">
        <v>89</v>
      </c>
      <c r="W47" s="51"/>
      <c r="X47" s="51"/>
      <c r="Y47" s="1"/>
      <c r="Z47" s="1"/>
      <c r="AA47" s="1"/>
      <c r="AB47" s="1"/>
      <c r="AC47" s="1"/>
      <c r="AD47" s="1"/>
    </row>
    <row r="48" spans="1:30" x14ac:dyDescent="0.25">
      <c r="A48" s="1"/>
      <c r="B48" s="2" t="s">
        <v>69</v>
      </c>
      <c r="C48" s="2" t="e">
        <v>#NAME?</v>
      </c>
      <c r="D48" s="60">
        <v>305</v>
      </c>
      <c r="E48" s="2" t="e">
        <v>#NAME?</v>
      </c>
      <c r="F48" s="2"/>
      <c r="G48" s="2" t="e">
        <v>#DIV/0!</v>
      </c>
      <c r="H48" s="1"/>
      <c r="I48" s="65" t="e">
        <v>#NAME?</v>
      </c>
      <c r="J48" s="26" t="e">
        <v>#NAME?</v>
      </c>
      <c r="K48" s="26" t="e">
        <v>#NAME?</v>
      </c>
      <c r="L48" s="26" t="e">
        <v>#NAME?</v>
      </c>
      <c r="M48" s="26" t="e">
        <v>#NAME?</v>
      </c>
      <c r="N48" s="26" t="e">
        <v>#NAME?</v>
      </c>
      <c r="O48" s="26" t="e">
        <v>#NAME?</v>
      </c>
      <c r="P48" s="26" t="e">
        <v>#NAME?</v>
      </c>
      <c r="Q48" s="26" t="e">
        <v>#NAME?</v>
      </c>
      <c r="R48" s="26" t="e">
        <v>#NAME?</v>
      </c>
      <c r="S48" s="26" t="e">
        <v>#NAME?</v>
      </c>
      <c r="T48" s="26" t="e">
        <v>#NAME?</v>
      </c>
      <c r="U48" s="26" t="e">
        <v>#NAME?</v>
      </c>
      <c r="V48" s="26" t="s">
        <v>90</v>
      </c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2" t="s">
        <v>77</v>
      </c>
      <c r="C49" s="2" t="e">
        <v>#NAME?</v>
      </c>
      <c r="D49" s="60">
        <v>90</v>
      </c>
      <c r="E49" s="2" t="e">
        <v>#NAME?</v>
      </c>
      <c r="F49" s="2"/>
      <c r="G49" s="2" t="e">
        <v>#DIV/0!</v>
      </c>
      <c r="H49" s="1"/>
      <c r="I49" s="65" t="e">
        <v>#NAME?</v>
      </c>
      <c r="J49" s="26" t="e">
        <v>#NAME?</v>
      </c>
      <c r="K49" s="26" t="e">
        <v>#NAME?</v>
      </c>
      <c r="L49" s="26" t="e">
        <v>#NAME?</v>
      </c>
      <c r="M49" s="26" t="e">
        <v>#NAME?</v>
      </c>
      <c r="N49" s="26" t="e">
        <v>#NAME?</v>
      </c>
      <c r="O49" s="26" t="e">
        <v>#NAME?</v>
      </c>
      <c r="P49" s="26" t="e">
        <v>#NAME?</v>
      </c>
      <c r="Q49" s="26" t="e">
        <v>#NAME?</v>
      </c>
      <c r="R49" s="26" t="e">
        <v>#NAME?</v>
      </c>
      <c r="S49" s="26" t="e">
        <v>#NAME?</v>
      </c>
      <c r="T49" s="26" t="e">
        <v>#NAME?</v>
      </c>
      <c r="U49" s="26" t="e">
        <v>#NAME?</v>
      </c>
      <c r="V49" s="26" t="s">
        <v>91</v>
      </c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2" t="s">
        <v>54</v>
      </c>
      <c r="C50" s="2" t="e">
        <v>#NAME?</v>
      </c>
      <c r="D50" s="60">
        <v>215</v>
      </c>
      <c r="E50" s="2" t="e">
        <v>#NAME?</v>
      </c>
      <c r="F50" s="2"/>
      <c r="G50" s="2" t="e">
        <v>#DIV/0!</v>
      </c>
      <c r="H50" s="1"/>
      <c r="I50" s="36" t="s">
        <v>92</v>
      </c>
      <c r="J50" s="5" t="e">
        <v>#NAME?</v>
      </c>
      <c r="K50" s="5" t="e">
        <v>#NAME?</v>
      </c>
      <c r="L50" s="5" t="e">
        <v>#NAME?</v>
      </c>
      <c r="M50" s="5" t="e">
        <v>#NAME?</v>
      </c>
      <c r="N50" s="5" t="e">
        <v>#NAME?</v>
      </c>
      <c r="O50" s="5" t="e">
        <v>#NAME?</v>
      </c>
      <c r="P50" s="5" t="e">
        <v>#NAME?</v>
      </c>
      <c r="Q50" s="5" t="e">
        <v>#NAME?</v>
      </c>
      <c r="R50" s="5" t="e">
        <v>#NAME?</v>
      </c>
      <c r="S50" s="5" t="e">
        <v>#NAME?</v>
      </c>
      <c r="T50" s="5" t="e">
        <v>#NAME?</v>
      </c>
      <c r="U50" s="5" t="e">
        <v>#NAME?</v>
      </c>
      <c r="V50" s="5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2" t="s">
        <v>78</v>
      </c>
      <c r="C51" s="2" t="e">
        <v>#NAME?</v>
      </c>
      <c r="D51" s="60">
        <v>-9</v>
      </c>
      <c r="E51" s="2" t="e">
        <v>#NAME?</v>
      </c>
      <c r="F51" s="2"/>
      <c r="G51" s="2" t="e">
        <v>#DIV/0!</v>
      </c>
      <c r="H51" s="1"/>
      <c r="I51" s="36" t="s">
        <v>93</v>
      </c>
      <c r="J51" s="5" t="e">
        <v>#NAME?</v>
      </c>
      <c r="K51" s="5" t="e">
        <v>#NAME?</v>
      </c>
      <c r="L51" s="5" t="e">
        <v>#NAME?</v>
      </c>
      <c r="M51" s="5" t="e">
        <v>#NAME?</v>
      </c>
      <c r="N51" s="5" t="e">
        <v>#NAME?</v>
      </c>
      <c r="O51" s="5" t="e">
        <v>#NAME?</v>
      </c>
      <c r="P51" s="5" t="e">
        <v>#NAME?</v>
      </c>
      <c r="Q51" s="5" t="e">
        <v>#NAME?</v>
      </c>
      <c r="R51" s="5" t="e">
        <v>#NAME?</v>
      </c>
      <c r="S51" s="5" t="e">
        <v>#NAME?</v>
      </c>
      <c r="T51" s="5" t="e">
        <v>#NAME?</v>
      </c>
      <c r="U51" s="5" t="e">
        <v>#NAME?</v>
      </c>
      <c r="V51" s="5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2" t="s">
        <v>46</v>
      </c>
      <c r="C52" s="2" t="e">
        <v>#NAME?</v>
      </c>
      <c r="D52" s="60">
        <v>224</v>
      </c>
      <c r="E52" s="2" t="e">
        <v>#NAME?</v>
      </c>
      <c r="F52" s="2"/>
      <c r="G52" s="2" t="e">
        <v>#DIV/0!</v>
      </c>
      <c r="H52" s="1"/>
      <c r="I52" s="3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2" t="s">
        <v>81</v>
      </c>
      <c r="C53" s="2" t="e">
        <v>#NAME?</v>
      </c>
      <c r="D53" s="60">
        <v>52</v>
      </c>
      <c r="E53" s="2" t="e">
        <v>#NAME?</v>
      </c>
      <c r="F53" s="2"/>
      <c r="G53" s="2" t="e">
        <v>#DIV/0!</v>
      </c>
      <c r="H53" s="1"/>
      <c r="I53" s="64" t="s">
        <v>94</v>
      </c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2" t="s">
        <v>83</v>
      </c>
      <c r="C54" s="2" t="e">
        <v>#NAME?</v>
      </c>
      <c r="D54" s="66">
        <v>0.23</v>
      </c>
      <c r="E54" s="2" t="e">
        <v>#NAME?</v>
      </c>
      <c r="F54" s="2"/>
      <c r="G54" s="2" t="e">
        <v>#DIV/0!</v>
      </c>
      <c r="H54" s="1"/>
      <c r="I54" s="65" t="e">
        <v>#NAME?</v>
      </c>
      <c r="J54" s="26" t="e">
        <v>#NAME?</v>
      </c>
      <c r="K54" s="26" t="e">
        <v>#NAME?</v>
      </c>
      <c r="L54" s="26" t="e">
        <v>#NAME?</v>
      </c>
      <c r="M54" s="26" t="e">
        <v>#NAME?</v>
      </c>
      <c r="N54" s="26" t="e">
        <v>#NAME?</v>
      </c>
      <c r="O54" s="26" t="e">
        <v>#NAME?</v>
      </c>
      <c r="P54" s="26" t="e">
        <v>#NAME?</v>
      </c>
      <c r="Q54" s="26" t="e">
        <v>#NAME?</v>
      </c>
      <c r="R54" s="26" t="e">
        <v>#NAME?</v>
      </c>
      <c r="S54" s="26" t="e">
        <v>#NAME?</v>
      </c>
      <c r="T54" s="26" t="e">
        <v>#NAME?</v>
      </c>
      <c r="U54" s="26" t="e">
        <v>#NAME?</v>
      </c>
      <c r="V54" s="26" t="s">
        <v>95</v>
      </c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2" t="s">
        <v>85</v>
      </c>
      <c r="C55" s="2" t="e">
        <v>#NAME?</v>
      </c>
      <c r="D55" s="60">
        <v>172</v>
      </c>
      <c r="E55" s="2" t="e">
        <v>#NAME?</v>
      </c>
      <c r="F55" s="2"/>
      <c r="G55" s="2" t="e">
        <v>#DIV/0!</v>
      </c>
      <c r="H55" s="1"/>
      <c r="I55" s="65" t="e">
        <v>#NAME?</v>
      </c>
      <c r="J55" s="26" t="e">
        <v>#NAME?</v>
      </c>
      <c r="K55" s="26" t="e">
        <v>#NAME?</v>
      </c>
      <c r="L55" s="26" t="e">
        <v>#NAME?</v>
      </c>
      <c r="M55" s="26" t="e">
        <v>#NAME?</v>
      </c>
      <c r="N55" s="26" t="e">
        <v>#NAME?</v>
      </c>
      <c r="O55" s="26" t="e">
        <v>#NAME?</v>
      </c>
      <c r="P55" s="26" t="e">
        <v>#NAME?</v>
      </c>
      <c r="Q55" s="26" t="e">
        <v>#NAME?</v>
      </c>
      <c r="R55" s="26" t="e">
        <v>#NAME?</v>
      </c>
      <c r="S55" s="26" t="e">
        <v>#NAME?</v>
      </c>
      <c r="T55" s="26" t="e">
        <v>#NAME?</v>
      </c>
      <c r="U55" s="26" t="e">
        <v>#NAME?</v>
      </c>
      <c r="V55" s="26" t="s">
        <v>96</v>
      </c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281"/>
      <c r="B56" s="281"/>
      <c r="C56" s="2"/>
      <c r="D56" s="2"/>
      <c r="E56" s="2"/>
      <c r="F56" s="2"/>
      <c r="G56" s="2"/>
      <c r="H56" s="1"/>
      <c r="I56" s="65" t="e">
        <v>#NAME?</v>
      </c>
      <c r="J56" s="26" t="e">
        <v>#NAME?</v>
      </c>
      <c r="K56" s="26" t="e">
        <v>#NAME?</v>
      </c>
      <c r="L56" s="26" t="e">
        <v>#NAME?</v>
      </c>
      <c r="M56" s="26" t="e">
        <v>#NAME?</v>
      </c>
      <c r="N56" s="26" t="e">
        <v>#NAME?</v>
      </c>
      <c r="O56" s="26" t="e">
        <v>#NAME?</v>
      </c>
      <c r="P56" s="26" t="e">
        <v>#NAME?</v>
      </c>
      <c r="Q56" s="26" t="e">
        <v>#NAME?</v>
      </c>
      <c r="R56" s="26" t="e">
        <v>#NAME?</v>
      </c>
      <c r="S56" s="26" t="e">
        <v>#NAME?</v>
      </c>
      <c r="T56" s="26" t="e">
        <v>#NAME?</v>
      </c>
      <c r="U56" s="26" t="e">
        <v>#NAME?</v>
      </c>
      <c r="V56" s="26" t="s">
        <v>97</v>
      </c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56" t="s">
        <v>98</v>
      </c>
      <c r="C57" s="56" t="s">
        <v>37</v>
      </c>
      <c r="D57" s="56" t="s">
        <v>38</v>
      </c>
      <c r="E57" s="56" t="s">
        <v>58</v>
      </c>
      <c r="F57" s="56" t="s">
        <v>59</v>
      </c>
      <c r="G57" s="56" t="s">
        <v>58</v>
      </c>
      <c r="H57" s="1"/>
      <c r="I57" s="65" t="e">
        <v>#NAME?</v>
      </c>
      <c r="J57" s="26" t="e">
        <v>#NAME?</v>
      </c>
      <c r="K57" s="26" t="e">
        <v>#NAME?</v>
      </c>
      <c r="L57" s="26" t="e">
        <v>#NAME?</v>
      </c>
      <c r="M57" s="26" t="e">
        <v>#NAME?</v>
      </c>
      <c r="N57" s="26" t="e">
        <v>#NAME?</v>
      </c>
      <c r="O57" s="26" t="e">
        <v>#NAME?</v>
      </c>
      <c r="P57" s="26" t="e">
        <v>#NAME?</v>
      </c>
      <c r="Q57" s="26" t="e">
        <v>#NAME?</v>
      </c>
      <c r="R57" s="26" t="e">
        <v>#NAME?</v>
      </c>
      <c r="S57" s="26" t="e">
        <v>#NAME?</v>
      </c>
      <c r="T57" s="26" t="e">
        <v>#NAME?</v>
      </c>
      <c r="U57" s="26" t="e">
        <v>#NAME?</v>
      </c>
      <c r="V57" s="26" t="s">
        <v>99</v>
      </c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2" t="s">
        <v>69</v>
      </c>
      <c r="C58" s="2" t="e">
        <v>#NAME?</v>
      </c>
      <c r="D58" s="60">
        <v>366</v>
      </c>
      <c r="E58" s="2" t="e">
        <v>#NAME?</v>
      </c>
      <c r="F58" s="2"/>
      <c r="G58" s="2" t="e">
        <v>#DIV/0!</v>
      </c>
      <c r="H58" s="1"/>
      <c r="I58" s="65" t="e">
        <v>#NAME?</v>
      </c>
      <c r="J58" s="26" t="e">
        <v>#NAME?</v>
      </c>
      <c r="K58" s="26" t="e">
        <v>#NAME?</v>
      </c>
      <c r="L58" s="26" t="e">
        <v>#NAME?</v>
      </c>
      <c r="M58" s="26" t="e">
        <v>#NAME?</v>
      </c>
      <c r="N58" s="26" t="e">
        <v>#NAME?</v>
      </c>
      <c r="O58" s="26" t="e">
        <v>#NAME?</v>
      </c>
      <c r="P58" s="26" t="e">
        <v>#NAME?</v>
      </c>
      <c r="Q58" s="26" t="e">
        <v>#NAME?</v>
      </c>
      <c r="R58" s="26" t="e">
        <v>#NAME?</v>
      </c>
      <c r="S58" s="26" t="e">
        <v>#NAME?</v>
      </c>
      <c r="T58" s="26" t="e">
        <v>#NAME?</v>
      </c>
      <c r="U58" s="26" t="e">
        <v>#NAME?</v>
      </c>
      <c r="V58" s="26" t="s">
        <v>100</v>
      </c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2" t="s">
        <v>77</v>
      </c>
      <c r="C59" s="2" t="e">
        <v>#NAME?</v>
      </c>
      <c r="D59" s="60">
        <v>104</v>
      </c>
      <c r="E59" s="2" t="e">
        <v>#NAME?</v>
      </c>
      <c r="F59" s="2"/>
      <c r="G59" s="2" t="e">
        <v>#DIV/0!</v>
      </c>
      <c r="H59" s="1"/>
      <c r="I59" s="65" t="e">
        <v>#NAME?</v>
      </c>
      <c r="J59" s="26" t="e">
        <v>#NAME?</v>
      </c>
      <c r="K59" s="26" t="e">
        <v>#NAME?</v>
      </c>
      <c r="L59" s="26" t="e">
        <v>#NAME?</v>
      </c>
      <c r="M59" s="26" t="e">
        <v>#NAME?</v>
      </c>
      <c r="N59" s="26" t="e">
        <v>#NAME?</v>
      </c>
      <c r="O59" s="26" t="e">
        <v>#NAME?</v>
      </c>
      <c r="P59" s="26" t="e">
        <v>#NAME?</v>
      </c>
      <c r="Q59" s="26" t="e">
        <v>#NAME?</v>
      </c>
      <c r="R59" s="26" t="e">
        <v>#NAME?</v>
      </c>
      <c r="S59" s="26" t="e">
        <v>#NAME?</v>
      </c>
      <c r="T59" s="26" t="e">
        <v>#NAME?</v>
      </c>
      <c r="U59" s="26" t="e">
        <v>#NAME?</v>
      </c>
      <c r="V59" s="26" t="s">
        <v>101</v>
      </c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2" t="s">
        <v>54</v>
      </c>
      <c r="C60" s="2" t="e">
        <v>#NAME?</v>
      </c>
      <c r="D60" s="60">
        <v>262</v>
      </c>
      <c r="E60" s="2" t="e">
        <v>#NAME?</v>
      </c>
      <c r="F60" s="2"/>
      <c r="G60" s="2" t="e">
        <v>#DIV/0!</v>
      </c>
      <c r="H60" s="1"/>
      <c r="I60" s="65" t="e">
        <v>#NAME?</v>
      </c>
      <c r="J60" s="26" t="e">
        <v>#NAME?</v>
      </c>
      <c r="K60" s="26" t="e">
        <v>#NAME?</v>
      </c>
      <c r="L60" s="26" t="e">
        <v>#NAME?</v>
      </c>
      <c r="M60" s="26" t="e">
        <v>#NAME?</v>
      </c>
      <c r="N60" s="26" t="e">
        <v>#NAME?</v>
      </c>
      <c r="O60" s="26" t="e">
        <v>#NAME?</v>
      </c>
      <c r="P60" s="26" t="e">
        <v>#NAME?</v>
      </c>
      <c r="Q60" s="26" t="e">
        <v>#NAME?</v>
      </c>
      <c r="R60" s="26" t="e">
        <v>#NAME?</v>
      </c>
      <c r="S60" s="26" t="e">
        <v>#NAME?</v>
      </c>
      <c r="T60" s="26" t="e">
        <v>#NAME?</v>
      </c>
      <c r="U60" s="26" t="e">
        <v>#NAME?</v>
      </c>
      <c r="V60" s="26" t="s">
        <v>102</v>
      </c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2" t="s">
        <v>78</v>
      </c>
      <c r="C61" s="2" t="e">
        <v>#NAME?</v>
      </c>
      <c r="D61" s="60">
        <v>-11</v>
      </c>
      <c r="E61" s="2" t="e">
        <v>#NAME?</v>
      </c>
      <c r="F61" s="2"/>
      <c r="G61" s="2" t="e">
        <v>#DIV/0!</v>
      </c>
      <c r="H61" s="1"/>
      <c r="I61" s="36" t="s">
        <v>92</v>
      </c>
      <c r="J61" s="5" t="e">
        <v>#NAME?</v>
      </c>
      <c r="K61" s="5" t="e">
        <v>#NAME?</v>
      </c>
      <c r="L61" s="5" t="e">
        <v>#NAME?</v>
      </c>
      <c r="M61" s="5" t="e">
        <v>#NAME?</v>
      </c>
      <c r="N61" s="5" t="e">
        <v>#NAME?</v>
      </c>
      <c r="O61" s="5" t="e">
        <v>#NAME?</v>
      </c>
      <c r="P61" s="5" t="e">
        <v>#NAME?</v>
      </c>
      <c r="Q61" s="5" t="e">
        <v>#NAME?</v>
      </c>
      <c r="R61" s="5" t="e">
        <v>#NAME?</v>
      </c>
      <c r="S61" s="5" t="e">
        <v>#NAME?</v>
      </c>
      <c r="T61" s="5" t="e">
        <v>#NAME?</v>
      </c>
      <c r="U61" s="5" t="e">
        <v>#NAME?</v>
      </c>
      <c r="V61" s="5" t="e">
        <v>#NUM!</v>
      </c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2" t="s">
        <v>46</v>
      </c>
      <c r="C62" s="2" t="e">
        <v>#NAME?</v>
      </c>
      <c r="D62" s="60">
        <v>273</v>
      </c>
      <c r="E62" s="2" t="e">
        <v>#NAME?</v>
      </c>
      <c r="F62" s="2"/>
      <c r="G62" s="2" t="e">
        <v>#DIV/0!</v>
      </c>
      <c r="H62" s="1"/>
      <c r="I62" s="36" t="s">
        <v>93</v>
      </c>
      <c r="J62" s="5" t="e">
        <v>#NAME?</v>
      </c>
      <c r="K62" s="5" t="e">
        <v>#NAME?</v>
      </c>
      <c r="L62" s="5" t="e">
        <v>#NAME?</v>
      </c>
      <c r="M62" s="5" t="e">
        <v>#NAME?</v>
      </c>
      <c r="N62" s="5" t="e">
        <v>#NAME?</v>
      </c>
      <c r="O62" s="5" t="e">
        <v>#NAME?</v>
      </c>
      <c r="P62" s="5" t="e">
        <v>#NAME?</v>
      </c>
      <c r="Q62" s="5" t="e">
        <v>#NAME?</v>
      </c>
      <c r="R62" s="5" t="e">
        <v>#NAME?</v>
      </c>
      <c r="S62" s="5" t="e">
        <v>#NAME?</v>
      </c>
      <c r="T62" s="5" t="e">
        <v>#NAME?</v>
      </c>
      <c r="U62" s="5" t="e">
        <v>#NAME?</v>
      </c>
      <c r="V62" s="5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2" t="s">
        <v>81</v>
      </c>
      <c r="C63" s="2" t="e">
        <v>#NAME?</v>
      </c>
      <c r="D63" s="60">
        <v>63</v>
      </c>
      <c r="E63" s="2" t="e">
        <v>#NAME?</v>
      </c>
      <c r="F63" s="2"/>
      <c r="G63" s="2" t="e">
        <v>#DIV/0!</v>
      </c>
      <c r="H63" s="1"/>
      <c r="I63" s="19"/>
      <c r="J63" s="2"/>
      <c r="K63" s="2"/>
      <c r="L63" s="2"/>
      <c r="M63" s="2"/>
      <c r="N63" s="2"/>
      <c r="O63" s="1"/>
      <c r="P63" s="68"/>
      <c r="Q63" s="49"/>
      <c r="R63" s="2"/>
      <c r="S63" s="2"/>
      <c r="T63" s="2"/>
      <c r="U63" s="2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2" t="s">
        <v>83</v>
      </c>
      <c r="C64" s="2" t="e">
        <v>#NAME?</v>
      </c>
      <c r="D64" s="66">
        <v>0.23</v>
      </c>
      <c r="E64" s="2" t="e">
        <v>#NAME?</v>
      </c>
      <c r="F64" s="2"/>
      <c r="G64" s="2" t="e">
        <v>#DIV/0!</v>
      </c>
      <c r="H64" s="1"/>
      <c r="I64" s="3"/>
      <c r="J64" s="2"/>
      <c r="K64" s="2"/>
      <c r="L64" s="2"/>
      <c r="M64" s="1"/>
      <c r="N64" s="1"/>
      <c r="O64" s="1"/>
      <c r="P64" s="68"/>
      <c r="Q64" s="49"/>
      <c r="R64" s="2"/>
      <c r="S64" s="2"/>
      <c r="T64" s="2"/>
      <c r="U64" s="2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2" t="s">
        <v>85</v>
      </c>
      <c r="C65" s="2" t="e">
        <v>#NAME?</v>
      </c>
      <c r="D65" s="60">
        <v>210</v>
      </c>
      <c r="E65" s="2" t="e">
        <v>#NAME?</v>
      </c>
      <c r="F65" s="2"/>
      <c r="G65" s="2" t="e">
        <v>#DIV/0!</v>
      </c>
      <c r="H65" s="1"/>
      <c r="I65" s="19"/>
      <c r="J65" s="2"/>
      <c r="K65" s="2"/>
      <c r="L65" s="2"/>
      <c r="M65" s="2"/>
      <c r="N65" s="2"/>
      <c r="O65" s="1"/>
      <c r="P65" s="68"/>
      <c r="Q65" s="1"/>
      <c r="R65" s="2"/>
      <c r="S65" s="2"/>
      <c r="T65" s="2"/>
      <c r="U65" s="2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281"/>
      <c r="B66" s="281"/>
      <c r="C66" s="2"/>
      <c r="D66" s="2"/>
      <c r="E66" s="2"/>
      <c r="F66" s="2"/>
      <c r="G66" s="2"/>
      <c r="H66" s="1"/>
      <c r="I66" s="19"/>
      <c r="J66" s="2"/>
      <c r="K66" s="2"/>
      <c r="L66" s="2"/>
      <c r="M66" s="2"/>
      <c r="N66" s="2"/>
      <c r="O66" s="1"/>
      <c r="P66" s="68"/>
      <c r="Q66" s="56"/>
      <c r="R66" s="2"/>
      <c r="S66" s="2"/>
      <c r="T66" s="2"/>
      <c r="U66" s="2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281"/>
      <c r="B67" s="281"/>
      <c r="C67" s="2"/>
      <c r="D67" s="2"/>
      <c r="E67" s="2"/>
      <c r="F67" s="2"/>
      <c r="G67" s="2"/>
      <c r="H67" s="1"/>
      <c r="I67" s="1"/>
      <c r="J67" s="1"/>
      <c r="K67" s="1"/>
      <c r="L67" s="1"/>
      <c r="M67" s="1"/>
      <c r="N67" s="1"/>
      <c r="O67" s="1"/>
      <c r="P67" s="68"/>
      <c r="Q67" s="19"/>
      <c r="R67" s="2"/>
      <c r="S67" s="2"/>
      <c r="T67" s="2"/>
      <c r="U67" s="2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281"/>
      <c r="B68" s="281"/>
      <c r="C68" s="2"/>
      <c r="D68" s="2"/>
      <c r="E68" s="2"/>
      <c r="F68" s="2"/>
      <c r="G68" s="2"/>
      <c r="H68" s="1"/>
      <c r="I68" s="1"/>
      <c r="J68" s="1"/>
      <c r="K68" s="1"/>
      <c r="L68" s="1"/>
      <c r="M68" s="1"/>
      <c r="N68" s="1"/>
      <c r="O68" s="1"/>
      <c r="P68" s="68"/>
      <c r="Q68" s="51"/>
      <c r="R68" s="51"/>
      <c r="S68" s="2"/>
      <c r="T68" s="2"/>
      <c r="U68" s="2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281"/>
      <c r="B69" s="281"/>
      <c r="C69" s="69"/>
      <c r="D69" s="69"/>
      <c r="E69" s="69"/>
      <c r="F69" s="69"/>
      <c r="G69" s="70"/>
      <c r="H69" s="70"/>
      <c r="I69" s="1"/>
      <c r="J69" s="1"/>
      <c r="K69" s="1"/>
      <c r="L69" s="1"/>
      <c r="M69" s="1"/>
      <c r="N69" s="1"/>
      <c r="O69" s="1"/>
      <c r="P69" s="1"/>
      <c r="Q69" s="51"/>
      <c r="R69" s="5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281"/>
      <c r="B70" s="281"/>
      <c r="C70" s="70"/>
      <c r="D70" s="70"/>
      <c r="E70" s="70"/>
      <c r="F70" s="70"/>
      <c r="G70" s="71"/>
      <c r="H70" s="70"/>
      <c r="I70" s="1"/>
      <c r="J70" s="1"/>
      <c r="K70" s="1"/>
      <c r="L70" s="1"/>
      <c r="M70" s="1"/>
      <c r="N70" s="1"/>
      <c r="O70" s="1"/>
      <c r="P70" s="19"/>
      <c r="Q70" s="19"/>
      <c r="R70" s="19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281"/>
      <c r="B71" s="281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51"/>
      <c r="R71" s="5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281"/>
      <c r="B72" s="281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281"/>
      <c r="B73" s="281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281"/>
      <c r="B74" s="281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281"/>
      <c r="B75" s="281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281"/>
      <c r="B76" s="281"/>
      <c r="C76" s="2"/>
      <c r="D76" s="2"/>
      <c r="E76" s="2"/>
      <c r="F76" s="2"/>
      <c r="G76" s="2"/>
      <c r="H76" s="2"/>
      <c r="I76" s="70"/>
      <c r="J76" s="70"/>
      <c r="K76" s="70"/>
      <c r="L76" s="6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281"/>
      <c r="B77" s="281"/>
      <c r="C77" s="72"/>
      <c r="D77" s="72"/>
      <c r="E77" s="72"/>
      <c r="F77" s="72"/>
      <c r="G77" s="72"/>
      <c r="H77" s="72"/>
      <c r="I77" s="71"/>
      <c r="J77" s="71"/>
      <c r="K77" s="71"/>
      <c r="L77" s="70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281"/>
      <c r="B78" s="281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281"/>
      <c r="B79" s="281"/>
      <c r="C79" s="2"/>
      <c r="D79" s="2"/>
      <c r="E79" s="2"/>
      <c r="F79" s="2"/>
      <c r="G79" s="2"/>
      <c r="H79" s="1"/>
      <c r="I79" s="2"/>
      <c r="J79" s="2"/>
      <c r="K79" s="2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281"/>
      <c r="B80" s="281"/>
      <c r="C80" s="2"/>
      <c r="D80" s="2"/>
      <c r="E80" s="2"/>
      <c r="F80" s="2"/>
      <c r="G80" s="2"/>
      <c r="H80" s="1"/>
      <c r="I80" s="2"/>
      <c r="J80" s="2"/>
      <c r="K80" s="2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25">
      <c r="A81" s="281"/>
      <c r="B81" s="281"/>
      <c r="C81" s="2"/>
      <c r="D81" s="2"/>
      <c r="E81" s="2"/>
      <c r="F81" s="2"/>
      <c r="G81" s="2"/>
      <c r="H81" s="1"/>
      <c r="I81" s="2"/>
      <c r="J81" s="2"/>
      <c r="K81" s="2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25">
      <c r="A82" s="281"/>
      <c r="B82" s="281"/>
      <c r="C82" s="2"/>
      <c r="D82" s="2"/>
      <c r="E82" s="2"/>
      <c r="F82" s="2"/>
      <c r="G82" s="2"/>
      <c r="H82" s="1"/>
      <c r="I82" s="2"/>
      <c r="J82" s="2"/>
      <c r="K82" s="2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25">
      <c r="A83" s="281"/>
      <c r="B83" s="281"/>
      <c r="C83" s="2"/>
      <c r="D83" s="2"/>
      <c r="E83" s="2"/>
      <c r="F83" s="2"/>
      <c r="G83" s="2"/>
      <c r="H83" s="1"/>
      <c r="I83" s="2"/>
      <c r="J83" s="2"/>
      <c r="K83" s="2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5">
      <c r="A84" s="281"/>
      <c r="B84" s="281"/>
      <c r="C84" s="2"/>
      <c r="D84" s="2"/>
      <c r="E84" s="2"/>
      <c r="F84" s="2"/>
      <c r="G84" s="2"/>
      <c r="H84" s="1"/>
      <c r="I84" s="72"/>
      <c r="J84" s="72"/>
      <c r="K84" s="72"/>
      <c r="L84" s="7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5">
      <c r="A85" s="281"/>
      <c r="B85" s="281"/>
      <c r="C85" s="2"/>
      <c r="D85" s="2"/>
      <c r="E85" s="2"/>
      <c r="F85" s="2"/>
      <c r="G85" s="2"/>
      <c r="H85" s="1"/>
      <c r="I85" s="2"/>
      <c r="J85" s="2"/>
      <c r="K85" s="2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25">
      <c r="A86" s="281"/>
      <c r="B86" s="281"/>
      <c r="C86" s="2"/>
      <c r="D86" s="2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25">
      <c r="A87" s="281"/>
      <c r="B87" s="281"/>
      <c r="C87" s="2"/>
      <c r="D87" s="2"/>
      <c r="E87" s="2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25">
      <c r="A88" s="281"/>
      <c r="B88" s="281"/>
      <c r="C88" s="2"/>
      <c r="D88" s="2"/>
      <c r="E88" s="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25">
      <c r="A89" s="281"/>
      <c r="B89" s="281"/>
      <c r="C89" s="2"/>
      <c r="D89" s="2"/>
      <c r="E89" s="2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5">
      <c r="A90" s="281"/>
      <c r="B90" s="281"/>
      <c r="C90" s="2"/>
      <c r="D90" s="2"/>
      <c r="E90" s="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5">
      <c r="A91" s="281"/>
      <c r="B91" s="281"/>
      <c r="C91" s="2"/>
      <c r="D91" s="2"/>
      <c r="E91" s="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25">
      <c r="A92" s="281"/>
      <c r="B92" s="281"/>
      <c r="C92" s="2"/>
      <c r="D92" s="2"/>
      <c r="E92" s="2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5">
      <c r="A93" s="281"/>
      <c r="B93" s="281"/>
      <c r="C93" s="2"/>
      <c r="D93" s="2"/>
      <c r="E93" s="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25">
      <c r="A94" s="281"/>
      <c r="B94" s="281"/>
      <c r="C94" s="2"/>
      <c r="D94" s="2"/>
      <c r="E94" s="2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5">
      <c r="A95" s="281"/>
      <c r="B95" s="281"/>
      <c r="C95" s="2"/>
      <c r="D95" s="2"/>
      <c r="E95" s="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5">
      <c r="A96" s="281"/>
      <c r="B96" s="281"/>
      <c r="C96" s="2"/>
      <c r="D96" s="2"/>
      <c r="E96" s="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5">
      <c r="A97" s="281"/>
      <c r="B97" s="281"/>
      <c r="C97" s="2"/>
      <c r="D97" s="2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53"/>
      <c r="W97" s="1"/>
      <c r="X97" s="1"/>
      <c r="Y97" s="1"/>
      <c r="Z97" s="1"/>
      <c r="AA97" s="1"/>
      <c r="AB97" s="1"/>
      <c r="AC97" s="1"/>
      <c r="AD97" s="1"/>
    </row>
    <row r="98" spans="1:30" x14ac:dyDescent="0.25">
      <c r="A98" s="281"/>
      <c r="B98" s="281"/>
      <c r="C98" s="2"/>
      <c r="D98" s="2"/>
      <c r="E98" s="2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53"/>
      <c r="W98" s="1"/>
      <c r="X98" s="1"/>
      <c r="Y98" s="1"/>
      <c r="Z98" s="1"/>
      <c r="AA98" s="1"/>
      <c r="AB98" s="1"/>
      <c r="AC98" s="1"/>
      <c r="AD98" s="1"/>
    </row>
    <row r="99" spans="1:30" x14ac:dyDescent="0.25">
      <c r="A99" s="281"/>
      <c r="B99" s="281"/>
      <c r="C99" s="2"/>
      <c r="D99" s="2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53"/>
      <c r="W99" s="1"/>
      <c r="X99" s="1"/>
      <c r="Y99" s="1"/>
      <c r="Z99" s="1"/>
      <c r="AA99" s="1"/>
      <c r="AB99" s="1"/>
      <c r="AC99" s="1"/>
      <c r="AD99" s="1"/>
    </row>
    <row r="100" spans="1:30" x14ac:dyDescent="0.25">
      <c r="A100" s="281"/>
      <c r="B100" s="281"/>
      <c r="C100" s="2"/>
      <c r="D100" s="2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53"/>
      <c r="W100" s="1"/>
      <c r="X100" s="1"/>
      <c r="Y100" s="1"/>
      <c r="Z100" s="1"/>
      <c r="AA100" s="1"/>
      <c r="AB100" s="1"/>
      <c r="AC100" s="1"/>
      <c r="AD100" s="1"/>
    </row>
    <row r="101" spans="1:30" x14ac:dyDescent="0.25">
      <c r="A101" s="281"/>
      <c r="B101" s="281"/>
      <c r="C101" s="2"/>
      <c r="D101" s="2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25">
      <c r="A102" s="281"/>
      <c r="B102" s="281"/>
      <c r="C102" s="2"/>
      <c r="D102" s="2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25">
      <c r="A103" s="281"/>
      <c r="B103" s="281"/>
      <c r="C103" s="2"/>
      <c r="D103" s="2"/>
      <c r="E103" s="2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53"/>
      <c r="W103" s="1"/>
      <c r="X103" s="1"/>
      <c r="Y103" s="1"/>
      <c r="Z103" s="1"/>
      <c r="AA103" s="1"/>
      <c r="AB103" s="1"/>
      <c r="AC103" s="1"/>
      <c r="AD103" s="1"/>
    </row>
    <row r="104" spans="1:30" x14ac:dyDescent="0.25">
      <c r="A104" s="281"/>
      <c r="B104" s="281"/>
      <c r="C104" s="2"/>
      <c r="D104" s="2"/>
      <c r="E104" s="2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53"/>
      <c r="W104" s="1"/>
      <c r="X104" s="1"/>
      <c r="Y104" s="1"/>
      <c r="Z104" s="1"/>
      <c r="AA104" s="1"/>
      <c r="AB104" s="1"/>
      <c r="AC104" s="1"/>
      <c r="AD104" s="1"/>
    </row>
    <row r="105" spans="1:30" x14ac:dyDescent="0.25">
      <c r="A105" s="281"/>
      <c r="B105" s="281"/>
      <c r="C105" s="2"/>
      <c r="D105" s="2"/>
      <c r="E105" s="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53"/>
      <c r="W105" s="1"/>
      <c r="X105" s="1"/>
      <c r="Y105" s="1"/>
      <c r="Z105" s="1"/>
      <c r="AA105" s="1"/>
      <c r="AB105" s="1"/>
      <c r="AC105" s="1"/>
      <c r="AD105" s="1"/>
    </row>
    <row r="106" spans="1:30" x14ac:dyDescent="0.25">
      <c r="A106" s="281"/>
      <c r="B106" s="281"/>
      <c r="C106" s="2"/>
      <c r="D106" s="2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53"/>
      <c r="W106" s="1"/>
      <c r="X106" s="1"/>
      <c r="Y106" s="1"/>
      <c r="Z106" s="1"/>
      <c r="AA106" s="1"/>
      <c r="AB106" s="1"/>
      <c r="AC106" s="1"/>
      <c r="AD106" s="1"/>
    </row>
    <row r="107" spans="1:30" x14ac:dyDescent="0.25">
      <c r="A107" s="281"/>
      <c r="B107" s="281"/>
      <c r="C107" s="2"/>
      <c r="D107" s="2"/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53"/>
      <c r="W107" s="1"/>
      <c r="X107" s="1"/>
      <c r="Y107" s="1"/>
      <c r="Z107" s="1"/>
      <c r="AA107" s="1"/>
      <c r="AB107" s="1"/>
      <c r="AC107" s="1"/>
      <c r="AD107" s="1"/>
    </row>
    <row r="108" spans="1:30" x14ac:dyDescent="0.25">
      <c r="A108" s="281"/>
      <c r="B108" s="281"/>
      <c r="C108" s="2"/>
      <c r="D108" s="2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51"/>
      <c r="U108" s="51"/>
      <c r="V108" s="53"/>
      <c r="W108" s="1"/>
      <c r="X108" s="1"/>
      <c r="Y108" s="1"/>
      <c r="Z108" s="1"/>
      <c r="AA108" s="1"/>
      <c r="AB108" s="1"/>
      <c r="AC108" s="1"/>
      <c r="AD108" s="1"/>
    </row>
    <row r="109" spans="1:30" x14ac:dyDescent="0.25">
      <c r="A109" s="281"/>
      <c r="B109" s="281"/>
      <c r="C109" s="2"/>
      <c r="D109" s="2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51"/>
      <c r="U109" s="51"/>
      <c r="V109" s="53"/>
      <c r="W109" s="1"/>
      <c r="X109" s="1"/>
      <c r="Y109" s="1"/>
      <c r="Z109" s="1"/>
      <c r="AA109" s="1"/>
      <c r="AB109" s="1"/>
      <c r="AC109" s="1"/>
      <c r="AD109" s="1"/>
    </row>
    <row r="110" spans="1:30" x14ac:dyDescent="0.25">
      <c r="A110" s="281"/>
      <c r="B110" s="281"/>
      <c r="C110" s="2"/>
      <c r="D110" s="2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53"/>
      <c r="T110" s="53"/>
      <c r="U110" s="53"/>
      <c r="V110" s="53"/>
      <c r="W110" s="1"/>
      <c r="X110" s="1"/>
      <c r="Y110" s="1"/>
      <c r="Z110" s="1"/>
      <c r="AA110" s="1"/>
      <c r="AB110" s="1"/>
      <c r="AC110" s="1"/>
      <c r="AD110" s="1"/>
    </row>
    <row r="111" spans="1:30" x14ac:dyDescent="0.25">
      <c r="A111" s="281"/>
      <c r="B111" s="281"/>
      <c r="C111" s="2"/>
      <c r="D111" s="2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53"/>
      <c r="T111" s="53"/>
      <c r="U111" s="53"/>
      <c r="V111" s="53"/>
      <c r="W111" s="1"/>
      <c r="X111" s="1"/>
      <c r="Y111" s="1"/>
      <c r="Z111" s="1"/>
      <c r="AA111" s="1"/>
      <c r="AB111" s="1"/>
      <c r="AC111" s="1"/>
      <c r="AD111" s="1"/>
    </row>
    <row r="112" spans="1:30" x14ac:dyDescent="0.25">
      <c r="A112" s="281"/>
      <c r="B112" s="281"/>
      <c r="C112" s="2"/>
      <c r="D112" s="2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53"/>
      <c r="T112" s="53"/>
      <c r="U112" s="53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25">
      <c r="A113" s="281"/>
      <c r="B113" s="281"/>
      <c r="C113" s="2"/>
      <c r="D113" s="2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53"/>
      <c r="T113" s="53"/>
      <c r="U113" s="53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25">
      <c r="A114" s="281"/>
      <c r="B114" s="281"/>
      <c r="C114" s="2"/>
      <c r="D114" s="2"/>
      <c r="E114" s="2"/>
      <c r="F114" s="2"/>
      <c r="G114" s="2"/>
      <c r="H114" s="1"/>
      <c r="I114" s="57" t="s">
        <v>103</v>
      </c>
      <c r="J114" s="58" t="s">
        <v>34</v>
      </c>
      <c r="K114" s="58"/>
      <c r="L114" s="58" t="s">
        <v>60</v>
      </c>
      <c r="M114" s="58"/>
      <c r="N114" s="59" t="s">
        <v>104</v>
      </c>
      <c r="O114" s="40" t="s">
        <v>105</v>
      </c>
      <c r="P114" s="40" t="s">
        <v>67</v>
      </c>
      <c r="Q114" s="1"/>
      <c r="R114" s="58"/>
      <c r="S114" s="53"/>
      <c r="T114" s="53"/>
      <c r="U114" s="53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25">
      <c r="A115" s="281"/>
      <c r="B115" s="281"/>
      <c r="C115" s="2"/>
      <c r="D115" s="2"/>
      <c r="E115" s="2"/>
      <c r="F115" s="2"/>
      <c r="G115" s="2"/>
      <c r="H115" s="1"/>
      <c r="I115" s="57"/>
      <c r="J115" s="40" t="s">
        <v>70</v>
      </c>
      <c r="K115" s="40" t="s">
        <v>71</v>
      </c>
      <c r="L115" s="40" t="s">
        <v>70</v>
      </c>
      <c r="M115" s="40" t="s">
        <v>71</v>
      </c>
      <c r="N115" s="61" t="s">
        <v>106</v>
      </c>
      <c r="O115" s="73" t="s">
        <v>107</v>
      </c>
      <c r="P115" s="40" t="s">
        <v>108</v>
      </c>
      <c r="Q115" s="1"/>
      <c r="R115" s="40" t="s">
        <v>74</v>
      </c>
      <c r="S115" s="53"/>
      <c r="T115" s="53"/>
      <c r="U115" s="53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25">
      <c r="A116" s="281"/>
      <c r="B116" s="281"/>
      <c r="C116" s="2"/>
      <c r="D116" s="2"/>
      <c r="E116" s="2"/>
      <c r="F116" s="2"/>
      <c r="G116" s="2"/>
      <c r="H116" s="1"/>
      <c r="I116" s="10" t="e">
        <v>#NAME?</v>
      </c>
      <c r="J116" s="26" t="e">
        <v>#NAME?</v>
      </c>
      <c r="K116" s="26" t="e">
        <v>#NAME?</v>
      </c>
      <c r="L116" s="26" t="e">
        <v>#NAME?</v>
      </c>
      <c r="M116" s="26" t="e">
        <v>#NAME?</v>
      </c>
      <c r="N116" s="26" t="e">
        <v>#NAME?</v>
      </c>
      <c r="O116" s="26" t="e">
        <v>#NAME?</v>
      </c>
      <c r="P116" s="26" t="e">
        <v>#NAME?</v>
      </c>
      <c r="Q116" s="10" t="s">
        <v>109</v>
      </c>
      <c r="R116" s="26" t="e">
        <v>#NAME?</v>
      </c>
      <c r="S116" s="53"/>
      <c r="T116" s="53"/>
      <c r="U116" s="53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25">
      <c r="A117" s="281"/>
      <c r="B117" s="281"/>
      <c r="C117" s="2"/>
      <c r="D117" s="2"/>
      <c r="E117" s="2"/>
      <c r="F117" s="2"/>
      <c r="G117" s="2"/>
      <c r="H117" s="1"/>
      <c r="I117" s="10" t="e">
        <v>#NAME?</v>
      </c>
      <c r="J117" s="26" t="e">
        <v>#NAME?</v>
      </c>
      <c r="K117" s="26" t="e">
        <v>#NAME?</v>
      </c>
      <c r="L117" s="26" t="e">
        <v>#NAME?</v>
      </c>
      <c r="M117" s="26" t="e">
        <v>#NAME?</v>
      </c>
      <c r="N117" s="26" t="e">
        <v>#NAME?</v>
      </c>
      <c r="O117" s="26" t="e">
        <v>#NAME?</v>
      </c>
      <c r="P117" s="26" t="e">
        <v>#NAME?</v>
      </c>
      <c r="Q117" s="10" t="s">
        <v>110</v>
      </c>
      <c r="R117" s="26" t="e">
        <v>#NAME?</v>
      </c>
      <c r="S117" s="53"/>
      <c r="T117" s="53"/>
      <c r="U117" s="53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25">
      <c r="A118" s="281"/>
      <c r="B118" s="281"/>
      <c r="C118" s="2"/>
      <c r="D118" s="2"/>
      <c r="E118" s="2"/>
      <c r="F118" s="2"/>
      <c r="G118" s="2"/>
      <c r="H118" s="1"/>
      <c r="I118" s="10" t="e">
        <v>#NAME?</v>
      </c>
      <c r="J118" s="26" t="e">
        <v>#NAME?</v>
      </c>
      <c r="K118" s="26" t="e">
        <v>#NAME?</v>
      </c>
      <c r="L118" s="26" t="e">
        <v>#NAME?</v>
      </c>
      <c r="M118" s="26" t="e">
        <v>#NAME?</v>
      </c>
      <c r="N118" s="26" t="e">
        <v>#NAME?</v>
      </c>
      <c r="O118" s="26" t="e">
        <v>#NAME?</v>
      </c>
      <c r="P118" s="26" t="e">
        <v>#NAME?</v>
      </c>
      <c r="Q118" s="10" t="s">
        <v>111</v>
      </c>
      <c r="R118" s="26" t="e">
        <v>#NAME?</v>
      </c>
      <c r="S118" s="53"/>
      <c r="T118" s="53"/>
      <c r="U118" s="53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25">
      <c r="A119" s="281"/>
      <c r="B119" s="281"/>
      <c r="C119" s="2"/>
      <c r="D119" s="2"/>
      <c r="E119" s="2"/>
      <c r="F119" s="2"/>
      <c r="G119" s="2"/>
      <c r="H119" s="1"/>
      <c r="I119" s="10" t="e">
        <v>#NAME?</v>
      </c>
      <c r="J119" s="26" t="e">
        <v>#NAME?</v>
      </c>
      <c r="K119" s="26" t="e">
        <v>#NAME?</v>
      </c>
      <c r="L119" s="26" t="e">
        <v>#NAME?</v>
      </c>
      <c r="M119" s="26" t="e">
        <v>#NAME?</v>
      </c>
      <c r="N119" s="26" t="e">
        <v>#NAME?</v>
      </c>
      <c r="O119" s="26" t="e">
        <v>#NAME?</v>
      </c>
      <c r="P119" s="26" t="e">
        <v>#NAME?</v>
      </c>
      <c r="Q119" s="10" t="s">
        <v>112</v>
      </c>
      <c r="R119" s="26" t="e">
        <v>#NAME?</v>
      </c>
      <c r="S119" s="53"/>
      <c r="T119" s="53"/>
      <c r="U119" s="53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25">
      <c r="A120" s="281"/>
      <c r="B120" s="281"/>
      <c r="C120" s="2"/>
      <c r="D120" s="2"/>
      <c r="E120" s="2"/>
      <c r="F120" s="2"/>
      <c r="G120" s="2"/>
      <c r="H120" s="1"/>
      <c r="I120" s="10" t="e">
        <v>#NAME?</v>
      </c>
      <c r="J120" s="26" t="e">
        <v>#NAME?</v>
      </c>
      <c r="K120" s="26" t="e">
        <v>#NAME?</v>
      </c>
      <c r="L120" s="26" t="e">
        <v>#NAME?</v>
      </c>
      <c r="M120" s="26" t="e">
        <v>#NAME?</v>
      </c>
      <c r="N120" s="26" t="e">
        <v>#NAME?</v>
      </c>
      <c r="O120" s="26" t="e">
        <v>#NAME?</v>
      </c>
      <c r="P120" s="26" t="e">
        <v>#NAME?</v>
      </c>
      <c r="Q120" s="10" t="s">
        <v>113</v>
      </c>
      <c r="R120" s="26" t="e">
        <v>#NAME?</v>
      </c>
      <c r="S120" s="53"/>
      <c r="T120" s="53"/>
      <c r="U120" s="53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x14ac:dyDescent="0.25">
      <c r="A121" s="281"/>
      <c r="B121" s="281"/>
      <c r="C121" s="2"/>
      <c r="D121" s="2"/>
      <c r="E121" s="2"/>
      <c r="F121" s="2"/>
      <c r="G121" s="2"/>
      <c r="H121" s="1"/>
      <c r="I121" s="10" t="e">
        <v>#NAME?</v>
      </c>
      <c r="J121" s="26" t="e">
        <v>#NAME?</v>
      </c>
      <c r="K121" s="26" t="e">
        <v>#NAME?</v>
      </c>
      <c r="L121" s="26" t="e">
        <v>#NAME?</v>
      </c>
      <c r="M121" s="26" t="e">
        <v>#NAME?</v>
      </c>
      <c r="N121" s="26" t="e">
        <v>#NAME?</v>
      </c>
      <c r="O121" s="26" t="e">
        <v>#NAME?</v>
      </c>
      <c r="P121" s="26" t="e">
        <v>#NAME?</v>
      </c>
      <c r="Q121" s="10" t="s">
        <v>114</v>
      </c>
      <c r="R121" s="26" t="e">
        <v>#NAME?</v>
      </c>
      <c r="S121" s="53"/>
      <c r="T121" s="53"/>
      <c r="U121" s="53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x14ac:dyDescent="0.25">
      <c r="A122" s="281"/>
      <c r="B122" s="281"/>
      <c r="C122" s="2"/>
      <c r="D122" s="2"/>
      <c r="E122" s="2"/>
      <c r="F122" s="2"/>
      <c r="G122" s="2"/>
      <c r="H122" s="1"/>
      <c r="I122" s="10" t="e">
        <v>#NAME?</v>
      </c>
      <c r="J122" s="26" t="e">
        <v>#NAME?</v>
      </c>
      <c r="K122" s="26" t="e">
        <v>#NAME?</v>
      </c>
      <c r="L122" s="26" t="e">
        <v>#NAME?</v>
      </c>
      <c r="M122" s="26" t="e">
        <v>#NAME?</v>
      </c>
      <c r="N122" s="26" t="e">
        <v>#NAME?</v>
      </c>
      <c r="O122" s="26" t="e">
        <v>#NAME?</v>
      </c>
      <c r="P122" s="26" t="e">
        <v>#NAME?</v>
      </c>
      <c r="Q122" s="10" t="s">
        <v>115</v>
      </c>
      <c r="R122" s="26" t="e">
        <v>#NAME?</v>
      </c>
      <c r="S122" s="53"/>
      <c r="T122" s="53"/>
      <c r="U122" s="53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x14ac:dyDescent="0.25">
      <c r="A123" s="281"/>
      <c r="B123" s="281"/>
      <c r="C123" s="2"/>
      <c r="D123" s="2"/>
      <c r="E123" s="2"/>
      <c r="F123" s="2"/>
      <c r="G123" s="2"/>
      <c r="H123" s="1"/>
      <c r="I123" s="36" t="s">
        <v>92</v>
      </c>
      <c r="J123" s="5" t="e">
        <v>#NAME?</v>
      </c>
      <c r="K123" s="5" t="e">
        <v>#NAME?</v>
      </c>
      <c r="L123" s="5" t="e">
        <v>#NAME?</v>
      </c>
      <c r="M123" s="5" t="e">
        <v>#NAME?</v>
      </c>
      <c r="N123" s="5" t="e">
        <v>#NAME?</v>
      </c>
      <c r="O123" s="5" t="e">
        <v>#NAME?</v>
      </c>
      <c r="P123" s="5" t="e">
        <v>#NAME?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25">
      <c r="A124" s="281"/>
      <c r="B124" s="281"/>
      <c r="C124" s="2"/>
      <c r="D124" s="2"/>
      <c r="E124" s="2"/>
      <c r="F124" s="2"/>
      <c r="G124" s="2"/>
      <c r="H124" s="1"/>
      <c r="I124" s="10" t="e">
        <v>#NAME?</v>
      </c>
      <c r="J124" s="26" t="e">
        <v>#NAME?</v>
      </c>
      <c r="K124" s="26" t="e">
        <v>#NAME?</v>
      </c>
      <c r="L124" s="26" t="e">
        <v>#NAME?</v>
      </c>
      <c r="M124" s="26" t="e">
        <v>#NAME?</v>
      </c>
      <c r="N124" s="26" t="e">
        <v>#NAME?</v>
      </c>
      <c r="O124" s="26" t="e">
        <v>#NAME?</v>
      </c>
      <c r="P124" s="26" t="e">
        <v>#NAME?</v>
      </c>
      <c r="Q124" s="10" t="s">
        <v>116</v>
      </c>
      <c r="R124" s="26" t="e">
        <v>#NAME?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x14ac:dyDescent="0.25">
      <c r="A125" s="281"/>
      <c r="B125" s="281"/>
      <c r="C125" s="2"/>
      <c r="D125" s="2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x14ac:dyDescent="0.25">
      <c r="A126" s="281"/>
      <c r="B126" s="281"/>
      <c r="C126" s="2"/>
      <c r="D126" s="2"/>
      <c r="E126" s="2"/>
      <c r="F126" s="2"/>
      <c r="G126" s="2"/>
      <c r="H126" s="1"/>
      <c r="I126" s="57" t="s">
        <v>117</v>
      </c>
      <c r="J126" s="58" t="s">
        <v>34</v>
      </c>
      <c r="K126" s="58"/>
      <c r="L126" s="58" t="s">
        <v>60</v>
      </c>
      <c r="M126" s="58"/>
      <c r="N126" s="59" t="s">
        <v>104</v>
      </c>
      <c r="O126" s="40" t="s">
        <v>105</v>
      </c>
      <c r="P126" s="40" t="s">
        <v>67</v>
      </c>
      <c r="Q126" s="1"/>
      <c r="R126" s="58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x14ac:dyDescent="0.25">
      <c r="A127" s="281"/>
      <c r="B127" s="281"/>
      <c r="C127" s="2"/>
      <c r="D127" s="2"/>
      <c r="E127" s="2"/>
      <c r="F127" s="2"/>
      <c r="G127" s="2"/>
      <c r="H127" s="1"/>
      <c r="I127" s="57"/>
      <c r="J127" s="40" t="s">
        <v>70</v>
      </c>
      <c r="K127" s="40" t="s">
        <v>71</v>
      </c>
      <c r="L127" s="40" t="s">
        <v>70</v>
      </c>
      <c r="M127" s="40" t="s">
        <v>71</v>
      </c>
      <c r="N127" s="61" t="s">
        <v>106</v>
      </c>
      <c r="O127" s="73" t="s">
        <v>107</v>
      </c>
      <c r="P127" s="40" t="s">
        <v>108</v>
      </c>
      <c r="Q127" s="1"/>
      <c r="R127" s="40" t="s">
        <v>74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x14ac:dyDescent="0.25">
      <c r="A128" s="281"/>
      <c r="B128" s="281"/>
      <c r="C128" s="2"/>
      <c r="D128" s="2"/>
      <c r="E128" s="2"/>
      <c r="F128" s="2"/>
      <c r="G128" s="2"/>
      <c r="H128" s="1"/>
      <c r="I128" s="10" t="e">
        <v>#NAME?</v>
      </c>
      <c r="J128" s="26" t="e">
        <v>#NAME?</v>
      </c>
      <c r="K128" s="26" t="e">
        <v>#NAME?</v>
      </c>
      <c r="L128" s="26" t="e">
        <v>#NAME?</v>
      </c>
      <c r="M128" s="26" t="e">
        <v>#NAME?</v>
      </c>
      <c r="N128" s="26" t="e">
        <v>#NAME?</v>
      </c>
      <c r="O128" s="26" t="e">
        <v>#NAME?</v>
      </c>
      <c r="P128" s="26" t="e">
        <v>#NAME?</v>
      </c>
      <c r="Q128" s="10" t="s">
        <v>118</v>
      </c>
      <c r="R128" s="26" t="e">
        <v>#NAME?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x14ac:dyDescent="0.25">
      <c r="A129" s="281"/>
      <c r="B129" s="281"/>
      <c r="C129" s="2"/>
      <c r="D129" s="2"/>
      <c r="E129" s="2"/>
      <c r="F129" s="2"/>
      <c r="G129" s="2"/>
      <c r="H129" s="1"/>
      <c r="I129" s="10" t="e">
        <v>#NAME?</v>
      </c>
      <c r="J129" s="26" t="e">
        <v>#NAME?</v>
      </c>
      <c r="K129" s="26" t="e">
        <v>#NAME?</v>
      </c>
      <c r="L129" s="26" t="e">
        <v>#NAME?</v>
      </c>
      <c r="M129" s="26" t="e">
        <v>#NAME?</v>
      </c>
      <c r="N129" s="26" t="e">
        <v>#NAME?</v>
      </c>
      <c r="O129" s="26" t="e">
        <v>#NAME?</v>
      </c>
      <c r="P129" s="26" t="e">
        <v>#NAME?</v>
      </c>
      <c r="Q129" s="10" t="s">
        <v>119</v>
      </c>
      <c r="R129" s="26" t="e">
        <v>#NAME?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x14ac:dyDescent="0.25">
      <c r="A130" s="281"/>
      <c r="B130" s="281"/>
      <c r="C130" s="2"/>
      <c r="D130" s="2"/>
      <c r="E130" s="2"/>
      <c r="F130" s="2"/>
      <c r="G130" s="2"/>
      <c r="H130" s="1"/>
      <c r="I130" s="10" t="e">
        <v>#NAME?</v>
      </c>
      <c r="J130" s="26" t="e">
        <v>#NAME?</v>
      </c>
      <c r="K130" s="26" t="e">
        <v>#NAME?</v>
      </c>
      <c r="L130" s="26" t="e">
        <v>#NAME?</v>
      </c>
      <c r="M130" s="26" t="e">
        <v>#NAME?</v>
      </c>
      <c r="N130" s="26" t="e">
        <v>#NAME?</v>
      </c>
      <c r="O130" s="26" t="e">
        <v>#NAME?</v>
      </c>
      <c r="P130" s="26" t="e">
        <v>#NAME?</v>
      </c>
      <c r="Q130" s="10" t="s">
        <v>120</v>
      </c>
      <c r="R130" s="26" t="e">
        <v>#NAME?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x14ac:dyDescent="0.25">
      <c r="A131" s="281"/>
      <c r="B131" s="281"/>
      <c r="C131" s="2"/>
      <c r="D131" s="2"/>
      <c r="E131" s="2"/>
      <c r="F131" s="2"/>
      <c r="G131" s="2"/>
      <c r="H131" s="1"/>
      <c r="I131" s="10" t="e">
        <v>#NAME?</v>
      </c>
      <c r="J131" s="26" t="e">
        <v>#NAME?</v>
      </c>
      <c r="K131" s="26" t="e">
        <v>#NAME?</v>
      </c>
      <c r="L131" s="26" t="e">
        <v>#NAME?</v>
      </c>
      <c r="M131" s="26" t="e">
        <v>#NAME?</v>
      </c>
      <c r="N131" s="26" t="e">
        <v>#NAME?</v>
      </c>
      <c r="O131" s="26" t="e">
        <v>#NAME?</v>
      </c>
      <c r="P131" s="26" t="e">
        <v>#NAME?</v>
      </c>
      <c r="Q131" s="10" t="s">
        <v>121</v>
      </c>
      <c r="R131" s="26" t="e">
        <v>#NAME?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x14ac:dyDescent="0.25">
      <c r="A132" s="281"/>
      <c r="B132" s="281"/>
      <c r="C132" s="2"/>
      <c r="D132" s="2"/>
      <c r="E132" s="2"/>
      <c r="F132" s="2"/>
      <c r="G132" s="2"/>
      <c r="H132" s="1"/>
      <c r="I132" s="10" t="e">
        <v>#NAME?</v>
      </c>
      <c r="J132" s="26" t="e">
        <v>#NAME?</v>
      </c>
      <c r="K132" s="26" t="e">
        <v>#NAME?</v>
      </c>
      <c r="L132" s="26" t="e">
        <v>#NAME?</v>
      </c>
      <c r="M132" s="26" t="e">
        <v>#NAME?</v>
      </c>
      <c r="N132" s="26" t="e">
        <v>#NAME?</v>
      </c>
      <c r="O132" s="26" t="e">
        <v>#NAME?</v>
      </c>
      <c r="P132" s="26" t="e">
        <v>#NAME?</v>
      </c>
      <c r="Q132" s="10" t="s">
        <v>122</v>
      </c>
      <c r="R132" s="26" t="e">
        <v>#NAME?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x14ac:dyDescent="0.25">
      <c r="A133" s="281"/>
      <c r="B133" s="281"/>
      <c r="C133" s="2"/>
      <c r="D133" s="2"/>
      <c r="E133" s="2"/>
      <c r="F133" s="2"/>
      <c r="G133" s="2"/>
      <c r="H133" s="1"/>
      <c r="I133" s="36" t="s">
        <v>92</v>
      </c>
      <c r="J133" s="5" t="e">
        <v>#NAME?</v>
      </c>
      <c r="K133" s="5" t="e">
        <v>#NAME?</v>
      </c>
      <c r="L133" s="5" t="e">
        <v>#NAME?</v>
      </c>
      <c r="M133" s="5" t="e">
        <v>#NAME?</v>
      </c>
      <c r="N133" s="5" t="e">
        <v>#NAME?</v>
      </c>
      <c r="O133" s="5" t="e">
        <v>#NAME?</v>
      </c>
      <c r="P133" s="5" t="e">
        <v>#NAME?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x14ac:dyDescent="0.25">
      <c r="A134" s="281"/>
      <c r="B134" s="281"/>
      <c r="C134" s="2"/>
      <c r="D134" s="2"/>
      <c r="E134" s="2"/>
      <c r="F134" s="2"/>
      <c r="G134" s="2"/>
      <c r="H134" s="1"/>
      <c r="I134" s="10" t="e">
        <v>#NAME?</v>
      </c>
      <c r="J134" s="26" t="e">
        <v>#NAME?</v>
      </c>
      <c r="K134" s="26" t="e">
        <v>#NAME?</v>
      </c>
      <c r="L134" s="26" t="e">
        <v>#NAME?</v>
      </c>
      <c r="M134" s="26" t="e">
        <v>#NAME?</v>
      </c>
      <c r="N134" s="26" t="e">
        <v>#NAME?</v>
      </c>
      <c r="O134" s="26" t="e">
        <v>#NAME?</v>
      </c>
      <c r="P134" s="26" t="e">
        <v>#NAME?</v>
      </c>
      <c r="Q134" s="10" t="s">
        <v>116</v>
      </c>
      <c r="R134" s="26" t="e">
        <v>#NAME?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x14ac:dyDescent="0.25">
      <c r="A135" s="281"/>
      <c r="B135" s="281"/>
      <c r="C135" s="2"/>
      <c r="D135" s="2"/>
      <c r="E135" s="2"/>
      <c r="F135" s="2"/>
      <c r="G135" s="2"/>
      <c r="H135" s="1"/>
      <c r="I135" s="65" t="e">
        <v>#NAME?</v>
      </c>
      <c r="J135" s="26" t="e">
        <v>#NAME?</v>
      </c>
      <c r="K135" s="26" t="e">
        <v>#NAME?</v>
      </c>
      <c r="L135" s="26" t="e">
        <v>#NAME?</v>
      </c>
      <c r="M135" s="26" t="e">
        <v>#NAME?</v>
      </c>
      <c r="N135" s="26" t="e">
        <v>#NAME?</v>
      </c>
      <c r="O135" s="26" t="e">
        <v>#NAME?</v>
      </c>
      <c r="P135" s="10" t="s">
        <v>123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</sheetData>
  <mergeCells count="84">
    <mergeCell ref="A135:B135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23:B123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11:B111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87:B87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75:B75"/>
    <mergeCell ref="A46:B46"/>
    <mergeCell ref="A56:B56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36:B36"/>
    <mergeCell ref="A1:B1"/>
    <mergeCell ref="A3:B3"/>
    <mergeCell ref="A10:B10"/>
    <mergeCell ref="A11:B11"/>
    <mergeCell ref="A12:B12"/>
    <mergeCell ref="A13:B13"/>
    <mergeCell ref="A18:B18"/>
    <mergeCell ref="A19:B19"/>
    <mergeCell ref="A20:B20"/>
    <mergeCell ref="A25:B25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82A4-E6DC-4067-9F8C-29F0881569EF}">
  <dimension ref="A1:AR296"/>
  <sheetViews>
    <sheetView workbookViewId="0">
      <pane xSplit="4" ySplit="4" topLeftCell="J236" activePane="bottomRight" state="frozen"/>
      <selection pane="topRight" activeCell="E1" sqref="E1"/>
      <selection pane="bottomLeft" activeCell="A5" sqref="A5"/>
      <selection pane="bottomRight" activeCell="AA250" sqref="AA250"/>
    </sheetView>
  </sheetViews>
  <sheetFormatPr defaultRowHeight="15" x14ac:dyDescent="0.25"/>
  <cols>
    <col min="2" max="2" width="62.85546875" customWidth="1"/>
  </cols>
  <sheetData>
    <row r="1" spans="1:44" x14ac:dyDescent="0.25">
      <c r="A1" s="47"/>
      <c r="B1" s="3" t="s">
        <v>124</v>
      </c>
      <c r="C1" s="1"/>
      <c r="D1" s="1"/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f>Q1+1</f>
        <v>2025</v>
      </c>
      <c r="S1" s="1">
        <v>2026</v>
      </c>
      <c r="T1" s="1">
        <v>2027</v>
      </c>
      <c r="U1" s="1">
        <v>2028</v>
      </c>
      <c r="V1" s="1">
        <v>2029</v>
      </c>
      <c r="W1" s="1">
        <v>2030</v>
      </c>
      <c r="X1" s="1">
        <v>2031</v>
      </c>
      <c r="Y1" s="1">
        <v>2032</v>
      </c>
      <c r="Z1" s="1">
        <v>2033</v>
      </c>
      <c r="AA1" s="1">
        <v>2034</v>
      </c>
      <c r="AB1" s="1">
        <v>2035</v>
      </c>
      <c r="AC1" s="1"/>
      <c r="AD1" s="1" t="s">
        <v>125</v>
      </c>
      <c r="AE1" s="74">
        <v>2025</v>
      </c>
      <c r="AF1" s="75">
        <v>2024</v>
      </c>
      <c r="AG1" s="74">
        <v>2026</v>
      </c>
      <c r="AH1" s="75">
        <v>2024</v>
      </c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286"/>
      <c r="B2" s="286"/>
      <c r="C2" s="1"/>
      <c r="D2" s="76"/>
      <c r="E2" s="76" t="s">
        <v>126</v>
      </c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7" t="s">
        <v>33</v>
      </c>
      <c r="T2" s="77"/>
      <c r="U2" s="77"/>
      <c r="V2" s="77"/>
      <c r="W2" s="77"/>
      <c r="X2" s="77"/>
      <c r="Y2" s="77"/>
      <c r="Z2" s="77"/>
      <c r="AA2" s="77"/>
      <c r="AB2" s="77"/>
      <c r="AC2" s="1"/>
      <c r="AD2" s="1"/>
      <c r="AE2" s="78"/>
      <c r="AF2" s="79" t="s">
        <v>33</v>
      </c>
      <c r="AG2" s="78" t="s">
        <v>33</v>
      </c>
      <c r="AH2" s="79" t="s">
        <v>33</v>
      </c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284"/>
      <c r="B3" s="285"/>
      <c r="C3" s="81" t="s">
        <v>3</v>
      </c>
      <c r="D3" s="81" t="s">
        <v>127</v>
      </c>
      <c r="E3" s="40" t="s">
        <v>128</v>
      </c>
      <c r="F3" s="40" t="s">
        <v>129</v>
      </c>
      <c r="G3" s="40" t="s">
        <v>130</v>
      </c>
      <c r="H3" s="40" t="s">
        <v>131</v>
      </c>
      <c r="I3" s="40" t="s">
        <v>132</v>
      </c>
      <c r="J3" s="40" t="s">
        <v>133</v>
      </c>
      <c r="K3" s="40" t="s">
        <v>134</v>
      </c>
      <c r="L3" s="40" t="s">
        <v>135</v>
      </c>
      <c r="M3" s="40" t="s">
        <v>136</v>
      </c>
      <c r="N3" s="40" t="s">
        <v>137</v>
      </c>
      <c r="O3" s="40" t="s">
        <v>138</v>
      </c>
      <c r="P3" s="40" t="s">
        <v>139</v>
      </c>
      <c r="Q3" s="40" t="s">
        <v>140</v>
      </c>
      <c r="R3" s="40" t="s">
        <v>505</v>
      </c>
      <c r="S3" s="43" t="s">
        <v>142</v>
      </c>
      <c r="T3" s="43" t="s">
        <v>143</v>
      </c>
      <c r="U3" s="43" t="s">
        <v>144</v>
      </c>
      <c r="V3" s="43" t="s">
        <v>145</v>
      </c>
      <c r="W3" s="43" t="s">
        <v>146</v>
      </c>
      <c r="X3" s="43" t="s">
        <v>147</v>
      </c>
      <c r="Y3" s="43" t="s">
        <v>148</v>
      </c>
      <c r="Z3" s="43" t="s">
        <v>149</v>
      </c>
      <c r="AA3" s="43" t="s">
        <v>150</v>
      </c>
      <c r="AB3" s="43" t="s">
        <v>151</v>
      </c>
      <c r="AC3" s="1"/>
      <c r="AD3" s="1"/>
      <c r="AE3" s="82" t="s">
        <v>141</v>
      </c>
      <c r="AF3" s="83" t="s">
        <v>152</v>
      </c>
      <c r="AG3" s="82" t="s">
        <v>142</v>
      </c>
      <c r="AH3" s="83" t="s">
        <v>152</v>
      </c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 s="80"/>
      <c r="B4" s="84" t="s">
        <v>153</v>
      </c>
      <c r="C4" s="85"/>
      <c r="D4" s="86"/>
      <c r="E4" s="86"/>
      <c r="F4" s="86"/>
      <c r="G4" s="86"/>
      <c r="H4" s="86"/>
      <c r="I4" s="86"/>
      <c r="J4" s="86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1"/>
      <c r="AD4" s="1"/>
      <c r="AE4" s="88"/>
      <c r="AF4" s="89"/>
      <c r="AG4" s="88"/>
      <c r="AH4" s="89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5">
      <c r="A5" s="80"/>
      <c r="B5" s="90" t="s">
        <v>154</v>
      </c>
      <c r="C5" s="91"/>
      <c r="D5" s="1"/>
      <c r="E5" s="1"/>
      <c r="F5" s="2"/>
      <c r="G5" s="2"/>
      <c r="H5" s="2"/>
      <c r="I5" s="2"/>
      <c r="J5" s="1"/>
      <c r="K5" s="18" t="s">
        <v>155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1"/>
      <c r="AD5" s="1"/>
      <c r="AE5" s="88"/>
      <c r="AF5" s="89"/>
      <c r="AG5" s="88"/>
      <c r="AH5" s="89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5">
      <c r="A6" s="80" t="s">
        <v>156</v>
      </c>
      <c r="B6" s="92" t="s">
        <v>157</v>
      </c>
      <c r="C6" s="93" t="s">
        <v>75</v>
      </c>
      <c r="D6" s="51" t="s">
        <v>158</v>
      </c>
      <c r="E6" s="51"/>
      <c r="F6" s="51"/>
      <c r="G6" s="51"/>
      <c r="H6" s="51"/>
      <c r="I6" s="51"/>
      <c r="J6" s="51"/>
      <c r="K6" s="51">
        <v>58.1</v>
      </c>
      <c r="L6" s="51">
        <v>81.5</v>
      </c>
      <c r="M6" s="51">
        <v>106.2</v>
      </c>
      <c r="N6" s="51">
        <v>151.1</v>
      </c>
      <c r="O6" s="51">
        <v>216.8</v>
      </c>
      <c r="P6" s="51">
        <v>316.2</v>
      </c>
      <c r="Q6" s="51">
        <v>407.4</v>
      </c>
      <c r="R6" s="51">
        <v>499.72500000000002</v>
      </c>
      <c r="S6" s="251">
        <f>INDEX(Segment!$A:$AR,MATCH(Annual!$A6,Segment!$A:$A,0),MATCH("1H"&amp;RIGHT(Annual!S$1,2),Segment!$A$3:$AR$3,0))+INDEX(Segment!$A:$AR,MATCH(Annual!$A6,Segment!$A:$A,0),MATCH("2H"&amp;RIGHT(Annual!S$1,2),Segment!$A$3:$AR$3,0))</f>
        <v>587.67930197551414</v>
      </c>
      <c r="T6" s="251">
        <f>INDEX(Segment!$A:$AR,MATCH(Annual!$A6,Segment!$A:$A,0),MATCH("1H"&amp;RIGHT(Annual!T$1,2),Segment!$A$3:$AR$3,0))+INDEX(Segment!$A:$AR,MATCH(Annual!$A6,Segment!$A:$A,0),MATCH("2H"&amp;RIGHT(Annual!T$1,2),Segment!$A$3:$AR$3,0))</f>
        <v>695.66914075769989</v>
      </c>
      <c r="U6" s="251">
        <f>INDEX(Segment!$A:$AR,MATCH(Annual!$A6,Segment!$A:$A,0),MATCH("1H"&amp;RIGHT(Annual!U$1,2),Segment!$A$3:$AR$3,0))+INDEX(Segment!$A:$AR,MATCH(Annual!$A6,Segment!$A:$A,0),MATCH("2H"&amp;RIGHT(Annual!U$1,2),Segment!$A$3:$AR$3,0))</f>
        <v>838.35305095788863</v>
      </c>
      <c r="V6" s="251">
        <f>INDEX(Segment!$A:$AR,MATCH(Annual!$A6,Segment!$A:$A,0),MATCH("1H"&amp;RIGHT(Annual!V$1,2),Segment!$A$3:$AR$3,0))+INDEX(Segment!$A:$AR,MATCH(Annual!$A6,Segment!$A:$A,0),MATCH("2H"&amp;RIGHT(Annual!V$1,2),Segment!$A$3:$AR$3,0))</f>
        <v>1017.4705188185991</v>
      </c>
      <c r="W6" s="251">
        <f>INDEX(Segment!$A:$AR,MATCH(Annual!$A6,Segment!$A:$A,0),MATCH("1H"&amp;RIGHT(Annual!W$1,2),Segment!$A$3:$AR$3,0))+INDEX(Segment!$A:$AR,MATCH(Annual!$A6,Segment!$A:$A,0),MATCH("2H"&amp;RIGHT(Annual!W$1,2),Segment!$A$3:$AR$3,0))</f>
        <v>1232.6543155022971</v>
      </c>
      <c r="X6" s="251">
        <f>INDEX(Segment!$A:$AR,MATCH(Annual!$A6,Segment!$A:$A,0),MATCH("1H"&amp;RIGHT(Annual!X$1,2),Segment!$A$3:$AR$3,0))+INDEX(Segment!$A:$AR,MATCH(Annual!$A6,Segment!$A:$A,0),MATCH("2H"&amp;RIGHT(Annual!X$1,2),Segment!$A$3:$AR$3,0))</f>
        <v>1494.4904693894175</v>
      </c>
      <c r="Y6" s="251">
        <f>INDEX(Segment!$A:$AR,MATCH(Annual!$A6,Segment!$A:$A,0),MATCH("1H"&amp;RIGHT(Annual!Y$1,2),Segment!$A$3:$AR$3,0))+INDEX(Segment!$A:$AR,MATCH(Annual!$A6,Segment!$A:$A,0),MATCH("2H"&amp;RIGHT(Annual!Y$1,2),Segment!$A$3:$AR$3,0))</f>
        <v>1813.500725029864</v>
      </c>
      <c r="Z6" s="251">
        <f>INDEX(Segment!$A:$AR,MATCH(Annual!$A6,Segment!$A:$A,0),MATCH("1H"&amp;RIGHT(Annual!Z$1,2),Segment!$A$3:$AR$3,0))+INDEX(Segment!$A:$AR,MATCH(Annual!$A6,Segment!$A:$A,0),MATCH("2H"&amp;RIGHT(Annual!Z$1,2),Segment!$A$3:$AR$3,0))</f>
        <v>2202.6850736373326</v>
      </c>
      <c r="AA6" s="251">
        <f>INDEX(Segment!$A:$AR,MATCH(Annual!$A6,Segment!$A:$A,0),MATCH("1H"&amp;RIGHT(Annual!AA$1,2),Segment!$A$3:$AR$3,0))+INDEX(Segment!$A:$AR,MATCH(Annual!$A6,Segment!$A:$A,0),MATCH("2H"&amp;RIGHT(Annual!AA$1,2),Segment!$A$3:$AR$3,0))</f>
        <v>2678.1330058313179</v>
      </c>
      <c r="AB6" s="251">
        <f>INDEX(Segment!$A:$AR,MATCH(Annual!$A6,Segment!$A:$A,0),MATCH("1H"&amp;RIGHT(Annual!AB$1,2),Segment!$A$3:$AR$3,0))+INDEX(Segment!$A:$AR,MATCH(Annual!$A6,Segment!$A:$A,0),MATCH("2H"&amp;RIGHT(Annual!AB$1,2),Segment!$A$3:$AR$3,0))</f>
        <v>3259.7923549216066</v>
      </c>
      <c r="AC6" s="1"/>
      <c r="AD6" s="1"/>
      <c r="AE6" s="95">
        <v>496.60115675165247</v>
      </c>
      <c r="AF6" s="96" t="e">
        <f>IF(ISBLANK(AE6),"",INDEX($A6:$AB6,1,MATCH(AE$3,$A$3:$AB$3,0))-AE6)</f>
        <v>#N/A</v>
      </c>
      <c r="AG6" s="95">
        <v>597.66026091302228</v>
      </c>
      <c r="AH6" s="96">
        <f>IF(ISBLANK(AG6),"",INDEX($A6:$AB6,1,MATCH(AG$3,$A$3:$AB$3,0))-AG6)</f>
        <v>-9.9809589375081487</v>
      </c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5">
      <c r="A7" s="80" t="s">
        <v>159</v>
      </c>
      <c r="B7" s="92" t="s">
        <v>160</v>
      </c>
      <c r="C7" s="93" t="s">
        <v>75</v>
      </c>
      <c r="D7" s="51" t="s">
        <v>158</v>
      </c>
      <c r="E7" s="51"/>
      <c r="F7" s="51"/>
      <c r="G7" s="51"/>
      <c r="H7" s="51"/>
      <c r="I7" s="51"/>
      <c r="J7" s="51"/>
      <c r="K7" s="51">
        <v>103</v>
      </c>
      <c r="L7" s="51">
        <v>98.7</v>
      </c>
      <c r="M7" s="51">
        <v>101.1</v>
      </c>
      <c r="N7" s="51">
        <v>78</v>
      </c>
      <c r="O7" s="51">
        <v>69.2</v>
      </c>
      <c r="P7" s="51">
        <v>37</v>
      </c>
      <c r="Q7" s="51">
        <v>17.8</v>
      </c>
      <c r="R7" s="51">
        <v>7.2110000000000003</v>
      </c>
      <c r="S7" s="251">
        <f>INDEX(Segment!$A:$AR,MATCH(Annual!$A7,Segment!$A:$A,0),MATCH("1H"&amp;RIGHT(Annual!S$1,2),Segment!$A$3:$AR$3,0))+INDEX(Segment!$A:$AR,MATCH(Annual!$A7,Segment!$A:$A,0),MATCH("2H"&amp;RIGHT(Annual!S$1,2),Segment!$A$3:$AR$3,0))</f>
        <v>7.2110000000000003</v>
      </c>
      <c r="T7" s="251">
        <f>INDEX(Segment!$A:$AR,MATCH(Annual!$A7,Segment!$A:$A,0),MATCH("1H"&amp;RIGHT(Annual!T$1,2),Segment!$A$3:$AR$3,0))+INDEX(Segment!$A:$AR,MATCH(Annual!$A7,Segment!$A:$A,0),MATCH("2H"&amp;RIGHT(Annual!T$1,2),Segment!$A$3:$AR$3,0))</f>
        <v>7.2110000000000003</v>
      </c>
      <c r="U7" s="251">
        <f>INDEX(Segment!$A:$AR,MATCH(Annual!$A7,Segment!$A:$A,0),MATCH("1H"&amp;RIGHT(Annual!U$1,2),Segment!$A$3:$AR$3,0))+INDEX(Segment!$A:$AR,MATCH(Annual!$A7,Segment!$A:$A,0),MATCH("2H"&amp;RIGHT(Annual!U$1,2),Segment!$A$3:$AR$3,0))</f>
        <v>7.2110000000000003</v>
      </c>
      <c r="V7" s="251">
        <f>INDEX(Segment!$A:$AR,MATCH(Annual!$A7,Segment!$A:$A,0),MATCH("1H"&amp;RIGHT(Annual!V$1,2),Segment!$A$3:$AR$3,0))+INDEX(Segment!$A:$AR,MATCH(Annual!$A7,Segment!$A:$A,0),MATCH("2H"&amp;RIGHT(Annual!V$1,2),Segment!$A$3:$AR$3,0))</f>
        <v>7.2110000000000003</v>
      </c>
      <c r="W7" s="251">
        <f>INDEX(Segment!$A:$AR,MATCH(Annual!$A7,Segment!$A:$A,0),MATCH("1H"&amp;RIGHT(Annual!W$1,2),Segment!$A$3:$AR$3,0))+INDEX(Segment!$A:$AR,MATCH(Annual!$A7,Segment!$A:$A,0),MATCH("2H"&amp;RIGHT(Annual!W$1,2),Segment!$A$3:$AR$3,0))</f>
        <v>7.2110000000000003</v>
      </c>
      <c r="X7" s="251">
        <f>INDEX(Segment!$A:$AR,MATCH(Annual!$A7,Segment!$A:$A,0),MATCH("1H"&amp;RIGHT(Annual!X$1,2),Segment!$A$3:$AR$3,0))+INDEX(Segment!$A:$AR,MATCH(Annual!$A7,Segment!$A:$A,0),MATCH("2H"&amp;RIGHT(Annual!X$1,2),Segment!$A$3:$AR$3,0))</f>
        <v>7.2110000000000003</v>
      </c>
      <c r="Y7" s="251">
        <f>INDEX(Segment!$A:$AR,MATCH(Annual!$A7,Segment!$A:$A,0),MATCH("1H"&amp;RIGHT(Annual!Y$1,2),Segment!$A$3:$AR$3,0))+INDEX(Segment!$A:$AR,MATCH(Annual!$A7,Segment!$A:$A,0),MATCH("2H"&amp;RIGHT(Annual!Y$1,2),Segment!$A$3:$AR$3,0))</f>
        <v>7.2110000000000003</v>
      </c>
      <c r="Z7" s="251">
        <f>INDEX(Segment!$A:$AR,MATCH(Annual!$A7,Segment!$A:$A,0),MATCH("1H"&amp;RIGHT(Annual!Z$1,2),Segment!$A$3:$AR$3,0))+INDEX(Segment!$A:$AR,MATCH(Annual!$A7,Segment!$A:$A,0),MATCH("2H"&amp;RIGHT(Annual!Z$1,2),Segment!$A$3:$AR$3,0))</f>
        <v>7.2110000000000003</v>
      </c>
      <c r="AA7" s="251">
        <f>INDEX(Segment!$A:$AR,MATCH(Annual!$A7,Segment!$A:$A,0),MATCH("1H"&amp;RIGHT(Annual!AA$1,2),Segment!$A$3:$AR$3,0))+INDEX(Segment!$A:$AR,MATCH(Annual!$A7,Segment!$A:$A,0),MATCH("2H"&amp;RIGHT(Annual!AA$1,2),Segment!$A$3:$AR$3,0))</f>
        <v>7.2110000000000003</v>
      </c>
      <c r="AB7" s="251">
        <f>INDEX(Segment!$A:$AR,MATCH(Annual!$A7,Segment!$A:$A,0),MATCH("1H"&amp;RIGHT(Annual!AB$1,2),Segment!$A$3:$AR$3,0))+INDEX(Segment!$A:$AR,MATCH(Annual!$A7,Segment!$A:$A,0),MATCH("2H"&amp;RIGHT(Annual!AB$1,2),Segment!$A$3:$AR$3,0))</f>
        <v>7.2110000000000003</v>
      </c>
      <c r="AC7" s="1"/>
      <c r="AD7" s="1"/>
      <c r="AE7" s="95">
        <v>8.1999999999999993</v>
      </c>
      <c r="AF7" s="96" t="e">
        <f t="shared" ref="AF7:AH70" si="0">IF(ISBLANK(AE7),"",INDEX($A7:$AB7,1,MATCH(AE$3,$A$3:$AB$3,0))-AE7)</f>
        <v>#N/A</v>
      </c>
      <c r="AG7" s="95">
        <v>8.1999999999999993</v>
      </c>
      <c r="AH7" s="96">
        <f t="shared" si="0"/>
        <v>-0.98899999999999899</v>
      </c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5">
      <c r="A8" s="80" t="s">
        <v>161</v>
      </c>
      <c r="B8" s="92" t="s">
        <v>162</v>
      </c>
      <c r="C8" s="93" t="s">
        <v>75</v>
      </c>
      <c r="D8" s="51" t="s">
        <v>158</v>
      </c>
      <c r="E8" s="51"/>
      <c r="F8" s="51"/>
      <c r="G8" s="51"/>
      <c r="H8" s="51"/>
      <c r="I8" s="51"/>
      <c r="J8" s="51"/>
      <c r="K8" s="51">
        <v>63.2</v>
      </c>
      <c r="L8" s="51">
        <v>61.6</v>
      </c>
      <c r="M8" s="51">
        <v>62.5</v>
      </c>
      <c r="N8" s="51">
        <v>64.5</v>
      </c>
      <c r="O8" s="51">
        <v>72.7</v>
      </c>
      <c r="P8" s="51">
        <v>73.2</v>
      </c>
      <c r="Q8" s="51">
        <v>80.5</v>
      </c>
      <c r="R8" s="51">
        <v>91.566000000000003</v>
      </c>
      <c r="S8" s="251">
        <f>INDEX(Segment!$A:$AR,MATCH(Annual!$A8,Segment!$A:$A,0),MATCH("1H"&amp;RIGHT(Annual!S$1,2),Segment!$A$3:$AR$3,0))+INDEX(Segment!$A:$AR,MATCH(Annual!$A8,Segment!$A:$A,0),MATCH("2H"&amp;RIGHT(Annual!S$1,2),Segment!$A$3:$AR$3,0))</f>
        <v>86.98769999999999</v>
      </c>
      <c r="T8" s="251">
        <f>INDEX(Segment!$A:$AR,MATCH(Annual!$A8,Segment!$A:$A,0),MATCH("1H"&amp;RIGHT(Annual!T$1,2),Segment!$A$3:$AR$3,0))+INDEX(Segment!$A:$AR,MATCH(Annual!$A8,Segment!$A:$A,0),MATCH("2H"&amp;RIGHT(Annual!T$1,2),Segment!$A$3:$AR$3,0))</f>
        <v>82.638315000000006</v>
      </c>
      <c r="U8" s="251">
        <f>INDEX(Segment!$A:$AR,MATCH(Annual!$A8,Segment!$A:$A,0),MATCH("1H"&amp;RIGHT(Annual!U$1,2),Segment!$A$3:$AR$3,0))+INDEX(Segment!$A:$AR,MATCH(Annual!$A8,Segment!$A:$A,0),MATCH("2H"&amp;RIGHT(Annual!U$1,2),Segment!$A$3:$AR$3,0))</f>
        <v>78.506399249999987</v>
      </c>
      <c r="V8" s="251">
        <f>INDEX(Segment!$A:$AR,MATCH(Annual!$A8,Segment!$A:$A,0),MATCH("1H"&amp;RIGHT(Annual!V$1,2),Segment!$A$3:$AR$3,0))+INDEX(Segment!$A:$AR,MATCH(Annual!$A8,Segment!$A:$A,0),MATCH("2H"&amp;RIGHT(Annual!V$1,2),Segment!$A$3:$AR$3,0))</f>
        <v>74.581079287499989</v>
      </c>
      <c r="W8" s="251">
        <f>INDEX(Segment!$A:$AR,MATCH(Annual!$A8,Segment!$A:$A,0),MATCH("1H"&amp;RIGHT(Annual!W$1,2),Segment!$A$3:$AR$3,0))+INDEX(Segment!$A:$AR,MATCH(Annual!$A8,Segment!$A:$A,0),MATCH("2H"&amp;RIGHT(Annual!W$1,2),Segment!$A$3:$AR$3,0))</f>
        <v>70.852025323124991</v>
      </c>
      <c r="X8" s="251">
        <f>INDEX(Segment!$A:$AR,MATCH(Annual!$A8,Segment!$A:$A,0),MATCH("1H"&amp;RIGHT(Annual!X$1,2),Segment!$A$3:$AR$3,0))+INDEX(Segment!$A:$AR,MATCH(Annual!$A8,Segment!$A:$A,0),MATCH("2H"&amp;RIGHT(Annual!X$1,2),Segment!$A$3:$AR$3,0))</f>
        <v>67.309424056968737</v>
      </c>
      <c r="Y8" s="251">
        <f>INDEX(Segment!$A:$AR,MATCH(Annual!$A8,Segment!$A:$A,0),MATCH("1H"&amp;RIGHT(Annual!Y$1,2),Segment!$A$3:$AR$3,0))+INDEX(Segment!$A:$AR,MATCH(Annual!$A8,Segment!$A:$A,0),MATCH("2H"&amp;RIGHT(Annual!Y$1,2),Segment!$A$3:$AR$3,0))</f>
        <v>63.943952854120298</v>
      </c>
      <c r="Z8" s="251">
        <f>INDEX(Segment!$A:$AR,MATCH(Annual!$A8,Segment!$A:$A,0),MATCH("1H"&amp;RIGHT(Annual!Z$1,2),Segment!$A$3:$AR$3,0))+INDEX(Segment!$A:$AR,MATCH(Annual!$A8,Segment!$A:$A,0),MATCH("2H"&amp;RIGHT(Annual!Z$1,2),Segment!$A$3:$AR$3,0))</f>
        <v>60.746755211414282</v>
      </c>
      <c r="AA8" s="251">
        <f>INDEX(Segment!$A:$AR,MATCH(Annual!$A8,Segment!$A:$A,0),MATCH("1H"&amp;RIGHT(Annual!AA$1,2),Segment!$A$3:$AR$3,0))+INDEX(Segment!$A:$AR,MATCH(Annual!$A8,Segment!$A:$A,0),MATCH("2H"&amp;RIGHT(Annual!AA$1,2),Segment!$A$3:$AR$3,0))</f>
        <v>57.70941745084356</v>
      </c>
      <c r="AB8" s="251">
        <f>INDEX(Segment!$A:$AR,MATCH(Annual!$A8,Segment!$A:$A,0),MATCH("1H"&amp;RIGHT(Annual!AB$1,2),Segment!$A$3:$AR$3,0))+INDEX(Segment!$A:$AR,MATCH(Annual!$A8,Segment!$A:$A,0),MATCH("2H"&amp;RIGHT(Annual!AB$1,2),Segment!$A$3:$AR$3,0))</f>
        <v>54.823946578301374</v>
      </c>
      <c r="AC8" s="1"/>
      <c r="AD8" s="1"/>
      <c r="AE8" s="95">
        <v>89.01</v>
      </c>
      <c r="AF8" s="96" t="e">
        <f t="shared" si="0"/>
        <v>#N/A</v>
      </c>
      <c r="AG8" s="95">
        <v>84.5595</v>
      </c>
      <c r="AH8" s="96">
        <f t="shared" si="0"/>
        <v>2.4281999999999897</v>
      </c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5">
      <c r="A9" s="80" t="s">
        <v>163</v>
      </c>
      <c r="B9" s="92" t="s">
        <v>164</v>
      </c>
      <c r="C9" s="93" t="s">
        <v>75</v>
      </c>
      <c r="D9" s="51" t="s">
        <v>158</v>
      </c>
      <c r="E9" s="51"/>
      <c r="F9" s="51"/>
      <c r="G9" s="51"/>
      <c r="H9" s="51"/>
      <c r="I9" s="51"/>
      <c r="J9" s="51"/>
      <c r="K9" s="51">
        <v>28.7</v>
      </c>
      <c r="L9" s="51">
        <v>43.2</v>
      </c>
      <c r="M9" s="51">
        <v>28.5</v>
      </c>
      <c r="N9" s="51">
        <v>17.7</v>
      </c>
      <c r="O9" s="51">
        <v>9.6</v>
      </c>
      <c r="P9" s="51">
        <v>3</v>
      </c>
      <c r="Q9" s="51">
        <v>0.8</v>
      </c>
      <c r="R9" s="51">
        <v>0</v>
      </c>
      <c r="S9" s="251">
        <f>INDEX(Segment!$A:$AR,MATCH(Annual!$A9,Segment!$A:$A,0),MATCH("1H"&amp;RIGHT(Annual!S$1,2),Segment!$A$3:$AR$3,0))+INDEX(Segment!$A:$AR,MATCH(Annual!$A9,Segment!$A:$A,0),MATCH("2H"&amp;RIGHT(Annual!S$1,2),Segment!$A$3:$AR$3,0))</f>
        <v>1.2</v>
      </c>
      <c r="T9" s="251">
        <f>INDEX(Segment!$A:$AR,MATCH(Annual!$A9,Segment!$A:$A,0),MATCH("1H"&amp;RIGHT(Annual!T$1,2),Segment!$A$3:$AR$3,0))+INDEX(Segment!$A:$AR,MATCH(Annual!$A9,Segment!$A:$A,0),MATCH("2H"&amp;RIGHT(Annual!T$1,2),Segment!$A$3:$AR$3,0))</f>
        <v>1.2</v>
      </c>
      <c r="U9" s="251">
        <f>INDEX(Segment!$A:$AR,MATCH(Annual!$A9,Segment!$A:$A,0),MATCH("1H"&amp;RIGHT(Annual!U$1,2),Segment!$A$3:$AR$3,0))+INDEX(Segment!$A:$AR,MATCH(Annual!$A9,Segment!$A:$A,0),MATCH("2H"&amp;RIGHT(Annual!U$1,2),Segment!$A$3:$AR$3,0))</f>
        <v>1.2</v>
      </c>
      <c r="V9" s="251">
        <f>INDEX(Segment!$A:$AR,MATCH(Annual!$A9,Segment!$A:$A,0),MATCH("1H"&amp;RIGHT(Annual!V$1,2),Segment!$A$3:$AR$3,0))+INDEX(Segment!$A:$AR,MATCH(Annual!$A9,Segment!$A:$A,0),MATCH("2H"&amp;RIGHT(Annual!V$1,2),Segment!$A$3:$AR$3,0))</f>
        <v>1.2</v>
      </c>
      <c r="W9" s="251">
        <f>INDEX(Segment!$A:$AR,MATCH(Annual!$A9,Segment!$A:$A,0),MATCH("1H"&amp;RIGHT(Annual!W$1,2),Segment!$A$3:$AR$3,0))+INDEX(Segment!$A:$AR,MATCH(Annual!$A9,Segment!$A:$A,0),MATCH("2H"&amp;RIGHT(Annual!W$1,2),Segment!$A$3:$AR$3,0))</f>
        <v>1.2</v>
      </c>
      <c r="X9" s="251">
        <f>INDEX(Segment!$A:$AR,MATCH(Annual!$A9,Segment!$A:$A,0),MATCH("1H"&amp;RIGHT(Annual!X$1,2),Segment!$A$3:$AR$3,0))+INDEX(Segment!$A:$AR,MATCH(Annual!$A9,Segment!$A:$A,0),MATCH("2H"&amp;RIGHT(Annual!X$1,2),Segment!$A$3:$AR$3,0))</f>
        <v>1.2</v>
      </c>
      <c r="Y9" s="251">
        <f>INDEX(Segment!$A:$AR,MATCH(Annual!$A9,Segment!$A:$A,0),MATCH("1H"&amp;RIGHT(Annual!Y$1,2),Segment!$A$3:$AR$3,0))+INDEX(Segment!$A:$AR,MATCH(Annual!$A9,Segment!$A:$A,0),MATCH("2H"&amp;RIGHT(Annual!Y$1,2),Segment!$A$3:$AR$3,0))</f>
        <v>1.2</v>
      </c>
      <c r="Z9" s="251">
        <f>INDEX(Segment!$A:$AR,MATCH(Annual!$A9,Segment!$A:$A,0),MATCH("1H"&amp;RIGHT(Annual!Z$1,2),Segment!$A$3:$AR$3,0))+INDEX(Segment!$A:$AR,MATCH(Annual!$A9,Segment!$A:$A,0),MATCH("2H"&amp;RIGHT(Annual!Z$1,2),Segment!$A$3:$AR$3,0))</f>
        <v>1.2</v>
      </c>
      <c r="AA9" s="251">
        <f>INDEX(Segment!$A:$AR,MATCH(Annual!$A9,Segment!$A:$A,0),MATCH("1H"&amp;RIGHT(Annual!AA$1,2),Segment!$A$3:$AR$3,0))+INDEX(Segment!$A:$AR,MATCH(Annual!$A9,Segment!$A:$A,0),MATCH("2H"&amp;RIGHT(Annual!AA$1,2),Segment!$A$3:$AR$3,0))</f>
        <v>1.2</v>
      </c>
      <c r="AB9" s="251">
        <f>INDEX(Segment!$A:$AR,MATCH(Annual!$A9,Segment!$A:$A,0),MATCH("1H"&amp;RIGHT(Annual!AB$1,2),Segment!$A$3:$AR$3,0))+INDEX(Segment!$A:$AR,MATCH(Annual!$A9,Segment!$A:$A,0),MATCH("2H"&amp;RIGHT(Annual!AB$1,2),Segment!$A$3:$AR$3,0))</f>
        <v>1.2</v>
      </c>
      <c r="AC9" s="1"/>
      <c r="AD9" s="1"/>
      <c r="AE9" s="95">
        <v>0.6</v>
      </c>
      <c r="AF9" s="96" t="e">
        <f t="shared" si="0"/>
        <v>#N/A</v>
      </c>
      <c r="AG9" s="95">
        <v>1.2</v>
      </c>
      <c r="AH9" s="96">
        <f t="shared" si="0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5">
      <c r="A10" s="80" t="s">
        <v>165</v>
      </c>
      <c r="B10" s="97" t="s">
        <v>166</v>
      </c>
      <c r="C10" s="5" t="s">
        <v>75</v>
      </c>
      <c r="D10" s="98"/>
      <c r="E10" s="98"/>
      <c r="F10" s="98"/>
      <c r="G10" s="98"/>
      <c r="H10" s="98"/>
      <c r="I10" s="98"/>
      <c r="J10" s="98"/>
      <c r="K10" s="98">
        <v>253</v>
      </c>
      <c r="L10" s="98">
        <v>285</v>
      </c>
      <c r="M10" s="98">
        <v>298.3</v>
      </c>
      <c r="N10" s="98">
        <v>311.3</v>
      </c>
      <c r="O10" s="98">
        <v>368.2</v>
      </c>
      <c r="P10" s="98">
        <v>429.4</v>
      </c>
      <c r="Q10" s="98">
        <f>SUM(Q6:Q9)</f>
        <v>506.5</v>
      </c>
      <c r="R10" s="255">
        <f>SUM(R6:R9)</f>
        <v>598.50200000000007</v>
      </c>
      <c r="S10" s="267">
        <f>INDEX(Segment!$A:$AR,MATCH(Annual!$A10,Segment!$A:$A,0),MATCH("1H"&amp;RIGHT(Annual!S$1,2),Segment!$A$3:$AR$3,0))+INDEX(Segment!$A:$AR,MATCH(Annual!$A10,Segment!$A:$A,0),MATCH("2H"&amp;RIGHT(Annual!S$1,2),Segment!$A$3:$AR$3,0))</f>
        <v>683.0780019755141</v>
      </c>
      <c r="T10" s="267">
        <f>INDEX(Segment!$A:$AR,MATCH(Annual!$A10,Segment!$A:$A,0),MATCH("1H"&amp;RIGHT(Annual!T$1,2),Segment!$A$3:$AR$3,0))+INDEX(Segment!$A:$AR,MATCH(Annual!$A10,Segment!$A:$A,0),MATCH("2H"&amp;RIGHT(Annual!T$1,2),Segment!$A$3:$AR$3,0))</f>
        <v>786.71845575769999</v>
      </c>
      <c r="U10" s="267">
        <f>INDEX(Segment!$A:$AR,MATCH(Annual!$A10,Segment!$A:$A,0),MATCH("1H"&amp;RIGHT(Annual!U$1,2),Segment!$A$3:$AR$3,0))+INDEX(Segment!$A:$AR,MATCH(Annual!$A10,Segment!$A:$A,0),MATCH("2H"&amp;RIGHT(Annual!U$1,2),Segment!$A$3:$AR$3,0))</f>
        <v>925.27045020788876</v>
      </c>
      <c r="V10" s="267">
        <f>INDEX(Segment!$A:$AR,MATCH(Annual!$A10,Segment!$A:$A,0),MATCH("1H"&amp;RIGHT(Annual!V$1,2),Segment!$A$3:$AR$3,0))+INDEX(Segment!$A:$AR,MATCH(Annual!$A10,Segment!$A:$A,0),MATCH("2H"&amp;RIGHT(Annual!V$1,2),Segment!$A$3:$AR$3,0))</f>
        <v>1100.4625981060992</v>
      </c>
      <c r="W10" s="267">
        <f>INDEX(Segment!$A:$AR,MATCH(Annual!$A10,Segment!$A:$A,0),MATCH("1H"&amp;RIGHT(Annual!W$1,2),Segment!$A$3:$AR$3,0))+INDEX(Segment!$A:$AR,MATCH(Annual!$A10,Segment!$A:$A,0),MATCH("2H"&amp;RIGHT(Annual!W$1,2),Segment!$A$3:$AR$3,0))</f>
        <v>1311.9173408254221</v>
      </c>
      <c r="X10" s="267">
        <f>INDEX(Segment!$A:$AR,MATCH(Annual!$A10,Segment!$A:$A,0),MATCH("1H"&amp;RIGHT(Annual!X$1,2),Segment!$A$3:$AR$3,0))+INDEX(Segment!$A:$AR,MATCH(Annual!$A10,Segment!$A:$A,0),MATCH("2H"&amp;RIGHT(Annual!X$1,2),Segment!$A$3:$AR$3,0))</f>
        <v>1570.2108934463863</v>
      </c>
      <c r="Y10" s="267">
        <f>INDEX(Segment!$A:$AR,MATCH(Annual!$A10,Segment!$A:$A,0),MATCH("1H"&amp;RIGHT(Annual!Y$1,2),Segment!$A$3:$AR$3,0))+INDEX(Segment!$A:$AR,MATCH(Annual!$A10,Segment!$A:$A,0),MATCH("2H"&amp;RIGHT(Annual!Y$1,2),Segment!$A$3:$AR$3,0))</f>
        <v>1885.8556778839845</v>
      </c>
      <c r="Z10" s="267">
        <f>INDEX(Segment!$A:$AR,MATCH(Annual!$A10,Segment!$A:$A,0),MATCH("1H"&amp;RIGHT(Annual!Z$1,2),Segment!$A$3:$AR$3,0))+INDEX(Segment!$A:$AR,MATCH(Annual!$A10,Segment!$A:$A,0),MATCH("2H"&amp;RIGHT(Annual!Z$1,2),Segment!$A$3:$AR$3,0))</f>
        <v>2271.8428288487466</v>
      </c>
      <c r="AA10" s="267">
        <f>INDEX(Segment!$A:$AR,MATCH(Annual!$A10,Segment!$A:$A,0),MATCH("1H"&amp;RIGHT(Annual!AA$1,2),Segment!$A$3:$AR$3,0))+INDEX(Segment!$A:$AR,MATCH(Annual!$A10,Segment!$A:$A,0),MATCH("2H"&amp;RIGHT(Annual!AA$1,2),Segment!$A$3:$AR$3,0))</f>
        <v>2744.2534232821613</v>
      </c>
      <c r="AB10" s="267">
        <f>INDEX(Segment!$A:$AR,MATCH(Annual!$A10,Segment!$A:$A,0),MATCH("1H"&amp;RIGHT(Annual!AB$1,2),Segment!$A$3:$AR$3,0))+INDEX(Segment!$A:$AR,MATCH(Annual!$A10,Segment!$A:$A,0),MATCH("2H"&amp;RIGHT(Annual!AB$1,2),Segment!$A$3:$AR$3,0))</f>
        <v>3323.0273014999075</v>
      </c>
      <c r="AC10" s="1"/>
      <c r="AD10" s="1"/>
      <c r="AE10" s="99">
        <v>594.41115675165247</v>
      </c>
      <c r="AF10" s="100" t="e">
        <f t="shared" si="0"/>
        <v>#N/A</v>
      </c>
      <c r="AG10" s="99">
        <v>691.61976091302245</v>
      </c>
      <c r="AH10" s="100">
        <f t="shared" si="0"/>
        <v>-8.541758937508348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5">
      <c r="A11" s="80"/>
      <c r="B11" s="92" t="s">
        <v>167</v>
      </c>
      <c r="C11" s="93" t="s">
        <v>168</v>
      </c>
      <c r="D11" s="2"/>
      <c r="E11" s="2"/>
      <c r="F11" s="2"/>
      <c r="G11" s="2"/>
      <c r="H11" s="2"/>
      <c r="I11" s="2"/>
      <c r="J11" s="2"/>
      <c r="K11" s="2" t="e">
        <v>#DIV/0!</v>
      </c>
      <c r="L11" s="101">
        <v>0.127</v>
      </c>
      <c r="M11" s="101">
        <v>4.7E-2</v>
      </c>
      <c r="N11" s="101">
        <v>4.3999999999999997E-2</v>
      </c>
      <c r="O11" s="101">
        <v>0.183</v>
      </c>
      <c r="P11" s="101">
        <v>0.16600000000000001</v>
      </c>
      <c r="Q11" s="253">
        <f>Q10/P10-1</f>
        <v>0.17955286446204011</v>
      </c>
      <c r="R11" s="253">
        <f>R10/Q10-1</f>
        <v>0.18164264560710763</v>
      </c>
      <c r="S11" s="101">
        <f t="shared" ref="R11:AB11" si="1">S10/R10-1</f>
        <v>0.14131281428552289</v>
      </c>
      <c r="T11" s="101">
        <f t="shared" si="1"/>
        <v>0.1517256499000843</v>
      </c>
      <c r="U11" s="101">
        <f t="shared" si="1"/>
        <v>0.17611382246873486</v>
      </c>
      <c r="V11" s="101">
        <f t="shared" si="1"/>
        <v>0.18934155722669899</v>
      </c>
      <c r="W11" s="101">
        <f t="shared" si="1"/>
        <v>0.19215077648548662</v>
      </c>
      <c r="X11" s="101">
        <f t="shared" si="1"/>
        <v>0.1968824899124002</v>
      </c>
      <c r="Y11" s="101">
        <f t="shared" si="1"/>
        <v>0.20102063089423838</v>
      </c>
      <c r="Z11" s="101">
        <f t="shared" si="1"/>
        <v>0.2046748091549917</v>
      </c>
      <c r="AA11" s="101">
        <f t="shared" si="1"/>
        <v>0.20794158312122679</v>
      </c>
      <c r="AB11" s="101">
        <f t="shared" si="1"/>
        <v>0.21090394688312908</v>
      </c>
      <c r="AC11" s="1"/>
      <c r="AD11" s="1"/>
      <c r="AE11" s="102">
        <v>0.17356595607433856</v>
      </c>
      <c r="AF11" s="103" t="e">
        <f t="shared" si="0"/>
        <v>#N/A</v>
      </c>
      <c r="AG11" s="102">
        <v>0.16353765076112814</v>
      </c>
      <c r="AH11" s="103">
        <f t="shared" si="0"/>
        <v>-2.2224836475605247E-2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5">
      <c r="A12" s="284"/>
      <c r="B12" s="285"/>
      <c r="C12" s="9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1"/>
      <c r="AD12" s="1"/>
      <c r="AE12" s="88"/>
      <c r="AF12" s="89" t="str">
        <f t="shared" si="0"/>
        <v/>
      </c>
      <c r="AG12" s="88"/>
      <c r="AH12" s="89" t="str">
        <f t="shared" si="0"/>
        <v/>
      </c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80"/>
      <c r="B13" s="104" t="s">
        <v>169</v>
      </c>
      <c r="C13" s="105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"/>
      <c r="AD13" s="1"/>
      <c r="AE13" s="88"/>
      <c r="AF13" s="89" t="str">
        <f t="shared" si="0"/>
        <v/>
      </c>
      <c r="AG13" s="88"/>
      <c r="AH13" s="89" t="str">
        <f t="shared" si="0"/>
        <v/>
      </c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80"/>
      <c r="B14" s="90" t="s">
        <v>154</v>
      </c>
      <c r="C14" s="9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1"/>
      <c r="AD14" s="1"/>
      <c r="AE14" s="88"/>
      <c r="AF14" s="89" t="str">
        <f t="shared" si="0"/>
        <v/>
      </c>
      <c r="AG14" s="88"/>
      <c r="AH14" s="89" t="str">
        <f t="shared" si="0"/>
        <v/>
      </c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5">
      <c r="A15" s="80" t="s">
        <v>156</v>
      </c>
      <c r="B15" s="92" t="s">
        <v>157</v>
      </c>
      <c r="C15" s="93" t="s">
        <v>75</v>
      </c>
      <c r="D15" s="51" t="s">
        <v>158</v>
      </c>
      <c r="E15" s="51"/>
      <c r="F15" s="51"/>
      <c r="G15" s="51"/>
      <c r="H15" s="51"/>
      <c r="I15" s="51"/>
      <c r="J15" s="51"/>
      <c r="K15" s="49">
        <v>58.1</v>
      </c>
      <c r="L15" s="49">
        <v>81.5</v>
      </c>
      <c r="M15" s="49">
        <v>106.2</v>
      </c>
      <c r="N15" s="49">
        <v>151.1</v>
      </c>
      <c r="O15" s="49">
        <v>216.8</v>
      </c>
      <c r="P15" s="251">
        <v>316.2</v>
      </c>
      <c r="Q15" s="252">
        <f>Q6</f>
        <v>407.4</v>
      </c>
      <c r="R15" s="252">
        <f>R6</f>
        <v>499.72500000000002</v>
      </c>
      <c r="S15" s="49"/>
      <c r="T15" s="49"/>
      <c r="U15" s="49"/>
      <c r="V15" s="94"/>
      <c r="W15" s="94"/>
      <c r="X15" s="94"/>
      <c r="Y15" s="94"/>
      <c r="Z15" s="94"/>
      <c r="AA15" s="94"/>
      <c r="AB15" s="94"/>
      <c r="AC15" s="1"/>
      <c r="AD15" s="1"/>
      <c r="AE15" s="95"/>
      <c r="AF15" s="96" t="str">
        <f t="shared" si="0"/>
        <v/>
      </c>
      <c r="AG15" s="95"/>
      <c r="AH15" s="96" t="str">
        <f t="shared" si="0"/>
        <v/>
      </c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5">
      <c r="A16" s="80"/>
      <c r="B16" s="107" t="s">
        <v>170</v>
      </c>
      <c r="C16" s="93" t="s">
        <v>75</v>
      </c>
      <c r="D16" s="2"/>
      <c r="E16" s="2"/>
      <c r="F16" s="2"/>
      <c r="G16" s="2"/>
      <c r="H16" s="2"/>
      <c r="I16" s="2"/>
      <c r="J16" s="2"/>
      <c r="K16" s="2"/>
      <c r="L16" s="2">
        <v>39.5</v>
      </c>
      <c r="M16" s="2">
        <v>38.5</v>
      </c>
      <c r="N16" s="2">
        <v>39.1</v>
      </c>
      <c r="O16" s="2">
        <v>40.299999999999997</v>
      </c>
      <c r="P16" s="252">
        <f>O22/1.6</f>
        <v>45.4375</v>
      </c>
      <c r="Q16" s="252">
        <f>P22/1.6</f>
        <v>45.75</v>
      </c>
      <c r="R16" s="252">
        <f>Q22/1.6</f>
        <v>50.3125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1"/>
      <c r="AD16" s="1"/>
      <c r="AE16" s="88"/>
      <c r="AF16" s="89" t="str">
        <f t="shared" si="0"/>
        <v/>
      </c>
      <c r="AG16" s="88"/>
      <c r="AH16" s="89" t="str">
        <f t="shared" si="0"/>
        <v/>
      </c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5">
      <c r="A17" s="80"/>
      <c r="B17" s="107" t="s">
        <v>171</v>
      </c>
      <c r="C17" s="93"/>
      <c r="D17" s="2"/>
      <c r="E17" s="2"/>
      <c r="F17" s="2"/>
      <c r="G17" s="2"/>
      <c r="H17" s="2"/>
      <c r="I17" s="2"/>
      <c r="J17" s="2"/>
      <c r="K17" s="2"/>
      <c r="L17" s="2">
        <v>4.3</v>
      </c>
      <c r="M17" s="2">
        <v>-2.4</v>
      </c>
      <c r="N17" s="2">
        <v>23.1</v>
      </c>
      <c r="O17" s="2">
        <v>8.8000000000000007</v>
      </c>
      <c r="P17" s="252">
        <v>32.200000000000003</v>
      </c>
      <c r="Q17" s="252">
        <f>-(Q7-P7)</f>
        <v>19.2</v>
      </c>
      <c r="R17" s="252">
        <f>-(R7-Q7)</f>
        <v>10.589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1"/>
      <c r="AD17" s="1"/>
      <c r="AE17" s="88"/>
      <c r="AF17" s="89" t="str">
        <f t="shared" si="0"/>
        <v/>
      </c>
      <c r="AG17" s="88"/>
      <c r="AH17" s="89" t="str">
        <f t="shared" si="0"/>
        <v/>
      </c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5">
      <c r="A18" s="80"/>
      <c r="B18" s="107" t="s">
        <v>172</v>
      </c>
      <c r="C18" s="93" t="s">
        <v>75</v>
      </c>
      <c r="D18" s="2"/>
      <c r="E18" s="2"/>
      <c r="F18" s="2"/>
      <c r="G18" s="2"/>
      <c r="H18" s="2"/>
      <c r="I18" s="2"/>
      <c r="J18" s="2"/>
      <c r="K18" s="2"/>
      <c r="L18" s="2">
        <v>-20.399999999999999</v>
      </c>
      <c r="M18" s="2">
        <v>-11.4</v>
      </c>
      <c r="N18" s="2">
        <v>-17.3</v>
      </c>
      <c r="O18" s="2">
        <v>16.600000000000001</v>
      </c>
      <c r="P18" s="252">
        <v>21.8</v>
      </c>
      <c r="Q18" s="252">
        <f>Q15-P15-Q16-Q17</f>
        <v>26.249999999999989</v>
      </c>
      <c r="R18" s="252">
        <f>R15-Q15-R16-R17</f>
        <v>31.423500000000047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1"/>
      <c r="AD18" s="1"/>
      <c r="AE18" s="88"/>
      <c r="AF18" s="89" t="str">
        <f t="shared" si="0"/>
        <v/>
      </c>
      <c r="AG18" s="88"/>
      <c r="AH18" s="89" t="str">
        <f t="shared" si="0"/>
        <v/>
      </c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5">
      <c r="A19" s="80"/>
      <c r="B19" s="107" t="s">
        <v>173</v>
      </c>
      <c r="C19" s="93" t="s">
        <v>6</v>
      </c>
      <c r="D19" s="2"/>
      <c r="E19" s="2"/>
      <c r="F19" s="2"/>
      <c r="G19" s="2"/>
      <c r="H19" s="2"/>
      <c r="I19" s="2"/>
      <c r="J19" s="2"/>
      <c r="K19" s="2"/>
      <c r="L19" s="2"/>
      <c r="M19" s="66">
        <v>-0.14000000000000001</v>
      </c>
      <c r="N19" s="66">
        <v>-0.16</v>
      </c>
      <c r="O19" s="66">
        <v>0.11</v>
      </c>
      <c r="P19" s="66">
        <v>0.1</v>
      </c>
      <c r="Q19" s="66">
        <v>0.08</v>
      </c>
      <c r="R19" s="66">
        <v>0.08</v>
      </c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"/>
      <c r="AD19" s="1"/>
      <c r="AE19" s="88"/>
      <c r="AF19" s="89" t="str">
        <f t="shared" si="0"/>
        <v/>
      </c>
      <c r="AG19" s="88"/>
      <c r="AH19" s="89" t="str">
        <f t="shared" si="0"/>
        <v/>
      </c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5">
      <c r="A20" s="284"/>
      <c r="B20" s="285"/>
      <c r="C20" s="9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1"/>
      <c r="AD20" s="1"/>
      <c r="AE20" s="88"/>
      <c r="AF20" s="89" t="str">
        <f t="shared" si="0"/>
        <v/>
      </c>
      <c r="AG20" s="88"/>
      <c r="AH20" s="89" t="str">
        <f t="shared" si="0"/>
        <v/>
      </c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5">
      <c r="A21" s="80"/>
      <c r="B21" s="92" t="s">
        <v>174</v>
      </c>
      <c r="C21" s="93" t="s">
        <v>75</v>
      </c>
      <c r="D21" s="2"/>
      <c r="E21" s="2"/>
      <c r="F21" s="2"/>
      <c r="G21" s="2"/>
      <c r="H21" s="2"/>
      <c r="I21" s="2"/>
      <c r="J21" s="2"/>
      <c r="K21" s="49">
        <v>131.69999999999999</v>
      </c>
      <c r="L21" s="49">
        <v>141.9</v>
      </c>
      <c r="M21" s="49">
        <v>129.6</v>
      </c>
      <c r="N21" s="49">
        <v>95.7</v>
      </c>
      <c r="O21" s="49">
        <v>78.8</v>
      </c>
      <c r="P21" s="49">
        <v>40</v>
      </c>
      <c r="Q21" s="252">
        <f>Q7+Q9</f>
        <v>18.600000000000001</v>
      </c>
      <c r="R21" s="252">
        <f>R7+R9</f>
        <v>7.2110000000000003</v>
      </c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1"/>
      <c r="AD21" s="1"/>
      <c r="AE21" s="88"/>
      <c r="AF21" s="89" t="str">
        <f t="shared" si="0"/>
        <v/>
      </c>
      <c r="AG21" s="88"/>
      <c r="AH21" s="89" t="str">
        <f t="shared" si="0"/>
        <v/>
      </c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5">
      <c r="A22" s="80" t="s">
        <v>161</v>
      </c>
      <c r="B22" s="92" t="s">
        <v>162</v>
      </c>
      <c r="C22" s="93" t="s">
        <v>75</v>
      </c>
      <c r="D22" s="51" t="s">
        <v>158</v>
      </c>
      <c r="E22" s="51"/>
      <c r="F22" s="51"/>
      <c r="G22" s="51"/>
      <c r="H22" s="51"/>
      <c r="I22" s="51"/>
      <c r="J22" s="51"/>
      <c r="K22" s="49">
        <v>63.2</v>
      </c>
      <c r="L22" s="49">
        <v>61.6</v>
      </c>
      <c r="M22" s="49">
        <v>62.5</v>
      </c>
      <c r="N22" s="49">
        <v>64.5</v>
      </c>
      <c r="O22" s="49">
        <v>72.7</v>
      </c>
      <c r="P22" s="49">
        <v>73.2</v>
      </c>
      <c r="Q22" s="252">
        <f>Q8</f>
        <v>80.5</v>
      </c>
      <c r="R22" s="252">
        <f>R8</f>
        <v>91.566000000000003</v>
      </c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1"/>
      <c r="AD22" s="1"/>
      <c r="AE22" s="95"/>
      <c r="AF22" s="96" t="str">
        <f t="shared" si="0"/>
        <v/>
      </c>
      <c r="AG22" s="95"/>
      <c r="AH22" s="96" t="str">
        <f t="shared" si="0"/>
        <v/>
      </c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5">
      <c r="A23" s="80"/>
      <c r="B23" s="109" t="s">
        <v>167</v>
      </c>
      <c r="C23" s="110" t="s">
        <v>168</v>
      </c>
      <c r="D23" s="111"/>
      <c r="E23" s="111"/>
      <c r="F23" s="111"/>
      <c r="G23" s="111"/>
      <c r="H23" s="111"/>
      <c r="I23" s="111"/>
      <c r="J23" s="111"/>
      <c r="K23" s="111" t="e">
        <v>#DIV/0!</v>
      </c>
      <c r="L23" s="112">
        <v>-2.5000000000000001E-2</v>
      </c>
      <c r="M23" s="112">
        <v>1.4E-2</v>
      </c>
      <c r="N23" s="112">
        <v>3.2000000000000001E-2</v>
      </c>
      <c r="O23" s="112">
        <v>0.127</v>
      </c>
      <c r="P23" s="112">
        <v>7.0000000000000001E-3</v>
      </c>
      <c r="Q23" s="112">
        <f>Q22/P22-1</f>
        <v>9.9726775956284097E-2</v>
      </c>
      <c r="R23" s="112">
        <f>R22/Q22-1</f>
        <v>0.13746583850931682</v>
      </c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"/>
      <c r="AD23" s="1"/>
      <c r="AE23" s="102"/>
      <c r="AF23" s="103" t="str">
        <f t="shared" si="0"/>
        <v/>
      </c>
      <c r="AG23" s="102"/>
      <c r="AH23" s="103" t="str">
        <f t="shared" si="0"/>
        <v/>
      </c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5">
      <c r="A24" s="80"/>
      <c r="B24" s="92" t="s">
        <v>175</v>
      </c>
      <c r="C24" s="93" t="s">
        <v>75</v>
      </c>
      <c r="D24" s="2"/>
      <c r="E24" s="2"/>
      <c r="F24" s="2"/>
      <c r="G24" s="2"/>
      <c r="H24" s="2"/>
      <c r="I24" s="2"/>
      <c r="J24" s="2"/>
      <c r="K24" s="49">
        <v>253</v>
      </c>
      <c r="L24" s="49">
        <v>285</v>
      </c>
      <c r="M24" s="49">
        <v>298.3</v>
      </c>
      <c r="N24" s="49">
        <v>311.3</v>
      </c>
      <c r="O24" s="49">
        <v>368.2</v>
      </c>
      <c r="P24" s="49">
        <v>429.4</v>
      </c>
      <c r="Q24" s="49">
        <f>Q10</f>
        <v>506.5</v>
      </c>
      <c r="R24" s="49">
        <f>R10</f>
        <v>598.50200000000007</v>
      </c>
      <c r="S24" s="49"/>
      <c r="T24" s="49"/>
      <c r="U24" s="49"/>
      <c r="V24" s="94"/>
      <c r="W24" s="94"/>
      <c r="X24" s="94"/>
      <c r="Y24" s="94"/>
      <c r="Z24" s="94"/>
      <c r="AA24" s="94"/>
      <c r="AB24" s="94"/>
      <c r="AC24" s="1"/>
      <c r="AD24" s="1"/>
      <c r="AE24" s="88"/>
      <c r="AF24" s="89" t="str">
        <f t="shared" si="0"/>
        <v/>
      </c>
      <c r="AG24" s="88"/>
      <c r="AH24" s="89" t="str">
        <f t="shared" si="0"/>
        <v/>
      </c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5">
      <c r="A25" s="284"/>
      <c r="B25" s="285"/>
      <c r="C25" s="93"/>
      <c r="D25" s="2"/>
      <c r="E25" s="2"/>
      <c r="F25" s="2"/>
      <c r="G25" s="2"/>
      <c r="H25" s="2"/>
      <c r="I25" s="2"/>
      <c r="J25" s="2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1"/>
      <c r="AD25" s="1"/>
      <c r="AE25" s="88"/>
      <c r="AF25" s="89" t="str">
        <f t="shared" si="0"/>
        <v/>
      </c>
      <c r="AG25" s="88"/>
      <c r="AH25" s="89" t="str">
        <f t="shared" si="0"/>
        <v/>
      </c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5">
      <c r="A26" s="80" t="s">
        <v>176</v>
      </c>
      <c r="B26" s="92" t="s">
        <v>177</v>
      </c>
      <c r="C26" s="93" t="s">
        <v>75</v>
      </c>
      <c r="D26" s="49"/>
      <c r="E26" s="51"/>
      <c r="F26" s="51"/>
      <c r="G26" s="51"/>
      <c r="H26" s="51"/>
      <c r="I26" s="51"/>
      <c r="J26" s="51"/>
      <c r="K26" s="51">
        <v>0.8</v>
      </c>
      <c r="L26" s="51">
        <v>0.6</v>
      </c>
      <c r="M26" s="51">
        <v>0.4</v>
      </c>
      <c r="N26" s="51">
        <v>0.5</v>
      </c>
      <c r="O26" s="51">
        <v>0.7</v>
      </c>
      <c r="P26" s="51">
        <v>7.8</v>
      </c>
      <c r="Q26" s="51">
        <v>8.9</v>
      </c>
      <c r="R26" s="51">
        <v>11.526</v>
      </c>
      <c r="S26" s="49">
        <f>INDEX(Segment!$A:$AR,MATCH(Annual!$A26,Segment!$A:$A,0),MATCH("1H"&amp;RIGHT(Annual!S$1,2),Segment!$A$3:$AR$3,0))+INDEX(Segment!$A:$AR,MATCH(Annual!$A26,Segment!$A:$A,0),MATCH("2H"&amp;RIGHT(Annual!S$1,2),Segment!$A$3:$AR$3,0))</f>
        <v>11.526</v>
      </c>
      <c r="T26" s="49">
        <f>INDEX(Segment!$A:$AR,MATCH(Annual!$A26,Segment!$A:$A,0),MATCH("1H"&amp;RIGHT(Annual!T$1,2),Segment!$A$3:$AR$3,0))+INDEX(Segment!$A:$AR,MATCH(Annual!$A26,Segment!$A:$A,0),MATCH("2H"&amp;RIGHT(Annual!T$1,2),Segment!$A$3:$AR$3,0))</f>
        <v>11.526</v>
      </c>
      <c r="U26" s="49">
        <f>INDEX(Segment!$A:$AR,MATCH(Annual!$A26,Segment!$A:$A,0),MATCH("1H"&amp;RIGHT(Annual!U$1,2),Segment!$A$3:$AR$3,0))+INDEX(Segment!$A:$AR,MATCH(Annual!$A26,Segment!$A:$A,0),MATCH("2H"&amp;RIGHT(Annual!U$1,2),Segment!$A$3:$AR$3,0))</f>
        <v>11.526</v>
      </c>
      <c r="V26" s="49">
        <f>INDEX(Segment!$A:$AR,MATCH(Annual!$A26,Segment!$A:$A,0),MATCH("1H"&amp;RIGHT(Annual!V$1,2),Segment!$A$3:$AR$3,0))+INDEX(Segment!$A:$AR,MATCH(Annual!$A26,Segment!$A:$A,0),MATCH("2H"&amp;RIGHT(Annual!V$1,2),Segment!$A$3:$AR$3,0))</f>
        <v>11.526</v>
      </c>
      <c r="W26" s="49">
        <f>INDEX(Segment!$A:$AR,MATCH(Annual!$A26,Segment!$A:$A,0),MATCH("1H"&amp;RIGHT(Annual!W$1,2),Segment!$A$3:$AR$3,0))+INDEX(Segment!$A:$AR,MATCH(Annual!$A26,Segment!$A:$A,0),MATCH("2H"&amp;RIGHT(Annual!W$1,2),Segment!$A$3:$AR$3,0))</f>
        <v>11.526</v>
      </c>
      <c r="X26" s="49">
        <f>INDEX(Segment!$A:$AR,MATCH(Annual!$A26,Segment!$A:$A,0),MATCH("1H"&amp;RIGHT(Annual!X$1,2),Segment!$A$3:$AR$3,0))+INDEX(Segment!$A:$AR,MATCH(Annual!$A26,Segment!$A:$A,0),MATCH("2H"&amp;RIGHT(Annual!X$1,2),Segment!$A$3:$AR$3,0))</f>
        <v>11.526</v>
      </c>
      <c r="Y26" s="49">
        <f>INDEX(Segment!$A:$AR,MATCH(Annual!$A26,Segment!$A:$A,0),MATCH("1H"&amp;RIGHT(Annual!Y$1,2),Segment!$A$3:$AR$3,0))+INDEX(Segment!$A:$AR,MATCH(Annual!$A26,Segment!$A:$A,0),MATCH("2H"&amp;RIGHT(Annual!Y$1,2),Segment!$A$3:$AR$3,0))</f>
        <v>11.526</v>
      </c>
      <c r="Z26" s="49">
        <f>INDEX(Segment!$A:$AR,MATCH(Annual!$A26,Segment!$A:$A,0),MATCH("1H"&amp;RIGHT(Annual!Z$1,2),Segment!$A$3:$AR$3,0))+INDEX(Segment!$A:$AR,MATCH(Annual!$A26,Segment!$A:$A,0),MATCH("2H"&amp;RIGHT(Annual!Z$1,2),Segment!$A$3:$AR$3,0))</f>
        <v>11.526</v>
      </c>
      <c r="AA26" s="49">
        <f>INDEX(Segment!$A:$AR,MATCH(Annual!$A26,Segment!$A:$A,0),MATCH("1H"&amp;RIGHT(Annual!AA$1,2),Segment!$A$3:$AR$3,0))+INDEX(Segment!$A:$AR,MATCH(Annual!$A26,Segment!$A:$A,0),MATCH("2H"&amp;RIGHT(Annual!AA$1,2),Segment!$A$3:$AR$3,0))</f>
        <v>11.526</v>
      </c>
      <c r="AB26" s="49">
        <f>INDEX(Segment!$A:$AR,MATCH(Annual!$A26,Segment!$A:$A,0),MATCH("1H"&amp;RIGHT(Annual!AB$1,2),Segment!$A$3:$AR$3,0))+INDEX(Segment!$A:$AR,MATCH(Annual!$A26,Segment!$A:$A,0),MATCH("2H"&amp;RIGHT(Annual!AB$1,2),Segment!$A$3:$AR$3,0))</f>
        <v>11.526</v>
      </c>
      <c r="AC26" s="1"/>
      <c r="AD26" s="1"/>
      <c r="AE26" s="95">
        <v>10.6</v>
      </c>
      <c r="AF26" s="96" t="e">
        <f t="shared" si="0"/>
        <v>#N/A</v>
      </c>
      <c r="AG26" s="95">
        <v>10.6</v>
      </c>
      <c r="AH26" s="96">
        <f t="shared" si="0"/>
        <v>0.92600000000000016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5">
      <c r="A27" s="80" t="s">
        <v>47</v>
      </c>
      <c r="B27" s="97" t="s">
        <v>178</v>
      </c>
      <c r="C27" s="5" t="s">
        <v>75</v>
      </c>
      <c r="D27" s="98" t="s">
        <v>179</v>
      </c>
      <c r="E27" s="114">
        <v>169.1</v>
      </c>
      <c r="F27" s="114">
        <v>180.6</v>
      </c>
      <c r="G27" s="114">
        <v>195.1</v>
      </c>
      <c r="H27" s="114">
        <v>218.7</v>
      </c>
      <c r="I27" s="114">
        <v>249</v>
      </c>
      <c r="J27" s="114">
        <v>273.3</v>
      </c>
      <c r="K27" s="98">
        <v>253.8</v>
      </c>
      <c r="L27" s="98">
        <v>285.60000000000002</v>
      </c>
      <c r="M27" s="98">
        <v>298.7</v>
      </c>
      <c r="N27" s="98">
        <v>311.8</v>
      </c>
      <c r="O27" s="98">
        <v>369</v>
      </c>
      <c r="P27" s="98">
        <v>437.2</v>
      </c>
      <c r="Q27" s="98">
        <f>Q10+Q26</f>
        <v>515.4</v>
      </c>
      <c r="R27" s="255">
        <f>R10+R26</f>
        <v>610.02800000000002</v>
      </c>
      <c r="S27" s="267">
        <f t="shared" ref="S27:AB27" si="2">S10+S26</f>
        <v>694.60400197551405</v>
      </c>
      <c r="T27" s="267">
        <f t="shared" si="2"/>
        <v>798.24445575769994</v>
      </c>
      <c r="U27" s="267">
        <f t="shared" si="2"/>
        <v>936.79645020788871</v>
      </c>
      <c r="V27" s="267">
        <f t="shared" si="2"/>
        <v>1111.9885981060993</v>
      </c>
      <c r="W27" s="267">
        <f t="shared" si="2"/>
        <v>1323.4433408254222</v>
      </c>
      <c r="X27" s="267">
        <f t="shared" si="2"/>
        <v>1581.7368934463864</v>
      </c>
      <c r="Y27" s="267">
        <f t="shared" si="2"/>
        <v>1897.3816778839846</v>
      </c>
      <c r="Z27" s="267">
        <f t="shared" si="2"/>
        <v>2283.3688288487465</v>
      </c>
      <c r="AA27" s="267">
        <f t="shared" si="2"/>
        <v>2755.7794232821611</v>
      </c>
      <c r="AB27" s="267">
        <f t="shared" si="2"/>
        <v>3334.5533014999073</v>
      </c>
      <c r="AC27" s="1"/>
      <c r="AD27" s="1"/>
      <c r="AE27" s="99">
        <v>605.01115675165249</v>
      </c>
      <c r="AF27" s="100" t="e">
        <f t="shared" si="0"/>
        <v>#N/A</v>
      </c>
      <c r="AG27" s="99">
        <v>702.21976091302247</v>
      </c>
      <c r="AH27" s="100">
        <f t="shared" si="0"/>
        <v>-7.6157589375084171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5">
      <c r="A28" s="80"/>
      <c r="B28" s="92" t="s">
        <v>167</v>
      </c>
      <c r="C28" s="93" t="s">
        <v>168</v>
      </c>
      <c r="D28" s="2"/>
      <c r="E28" s="2"/>
      <c r="F28" s="101">
        <v>6.8000000000000005E-2</v>
      </c>
      <c r="G28" s="101">
        <v>0.08</v>
      </c>
      <c r="H28" s="101">
        <v>0.121</v>
      </c>
      <c r="I28" s="101">
        <v>0.13900000000000001</v>
      </c>
      <c r="J28" s="101">
        <v>9.7000000000000003E-2</v>
      </c>
      <c r="K28" s="101">
        <v>-7.0999999999999994E-2</v>
      </c>
      <c r="L28" s="101">
        <v>0.126</v>
      </c>
      <c r="M28" s="101">
        <v>4.5999999999999999E-2</v>
      </c>
      <c r="N28" s="101">
        <v>4.3999999999999997E-2</v>
      </c>
      <c r="O28" s="101">
        <v>0.183</v>
      </c>
      <c r="P28" s="101">
        <v>0.185</v>
      </c>
      <c r="Q28" s="253">
        <f>Q27/P27-1</f>
        <v>0.17886550777676113</v>
      </c>
      <c r="R28" s="253">
        <f>R27/Q27-1</f>
        <v>0.1836010865347304</v>
      </c>
      <c r="S28" s="253">
        <f t="shared" ref="R28:AB28" si="3">S27/R27-1</f>
        <v>0.13864281963371194</v>
      </c>
      <c r="T28" s="253">
        <f t="shared" si="3"/>
        <v>0.14920797099847305</v>
      </c>
      <c r="U28" s="253">
        <f t="shared" si="3"/>
        <v>0.17357088226647832</v>
      </c>
      <c r="V28" s="253">
        <f t="shared" si="3"/>
        <v>0.18701196813815102</v>
      </c>
      <c r="W28" s="253">
        <f t="shared" si="3"/>
        <v>0.19015909252978425</v>
      </c>
      <c r="X28" s="253">
        <f t="shared" si="3"/>
        <v>0.19516782067894822</v>
      </c>
      <c r="Y28" s="253">
        <f t="shared" si="3"/>
        <v>0.19955580839355136</v>
      </c>
      <c r="Z28" s="253">
        <f t="shared" si="3"/>
        <v>0.20343147373238368</v>
      </c>
      <c r="AA28" s="253">
        <f t="shared" si="3"/>
        <v>0.20689193461207034</v>
      </c>
      <c r="AB28" s="253">
        <f t="shared" si="3"/>
        <v>0.21002184475578267</v>
      </c>
      <c r="AC28" s="1"/>
      <c r="AD28" s="1"/>
      <c r="AE28" s="102">
        <v>0.17386720363145614</v>
      </c>
      <c r="AF28" s="103" t="e">
        <f t="shared" si="0"/>
        <v>#N/A</v>
      </c>
      <c r="AG28" s="102">
        <v>0.1606724158332713</v>
      </c>
      <c r="AH28" s="103">
        <f t="shared" si="0"/>
        <v>-2.2029596199559354E-2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5">
      <c r="A29" s="284"/>
      <c r="B29" s="285"/>
      <c r="C29" s="93"/>
      <c r="D29" s="2"/>
      <c r="E29" s="2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2"/>
      <c r="T29" s="2"/>
      <c r="U29" s="2"/>
      <c r="V29" s="2"/>
      <c r="W29" s="2"/>
      <c r="X29" s="2"/>
      <c r="Y29" s="2"/>
      <c r="Z29" s="2"/>
      <c r="AA29" s="2"/>
      <c r="AB29" s="2"/>
      <c r="AC29" s="1"/>
      <c r="AD29" s="1"/>
      <c r="AE29" s="88"/>
      <c r="AF29" s="89" t="str">
        <f t="shared" si="0"/>
        <v/>
      </c>
      <c r="AG29" s="88"/>
      <c r="AH29" s="89" t="str">
        <f t="shared" si="0"/>
        <v/>
      </c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25">
      <c r="A30" s="80"/>
      <c r="B30" s="90" t="s">
        <v>180</v>
      </c>
      <c r="C30" s="9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"/>
      <c r="AD30" s="1"/>
      <c r="AE30" s="88"/>
      <c r="AF30" s="89" t="str">
        <f t="shared" si="0"/>
        <v/>
      </c>
      <c r="AG30" s="88"/>
      <c r="AH30" s="89" t="str">
        <f t="shared" si="0"/>
        <v/>
      </c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25">
      <c r="A31" s="80" t="s">
        <v>181</v>
      </c>
      <c r="B31" s="92" t="s">
        <v>182</v>
      </c>
      <c r="C31" s="93" t="s">
        <v>75</v>
      </c>
      <c r="D31" s="51" t="s">
        <v>158</v>
      </c>
      <c r="E31" s="51"/>
      <c r="F31" s="49"/>
      <c r="G31" s="51"/>
      <c r="H31" s="51"/>
      <c r="I31" s="51"/>
      <c r="J31" s="51"/>
      <c r="K31" s="51">
        <v>-24.5</v>
      </c>
      <c r="L31" s="51">
        <v>-19.7</v>
      </c>
      <c r="M31" s="51">
        <v>-19.100000000000001</v>
      </c>
      <c r="N31" s="51">
        <v>-19.399999999999999</v>
      </c>
      <c r="O31" s="51">
        <v>-20.7</v>
      </c>
      <c r="P31" s="51">
        <v>-21</v>
      </c>
      <c r="Q31" s="254">
        <v>-23.2</v>
      </c>
      <c r="R31" s="254">
        <v>-23.03</v>
      </c>
      <c r="S31" s="251">
        <f>INDEX(Segment!$A:$AR,MATCH(Annual!$A31,Segment!$A:$A,0),MATCH("1H"&amp;RIGHT(Annual!S$1,2),Segment!$A$3:$AR$3,0))+INDEX(Segment!$A:$AR,MATCH(Annual!$A31,Segment!$A:$A,0),MATCH("2H"&amp;RIGHT(Annual!S$1,2),Segment!$A$3:$AR$3,0))</f>
        <v>-26.237176496434195</v>
      </c>
      <c r="T31" s="251">
        <f>INDEX(Segment!$A:$AR,MATCH(Annual!$A31,Segment!$A:$A,0),MATCH("1H"&amp;RIGHT(Annual!T$1,2),Segment!$A$3:$AR$3,0))+INDEX(Segment!$A:$AR,MATCH(Annual!$A31,Segment!$A:$A,0),MATCH("2H"&amp;RIGHT(Annual!T$1,2),Segment!$A$3:$AR$3,0))</f>
        <v>-30.121112885060938</v>
      </c>
      <c r="U31" s="251">
        <f>INDEX(Segment!$A:$AR,MATCH(Annual!$A31,Segment!$A:$A,0),MATCH("1H"&amp;RIGHT(Annual!U$1,2),Segment!$A$3:$AR$3,0))+INDEX(Segment!$A:$AR,MATCH(Annual!$A31,Segment!$A:$A,0),MATCH("2H"&amp;RIGHT(Annual!U$1,2),Segment!$A$3:$AR$3,0))</f>
        <v>-35.296276422048543</v>
      </c>
      <c r="V31" s="251">
        <f>INDEX(Segment!$A:$AR,MATCH(Annual!$A31,Segment!$A:$A,0),MATCH("1H"&amp;RIGHT(Annual!V$1,2),Segment!$A$3:$AR$3,0))+INDEX(Segment!$A:$AR,MATCH(Annual!$A31,Segment!$A:$A,0),MATCH("2H"&amp;RIGHT(Annual!V$1,2),Segment!$A$3:$AR$3,0))</f>
        <v>-41.917711395465517</v>
      </c>
      <c r="W31" s="251">
        <f>INDEX(Segment!$A:$AR,MATCH(Annual!$A31,Segment!$A:$A,0),MATCH("1H"&amp;RIGHT(Annual!W$1,2),Segment!$A$3:$AR$3,0))+INDEX(Segment!$A:$AR,MATCH(Annual!$A31,Segment!$A:$A,0),MATCH("2H"&amp;RIGHT(Annual!W$1,2),Segment!$A$3:$AR$3,0))</f>
        <v>-49.890916314697684</v>
      </c>
      <c r="X31" s="251">
        <f>INDEX(Segment!$A:$AR,MATCH(Annual!$A31,Segment!$A:$A,0),MATCH("1H"&amp;RIGHT(Annual!X$1,2),Segment!$A$3:$AR$3,0))+INDEX(Segment!$A:$AR,MATCH(Annual!$A31,Segment!$A:$A,0),MATCH("2H"&amp;RIGHT(Annual!X$1,2),Segment!$A$3:$AR$3,0))</f>
        <v>-59.630427226117575</v>
      </c>
      <c r="Y31" s="251">
        <f>INDEX(Segment!$A:$AR,MATCH(Annual!$A31,Segment!$A:$A,0),MATCH("1H"&amp;RIGHT(Annual!Y$1,2),Segment!$A$3:$AR$3,0))+INDEX(Segment!$A:$AR,MATCH(Annual!$A31,Segment!$A:$A,0),MATCH("2H"&amp;RIGHT(Annual!Y$1,2),Segment!$A$3:$AR$3,0))</f>
        <v>-71.532779887970491</v>
      </c>
      <c r="Z31" s="251">
        <f>INDEX(Segment!$A:$AR,MATCH(Annual!$A31,Segment!$A:$A,0),MATCH("1H"&amp;RIGHT(Annual!Z$1,2),Segment!$A$3:$AR$3,0))+INDEX(Segment!$A:$AR,MATCH(Annual!$A31,Segment!$A:$A,0),MATCH("2H"&amp;RIGHT(Annual!Z$1,2),Segment!$A$3:$AR$3,0))</f>
        <v>-86.088034019295662</v>
      </c>
      <c r="AA31" s="251">
        <f>INDEX(Segment!$A:$AR,MATCH(Annual!$A31,Segment!$A:$A,0),MATCH("1H"&amp;RIGHT(Annual!AA$1,2),Segment!$A$3:$AR$3,0))+INDEX(Segment!$A:$AR,MATCH(Annual!$A31,Segment!$A:$A,0),MATCH("2H"&amp;RIGHT(Annual!AA$1,2),Segment!$A$3:$AR$3,0))</f>
        <v>-103.90284193561203</v>
      </c>
      <c r="AB31" s="251">
        <f>INDEX(Segment!$A:$AR,MATCH(Annual!$A31,Segment!$A:$A,0),MATCH("1H"&amp;RIGHT(Annual!AB$1,2),Segment!$A$3:$AR$3,0))+INDEX(Segment!$A:$AR,MATCH(Annual!$A31,Segment!$A:$A,0),MATCH("2H"&amp;RIGHT(Annual!AB$1,2),Segment!$A$3:$AR$3,0))</f>
        <v>-125.7294664267136</v>
      </c>
      <c r="AC31" s="1"/>
      <c r="AD31" s="1"/>
      <c r="AE31" s="95">
        <v>-27.106663764387992</v>
      </c>
      <c r="AF31" s="96" t="e">
        <f t="shared" si="0"/>
        <v>#N/A</v>
      </c>
      <c r="AG31" s="95">
        <v>-31.46172904276176</v>
      </c>
      <c r="AH31" s="96">
        <f t="shared" si="0"/>
        <v>5.2245525463275655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25">
      <c r="A32" s="80" t="s">
        <v>183</v>
      </c>
      <c r="B32" s="92" t="s">
        <v>184</v>
      </c>
      <c r="C32" s="93" t="s">
        <v>75</v>
      </c>
      <c r="D32" s="49" t="s">
        <v>158</v>
      </c>
      <c r="E32" s="51"/>
      <c r="F32" s="49"/>
      <c r="G32" s="51"/>
      <c r="H32" s="51"/>
      <c r="I32" s="51"/>
      <c r="J32" s="51"/>
      <c r="K32" s="51">
        <v>-11.9</v>
      </c>
      <c r="L32" s="51">
        <v>-17</v>
      </c>
      <c r="M32" s="51">
        <v>-19.5</v>
      </c>
      <c r="N32" s="51">
        <v>-21.9</v>
      </c>
      <c r="O32" s="51">
        <v>-26.4</v>
      </c>
      <c r="P32" s="51">
        <v>-34.9</v>
      </c>
      <c r="Q32" s="254">
        <v>-38</v>
      </c>
      <c r="R32" s="254">
        <v>-58.91</v>
      </c>
      <c r="S32" s="251">
        <f>INDEX(Segment!$A:$AR,MATCH(Annual!$A32,Segment!$A:$A,0),MATCH("1H"&amp;RIGHT(Annual!S$1,2),Segment!$A$3:$AR$3,0))+INDEX(Segment!$A:$AR,MATCH(Annual!$A32,Segment!$A:$A,0),MATCH("2H"&amp;RIGHT(Annual!S$1,2),Segment!$A$3:$AR$3,0))</f>
        <v>-67.073373748851509</v>
      </c>
      <c r="T32" s="251">
        <f>INDEX(Segment!$A:$AR,MATCH(Annual!$A32,Segment!$A:$A,0),MATCH("1H"&amp;RIGHT(Annual!T$1,2),Segment!$A$3:$AR$3,0))+INDEX(Segment!$A:$AR,MATCH(Annual!$A32,Segment!$A:$A,0),MATCH("2H"&amp;RIGHT(Annual!T$1,2),Segment!$A$3:$AR$3,0))</f>
        <v>-77.090090890659894</v>
      </c>
      <c r="U32" s="251">
        <f>INDEX(Segment!$A:$AR,MATCH(Annual!$A32,Segment!$A:$A,0),MATCH("1H"&amp;RIGHT(Annual!U$1,2),Segment!$A$3:$AR$3,0))+INDEX(Segment!$A:$AR,MATCH(Annual!$A32,Segment!$A:$A,0),MATCH("2H"&amp;RIGHT(Annual!U$1,2),Segment!$A$3:$AR$3,0))</f>
        <v>-90.485855587414804</v>
      </c>
      <c r="V32" s="251">
        <f>INDEX(Segment!$A:$AR,MATCH(Annual!$A32,Segment!$A:$A,0),MATCH("1H"&amp;RIGHT(Annual!V$1,2),Segment!$A$3:$AR$3,0))+INDEX(Segment!$A:$AR,MATCH(Annual!$A32,Segment!$A:$A,0),MATCH("2H"&amp;RIGHT(Annual!V$1,2),Segment!$A$3:$AR$3,0))</f>
        <v>-107.40189317029115</v>
      </c>
      <c r="W32" s="251">
        <f>INDEX(Segment!$A:$AR,MATCH(Annual!$A32,Segment!$A:$A,0),MATCH("1H"&amp;RIGHT(Annual!W$1,2),Segment!$A$3:$AR$3,0))+INDEX(Segment!$A:$AR,MATCH(Annual!$A32,Segment!$A:$A,0),MATCH("2H"&amp;RIGHT(Annual!W$1,2),Segment!$A$3:$AR$3,0))</f>
        <v>-127.82471816114156</v>
      </c>
      <c r="X32" s="251">
        <f>INDEX(Segment!$A:$AR,MATCH(Annual!$A32,Segment!$A:$A,0),MATCH("1H"&amp;RIGHT(Annual!X$1,2),Segment!$A$3:$AR$3,0))+INDEX(Segment!$A:$AR,MATCH(Annual!$A32,Segment!$A:$A,0),MATCH("2H"&amp;RIGHT(Annual!X$1,2),Segment!$A$3:$AR$3,0))</f>
        <v>-152.77129998770414</v>
      </c>
      <c r="Y32" s="251">
        <f>INDEX(Segment!$A:$AR,MATCH(Annual!$A32,Segment!$A:$A,0),MATCH("1H"&amp;RIGHT(Annual!Y$1,2),Segment!$A$3:$AR$3,0))+INDEX(Segment!$A:$AR,MATCH(Annual!$A32,Segment!$A:$A,0),MATCH("2H"&amp;RIGHT(Annual!Y$1,2),Segment!$A$3:$AR$3,0))</f>
        <v>-183.25691162187277</v>
      </c>
      <c r="Z32" s="251">
        <f>INDEX(Segment!$A:$AR,MATCH(Annual!$A32,Segment!$A:$A,0),MATCH("1H"&amp;RIGHT(Annual!Z$1,2),Segment!$A$3:$AR$3,0))+INDEX(Segment!$A:$AR,MATCH(Annual!$A32,Segment!$A:$A,0),MATCH("2H"&amp;RIGHT(Annual!Z$1,2),Segment!$A$3:$AR$3,0))</f>
        <v>-220.53620895173043</v>
      </c>
      <c r="AA32" s="251">
        <f>INDEX(Segment!$A:$AR,MATCH(Annual!$A32,Segment!$A:$A,0),MATCH("1H"&amp;RIGHT(Annual!AA$1,2),Segment!$A$3:$AR$3,0))+INDEX(Segment!$A:$AR,MATCH(Annual!$A32,Segment!$A:$A,0),MATCH("2H"&amp;RIGHT(Annual!AA$1,2),Segment!$A$3:$AR$3,0))</f>
        <v>-266.16225872770815</v>
      </c>
      <c r="AB32" s="251">
        <f>INDEX(Segment!$A:$AR,MATCH(Annual!$A32,Segment!$A:$A,0),MATCH("1H"&amp;RIGHT(Annual!AB$1,2),Segment!$A$3:$AR$3,0))+INDEX(Segment!$A:$AR,MATCH(Annual!$A32,Segment!$A:$A,0),MATCH("2H"&amp;RIGHT(Annual!AB$1,2),Segment!$A$3:$AR$3,0))</f>
        <v>-322.06078509791882</v>
      </c>
      <c r="AC32" s="1"/>
      <c r="AD32" s="1"/>
      <c r="AE32" s="95">
        <v>-45.346885164297923</v>
      </c>
      <c r="AF32" s="96" t="e">
        <f t="shared" si="0"/>
        <v>#N/A</v>
      </c>
      <c r="AG32" s="95">
        <v>-52.624196332700762</v>
      </c>
      <c r="AH32" s="96">
        <f t="shared" si="0"/>
        <v>-14.449177416150746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25">
      <c r="A33" s="80" t="s">
        <v>185</v>
      </c>
      <c r="B33" s="92" t="s">
        <v>186</v>
      </c>
      <c r="C33" s="93" t="s">
        <v>75</v>
      </c>
      <c r="D33" s="49"/>
      <c r="E33" s="51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51"/>
      <c r="Q33" s="51"/>
      <c r="R33" s="51"/>
      <c r="S33" s="251">
        <f>INDEX(Segment!$A:$AR,MATCH(Annual!$A33,Segment!$A:$A,0),MATCH("1H"&amp;RIGHT(Annual!S$1,2),Segment!$A$3:$AR$3,0))+INDEX(Segment!$A:$AR,MATCH(Annual!$A33,Segment!$A:$A,0),MATCH("2H"&amp;RIGHT(Annual!S$1,2),Segment!$A$3:$AR$3,0))</f>
        <v>0</v>
      </c>
      <c r="T33" s="251">
        <f>INDEX(Segment!$A:$AR,MATCH(Annual!$A33,Segment!$A:$A,0),MATCH("1H"&amp;RIGHT(Annual!T$1,2),Segment!$A$3:$AR$3,0))+INDEX(Segment!$A:$AR,MATCH(Annual!$A33,Segment!$A:$A,0),MATCH("2H"&amp;RIGHT(Annual!T$1,2),Segment!$A$3:$AR$3,0))</f>
        <v>0</v>
      </c>
      <c r="U33" s="251">
        <f>INDEX(Segment!$A:$AR,MATCH(Annual!$A33,Segment!$A:$A,0),MATCH("1H"&amp;RIGHT(Annual!U$1,2),Segment!$A$3:$AR$3,0))+INDEX(Segment!$A:$AR,MATCH(Annual!$A33,Segment!$A:$A,0),MATCH("2H"&amp;RIGHT(Annual!U$1,2),Segment!$A$3:$AR$3,0))</f>
        <v>0</v>
      </c>
      <c r="V33" s="251">
        <f>INDEX(Segment!$A:$AR,MATCH(Annual!$A33,Segment!$A:$A,0),MATCH("1H"&amp;RIGHT(Annual!V$1,2),Segment!$A$3:$AR$3,0))+INDEX(Segment!$A:$AR,MATCH(Annual!$A33,Segment!$A:$A,0),MATCH("2H"&amp;RIGHT(Annual!V$1,2),Segment!$A$3:$AR$3,0))</f>
        <v>0</v>
      </c>
      <c r="W33" s="251">
        <f>INDEX(Segment!$A:$AR,MATCH(Annual!$A33,Segment!$A:$A,0),MATCH("1H"&amp;RIGHT(Annual!W$1,2),Segment!$A$3:$AR$3,0))+INDEX(Segment!$A:$AR,MATCH(Annual!$A33,Segment!$A:$A,0),MATCH("2H"&amp;RIGHT(Annual!W$1,2),Segment!$A$3:$AR$3,0))</f>
        <v>0</v>
      </c>
      <c r="X33" s="251">
        <f>INDEX(Segment!$A:$AR,MATCH(Annual!$A33,Segment!$A:$A,0),MATCH("1H"&amp;RIGHT(Annual!X$1,2),Segment!$A$3:$AR$3,0))+INDEX(Segment!$A:$AR,MATCH(Annual!$A33,Segment!$A:$A,0),MATCH("2H"&amp;RIGHT(Annual!X$1,2),Segment!$A$3:$AR$3,0))</f>
        <v>0</v>
      </c>
      <c r="Y33" s="251">
        <f>INDEX(Segment!$A:$AR,MATCH(Annual!$A33,Segment!$A:$A,0),MATCH("1H"&amp;RIGHT(Annual!Y$1,2),Segment!$A$3:$AR$3,0))+INDEX(Segment!$A:$AR,MATCH(Annual!$A33,Segment!$A:$A,0),MATCH("2H"&amp;RIGHT(Annual!Y$1,2),Segment!$A$3:$AR$3,0))</f>
        <v>0</v>
      </c>
      <c r="Z33" s="251">
        <f>INDEX(Segment!$A:$AR,MATCH(Annual!$A33,Segment!$A:$A,0),MATCH("1H"&amp;RIGHT(Annual!Z$1,2),Segment!$A$3:$AR$3,0))+INDEX(Segment!$A:$AR,MATCH(Annual!$A33,Segment!$A:$A,0),MATCH("2H"&amp;RIGHT(Annual!Z$1,2),Segment!$A$3:$AR$3,0))</f>
        <v>0</v>
      </c>
      <c r="AA33" s="251">
        <f>INDEX(Segment!$A:$AR,MATCH(Annual!$A33,Segment!$A:$A,0),MATCH("1H"&amp;RIGHT(Annual!AA$1,2),Segment!$A$3:$AR$3,0))+INDEX(Segment!$A:$AR,MATCH(Annual!$A33,Segment!$A:$A,0),MATCH("2H"&amp;RIGHT(Annual!AA$1,2),Segment!$A$3:$AR$3,0))</f>
        <v>0</v>
      </c>
      <c r="AB33" s="251">
        <f>INDEX(Segment!$A:$AR,MATCH(Annual!$A33,Segment!$A:$A,0),MATCH("1H"&amp;RIGHT(Annual!AB$1,2),Segment!$A$3:$AR$3,0))+INDEX(Segment!$A:$AR,MATCH(Annual!$A33,Segment!$A:$A,0),MATCH("2H"&amp;RIGHT(Annual!AB$1,2),Segment!$A$3:$AR$3,0))</f>
        <v>0</v>
      </c>
      <c r="AC33" s="1"/>
      <c r="AD33" s="1"/>
      <c r="AE33" s="95">
        <v>0</v>
      </c>
      <c r="AF33" s="96" t="e">
        <f t="shared" si="0"/>
        <v>#N/A</v>
      </c>
      <c r="AG33" s="95">
        <v>0</v>
      </c>
      <c r="AH33" s="96">
        <f t="shared" si="0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25">
      <c r="A34" s="80"/>
      <c r="B34" s="97" t="s">
        <v>180</v>
      </c>
      <c r="C34" s="5" t="s">
        <v>75</v>
      </c>
      <c r="D34" s="98"/>
      <c r="E34" s="98"/>
      <c r="F34" s="98"/>
      <c r="G34" s="98"/>
      <c r="H34" s="98"/>
      <c r="I34" s="98"/>
      <c r="J34" s="98"/>
      <c r="K34" s="98">
        <v>-36.4</v>
      </c>
      <c r="L34" s="98">
        <v>-36.700000000000003</v>
      </c>
      <c r="M34" s="98">
        <v>-38.6</v>
      </c>
      <c r="N34" s="98">
        <v>-41.4</v>
      </c>
      <c r="O34" s="98">
        <v>-47.1</v>
      </c>
      <c r="P34" s="98">
        <v>-55.9</v>
      </c>
      <c r="Q34" s="255">
        <f>SUM(Q31:Q33)</f>
        <v>-61.2</v>
      </c>
      <c r="R34" s="255">
        <f>SUM(R31:R33)</f>
        <v>-81.94</v>
      </c>
      <c r="S34" s="267">
        <f t="shared" ref="R34:AB34" si="4">SUM(S31:S33)</f>
        <v>-93.310550245285697</v>
      </c>
      <c r="T34" s="267">
        <f t="shared" si="4"/>
        <v>-107.21120377572083</v>
      </c>
      <c r="U34" s="267">
        <f t="shared" si="4"/>
        <v>-125.78213200946334</v>
      </c>
      <c r="V34" s="267">
        <f t="shared" si="4"/>
        <v>-149.31960456575666</v>
      </c>
      <c r="W34" s="267">
        <f t="shared" si="4"/>
        <v>-177.71563447583924</v>
      </c>
      <c r="X34" s="267">
        <f t="shared" si="4"/>
        <v>-212.40172721382172</v>
      </c>
      <c r="Y34" s="267">
        <f t="shared" si="4"/>
        <v>-254.78969150984327</v>
      </c>
      <c r="Z34" s="267">
        <f t="shared" si="4"/>
        <v>-306.62424297102609</v>
      </c>
      <c r="AA34" s="267">
        <f t="shared" si="4"/>
        <v>-370.06510066332021</v>
      </c>
      <c r="AB34" s="267">
        <f t="shared" si="4"/>
        <v>-447.79025152463242</v>
      </c>
      <c r="AC34" s="1"/>
      <c r="AD34" s="1"/>
      <c r="AE34" s="99">
        <v>-72.453548928685919</v>
      </c>
      <c r="AF34" s="100" t="e">
        <f t="shared" si="0"/>
        <v>#N/A</v>
      </c>
      <c r="AG34" s="99">
        <v>-84.085925375462523</v>
      </c>
      <c r="AH34" s="100">
        <f t="shared" si="0"/>
        <v>-9.2246248698231739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25">
      <c r="A35" s="284"/>
      <c r="B35" s="285"/>
      <c r="C35" s="115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1"/>
      <c r="AD35" s="1"/>
      <c r="AE35" s="116"/>
      <c r="AF35" s="117" t="str">
        <f t="shared" si="0"/>
        <v/>
      </c>
      <c r="AG35" s="116"/>
      <c r="AH35" s="117" t="str">
        <f t="shared" si="0"/>
        <v/>
      </c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25">
      <c r="A36" s="80" t="s">
        <v>187</v>
      </c>
      <c r="B36" s="97" t="s">
        <v>188</v>
      </c>
      <c r="C36" s="5" t="s">
        <v>75</v>
      </c>
      <c r="D36" s="118" t="s">
        <v>179</v>
      </c>
      <c r="E36" s="98"/>
      <c r="F36" s="114"/>
      <c r="G36" s="98"/>
      <c r="H36" s="98"/>
      <c r="I36" s="98"/>
      <c r="J36" s="98"/>
      <c r="K36" s="98">
        <v>217.4</v>
      </c>
      <c r="L36" s="98">
        <v>249</v>
      </c>
      <c r="M36" s="98">
        <v>260.10000000000002</v>
      </c>
      <c r="N36" s="98">
        <v>270.39999999999998</v>
      </c>
      <c r="O36" s="98">
        <v>321.89999999999998</v>
      </c>
      <c r="P36" s="98">
        <v>381.3</v>
      </c>
      <c r="Q36" s="255">
        <f>Q27+Q34</f>
        <v>454.2</v>
      </c>
      <c r="R36" s="255">
        <f>R27+R34</f>
        <v>528.08799999999997</v>
      </c>
      <c r="S36" s="267">
        <f>INDEX(Segment!$A:$AR,MATCH(Annual!$A36,Segment!$A:$A,0),MATCH("1H"&amp;RIGHT(Annual!S$1,2),Segment!$A$3:$AR$3,0))+INDEX(Segment!$A:$AR,MATCH(Annual!$A36,Segment!$A:$A,0),MATCH("2H"&amp;RIGHT(Annual!S$1,2),Segment!$A$3:$AR$3,0))</f>
        <v>601.29345173022853</v>
      </c>
      <c r="T36" s="267">
        <f>INDEX(Segment!$A:$AR,MATCH(Annual!$A36,Segment!$A:$A,0),MATCH("1H"&amp;RIGHT(Annual!T$1,2),Segment!$A$3:$AR$3,0))+INDEX(Segment!$A:$AR,MATCH(Annual!$A36,Segment!$A:$A,0),MATCH("2H"&amp;RIGHT(Annual!T$1,2),Segment!$A$3:$AR$3,0))</f>
        <v>691.03325198197922</v>
      </c>
      <c r="U36" s="267">
        <f>INDEX(Segment!$A:$AR,MATCH(Annual!$A36,Segment!$A:$A,0),MATCH("1H"&amp;RIGHT(Annual!U$1,2),Segment!$A$3:$AR$3,0))+INDEX(Segment!$A:$AR,MATCH(Annual!$A36,Segment!$A:$A,0),MATCH("2H"&amp;RIGHT(Annual!U$1,2),Segment!$A$3:$AR$3,0))</f>
        <v>811.01431819842537</v>
      </c>
      <c r="V36" s="267">
        <f>INDEX(Segment!$A:$AR,MATCH(Annual!$A36,Segment!$A:$A,0),MATCH("1H"&amp;RIGHT(Annual!V$1,2),Segment!$A$3:$AR$3,0))+INDEX(Segment!$A:$AR,MATCH(Annual!$A36,Segment!$A:$A,0),MATCH("2H"&amp;RIGHT(Annual!V$1,2),Segment!$A$3:$AR$3,0))</f>
        <v>962.66899354034263</v>
      </c>
      <c r="W36" s="267">
        <f>INDEX(Segment!$A:$AR,MATCH(Annual!$A36,Segment!$A:$A,0),MATCH("1H"&amp;RIGHT(Annual!W$1,2),Segment!$A$3:$AR$3,0))+INDEX(Segment!$A:$AR,MATCH(Annual!$A36,Segment!$A:$A,0),MATCH("2H"&amp;RIGHT(Annual!W$1,2),Segment!$A$3:$AR$3,0))</f>
        <v>1145.7277063495831</v>
      </c>
      <c r="X36" s="267">
        <f>INDEX(Segment!$A:$AR,MATCH(Annual!$A36,Segment!$A:$A,0),MATCH("1H"&amp;RIGHT(Annual!X$1,2),Segment!$A$3:$AR$3,0))+INDEX(Segment!$A:$AR,MATCH(Annual!$A36,Segment!$A:$A,0),MATCH("2H"&amp;RIGHT(Annual!X$1,2),Segment!$A$3:$AR$3,0))</f>
        <v>1369.3351662325647</v>
      </c>
      <c r="Y36" s="267">
        <f>INDEX(Segment!$A:$AR,MATCH(Annual!$A36,Segment!$A:$A,0),MATCH("1H"&amp;RIGHT(Annual!Y$1,2),Segment!$A$3:$AR$3,0))+INDEX(Segment!$A:$AR,MATCH(Annual!$A36,Segment!$A:$A,0),MATCH("2H"&amp;RIGHT(Annual!Y$1,2),Segment!$A$3:$AR$3,0))</f>
        <v>1642.5919863741415</v>
      </c>
      <c r="Z36" s="267">
        <f>INDEX(Segment!$A:$AR,MATCH(Annual!$A36,Segment!$A:$A,0),MATCH("1H"&amp;RIGHT(Annual!Z$1,2),Segment!$A$3:$AR$3,0))+INDEX(Segment!$A:$AR,MATCH(Annual!$A36,Segment!$A:$A,0),MATCH("2H"&amp;RIGHT(Annual!Z$1,2),Segment!$A$3:$AR$3,0))</f>
        <v>1976.7445858777201</v>
      </c>
      <c r="AA36" s="267">
        <f>INDEX(Segment!$A:$AR,MATCH(Annual!$A36,Segment!$A:$A,0),MATCH("1H"&amp;RIGHT(Annual!AA$1,2),Segment!$A$3:$AR$3,0))+INDEX(Segment!$A:$AR,MATCH(Annual!$A36,Segment!$A:$A,0),MATCH("2H"&amp;RIGHT(Annual!AA$1,2),Segment!$A$3:$AR$3,0))</f>
        <v>2385.7143226188409</v>
      </c>
      <c r="AB36" s="267">
        <f>INDEX(Segment!$A:$AR,MATCH(Annual!$A36,Segment!$A:$A,0),MATCH("1H"&amp;RIGHT(Annual!AB$1,2),Segment!$A$3:$AR$3,0))+INDEX(Segment!$A:$AR,MATCH(Annual!$A36,Segment!$A:$A,0),MATCH("2H"&amp;RIGHT(Annual!AB$1,2),Segment!$A$3:$AR$3,0))</f>
        <v>2886.763049975275</v>
      </c>
      <c r="AC36" s="1"/>
      <c r="AD36" s="1"/>
      <c r="AE36" s="99">
        <v>532.5576078229667</v>
      </c>
      <c r="AF36" s="100" t="e">
        <f t="shared" si="0"/>
        <v>#N/A</v>
      </c>
      <c r="AG36" s="99">
        <v>618.13383553755989</v>
      </c>
      <c r="AH36" s="100">
        <f t="shared" si="0"/>
        <v>-16.840383807331364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x14ac:dyDescent="0.25">
      <c r="A37" s="80"/>
      <c r="B37" s="107" t="s">
        <v>189</v>
      </c>
      <c r="C37" s="93" t="s">
        <v>6</v>
      </c>
      <c r="D37" s="2" t="e">
        <v>#VALUE!</v>
      </c>
      <c r="E37" s="2"/>
      <c r="F37" s="2"/>
      <c r="G37" s="2"/>
      <c r="H37" s="2"/>
      <c r="I37" s="2"/>
      <c r="J37" s="2"/>
      <c r="K37" s="101">
        <v>0.85699999999999998</v>
      </c>
      <c r="L37" s="101">
        <v>0.872</v>
      </c>
      <c r="M37" s="101">
        <v>0.871</v>
      </c>
      <c r="N37" s="101">
        <v>0.86699999999999999</v>
      </c>
      <c r="O37" s="101">
        <v>0.872</v>
      </c>
      <c r="P37" s="101">
        <v>0.872</v>
      </c>
      <c r="Q37" s="253">
        <f>Q36/Q$27</f>
        <v>0.88125727590221192</v>
      </c>
      <c r="R37" s="253">
        <f>R36/R$27</f>
        <v>0.86567829673392027</v>
      </c>
      <c r="S37" s="253">
        <f t="shared" ref="R37:AB37" si="5">S36/S27</f>
        <v>0.86566367314339931</v>
      </c>
      <c r="T37" s="253">
        <f t="shared" si="5"/>
        <v>0.8656912641203941</v>
      </c>
      <c r="U37" s="253">
        <f t="shared" si="5"/>
        <v>0.8657316304074909</v>
      </c>
      <c r="V37" s="253">
        <f t="shared" si="5"/>
        <v>0.86571840321018334</v>
      </c>
      <c r="W37" s="253">
        <f t="shared" si="5"/>
        <v>0.86571723246950705</v>
      </c>
      <c r="X37" s="253">
        <f t="shared" si="5"/>
        <v>0.86571614527430818</v>
      </c>
      <c r="Y37" s="253">
        <f t="shared" si="5"/>
        <v>0.86571510915295014</v>
      </c>
      <c r="Z37" s="253">
        <f t="shared" si="5"/>
        <v>0.86571409791661935</v>
      </c>
      <c r="AA37" s="253">
        <f t="shared" si="5"/>
        <v>0.86571309099094407</v>
      </c>
      <c r="AB37" s="253">
        <f t="shared" si="5"/>
        <v>0.86571207264157002</v>
      </c>
      <c r="AC37" s="1"/>
      <c r="AD37" s="1"/>
      <c r="AE37" s="119">
        <v>0.88024427629121094</v>
      </c>
      <c r="AF37" s="120" t="e">
        <f t="shared" si="0"/>
        <v>#N/A</v>
      </c>
      <c r="AG37" s="119">
        <v>0.88025696504733153</v>
      </c>
      <c r="AH37" s="120">
        <f t="shared" si="0"/>
        <v>-1.4593291903932215E-2</v>
      </c>
      <c r="AI37" s="1"/>
      <c r="AJ37" s="2"/>
      <c r="AK37" s="1"/>
      <c r="AL37" s="1"/>
      <c r="AM37" s="1"/>
      <c r="AN37" s="1"/>
      <c r="AO37" s="1"/>
      <c r="AP37" s="1"/>
      <c r="AQ37" s="1"/>
      <c r="AR37" s="1"/>
    </row>
    <row r="38" spans="1:44" x14ac:dyDescent="0.25">
      <c r="A38" s="284"/>
      <c r="B38" s="285"/>
      <c r="C38" s="9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1"/>
      <c r="AD38" s="1"/>
      <c r="AE38" s="88"/>
      <c r="AF38" s="89" t="str">
        <f t="shared" si="0"/>
        <v/>
      </c>
      <c r="AG38" s="88"/>
      <c r="AH38" s="89" t="str">
        <f t="shared" si="0"/>
        <v/>
      </c>
      <c r="AI38" s="1"/>
      <c r="AJ38" s="2"/>
      <c r="AK38" s="1"/>
      <c r="AL38" s="1"/>
      <c r="AM38" s="1"/>
      <c r="AN38" s="1"/>
      <c r="AO38" s="1"/>
      <c r="AP38" s="1"/>
      <c r="AQ38" s="1"/>
      <c r="AR38" s="1"/>
    </row>
    <row r="39" spans="1:44" x14ac:dyDescent="0.25">
      <c r="A39" s="80" t="s">
        <v>190</v>
      </c>
      <c r="B39" s="97" t="s">
        <v>191</v>
      </c>
      <c r="C39" s="5" t="s">
        <v>75</v>
      </c>
      <c r="D39" s="118" t="s">
        <v>179</v>
      </c>
      <c r="E39" s="114"/>
      <c r="F39" s="98"/>
      <c r="G39" s="98"/>
      <c r="H39" s="98"/>
      <c r="I39" s="98"/>
      <c r="J39" s="98"/>
      <c r="K39" s="98">
        <v>-133.69999999999999</v>
      </c>
      <c r="L39" s="98">
        <v>-139.1</v>
      </c>
      <c r="M39" s="98">
        <v>-126.8</v>
      </c>
      <c r="N39" s="98">
        <v>-110.3</v>
      </c>
      <c r="O39" s="98">
        <v>-127.9</v>
      </c>
      <c r="P39" s="98">
        <v>-148.6</v>
      </c>
      <c r="Q39" s="255">
        <f>Q50-Q36-Q46</f>
        <v>-180.09999999999997</v>
      </c>
      <c r="R39" s="255">
        <f>R50-R36-R46</f>
        <v>-203.08799999999999</v>
      </c>
      <c r="S39" s="267">
        <f>INDEX(Segment!$A:$AR,MATCH(Annual!$A39,Segment!$A:$A,0),MATCH("1H"&amp;RIGHT(Annual!S$1,2),Segment!$A$3:$AR$3,0))+INDEX(Segment!$A:$AR,MATCH(Annual!$A39,Segment!$A:$A,0),MATCH("2H"&amp;RIGHT(Annual!S$1,2),Segment!$A$3:$AR$3,0))</f>
        <v>-224.32786803672946</v>
      </c>
      <c r="T39" s="267">
        <f>INDEX(Segment!$A:$AR,MATCH(Annual!$A39,Segment!$A:$A,0),MATCH("1H"&amp;RIGHT(Annual!T$1,2),Segment!$A$3:$AR$3,0))+INDEX(Segment!$A:$AR,MATCH(Annual!$A39,Segment!$A:$A,0),MATCH("2H"&amp;RIGHT(Annual!T$1,2),Segment!$A$3:$AR$3,0))</f>
        <v>-249.75358352015664</v>
      </c>
      <c r="U39" s="267">
        <f>INDEX(Segment!$A:$AR,MATCH(Annual!$A39,Segment!$A:$A,0),MATCH("1H"&amp;RIGHT(Annual!U$1,2),Segment!$A$3:$AR$3,0))+INDEX(Segment!$A:$AR,MATCH(Annual!$A39,Segment!$A:$A,0),MATCH("2H"&amp;RIGHT(Annual!U$1,2),Segment!$A$3:$AR$3,0))</f>
        <v>-283.62680611395353</v>
      </c>
      <c r="V39" s="267">
        <f>INDEX(Segment!$A:$AR,MATCH(Annual!$A39,Segment!$A:$A,0),MATCH("1H"&amp;RIGHT(Annual!V$1,2),Segment!$A$3:$AR$3,0))+INDEX(Segment!$A:$AR,MATCH(Annual!$A39,Segment!$A:$A,0),MATCH("2H"&amp;RIGHT(Annual!V$1,2),Segment!$A$3:$AR$3,0))</f>
        <v>-331.15077462926075</v>
      </c>
      <c r="W39" s="267">
        <f>INDEX(Segment!$A:$AR,MATCH(Annual!$A39,Segment!$A:$A,0),MATCH("1H"&amp;RIGHT(Annual!W$1,2),Segment!$A$3:$AR$3,0))+INDEX(Segment!$A:$AR,MATCH(Annual!$A39,Segment!$A:$A,0),MATCH("2H"&amp;RIGHT(Annual!W$1,2),Segment!$A$3:$AR$3,0))</f>
        <v>-387.50934509878908</v>
      </c>
      <c r="X39" s="267">
        <f>INDEX(Segment!$A:$AR,MATCH(Annual!$A39,Segment!$A:$A,0),MATCH("1H"&amp;RIGHT(Annual!X$1,2),Segment!$A$3:$AR$3,0))+INDEX(Segment!$A:$AR,MATCH(Annual!$A39,Segment!$A:$A,0),MATCH("2H"&amp;RIGHT(Annual!X$1,2),Segment!$A$3:$AR$3,0))</f>
        <v>-455.23496105022798</v>
      </c>
      <c r="Y39" s="267">
        <f>INDEX(Segment!$A:$AR,MATCH(Annual!$A39,Segment!$A:$A,0),MATCH("1H"&amp;RIGHT(Annual!Y$1,2),Segment!$A$3:$AR$3,0))+INDEX(Segment!$A:$AR,MATCH(Annual!$A39,Segment!$A:$A,0),MATCH("2H"&amp;RIGHT(Annual!Y$1,2),Segment!$A$3:$AR$3,0))</f>
        <v>-536.59848765604465</v>
      </c>
      <c r="Z39" s="267">
        <f>INDEX(Segment!$A:$AR,MATCH(Annual!$A39,Segment!$A:$A,0),MATCH("1H"&amp;RIGHT(Annual!Z$1,2),Segment!$A$3:$AR$3,0))+INDEX(Segment!$A:$AR,MATCH(Annual!$A39,Segment!$A:$A,0),MATCH("2H"&amp;RIGHT(Annual!Z$1,2),Segment!$A$3:$AR$3,0))</f>
        <v>-634.34930583211212</v>
      </c>
      <c r="AA39" s="267">
        <f>INDEX(Segment!$A:$AR,MATCH(Annual!$A39,Segment!$A:$A,0),MATCH("1H"&amp;RIGHT(Annual!AA$1,2),Segment!$A$3:$AR$3,0))+INDEX(Segment!$A:$AR,MATCH(Annual!$A39,Segment!$A:$A,0),MATCH("2H"&amp;RIGHT(Annual!AA$1,2),Segment!$A$3:$AR$3,0))</f>
        <v>-751.8201448315499</v>
      </c>
      <c r="AB39" s="267">
        <f>INDEX(Segment!$A:$AR,MATCH(Annual!$A39,Segment!$A:$A,0),MATCH("1H"&amp;RIGHT(Annual!AB$1,2),Segment!$A$3:$AR$3,0))+INDEX(Segment!$A:$AR,MATCH(Annual!$A39,Segment!$A:$A,0),MATCH("2H"&amp;RIGHT(Annual!AB$1,2),Segment!$A$3:$AR$3,0))</f>
        <v>-893.05579882764584</v>
      </c>
      <c r="AC39" s="1"/>
      <c r="AD39" s="1"/>
      <c r="AE39" s="99">
        <v>-210.2738678547783</v>
      </c>
      <c r="AF39" s="100" t="e">
        <f t="shared" si="0"/>
        <v>#N/A</v>
      </c>
      <c r="AG39" s="99">
        <v>-237.03648586229809</v>
      </c>
      <c r="AH39" s="100">
        <f t="shared" si="0"/>
        <v>12.708617825568638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x14ac:dyDescent="0.25">
      <c r="A40" s="80"/>
      <c r="B40" s="107" t="s">
        <v>192</v>
      </c>
      <c r="C40" s="115"/>
      <c r="D40" s="51"/>
      <c r="E40" s="121"/>
      <c r="F40" s="67"/>
      <c r="G40" s="67"/>
      <c r="H40" s="67"/>
      <c r="I40" s="67"/>
      <c r="J40" s="2"/>
      <c r="K40" s="101">
        <v>-0.52700000000000002</v>
      </c>
      <c r="L40" s="101">
        <v>-0.48699999999999999</v>
      </c>
      <c r="M40" s="101">
        <v>-0.42499999999999999</v>
      </c>
      <c r="N40" s="101">
        <v>-0.35399999999999998</v>
      </c>
      <c r="O40" s="101">
        <v>-0.34699999999999998</v>
      </c>
      <c r="P40" s="101">
        <v>-0.34</v>
      </c>
      <c r="Q40" s="253">
        <f>Q39/Q$27</f>
        <v>-0.34943733022894835</v>
      </c>
      <c r="R40" s="253">
        <f>R39/R$27</f>
        <v>-0.33291586615696328</v>
      </c>
      <c r="S40" s="253">
        <f t="shared" ref="R40:AB40" si="6">S39/S$27</f>
        <v>-0.32295792624102587</v>
      </c>
      <c r="T40" s="253">
        <f t="shared" si="6"/>
        <v>-0.31287856961447802</v>
      </c>
      <c r="U40" s="253">
        <f t="shared" si="6"/>
        <v>-0.30276246889173486</v>
      </c>
      <c r="V40" s="253">
        <f t="shared" si="6"/>
        <v>-0.29780051269704144</v>
      </c>
      <c r="W40" s="253">
        <f t="shared" si="6"/>
        <v>-0.29280387995839874</v>
      </c>
      <c r="X40" s="253">
        <f t="shared" si="6"/>
        <v>-0.28780700692789296</v>
      </c>
      <c r="Y40" s="253">
        <f t="shared" si="6"/>
        <v>-0.28280998699980858</v>
      </c>
      <c r="Z40" s="253">
        <f t="shared" si="6"/>
        <v>-0.27781289549789695</v>
      </c>
      <c r="AA40" s="253">
        <f t="shared" si="6"/>
        <v>-0.27281579159776309</v>
      </c>
      <c r="AB40" s="253">
        <f t="shared" si="6"/>
        <v>-0.2678187205542471</v>
      </c>
      <c r="AC40" s="1"/>
      <c r="AD40" s="1"/>
      <c r="AE40" s="116">
        <v>-0.34755370294946875</v>
      </c>
      <c r="AF40" s="117" t="e">
        <f t="shared" si="0"/>
        <v>#N/A</v>
      </c>
      <c r="AG40" s="116">
        <v>-0.33755314084881988</v>
      </c>
      <c r="AH40" s="117">
        <f t="shared" si="0"/>
        <v>1.4595214607794005E-2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x14ac:dyDescent="0.25">
      <c r="A41" s="284"/>
      <c r="B41" s="285"/>
      <c r="C41" s="93"/>
      <c r="D41" s="49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1"/>
      <c r="AD41" s="1"/>
      <c r="AE41" s="95"/>
      <c r="AF41" s="96" t="str">
        <f t="shared" si="0"/>
        <v/>
      </c>
      <c r="AG41" s="95"/>
      <c r="AH41" s="96" t="str">
        <f t="shared" si="0"/>
        <v/>
      </c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x14ac:dyDescent="0.25">
      <c r="A42" s="80" t="s">
        <v>193</v>
      </c>
      <c r="B42" s="97" t="s">
        <v>194</v>
      </c>
      <c r="C42" s="5" t="s">
        <v>75</v>
      </c>
      <c r="D42" s="118" t="s">
        <v>179</v>
      </c>
      <c r="E42" s="114"/>
      <c r="F42" s="114"/>
      <c r="G42" s="114"/>
      <c r="H42" s="114">
        <v>90.2</v>
      </c>
      <c r="I42" s="114">
        <v>102.4</v>
      </c>
      <c r="J42" s="114">
        <v>111.4</v>
      </c>
      <c r="K42" s="114">
        <v>83.6</v>
      </c>
      <c r="L42" s="98">
        <v>109.9</v>
      </c>
      <c r="M42" s="98">
        <v>133.19999999999999</v>
      </c>
      <c r="N42" s="98">
        <v>160.1</v>
      </c>
      <c r="O42" s="98">
        <v>194</v>
      </c>
      <c r="P42" s="98">
        <v>232.7</v>
      </c>
      <c r="Q42" s="98">
        <f>Q50-Q46</f>
        <v>274.10000000000002</v>
      </c>
      <c r="R42" s="98">
        <f>R50-R46</f>
        <v>325</v>
      </c>
      <c r="S42" s="267">
        <f>INDEX(Segment!$A:$AR,MATCH(Annual!$A42,Segment!$A:$A,0),MATCH("1H"&amp;RIGHT(Annual!S$1,2),Segment!$A$3:$AR$3,0))+INDEX(Segment!$A:$AR,MATCH(Annual!$A42,Segment!$A:$A,0),MATCH("2H"&amp;RIGHT(Annual!S$1,2),Segment!$A$3:$AR$3,0))</f>
        <v>376.96558369349896</v>
      </c>
      <c r="T42" s="267">
        <f>INDEX(Segment!$A:$AR,MATCH(Annual!$A42,Segment!$A:$A,0),MATCH("1H"&amp;RIGHT(Annual!T$1,2),Segment!$A$3:$AR$3,0))+INDEX(Segment!$A:$AR,MATCH(Annual!$A42,Segment!$A:$A,0),MATCH("2H"&amp;RIGHT(Annual!T$1,2),Segment!$A$3:$AR$3,0))</f>
        <v>441.27966846182255</v>
      </c>
      <c r="U42" s="267">
        <f>INDEX(Segment!$A:$AR,MATCH(Annual!$A42,Segment!$A:$A,0),MATCH("1H"&amp;RIGHT(Annual!U$1,2),Segment!$A$3:$AR$3,0))+INDEX(Segment!$A:$AR,MATCH(Annual!$A42,Segment!$A:$A,0),MATCH("2H"&amp;RIGHT(Annual!U$1,2),Segment!$A$3:$AR$3,0))</f>
        <v>527.38751208447184</v>
      </c>
      <c r="V42" s="267">
        <f>INDEX(Segment!$A:$AR,MATCH(Annual!$A42,Segment!$A:$A,0),MATCH("1H"&amp;RIGHT(Annual!V$1,2),Segment!$A$3:$AR$3,0))+INDEX(Segment!$A:$AR,MATCH(Annual!$A42,Segment!$A:$A,0),MATCH("2H"&amp;RIGHT(Annual!V$1,2),Segment!$A$3:$AR$3,0))</f>
        <v>631.51821891108193</v>
      </c>
      <c r="W42" s="267">
        <f>INDEX(Segment!$A:$AR,MATCH(Annual!$A42,Segment!$A:$A,0),MATCH("1H"&amp;RIGHT(Annual!W$1,2),Segment!$A$3:$AR$3,0))+INDEX(Segment!$A:$AR,MATCH(Annual!$A42,Segment!$A:$A,0),MATCH("2H"&amp;RIGHT(Annual!W$1,2),Segment!$A$3:$AR$3,0))</f>
        <v>758.21836125079381</v>
      </c>
      <c r="X42" s="267">
        <f>INDEX(Segment!$A:$AR,MATCH(Annual!$A42,Segment!$A:$A,0),MATCH("1H"&amp;RIGHT(Annual!X$1,2),Segment!$A$3:$AR$3,0))+INDEX(Segment!$A:$AR,MATCH(Annual!$A42,Segment!$A:$A,0),MATCH("2H"&amp;RIGHT(Annual!X$1,2),Segment!$A$3:$AR$3,0))</f>
        <v>914.10020518233671</v>
      </c>
      <c r="Y42" s="267">
        <f>INDEX(Segment!$A:$AR,MATCH(Annual!$A42,Segment!$A:$A,0),MATCH("1H"&amp;RIGHT(Annual!Y$1,2),Segment!$A$3:$AR$3,0))+INDEX(Segment!$A:$AR,MATCH(Annual!$A42,Segment!$A:$A,0),MATCH("2H"&amp;RIGHT(Annual!Y$1,2),Segment!$A$3:$AR$3,0))</f>
        <v>1105.9934987180968</v>
      </c>
      <c r="Z42" s="267">
        <f>INDEX(Segment!$A:$AR,MATCH(Annual!$A42,Segment!$A:$A,0),MATCH("1H"&amp;RIGHT(Annual!Z$1,2),Segment!$A$3:$AR$3,0))+INDEX(Segment!$A:$AR,MATCH(Annual!$A42,Segment!$A:$A,0),MATCH("2H"&amp;RIGHT(Annual!Z$1,2),Segment!$A$3:$AR$3,0))</f>
        <v>1342.3952800456082</v>
      </c>
      <c r="AA42" s="267">
        <f>INDEX(Segment!$A:$AR,MATCH(Annual!$A42,Segment!$A:$A,0),MATCH("1H"&amp;RIGHT(Annual!AA$1,2),Segment!$A$3:$AR$3,0))+INDEX(Segment!$A:$AR,MATCH(Annual!$A42,Segment!$A:$A,0),MATCH("2H"&amp;RIGHT(Annual!AA$1,2),Segment!$A$3:$AR$3,0))</f>
        <v>1633.894177787291</v>
      </c>
      <c r="AB42" s="267">
        <f>INDEX(Segment!$A:$AR,MATCH(Annual!$A42,Segment!$A:$A,0),MATCH("1H"&amp;RIGHT(Annual!AB$1,2),Segment!$A$3:$AR$3,0))+INDEX(Segment!$A:$AR,MATCH(Annual!$A42,Segment!$A:$A,0),MATCH("2H"&amp;RIGHT(Annual!AB$1,2),Segment!$A$3:$AR$3,0))</f>
        <v>1993.7072511476292</v>
      </c>
      <c r="AC42" s="1"/>
      <c r="AD42" s="1"/>
      <c r="AE42" s="99">
        <v>322.28373996818834</v>
      </c>
      <c r="AF42" s="100" t="e">
        <f t="shared" si="0"/>
        <v>#N/A</v>
      </c>
      <c r="AG42" s="99">
        <v>381.09734967526185</v>
      </c>
      <c r="AH42" s="100">
        <f t="shared" si="0"/>
        <v>-4.1317659817628964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x14ac:dyDescent="0.25">
      <c r="A43" s="284"/>
      <c r="B43" s="285"/>
      <c r="C43" s="93"/>
      <c r="D43" s="49"/>
      <c r="E43" s="51"/>
      <c r="F43" s="49"/>
      <c r="G43" s="51"/>
      <c r="H43" s="51"/>
      <c r="I43" s="51"/>
      <c r="J43" s="51"/>
      <c r="K43" s="51"/>
      <c r="L43" s="51"/>
      <c r="M43" s="51"/>
      <c r="N43" s="51"/>
      <c r="O43" s="51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1"/>
      <c r="AD43" s="1"/>
      <c r="AE43" s="95"/>
      <c r="AF43" s="96" t="str">
        <f t="shared" si="0"/>
        <v/>
      </c>
      <c r="AG43" s="95"/>
      <c r="AH43" s="96" t="str">
        <f t="shared" si="0"/>
        <v/>
      </c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x14ac:dyDescent="0.25">
      <c r="A44" s="80" t="s">
        <v>195</v>
      </c>
      <c r="B44" s="92" t="s">
        <v>196</v>
      </c>
      <c r="C44" s="93" t="s">
        <v>75</v>
      </c>
      <c r="D44" s="2" t="s">
        <v>158</v>
      </c>
      <c r="E44" s="51">
        <v>-33.5</v>
      </c>
      <c r="F44" s="51">
        <v>-35.6</v>
      </c>
      <c r="G44" s="51">
        <v>-37.9</v>
      </c>
      <c r="H44" s="51">
        <v>-41</v>
      </c>
      <c r="I44" s="51">
        <v>-46</v>
      </c>
      <c r="J44" s="51">
        <v>-49.9</v>
      </c>
      <c r="K44" s="51">
        <v>-54</v>
      </c>
      <c r="L44" s="51">
        <v>-60.1</v>
      </c>
      <c r="M44" s="51">
        <v>-68.099999999999994</v>
      </c>
      <c r="N44" s="51">
        <v>-77</v>
      </c>
      <c r="O44" s="51">
        <v>-92.2</v>
      </c>
      <c r="P44" s="51">
        <v>-112</v>
      </c>
      <c r="Q44" s="51">
        <v>-128</v>
      </c>
      <c r="R44" s="51">
        <f>-69.3-84.4</f>
        <v>-153.69999999999999</v>
      </c>
      <c r="S44" s="251">
        <f>INDEX(Segment!$A:$AR,MATCH(Annual!$A44,Segment!$A:$A,0),MATCH("1H"&amp;RIGHT(Annual!S$1,2),Segment!$A$3:$AR$3,0))+INDEX(Segment!$A:$AR,MATCH(Annual!$A44,Segment!$A:$A,0),MATCH("2H"&amp;RIGHT(Annual!S$1,2),Segment!$A$3:$AR$3,0))</f>
        <v>-174.97971414040154</v>
      </c>
      <c r="T44" s="251">
        <f>INDEX(Segment!$A:$AR,MATCH(Annual!$A44,Segment!$A:$A,0),MATCH("1H"&amp;RIGHT(Annual!T$1,2),Segment!$A$3:$AR$3,0))+INDEX(Segment!$A:$AR,MATCH(Annual!$A44,Segment!$A:$A,0),MATCH("2H"&amp;RIGHT(Annual!T$1,2),Segment!$A$3:$AR$3,0))</f>
        <v>-201.15245195167671</v>
      </c>
      <c r="U44" s="251">
        <f>INDEX(Segment!$A:$AR,MATCH(Annual!$A44,Segment!$A:$A,0),MATCH("1H"&amp;RIGHT(Annual!U$1,2),Segment!$A$3:$AR$3,0))+INDEX(Segment!$A:$AR,MATCH(Annual!$A44,Segment!$A:$A,0),MATCH("2H"&amp;RIGHT(Annual!U$1,2),Segment!$A$3:$AR$3,0))</f>
        <v>-236.17718092685712</v>
      </c>
      <c r="V44" s="251">
        <f>INDEX(Segment!$A:$AR,MATCH(Annual!$A44,Segment!$A:$A,0),MATCH("1H"&amp;RIGHT(Annual!V$1,2),Segment!$A$3:$AR$3,0))+INDEX(Segment!$A:$AR,MATCH(Annual!$A44,Segment!$A:$A,0),MATCH("2H"&amp;RIGHT(Annual!V$1,2),Segment!$A$3:$AR$3,0))</f>
        <v>-280.30215241962389</v>
      </c>
      <c r="W44" s="251">
        <f>INDEX(Segment!$A:$AR,MATCH(Annual!$A44,Segment!$A:$A,0),MATCH("1H"&amp;RIGHT(Annual!W$1,2),Segment!$A$3:$AR$3,0))+INDEX(Segment!$A:$AR,MATCH(Annual!$A44,Segment!$A:$A,0),MATCH("2H"&amp;RIGHT(Annual!W$1,2),Segment!$A$3:$AR$3,0))</f>
        <v>-333.59962696034404</v>
      </c>
      <c r="X44" s="251">
        <f>INDEX(Segment!$A:$AR,MATCH(Annual!$A44,Segment!$A:$A,0),MATCH("1H"&amp;RIGHT(Annual!X$1,2),Segment!$A$3:$AR$3,0))+INDEX(Segment!$A:$AR,MATCH(Annual!$A44,Segment!$A:$A,0),MATCH("2H"&amp;RIGHT(Annual!X$1,2),Segment!$A$3:$AR$3,0))</f>
        <v>-398.7025131592992</v>
      </c>
      <c r="Y44" s="251">
        <f>INDEX(Segment!$A:$AR,MATCH(Annual!$A44,Segment!$A:$A,0),MATCH("1H"&amp;RIGHT(Annual!Y$1,2),Segment!$A$3:$AR$3,0))+INDEX(Segment!$A:$AR,MATCH(Annual!$A44,Segment!$A:$A,0),MATCH("2H"&amp;RIGHT(Annual!Y$1,2),Segment!$A$3:$AR$3,0))</f>
        <v>-478.26016976987148</v>
      </c>
      <c r="Z44" s="251">
        <f>INDEX(Segment!$A:$AR,MATCH(Annual!$A44,Segment!$A:$A,0),MATCH("1H"&amp;RIGHT(Annual!Z$1,2),Segment!$A$3:$AR$3,0))+INDEX(Segment!$A:$AR,MATCH(Annual!$A44,Segment!$A:$A,0),MATCH("2H"&amp;RIGHT(Annual!Z$1,2),Segment!$A$3:$AR$3,0))</f>
        <v>-575.54659243420122</v>
      </c>
      <c r="AA44" s="251">
        <f>INDEX(Segment!$A:$AR,MATCH(Annual!$A44,Segment!$A:$A,0),MATCH("1H"&amp;RIGHT(Annual!AA$1,2),Segment!$A$3:$AR$3,0))+INDEX(Segment!$A:$AR,MATCH(Annual!$A44,Segment!$A:$A,0),MATCH("2H"&amp;RIGHT(Annual!AA$1,2),Segment!$A$3:$AR$3,0))</f>
        <v>-694.61443041165728</v>
      </c>
      <c r="AB44" s="251">
        <f>INDEX(Segment!$A:$AR,MATCH(Annual!$A44,Segment!$A:$A,0),MATCH("1H"&amp;RIGHT(Annual!AB$1,2),Segment!$A$3:$AR$3,0))+INDEX(Segment!$A:$AR,MATCH(Annual!$A44,Segment!$A:$A,0),MATCH("2H"&amp;RIGHT(Annual!AB$1,2),Segment!$A$3:$AR$3,0))</f>
        <v>-840.4887098821273</v>
      </c>
      <c r="AC44" s="1"/>
      <c r="AD44" s="1"/>
      <c r="AE44" s="95">
        <v>-147.72031686290188</v>
      </c>
      <c r="AF44" s="96" t="e">
        <f t="shared" si="0"/>
        <v>#N/A</v>
      </c>
      <c r="AG44" s="95">
        <v>-171.45845828860101</v>
      </c>
      <c r="AH44" s="96">
        <f t="shared" si="0"/>
        <v>-3.5212558518005324</v>
      </c>
      <c r="AI44" s="1"/>
      <c r="AJ44" s="2"/>
      <c r="AK44" s="1"/>
      <c r="AL44" s="1"/>
      <c r="AM44" s="1"/>
      <c r="AN44" s="1"/>
      <c r="AO44" s="1"/>
      <c r="AP44" s="1"/>
      <c r="AQ44" s="1"/>
      <c r="AR44" s="1"/>
    </row>
    <row r="45" spans="1:44" x14ac:dyDescent="0.25">
      <c r="A45" s="80" t="s">
        <v>197</v>
      </c>
      <c r="B45" s="122" t="s">
        <v>198</v>
      </c>
      <c r="C45" s="110" t="s">
        <v>75</v>
      </c>
      <c r="D45" s="111" t="s">
        <v>158</v>
      </c>
      <c r="E45" s="111"/>
      <c r="F45" s="123"/>
      <c r="G45" s="123"/>
      <c r="H45" s="123"/>
      <c r="I45" s="123"/>
      <c r="J45" s="123"/>
      <c r="K45" s="124">
        <v>26</v>
      </c>
      <c r="L45" s="123">
        <v>32.1</v>
      </c>
      <c r="M45" s="123">
        <v>37.1</v>
      </c>
      <c r="N45" s="123">
        <v>41.9</v>
      </c>
      <c r="O45" s="123">
        <v>50.1</v>
      </c>
      <c r="P45" s="123">
        <v>60.6</v>
      </c>
      <c r="Q45" s="123">
        <v>69.7</v>
      </c>
      <c r="R45" s="123">
        <v>84.4</v>
      </c>
      <c r="S45" s="276">
        <f>INDEX(Segment!$A:$AR,MATCH(Annual!$A45,Segment!$A:$A,0),MATCH("1H"&amp;RIGHT(Annual!S$1,2),Segment!$A$3:$AR$3,0))+INDEX(Segment!$A:$AR,MATCH(Annual!$A45,Segment!$A:$A,0),MATCH("2H"&amp;RIGHT(Annual!S$1,2),Segment!$A$3:$AR$3,0))</f>
        <v>96.080761217174441</v>
      </c>
      <c r="T45" s="276">
        <f>INDEX(Segment!$A:$AR,MATCH(Annual!$A45,Segment!$A:$A,0),MATCH("1H"&amp;RIGHT(Annual!T$1,2),Segment!$A$3:$AR$3,0))+INDEX(Segment!$A:$AR,MATCH(Annual!$A45,Segment!$A:$A,0),MATCH("2H"&amp;RIGHT(Annual!T$1,2),Segment!$A$3:$AR$3,0))</f>
        <v>110.46164396837686</v>
      </c>
      <c r="U45" s="276">
        <f>INDEX(Segment!$A:$AR,MATCH(Annual!$A45,Segment!$A:$A,0),MATCH("1H"&amp;RIGHT(Annual!U$1,2),Segment!$A$3:$AR$3,0))+INDEX(Segment!$A:$AR,MATCH(Annual!$A45,Segment!$A:$A,0),MATCH("2H"&amp;RIGHT(Annual!U$1,2),Segment!$A$3:$AR$3,0))</f>
        <v>129.71160451386044</v>
      </c>
      <c r="V45" s="276">
        <f>INDEX(Segment!$A:$AR,MATCH(Annual!$A45,Segment!$A:$A,0),MATCH("1H"&amp;RIGHT(Annual!V$1,2),Segment!$A$3:$AR$3,0))+INDEX(Segment!$A:$AR,MATCH(Annual!$A45,Segment!$A:$A,0),MATCH("2H"&amp;RIGHT(Annual!V$1,2),Segment!$A$3:$AR$3,0))</f>
        <v>153.9392632749971</v>
      </c>
      <c r="W45" s="276">
        <f>INDEX(Segment!$A:$AR,MATCH(Annual!$A45,Segment!$A:$A,0),MATCH("1H"&amp;RIGHT(Annual!W$1,2),Segment!$A$3:$AR$3,0))+INDEX(Segment!$A:$AR,MATCH(Annual!$A45,Segment!$A:$A,0),MATCH("2H"&amp;RIGHT(Annual!W$1,2),Segment!$A$3:$AR$3,0))</f>
        <v>183.20905747574463</v>
      </c>
      <c r="X45" s="276">
        <f>INDEX(Segment!$A:$AR,MATCH(Annual!$A45,Segment!$A:$A,0),MATCH("1H"&amp;RIGHT(Annual!X$1,2),Segment!$A$3:$AR$3,0))+INDEX(Segment!$A:$AR,MATCH(Annual!$A45,Segment!$A:$A,0),MATCH("2H"&amp;RIGHT(Annual!X$1,2),Segment!$A$3:$AR$3,0))</f>
        <v>218.96206672000238</v>
      </c>
      <c r="Y45" s="276">
        <f>INDEX(Segment!$A:$AR,MATCH(Annual!$A45,Segment!$A:$A,0),MATCH("1H"&amp;RIGHT(Annual!Y$1,2),Segment!$A$3:$AR$3,0))+INDEX(Segment!$A:$AR,MATCH(Annual!$A45,Segment!$A:$A,0),MATCH("2H"&amp;RIGHT(Annual!Y$1,2),Segment!$A$3:$AR$3,0))</f>
        <v>262.65321404471604</v>
      </c>
      <c r="Z45" s="276">
        <f>INDEX(Segment!$A:$AR,MATCH(Annual!$A45,Segment!$A:$A,0),MATCH("1H"&amp;RIGHT(Annual!Z$1,2),Segment!$A$3:$AR$3,0))+INDEX(Segment!$A:$AR,MATCH(Annual!$A45,Segment!$A:$A,0),MATCH("2H"&amp;RIGHT(Annual!Z$1,2),Segment!$A$3:$AR$3,0))</f>
        <v>316.08044058251642</v>
      </c>
      <c r="AA45" s="276">
        <f>INDEX(Segment!$A:$AR,MATCH(Annual!$A45,Segment!$A:$A,0),MATCH("1H"&amp;RIGHT(Annual!AA$1,2),Segment!$A$3:$AR$3,0))+INDEX(Segment!$A:$AR,MATCH(Annual!$A45,Segment!$A:$A,0),MATCH("2H"&amp;RIGHT(Annual!AA$1,2),Segment!$A$3:$AR$3,0))</f>
        <v>381.46928155780051</v>
      </c>
      <c r="AB45" s="276">
        <f>INDEX(Segment!$A:$AR,MATCH(Annual!$A45,Segment!$A:$A,0),MATCH("1H"&amp;RIGHT(Annual!AB$1,2),Segment!$A$3:$AR$3,0))+INDEX(Segment!$A:$AR,MATCH(Annual!$A45,Segment!$A:$A,0),MATCH("2H"&amp;RIGHT(Annual!AB$1,2),Segment!$A$3:$AR$3,0))</f>
        <v>461.57924609045523</v>
      </c>
      <c r="AC45" s="1"/>
      <c r="AD45" s="1"/>
      <c r="AE45" s="95">
        <v>82.412546098964228</v>
      </c>
      <c r="AF45" s="96" t="e">
        <f t="shared" si="0"/>
        <v>#N/A</v>
      </c>
      <c r="AG45" s="95">
        <v>95.657922017226468</v>
      </c>
      <c r="AH45" s="96">
        <f t="shared" si="0"/>
        <v>0.42283919994797259</v>
      </c>
      <c r="AI45" s="1"/>
      <c r="AJ45" s="2"/>
      <c r="AK45" s="1"/>
      <c r="AL45" s="1"/>
      <c r="AM45" s="1"/>
      <c r="AN45" s="1"/>
      <c r="AO45" s="1"/>
      <c r="AP45" s="1"/>
      <c r="AQ45" s="1"/>
      <c r="AR45" s="1"/>
    </row>
    <row r="46" spans="1:44" x14ac:dyDescent="0.25">
      <c r="A46" s="80"/>
      <c r="B46" s="92" t="s">
        <v>199</v>
      </c>
      <c r="C46" s="93"/>
      <c r="D46" s="2"/>
      <c r="E46" s="2"/>
      <c r="F46" s="51"/>
      <c r="G46" s="49"/>
      <c r="H46" s="49"/>
      <c r="I46" s="49"/>
      <c r="J46" s="49">
        <v>-49.9</v>
      </c>
      <c r="K46" s="49">
        <v>-28.1</v>
      </c>
      <c r="L46" s="49">
        <v>-28</v>
      </c>
      <c r="M46" s="49">
        <v>-31</v>
      </c>
      <c r="N46" s="49">
        <v>-35.1</v>
      </c>
      <c r="O46" s="49">
        <v>-42.1</v>
      </c>
      <c r="P46" s="49">
        <v>-51.4</v>
      </c>
      <c r="Q46" s="49">
        <f>SUM(Q44:Q45)</f>
        <v>-58.3</v>
      </c>
      <c r="R46" s="49">
        <f>SUM(R44:R45)</f>
        <v>-69.299999999999983</v>
      </c>
      <c r="S46" s="251">
        <f t="shared" ref="R46:AB46" si="7">SUM(S44:S45)</f>
        <v>-78.8989529232271</v>
      </c>
      <c r="T46" s="251">
        <f t="shared" si="7"/>
        <v>-90.690807983299848</v>
      </c>
      <c r="U46" s="251">
        <f t="shared" si="7"/>
        <v>-106.46557641299668</v>
      </c>
      <c r="V46" s="251">
        <f t="shared" si="7"/>
        <v>-126.36288914462679</v>
      </c>
      <c r="W46" s="251">
        <f t="shared" si="7"/>
        <v>-150.39056948459941</v>
      </c>
      <c r="X46" s="251">
        <f t="shared" si="7"/>
        <v>-179.74044643929682</v>
      </c>
      <c r="Y46" s="251">
        <f t="shared" si="7"/>
        <v>-215.60695572515544</v>
      </c>
      <c r="Z46" s="251">
        <f t="shared" si="7"/>
        <v>-259.4661518516848</v>
      </c>
      <c r="AA46" s="251">
        <f t="shared" si="7"/>
        <v>-313.14514885385677</v>
      </c>
      <c r="AB46" s="251">
        <f t="shared" si="7"/>
        <v>-378.90946379167207</v>
      </c>
      <c r="AC46" s="1"/>
      <c r="AD46" s="1"/>
      <c r="AE46" s="95">
        <v>-65.307770763937654</v>
      </c>
      <c r="AF46" s="96" t="e">
        <f t="shared" si="0"/>
        <v>#N/A</v>
      </c>
      <c r="AG46" s="95">
        <v>-75.80053627137454</v>
      </c>
      <c r="AH46" s="96">
        <f t="shared" si="0"/>
        <v>-3.0984166518525598</v>
      </c>
      <c r="AI46" s="1"/>
      <c r="AJ46" s="2"/>
      <c r="AK46" s="1"/>
      <c r="AL46" s="1"/>
      <c r="AM46" s="1"/>
      <c r="AN46" s="1"/>
      <c r="AO46" s="1"/>
      <c r="AP46" s="1"/>
      <c r="AQ46" s="1"/>
      <c r="AR46" s="1"/>
    </row>
    <row r="47" spans="1:44" x14ac:dyDescent="0.25">
      <c r="A47" s="80"/>
      <c r="B47" s="92" t="s">
        <v>200</v>
      </c>
      <c r="C47" s="93"/>
      <c r="D47" s="2"/>
      <c r="E47" s="2"/>
      <c r="F47" s="51"/>
      <c r="G47" s="49"/>
      <c r="H47" s="49"/>
      <c r="I47" s="49"/>
      <c r="J47" s="125">
        <v>0.182</v>
      </c>
      <c r="K47" s="125">
        <v>0.21299999999999999</v>
      </c>
      <c r="L47" s="125">
        <v>0.21</v>
      </c>
      <c r="M47" s="125">
        <v>0.22800000000000001</v>
      </c>
      <c r="N47" s="125">
        <v>0.247</v>
      </c>
      <c r="O47" s="125">
        <v>0.25</v>
      </c>
      <c r="P47" s="125">
        <v>0.25600000000000001</v>
      </c>
      <c r="Q47" s="253">
        <f>-Q44/Q$27</f>
        <v>0.24835079549864184</v>
      </c>
      <c r="R47" s="253">
        <f>-R44/R$27</f>
        <v>0.25195564793747172</v>
      </c>
      <c r="S47" s="253">
        <f t="shared" ref="R47:AB47" si="8">-S44/S$27</f>
        <v>0.25191290813577816</v>
      </c>
      <c r="T47" s="253">
        <f t="shared" si="8"/>
        <v>0.25199354721573508</v>
      </c>
      <c r="U47" s="253">
        <f t="shared" si="8"/>
        <v>0.25211152419978317</v>
      </c>
      <c r="V47" s="253">
        <f t="shared" si="8"/>
        <v>0.25207286558245728</v>
      </c>
      <c r="W47" s="253">
        <f t="shared" si="8"/>
        <v>0.25206944390402108</v>
      </c>
      <c r="X47" s="253">
        <f t="shared" si="8"/>
        <v>0.25206626640071689</v>
      </c>
      <c r="Y47" s="253">
        <f t="shared" si="8"/>
        <v>0.25206323816894932</v>
      </c>
      <c r="Z47" s="253">
        <f t="shared" si="8"/>
        <v>0.25206028266768732</v>
      </c>
      <c r="AA47" s="253">
        <f t="shared" si="8"/>
        <v>0.25205733976501082</v>
      </c>
      <c r="AB47" s="253">
        <f t="shared" si="8"/>
        <v>0.25205436347473259</v>
      </c>
      <c r="AC47" s="1"/>
      <c r="AD47" s="1"/>
      <c r="AE47" s="95">
        <v>0.24416131043933581</v>
      </c>
      <c r="AF47" s="96" t="e">
        <f t="shared" si="0"/>
        <v>#N/A</v>
      </c>
      <c r="AG47" s="95">
        <v>0.24416638185412443</v>
      </c>
      <c r="AH47" s="96">
        <f t="shared" si="0"/>
        <v>7.7465262816537317E-3</v>
      </c>
      <c r="AI47" s="1"/>
      <c r="AJ47" s="2"/>
      <c r="AK47" s="1"/>
      <c r="AL47" s="1"/>
      <c r="AM47" s="1"/>
      <c r="AN47" s="1"/>
      <c r="AO47" s="1"/>
      <c r="AP47" s="1"/>
      <c r="AQ47" s="1"/>
      <c r="AR47" s="1"/>
    </row>
    <row r="48" spans="1:44" x14ac:dyDescent="0.25">
      <c r="A48" s="80"/>
      <c r="B48" s="92" t="s">
        <v>201</v>
      </c>
      <c r="C48" s="93" t="s">
        <v>6</v>
      </c>
      <c r="D48" s="2"/>
      <c r="E48" s="2"/>
      <c r="F48" s="51"/>
      <c r="G48" s="49"/>
      <c r="H48" s="49"/>
      <c r="I48" s="49"/>
      <c r="J48" s="126">
        <v>0</v>
      </c>
      <c r="K48" s="126">
        <v>0.48</v>
      </c>
      <c r="L48" s="126">
        <v>0.53</v>
      </c>
      <c r="M48" s="126">
        <v>0.54</v>
      </c>
      <c r="N48" s="126">
        <v>0.54</v>
      </c>
      <c r="O48" s="126">
        <v>0.54</v>
      </c>
      <c r="P48" s="126">
        <v>0.54</v>
      </c>
      <c r="Q48" s="256">
        <f>-Q45/Q44</f>
        <v>0.54453125000000002</v>
      </c>
      <c r="R48" s="256">
        <f>-R45/R44</f>
        <v>0.54912166558230324</v>
      </c>
      <c r="S48" s="256">
        <f t="shared" ref="R48:AB48" si="9">-S45/S44</f>
        <v>0.54909657207509455</v>
      </c>
      <c r="T48" s="256">
        <f t="shared" si="9"/>
        <v>0.54914390998780016</v>
      </c>
      <c r="U48" s="256">
        <f t="shared" si="9"/>
        <v>0.54921311197304645</v>
      </c>
      <c r="V48" s="256">
        <f t="shared" si="9"/>
        <v>0.54919044304926945</v>
      </c>
      <c r="W48" s="256">
        <f t="shared" si="9"/>
        <v>0.54918843628540159</v>
      </c>
      <c r="X48" s="256">
        <f t="shared" si="9"/>
        <v>0.54918657267785365</v>
      </c>
      <c r="Y48" s="256">
        <f t="shared" si="9"/>
        <v>0.54918479657442332</v>
      </c>
      <c r="Z48" s="256">
        <f t="shared" si="9"/>
        <v>0.54918306308737641</v>
      </c>
      <c r="AA48" s="256">
        <f t="shared" si="9"/>
        <v>0.5491813369493721</v>
      </c>
      <c r="AB48" s="256">
        <f t="shared" si="9"/>
        <v>0.54917959118711845</v>
      </c>
      <c r="AC48" s="1"/>
      <c r="AD48" s="1"/>
      <c r="AE48" s="95">
        <v>0.55789581182289705</v>
      </c>
      <c r="AF48" s="96" t="e">
        <f t="shared" si="0"/>
        <v>#N/A</v>
      </c>
      <c r="AG48" s="95">
        <v>0.55790727953597874</v>
      </c>
      <c r="AH48" s="96">
        <f t="shared" si="0"/>
        <v>-8.8107074608841929E-3</v>
      </c>
      <c r="AI48" s="1"/>
      <c r="AJ48" s="2"/>
      <c r="AK48" s="1"/>
      <c r="AL48" s="1"/>
      <c r="AM48" s="1"/>
      <c r="AN48" s="1"/>
      <c r="AO48" s="1"/>
      <c r="AP48" s="1"/>
      <c r="AQ48" s="1"/>
      <c r="AR48" s="1"/>
    </row>
    <row r="49" spans="1:44" x14ac:dyDescent="0.25">
      <c r="A49" s="284"/>
      <c r="B49" s="285"/>
      <c r="C49" s="93"/>
      <c r="D49" s="2"/>
      <c r="E49" s="2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1"/>
      <c r="AD49" s="1"/>
      <c r="AE49" s="95"/>
      <c r="AF49" s="96" t="str">
        <f t="shared" si="0"/>
        <v/>
      </c>
      <c r="AG49" s="95"/>
      <c r="AH49" s="96" t="str">
        <f t="shared" si="0"/>
        <v/>
      </c>
      <c r="AI49" s="1"/>
      <c r="AJ49" s="2"/>
      <c r="AK49" s="1"/>
      <c r="AL49" s="1"/>
      <c r="AM49" s="1"/>
      <c r="AN49" s="1"/>
      <c r="AO49" s="1"/>
      <c r="AP49" s="1"/>
      <c r="AQ49" s="1"/>
      <c r="AR49" s="1"/>
    </row>
    <row r="50" spans="1:44" x14ac:dyDescent="0.25">
      <c r="A50" s="80" t="s">
        <v>40</v>
      </c>
      <c r="B50" s="97" t="s">
        <v>69</v>
      </c>
      <c r="C50" s="5" t="s">
        <v>75</v>
      </c>
      <c r="D50" s="118" t="s">
        <v>179</v>
      </c>
      <c r="E50" s="114"/>
      <c r="F50" s="114"/>
      <c r="G50" s="114"/>
      <c r="H50" s="114">
        <v>49.2</v>
      </c>
      <c r="I50" s="114">
        <v>56.4</v>
      </c>
      <c r="J50" s="114">
        <v>61.6</v>
      </c>
      <c r="K50" s="114">
        <v>55.6</v>
      </c>
      <c r="L50" s="114">
        <v>81.900000000000006</v>
      </c>
      <c r="M50" s="114">
        <v>102.3</v>
      </c>
      <c r="N50" s="114">
        <v>124.9</v>
      </c>
      <c r="O50" s="114">
        <v>151.9</v>
      </c>
      <c r="P50" s="114">
        <v>181.3</v>
      </c>
      <c r="Q50" s="114">
        <v>215.8</v>
      </c>
      <c r="R50" s="114">
        <v>255.7</v>
      </c>
      <c r="S50" s="267">
        <f>INDEX(Segment!$A:$AR,MATCH(Annual!$A50,Segment!$A:$A,0),MATCH("1H"&amp;RIGHT(Annual!S$1,2),Segment!$A$3:$AR$3,0))+INDEX(Segment!$A:$AR,MATCH(Annual!$A50,Segment!$A:$A,0),MATCH("2H"&amp;RIGHT(Annual!S$1,2),Segment!$A$3:$AR$3,0))</f>
        <v>298.0666307702719</v>
      </c>
      <c r="T50" s="267">
        <f>INDEX(Segment!$A:$AR,MATCH(Annual!$A50,Segment!$A:$A,0),MATCH("1H"&amp;RIGHT(Annual!T$1,2),Segment!$A$3:$AR$3,0))+INDEX(Segment!$A:$AR,MATCH(Annual!$A50,Segment!$A:$A,0),MATCH("2H"&amp;RIGHT(Annual!T$1,2),Segment!$A$3:$AR$3,0))</f>
        <v>350.58886047852269</v>
      </c>
      <c r="U50" s="267">
        <f>INDEX(Segment!$A:$AR,MATCH(Annual!$A50,Segment!$A:$A,0),MATCH("1H"&amp;RIGHT(Annual!U$1,2),Segment!$A$3:$AR$3,0))+INDEX(Segment!$A:$AR,MATCH(Annual!$A50,Segment!$A:$A,0),MATCH("2H"&amp;RIGHT(Annual!U$1,2),Segment!$A$3:$AR$3,0))</f>
        <v>420.92193567147518</v>
      </c>
      <c r="V50" s="267">
        <f>INDEX(Segment!$A:$AR,MATCH(Annual!$A50,Segment!$A:$A,0),MATCH("1H"&amp;RIGHT(Annual!V$1,2),Segment!$A$3:$AR$3,0))+INDEX(Segment!$A:$AR,MATCH(Annual!$A50,Segment!$A:$A,0),MATCH("2H"&amp;RIGHT(Annual!V$1,2),Segment!$A$3:$AR$3,0))</f>
        <v>505.15532976645517</v>
      </c>
      <c r="W50" s="267">
        <f>INDEX(Segment!$A:$AR,MATCH(Annual!$A50,Segment!$A:$A,0),MATCH("1H"&amp;RIGHT(Annual!W$1,2),Segment!$A$3:$AR$3,0))+INDEX(Segment!$A:$AR,MATCH(Annual!$A50,Segment!$A:$A,0),MATCH("2H"&amp;RIGHT(Annual!W$1,2),Segment!$A$3:$AR$3,0))</f>
        <v>607.82779176619442</v>
      </c>
      <c r="X50" s="267">
        <f>INDEX(Segment!$A:$AR,MATCH(Annual!$A50,Segment!$A:$A,0),MATCH("1H"&amp;RIGHT(Annual!X$1,2),Segment!$A$3:$AR$3,0))+INDEX(Segment!$A:$AR,MATCH(Annual!$A50,Segment!$A:$A,0),MATCH("2H"&amp;RIGHT(Annual!X$1,2),Segment!$A$3:$AR$3,0))</f>
        <v>734.35975874303995</v>
      </c>
      <c r="Y50" s="267">
        <f>INDEX(Segment!$A:$AR,MATCH(Annual!$A50,Segment!$A:$A,0),MATCH("1H"&amp;RIGHT(Annual!Y$1,2),Segment!$A$3:$AR$3,0))+INDEX(Segment!$A:$AR,MATCH(Annual!$A50,Segment!$A:$A,0),MATCH("2H"&amp;RIGHT(Annual!Y$1,2),Segment!$A$3:$AR$3,0))</f>
        <v>890.38654299294126</v>
      </c>
      <c r="Z50" s="267">
        <f>INDEX(Segment!$A:$AR,MATCH(Annual!$A50,Segment!$A:$A,0),MATCH("1H"&amp;RIGHT(Annual!Z$1,2),Segment!$A$3:$AR$3,0))+INDEX(Segment!$A:$AR,MATCH(Annual!$A50,Segment!$A:$A,0),MATCH("2H"&amp;RIGHT(Annual!Z$1,2),Segment!$A$3:$AR$3,0))</f>
        <v>1082.9291281939234</v>
      </c>
      <c r="AA50" s="267">
        <f>INDEX(Segment!$A:$AR,MATCH(Annual!$A50,Segment!$A:$A,0),MATCH("1H"&amp;RIGHT(Annual!AA$1,2),Segment!$A$3:$AR$3,0))+INDEX(Segment!$A:$AR,MATCH(Annual!$A50,Segment!$A:$A,0),MATCH("2H"&amp;RIGHT(Annual!AA$1,2),Segment!$A$3:$AR$3,0))</f>
        <v>1320.7490289334346</v>
      </c>
      <c r="AB50" s="267">
        <f>INDEX(Segment!$A:$AR,MATCH(Annual!$A50,Segment!$A:$A,0),MATCH("1H"&amp;RIGHT(Annual!AB$1,2),Segment!$A$3:$AR$3,0))+INDEX(Segment!$A:$AR,MATCH(Annual!$A50,Segment!$A:$A,0),MATCH("2H"&amp;RIGHT(Annual!AB$1,2),Segment!$A$3:$AR$3,0))</f>
        <v>1614.7977873559571</v>
      </c>
      <c r="AC50" s="1"/>
      <c r="AD50" s="1"/>
      <c r="AE50" s="99">
        <v>256.9759692042507</v>
      </c>
      <c r="AF50" s="100" t="e">
        <f t="shared" si="0"/>
        <v>#N/A</v>
      </c>
      <c r="AG50" s="99">
        <v>305.29681340388731</v>
      </c>
      <c r="AH50" s="100">
        <f t="shared" si="0"/>
        <v>-7.2301826336154136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x14ac:dyDescent="0.25">
      <c r="A51" s="80"/>
      <c r="B51" s="92" t="s">
        <v>167</v>
      </c>
      <c r="C51" s="93" t="s">
        <v>168</v>
      </c>
      <c r="D51" s="89"/>
      <c r="E51" s="2"/>
      <c r="F51" s="2"/>
      <c r="G51" s="2"/>
      <c r="H51" s="2" t="e">
        <v>#DIV/0!</v>
      </c>
      <c r="I51" s="66">
        <v>0.15</v>
      </c>
      <c r="J51" s="66">
        <v>0.09</v>
      </c>
      <c r="K51" s="66">
        <v>-0.1</v>
      </c>
      <c r="L51" s="66">
        <v>0.47</v>
      </c>
      <c r="M51" s="66">
        <v>0.25</v>
      </c>
      <c r="N51" s="66">
        <v>0.22</v>
      </c>
      <c r="O51" s="66">
        <v>0.22</v>
      </c>
      <c r="P51" s="66">
        <v>0.19</v>
      </c>
      <c r="Q51" s="253">
        <f>Q50/P50-1</f>
        <v>0.19029233314947591</v>
      </c>
      <c r="R51" s="253">
        <f>R50/Q50-1</f>
        <v>0.18489341983317886</v>
      </c>
      <c r="S51" s="253">
        <f t="shared" ref="R51:AB51" si="10">S50/R50-1</f>
        <v>0.16568881803000357</v>
      </c>
      <c r="T51" s="253">
        <f t="shared" si="10"/>
        <v>0.17620969369339146</v>
      </c>
      <c r="U51" s="253">
        <f t="shared" si="10"/>
        <v>0.20061411847756405</v>
      </c>
      <c r="V51" s="253">
        <f t="shared" si="10"/>
        <v>0.20011642767109961</v>
      </c>
      <c r="W51" s="253">
        <f t="shared" si="10"/>
        <v>0.20324928977233014</v>
      </c>
      <c r="X51" s="253">
        <f t="shared" si="10"/>
        <v>0.20817074949662229</v>
      </c>
      <c r="Y51" s="253">
        <f t="shared" si="10"/>
        <v>0.21246641362397511</v>
      </c>
      <c r="Z51" s="253">
        <f t="shared" si="10"/>
        <v>0.21624606382051814</v>
      </c>
      <c r="AA51" s="253">
        <f t="shared" si="10"/>
        <v>0.2196080006972756</v>
      </c>
      <c r="AB51" s="253">
        <f t="shared" si="10"/>
        <v>0.22263787591801631</v>
      </c>
      <c r="AC51" s="1"/>
      <c r="AD51" s="1"/>
      <c r="AE51" s="102">
        <v>0.19080615942655554</v>
      </c>
      <c r="AF51" s="103" t="e">
        <f t="shared" si="0"/>
        <v>#N/A</v>
      </c>
      <c r="AG51" s="102">
        <v>0.18803643138020432</v>
      </c>
      <c r="AH51" s="103">
        <f t="shared" si="0"/>
        <v>-2.2347613350200746E-2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x14ac:dyDescent="0.25">
      <c r="A52" s="80"/>
      <c r="B52" s="92" t="s">
        <v>107</v>
      </c>
      <c r="C52" s="93" t="s">
        <v>6</v>
      </c>
      <c r="D52" s="2"/>
      <c r="E52" s="2"/>
      <c r="F52" s="2"/>
      <c r="G52" s="2"/>
      <c r="H52" s="101">
        <v>0.22500000000000001</v>
      </c>
      <c r="I52" s="101">
        <v>0.22600000000000001</v>
      </c>
      <c r="J52" s="101">
        <v>0.22500000000000001</v>
      </c>
      <c r="K52" s="101">
        <v>0.219</v>
      </c>
      <c r="L52" s="101">
        <v>0.28699999999999998</v>
      </c>
      <c r="M52" s="101">
        <v>0.34200000000000003</v>
      </c>
      <c r="N52" s="101">
        <v>0.40100000000000002</v>
      </c>
      <c r="O52" s="101">
        <v>0.41199999999999998</v>
      </c>
      <c r="P52" s="101">
        <v>0.41499999999999998</v>
      </c>
      <c r="Q52" s="253">
        <f>Q50/Q$27</f>
        <v>0.41870391928599149</v>
      </c>
      <c r="R52" s="253">
        <f>R50/R$27</f>
        <v>0.41916108768777821</v>
      </c>
      <c r="S52" s="253">
        <f t="shared" ref="R52:AB52" si="11">S50/S$27</f>
        <v>0.42911735308541921</v>
      </c>
      <c r="T52" s="253">
        <f t="shared" si="11"/>
        <v>0.43919986909992498</v>
      </c>
      <c r="U52" s="253">
        <f t="shared" si="11"/>
        <v>0.44932059208600383</v>
      </c>
      <c r="V52" s="253">
        <f t="shared" si="11"/>
        <v>0.4542810336606134</v>
      </c>
      <c r="W52" s="253">
        <f t="shared" si="11"/>
        <v>0.45927753234006718</v>
      </c>
      <c r="X52" s="253">
        <f t="shared" si="11"/>
        <v>0.46427428087801087</v>
      </c>
      <c r="Y52" s="253">
        <f t="shared" si="11"/>
        <v>0.46927118216189706</v>
      </c>
      <c r="Z52" s="253">
        <f t="shared" si="11"/>
        <v>0.47426815786914556</v>
      </c>
      <c r="AA52" s="253">
        <f t="shared" si="11"/>
        <v>0.47926514646822099</v>
      </c>
      <c r="AB52" s="253">
        <f t="shared" si="11"/>
        <v>0.48426210090257332</v>
      </c>
      <c r="AC52" s="1"/>
      <c r="AD52" s="1"/>
      <c r="AE52" s="119">
        <v>0.42474583540570188</v>
      </c>
      <c r="AF52" s="120" t="e">
        <f t="shared" si="0"/>
        <v>#N/A</v>
      </c>
      <c r="AG52" s="119">
        <v>0.43475964419876478</v>
      </c>
      <c r="AH52" s="120">
        <f t="shared" si="0"/>
        <v>-5.6422911133455766E-3</v>
      </c>
      <c r="AI52" s="1"/>
      <c r="AJ52" s="2"/>
      <c r="AK52" s="1"/>
      <c r="AL52" s="1"/>
      <c r="AM52" s="1"/>
      <c r="AN52" s="1"/>
      <c r="AO52" s="1"/>
      <c r="AP52" s="1"/>
      <c r="AQ52" s="1"/>
      <c r="AR52" s="1"/>
    </row>
    <row r="53" spans="1:44" x14ac:dyDescent="0.25">
      <c r="A53" s="284"/>
      <c r="B53" s="285"/>
      <c r="C53" s="93"/>
      <c r="D53" s="89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1"/>
      <c r="AD53" s="1"/>
      <c r="AE53" s="88"/>
      <c r="AF53" s="89" t="str">
        <f t="shared" si="0"/>
        <v/>
      </c>
      <c r="AG53" s="88"/>
      <c r="AH53" s="89" t="str">
        <f t="shared" si="0"/>
        <v/>
      </c>
      <c r="AI53" s="1"/>
      <c r="AJ53" s="2"/>
      <c r="AK53" s="1"/>
      <c r="AL53" s="1"/>
      <c r="AM53" s="1"/>
      <c r="AN53" s="1"/>
      <c r="AO53" s="1"/>
      <c r="AP53" s="1"/>
      <c r="AQ53" s="1"/>
      <c r="AR53" s="1"/>
    </row>
    <row r="54" spans="1:44" x14ac:dyDescent="0.25">
      <c r="A54" s="80"/>
      <c r="B54" s="90" t="s">
        <v>202</v>
      </c>
      <c r="C54" s="9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74"/>
      <c r="AF54" s="75" t="str">
        <f t="shared" si="0"/>
        <v/>
      </c>
      <c r="AG54" s="74"/>
      <c r="AH54" s="75" t="str">
        <f t="shared" si="0"/>
        <v/>
      </c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x14ac:dyDescent="0.25">
      <c r="A55" s="80" t="s">
        <v>203</v>
      </c>
      <c r="B55" s="92" t="s">
        <v>204</v>
      </c>
      <c r="C55" s="93"/>
      <c r="D55" s="2" t="s">
        <v>158</v>
      </c>
      <c r="E55" s="2"/>
      <c r="F55" s="51"/>
      <c r="G55" s="51"/>
      <c r="H55" s="51"/>
      <c r="I55" s="127">
        <v>1.1200000000000001</v>
      </c>
      <c r="J55" s="51"/>
      <c r="K55" s="51">
        <v>-3.9</v>
      </c>
      <c r="L55" s="51">
        <v>-3.7</v>
      </c>
      <c r="M55" s="51">
        <v>-3.9</v>
      </c>
      <c r="N55" s="51">
        <v>-3.3</v>
      </c>
      <c r="O55" s="51">
        <v>-2.6</v>
      </c>
      <c r="P55" s="51">
        <v>-3</v>
      </c>
      <c r="Q55" s="51">
        <v>-4.2</v>
      </c>
      <c r="R55" s="51">
        <v>-4.6959999999999997</v>
      </c>
      <c r="S55" s="251">
        <f>INDEX(Segment!$A:$AR,MATCH(Annual!$A55,Segment!$A:$A,0),MATCH("1H"&amp;RIGHT(Annual!S$1,2),Segment!$A$3:$AR$3,0))+INDEX(Segment!$A:$AR,MATCH(Annual!$A55,Segment!$A:$A,0),MATCH("2H"&amp;RIGHT(Annual!S$1,2),Segment!$A$3:$AR$3,0))</f>
        <v>-5.3474386564537193</v>
      </c>
      <c r="T55" s="251">
        <f>INDEX(Segment!$A:$AR,MATCH(Annual!$A55,Segment!$A:$A,0),MATCH("1H"&amp;RIGHT(Annual!T$1,2),Segment!$A$3:$AR$3,0))+INDEX(Segment!$A:$AR,MATCH(Annual!$A55,Segment!$A:$A,0),MATCH("2H"&amp;RIGHT(Annual!T$1,2),Segment!$A$3:$AR$3,0))</f>
        <v>-6.144512588306223</v>
      </c>
      <c r="U55" s="251">
        <f>INDEX(Segment!$A:$AR,MATCH(Annual!$A55,Segment!$A:$A,0),MATCH("1H"&amp;RIGHT(Annual!U$1,2),Segment!$A$3:$AR$3,0))+INDEX(Segment!$A:$AR,MATCH(Annual!$A55,Segment!$A:$A,0),MATCH("2H"&amp;RIGHT(Annual!U$1,2),Segment!$A$3:$AR$3,0))</f>
        <v>-7.2096362594530152</v>
      </c>
      <c r="V55" s="251">
        <f>INDEX(Segment!$A:$AR,MATCH(Annual!$A55,Segment!$A:$A,0),MATCH("1H"&amp;RIGHT(Annual!V$1,2),Segment!$A$3:$AR$3,0))+INDEX(Segment!$A:$AR,MATCH(Annual!$A55,Segment!$A:$A,0),MATCH("2H"&amp;RIGHT(Annual!V$1,2),Segment!$A$3:$AR$3,0))</f>
        <v>-8.558463156651051</v>
      </c>
      <c r="W55" s="251">
        <f>INDEX(Segment!$A:$AR,MATCH(Annual!$A55,Segment!$A:$A,0),MATCH("1H"&amp;RIGHT(Annual!W$1,2),Segment!$A$3:$AR$3,0))+INDEX(Segment!$A:$AR,MATCH(Annual!$A55,Segment!$A:$A,0),MATCH("2H"&amp;RIGHT(Annual!W$1,2),Segment!$A$3:$AR$3,0))</f>
        <v>-10.185989483931881</v>
      </c>
      <c r="X55" s="251">
        <f>INDEX(Segment!$A:$AR,MATCH(Annual!$A55,Segment!$A:$A,0),MATCH("1H"&amp;RIGHT(Annual!X$1,2),Segment!$A$3:$AR$3,0))+INDEX(Segment!$A:$AR,MATCH(Annual!$A55,Segment!$A:$A,0),MATCH("2H"&amp;RIGHT(Annual!X$1,2),Segment!$A$3:$AR$3,0))</f>
        <v>-12.174029827473273</v>
      </c>
      <c r="Y55" s="251">
        <f>INDEX(Segment!$A:$AR,MATCH(Annual!$A55,Segment!$A:$A,0),MATCH("1H"&amp;RIGHT(Annual!Y$1,2),Segment!$A$3:$AR$3,0))+INDEX(Segment!$A:$AR,MATCH(Annual!$A55,Segment!$A:$A,0),MATCH("2H"&amp;RIGHT(Annual!Y$1,2),Segment!$A$3:$AR$3,0))</f>
        <v>-14.603500183777101</v>
      </c>
      <c r="Z55" s="251">
        <f>INDEX(Segment!$A:$AR,MATCH(Annual!$A55,Segment!$A:$A,0),MATCH("1H"&amp;RIGHT(Annual!Z$1,2),Segment!$A$3:$AR$3,0))+INDEX(Segment!$A:$AR,MATCH(Annual!$A55,Segment!$A:$A,0),MATCH("2H"&amp;RIGHT(Annual!Z$1,2),Segment!$A$3:$AR$3,0))</f>
        <v>-17.574396305232469</v>
      </c>
      <c r="AA55" s="251">
        <f>INDEX(Segment!$A:$AR,MATCH(Annual!$A55,Segment!$A:$A,0),MATCH("1H"&amp;RIGHT(Annual!AA$1,2),Segment!$A$3:$AR$3,0))+INDEX(Segment!$A:$AR,MATCH(Annual!$A55,Segment!$A:$A,0),MATCH("2H"&amp;RIGHT(Annual!AA$1,2),Segment!$A$3:$AR$3,0))</f>
        <v>-21.210498773106082</v>
      </c>
      <c r="AB55" s="251">
        <f>INDEX(Segment!$A:$AR,MATCH(Annual!$A55,Segment!$A:$A,0),MATCH("1H"&amp;RIGHT(Annual!AB$1,2),Segment!$A$3:$AR$3,0))+INDEX(Segment!$A:$AR,MATCH(Annual!$A55,Segment!$A:$A,0),MATCH("2H"&amp;RIGHT(Annual!AB$1,2),Segment!$A$3:$AR$3,0))</f>
        <v>-25.665291206962216</v>
      </c>
      <c r="AC55" s="1"/>
      <c r="AD55" s="1"/>
      <c r="AE55" s="95">
        <v>-4.9654438881743665</v>
      </c>
      <c r="AF55" s="96" t="e">
        <f t="shared" si="0"/>
        <v>#N/A</v>
      </c>
      <c r="AG55" s="95">
        <v>-5.7633928139347024</v>
      </c>
      <c r="AH55" s="96">
        <f t="shared" si="0"/>
        <v>0.41595415748098308</v>
      </c>
      <c r="AI55" s="1"/>
      <c r="AJ55" s="2"/>
      <c r="AK55" s="1"/>
      <c r="AL55" s="1"/>
      <c r="AM55" s="1"/>
      <c r="AN55" s="1"/>
      <c r="AO55" s="1"/>
      <c r="AP55" s="1"/>
      <c r="AQ55" s="1"/>
      <c r="AR55" s="1"/>
    </row>
    <row r="56" spans="1:44" x14ac:dyDescent="0.25">
      <c r="A56" s="80" t="s">
        <v>205</v>
      </c>
      <c r="B56" s="92" t="s">
        <v>206</v>
      </c>
      <c r="C56" s="93"/>
      <c r="D56" s="2" t="s">
        <v>158</v>
      </c>
      <c r="E56" s="2"/>
      <c r="F56" s="51"/>
      <c r="G56" s="51"/>
      <c r="H56" s="51"/>
      <c r="I56" s="51"/>
      <c r="J56" s="51"/>
      <c r="K56" s="51"/>
      <c r="L56" s="51">
        <v>-0.6</v>
      </c>
      <c r="M56" s="51">
        <v>-6.1</v>
      </c>
      <c r="N56" s="51">
        <v>-13.4</v>
      </c>
      <c r="O56" s="51">
        <v>-23.4</v>
      </c>
      <c r="P56" s="51">
        <v>-34.1</v>
      </c>
      <c r="Q56" s="51">
        <v>-45.3</v>
      </c>
      <c r="R56" s="51">
        <v>-53.143000000000001</v>
      </c>
      <c r="S56" s="251">
        <f>INDEX(Segment!$A:$AR,MATCH(Annual!$A56,Segment!$A:$A,0),MATCH("1H"&amp;RIGHT(Annual!S$1,2),Segment!$A$3:$AR$3,0))+INDEX(Segment!$A:$AR,MATCH(Annual!$A56,Segment!$A:$A,0),MATCH("2H"&amp;RIGHT(Annual!S$1,2),Segment!$A$3:$AR$3,0))</f>
        <v>-60.835419316186716</v>
      </c>
      <c r="T56" s="251">
        <f>INDEX(Segment!$A:$AR,MATCH(Annual!$A56,Segment!$A:$A,0),MATCH("1H"&amp;RIGHT(Annual!T$1,2),Segment!$A$3:$AR$3,0))+INDEX(Segment!$A:$AR,MATCH(Annual!$A56,Segment!$A:$A,0),MATCH("2H"&amp;RIGHT(Annual!T$1,2),Segment!$A$3:$AR$3,0))</f>
        <v>-68.137055639222297</v>
      </c>
      <c r="U56" s="251">
        <f>INDEX(Segment!$A:$AR,MATCH(Annual!$A56,Segment!$A:$A,0),MATCH("1H"&amp;RIGHT(Annual!U$1,2),Segment!$A$3:$AR$3,0))+INDEX(Segment!$A:$AR,MATCH(Annual!$A56,Segment!$A:$A,0),MATCH("2H"&amp;RIGHT(Annual!U$1,2),Segment!$A$3:$AR$3,0))</f>
        <v>-76.972515761596128</v>
      </c>
      <c r="V56" s="251">
        <f>INDEX(Segment!$A:$AR,MATCH(Annual!$A56,Segment!$A:$A,0),MATCH("1H"&amp;RIGHT(Annual!V$1,2),Segment!$A$3:$AR$3,0))+INDEX(Segment!$A:$AR,MATCH(Annual!$A56,Segment!$A:$A,0),MATCH("2H"&amp;RIGHT(Annual!V$1,2),Segment!$A$3:$AR$3,0))</f>
        <v>-88.065021547849696</v>
      </c>
      <c r="W56" s="251">
        <f>INDEX(Segment!$A:$AR,MATCH(Annual!$A56,Segment!$A:$A,0),MATCH("1H"&amp;RIGHT(Annual!W$1,2),Segment!$A$3:$AR$3,0))+INDEX(Segment!$A:$AR,MATCH(Annual!$A56,Segment!$A:$A,0),MATCH("2H"&amp;RIGHT(Annual!W$1,2),Segment!$A$3:$AR$3,0))</f>
        <v>-101.85858288311101</v>
      </c>
      <c r="X56" s="251">
        <f>INDEX(Segment!$A:$AR,MATCH(Annual!$A56,Segment!$A:$A,0),MATCH("1H"&amp;RIGHT(Annual!X$1,2),Segment!$A$3:$AR$3,0))+INDEX(Segment!$A:$AR,MATCH(Annual!$A56,Segment!$A:$A,0),MATCH("2H"&amp;RIGHT(Annual!X$1,2),Segment!$A$3:$AR$3,0))</f>
        <v>-118.87575400453079</v>
      </c>
      <c r="Y56" s="251">
        <f>INDEX(Segment!$A:$AR,MATCH(Annual!$A56,Segment!$A:$A,0),MATCH("1H"&amp;RIGHT(Annual!Y$1,2),Segment!$A$3:$AR$3,0))+INDEX(Segment!$A:$AR,MATCH(Annual!$A56,Segment!$A:$A,0),MATCH("2H"&amp;RIGHT(Annual!Y$1,2),Segment!$A$3:$AR$3,0))</f>
        <v>-139.79950011077278</v>
      </c>
      <c r="Z56" s="251">
        <f>INDEX(Segment!$A:$AR,MATCH(Annual!$A56,Segment!$A:$A,0),MATCH("1H"&amp;RIGHT(Annual!Z$1,2),Segment!$A$3:$AR$3,0))+INDEX(Segment!$A:$AR,MATCH(Annual!$A56,Segment!$A:$A,0),MATCH("2H"&amp;RIGHT(Annual!Z$1,2),Segment!$A$3:$AR$3,0))</f>
        <v>-165.47448623457183</v>
      </c>
      <c r="AA56" s="251">
        <f>INDEX(Segment!$A:$AR,MATCH(Annual!$A56,Segment!$A:$A,0),MATCH("1H"&amp;RIGHT(Annual!AA$1,2),Segment!$A$3:$AR$3,0))+INDEX(Segment!$A:$AR,MATCH(Annual!$A56,Segment!$A:$A,0),MATCH("2H"&amp;RIGHT(Annual!AA$1,2),Segment!$A$3:$AR$3,0))</f>
        <v>-196.94523910442393</v>
      </c>
      <c r="AB56" s="251">
        <f>INDEX(Segment!$A:$AR,MATCH(Annual!$A56,Segment!$A:$A,0),MATCH("1H"&amp;RIGHT(Annual!AB$1,2),Segment!$A$3:$AR$3,0))+INDEX(Segment!$A:$AR,MATCH(Annual!$A56,Segment!$A:$A,0),MATCH("2H"&amp;RIGHT(Annual!AB$1,2),Segment!$A$3:$AR$3,0))</f>
        <v>-235.50408592389658</v>
      </c>
      <c r="AC56" s="1"/>
      <c r="AD56" s="1"/>
      <c r="AE56" s="95">
        <v>-51.78</v>
      </c>
      <c r="AF56" s="96" t="e">
        <f t="shared" si="0"/>
        <v>#N/A</v>
      </c>
      <c r="AG56" s="95">
        <v>-58.193330804278958</v>
      </c>
      <c r="AH56" s="96">
        <f t="shared" si="0"/>
        <v>-2.6420885119077582</v>
      </c>
      <c r="AI56" s="1"/>
      <c r="AJ56" s="2"/>
      <c r="AK56" s="1"/>
      <c r="AL56" s="1"/>
      <c r="AM56" s="1"/>
      <c r="AN56" s="1"/>
      <c r="AO56" s="1"/>
      <c r="AP56" s="1"/>
      <c r="AQ56" s="1"/>
      <c r="AR56" s="1"/>
    </row>
    <row r="57" spans="1:44" x14ac:dyDescent="0.25">
      <c r="A57" s="80" t="s">
        <v>207</v>
      </c>
      <c r="B57" s="92" t="s">
        <v>208</v>
      </c>
      <c r="C57" s="93"/>
      <c r="D57" s="2"/>
      <c r="E57" s="2"/>
      <c r="F57" s="51"/>
      <c r="G57" s="49"/>
      <c r="H57" s="49"/>
      <c r="I57" s="49"/>
      <c r="J57" s="49"/>
      <c r="K57" s="49">
        <v>-1.2</v>
      </c>
      <c r="L57" s="49">
        <v>-1.9</v>
      </c>
      <c r="M57" s="49">
        <v>-8.6</v>
      </c>
      <c r="N57" s="49">
        <v>-9.1</v>
      </c>
      <c r="O57" s="49">
        <v>-12.1</v>
      </c>
      <c r="P57" s="49">
        <v>-16.5</v>
      </c>
      <c r="Q57" s="49">
        <f>Q58-Q56-Q55</f>
        <v>-19.3</v>
      </c>
      <c r="R57" s="49">
        <f>R58-R56-R55</f>
        <v>-22.957999999999998</v>
      </c>
      <c r="S57" s="251">
        <f>INDEX(Segment!$A:$AR,MATCH(Annual!$A57,Segment!$A:$A,0),MATCH("1H"&amp;RIGHT(Annual!S$1,2),Segment!$A$3:$AR$3,0))+INDEX(Segment!$A:$AR,MATCH(Annual!$A57,Segment!$A:$A,0),MATCH("2H"&amp;RIGHT(Annual!S$1,2),Segment!$A$3:$AR$3,0))</f>
        <v>-26.143140042083751</v>
      </c>
      <c r="T57" s="251">
        <f>INDEX(Segment!$A:$AR,MATCH(Annual!$A57,Segment!$A:$A,0),MATCH("1H"&amp;RIGHT(Annual!T$1,2),Segment!$A$3:$AR$3,0))+INDEX(Segment!$A:$AR,MATCH(Annual!$A57,Segment!$A:$A,0),MATCH("2H"&amp;RIGHT(Annual!T$1,2),Segment!$A$3:$AR$3,0))</f>
        <v>-30.039182039735653</v>
      </c>
      <c r="U57" s="251">
        <f>INDEX(Segment!$A:$AR,MATCH(Annual!$A57,Segment!$A:$A,0),MATCH("1H"&amp;RIGHT(Annual!U$1,2),Segment!$A$3:$AR$3,0))+INDEX(Segment!$A:$AR,MATCH(Annual!$A57,Segment!$A:$A,0),MATCH("2H"&amp;RIGHT(Annual!U$1,2),Segment!$A$3:$AR$3,0))</f>
        <v>-35.245000350471813</v>
      </c>
      <c r="V57" s="251">
        <f>INDEX(Segment!$A:$AR,MATCH(Annual!$A57,Segment!$A:$A,0),MATCH("1H"&amp;RIGHT(Annual!V$1,2),Segment!$A$3:$AR$3,0))+INDEX(Segment!$A:$AR,MATCH(Annual!$A57,Segment!$A:$A,0),MATCH("2H"&amp;RIGHT(Annual!V$1,2),Segment!$A$3:$AR$3,0))</f>
        <v>-41.83939131093495</v>
      </c>
      <c r="W57" s="251">
        <f>INDEX(Segment!$A:$AR,MATCH(Annual!$A57,Segment!$A:$A,0),MATCH("1H"&amp;RIGHT(Annual!W$1,2),Segment!$A$3:$AR$3,0))+INDEX(Segment!$A:$AR,MATCH(Annual!$A57,Segment!$A:$A,0),MATCH("2H"&amp;RIGHT(Annual!W$1,2),Segment!$A$3:$AR$3,0))</f>
        <v>-49.795864248690464</v>
      </c>
      <c r="X57" s="251">
        <f>INDEX(Segment!$A:$AR,MATCH(Annual!$A57,Segment!$A:$A,0),MATCH("1H"&amp;RIGHT(Annual!X$1,2),Segment!$A$3:$AR$3,0))+INDEX(Segment!$A:$AR,MATCH(Annual!$A57,Segment!$A:$A,0),MATCH("2H"&amp;RIGHT(Annual!X$1,2),Segment!$A$3:$AR$3,0))</f>
        <v>-59.514783314810551</v>
      </c>
      <c r="Y57" s="251">
        <f>INDEX(Segment!$A:$AR,MATCH(Annual!$A57,Segment!$A:$A,0),MATCH("1H"&amp;RIGHT(Annual!Y$1,2),Segment!$A$3:$AR$3,0))+INDEX(Segment!$A:$AR,MATCH(Annual!$A57,Segment!$A:$A,0),MATCH("2H"&amp;RIGHT(Annual!Y$1,2),Segment!$A$3:$AR$3,0))</f>
        <v>-71.391725580447115</v>
      </c>
      <c r="Z57" s="251">
        <f>INDEX(Segment!$A:$AR,MATCH(Annual!$A57,Segment!$A:$A,0),MATCH("1H"&amp;RIGHT(Annual!Z$1,2),Segment!$A$3:$AR$3,0))+INDEX(Segment!$A:$AR,MATCH(Annual!$A57,Segment!$A:$A,0),MATCH("2H"&amp;RIGHT(Annual!Z$1,2),Segment!$A$3:$AR$3,0))</f>
        <v>-85.915544673239467</v>
      </c>
      <c r="AA57" s="251">
        <f>INDEX(Segment!$A:$AR,MATCH(Annual!$A57,Segment!$A:$A,0),MATCH("1H"&amp;RIGHT(Annual!AA$1,2),Segment!$A$3:$AR$3,0))+INDEX(Segment!$A:$AR,MATCH(Annual!$A57,Segment!$A:$A,0),MATCH("2H"&amp;RIGHT(Annual!AA$1,2),Segment!$A$3:$AR$3,0))</f>
        <v>-103.69137296387436</v>
      </c>
      <c r="AB57" s="251">
        <f>INDEX(Segment!$A:$AR,MATCH(Annual!$A57,Segment!$A:$A,0),MATCH("1H"&amp;RIGHT(Annual!AB$1,2),Segment!$A$3:$AR$3,0))+INDEX(Segment!$A:$AR,MATCH(Annual!$A57,Segment!$A:$A,0),MATCH("2H"&amp;RIGHT(Annual!AB$1,2),Segment!$A$3:$AR$3,0))</f>
        <v>-125.46955457895054</v>
      </c>
      <c r="AC57" s="1"/>
      <c r="AD57" s="1"/>
      <c r="AE57" s="95">
        <v>-23.004775335026562</v>
      </c>
      <c r="AF57" s="96" t="e">
        <f t="shared" si="0"/>
        <v>#N/A</v>
      </c>
      <c r="AG57" s="95">
        <v>-26.70066541385917</v>
      </c>
      <c r="AH57" s="96">
        <f t="shared" si="0"/>
        <v>0.55752537177541939</v>
      </c>
      <c r="AI57" s="1"/>
      <c r="AJ57" s="2"/>
      <c r="AK57" s="1"/>
      <c r="AL57" s="1"/>
      <c r="AM57" s="1"/>
      <c r="AN57" s="1"/>
      <c r="AO57" s="1"/>
      <c r="AP57" s="1"/>
      <c r="AQ57" s="1"/>
      <c r="AR57" s="1"/>
    </row>
    <row r="58" spans="1:44" x14ac:dyDescent="0.25">
      <c r="A58" s="80" t="s">
        <v>209</v>
      </c>
      <c r="B58" s="97" t="s">
        <v>202</v>
      </c>
      <c r="C58" s="5" t="s">
        <v>75</v>
      </c>
      <c r="D58" s="118" t="s">
        <v>158</v>
      </c>
      <c r="E58" s="114"/>
      <c r="F58" s="114"/>
      <c r="G58" s="114"/>
      <c r="H58" s="114"/>
      <c r="I58" s="114"/>
      <c r="J58" s="114"/>
      <c r="K58" s="114">
        <v>-5.0999999999999996</v>
      </c>
      <c r="L58" s="114">
        <v>-6.1</v>
      </c>
      <c r="M58" s="114">
        <v>-18.600000000000001</v>
      </c>
      <c r="N58" s="114">
        <v>-25.8</v>
      </c>
      <c r="O58" s="114">
        <v>-38.1</v>
      </c>
      <c r="P58" s="114">
        <v>-53.5</v>
      </c>
      <c r="Q58" s="114">
        <v>-68.8</v>
      </c>
      <c r="R58" s="114">
        <v>-80.796999999999997</v>
      </c>
      <c r="S58" s="267">
        <f>INDEX(Segment!$A:$AR,MATCH(Annual!$A58,Segment!$A:$A,0),MATCH("1H"&amp;RIGHT(Annual!S$1,2),Segment!$A$3:$AR$3,0))+INDEX(Segment!$A:$AR,MATCH(Annual!$A58,Segment!$A:$A,0),MATCH("2H"&amp;RIGHT(Annual!S$1,2),Segment!$A$3:$AR$3,0))</f>
        <v>-92.325998014724178</v>
      </c>
      <c r="T58" s="267">
        <f>INDEX(Segment!$A:$AR,MATCH(Annual!$A58,Segment!$A:$A,0),MATCH("1H"&amp;RIGHT(Annual!T$1,2),Segment!$A$3:$AR$3,0))+INDEX(Segment!$A:$AR,MATCH(Annual!$A58,Segment!$A:$A,0),MATCH("2H"&amp;RIGHT(Annual!T$1,2),Segment!$A$3:$AR$3,0))</f>
        <v>-104.32075026726417</v>
      </c>
      <c r="U58" s="267">
        <f>INDEX(Segment!$A:$AR,MATCH(Annual!$A58,Segment!$A:$A,0),MATCH("1H"&amp;RIGHT(Annual!U$1,2),Segment!$A$3:$AR$3,0))+INDEX(Segment!$A:$AR,MATCH(Annual!$A58,Segment!$A:$A,0),MATCH("2H"&amp;RIGHT(Annual!U$1,2),Segment!$A$3:$AR$3,0))</f>
        <v>-119.42715237152096</v>
      </c>
      <c r="V58" s="267">
        <f>INDEX(Segment!$A:$AR,MATCH(Annual!$A58,Segment!$A:$A,0),MATCH("1H"&amp;RIGHT(Annual!V$1,2),Segment!$A$3:$AR$3,0))+INDEX(Segment!$A:$AR,MATCH(Annual!$A58,Segment!$A:$A,0),MATCH("2H"&amp;RIGHT(Annual!V$1,2),Segment!$A$3:$AR$3,0))</f>
        <v>-138.46287601543571</v>
      </c>
      <c r="W58" s="267">
        <f>INDEX(Segment!$A:$AR,MATCH(Annual!$A58,Segment!$A:$A,0),MATCH("1H"&amp;RIGHT(Annual!W$1,2),Segment!$A$3:$AR$3,0))+INDEX(Segment!$A:$AR,MATCH(Annual!$A58,Segment!$A:$A,0),MATCH("2H"&amp;RIGHT(Annual!W$1,2),Segment!$A$3:$AR$3,0))</f>
        <v>-161.84043661573335</v>
      </c>
      <c r="X58" s="267">
        <f>INDEX(Segment!$A:$AR,MATCH(Annual!$A58,Segment!$A:$A,0),MATCH("1H"&amp;RIGHT(Annual!X$1,2),Segment!$A$3:$AR$3,0))+INDEX(Segment!$A:$AR,MATCH(Annual!$A58,Segment!$A:$A,0),MATCH("2H"&amp;RIGHT(Annual!X$1,2),Segment!$A$3:$AR$3,0))</f>
        <v>-190.56456714681462</v>
      </c>
      <c r="Y58" s="267">
        <f>INDEX(Segment!$A:$AR,MATCH(Annual!$A58,Segment!$A:$A,0),MATCH("1H"&amp;RIGHT(Annual!Y$1,2),Segment!$A$3:$AR$3,0))+INDEX(Segment!$A:$AR,MATCH(Annual!$A58,Segment!$A:$A,0),MATCH("2H"&amp;RIGHT(Annual!Y$1,2),Segment!$A$3:$AR$3,0))</f>
        <v>-225.794725874997</v>
      </c>
      <c r="Z58" s="267">
        <f>INDEX(Segment!$A:$AR,MATCH(Annual!$A58,Segment!$A:$A,0),MATCH("1H"&amp;RIGHT(Annual!Z$1,2),Segment!$A$3:$AR$3,0))+INDEX(Segment!$A:$AR,MATCH(Annual!$A58,Segment!$A:$A,0),MATCH("2H"&amp;RIGHT(Annual!Z$1,2),Segment!$A$3:$AR$3,0))</f>
        <v>-268.96442721304379</v>
      </c>
      <c r="AA58" s="267">
        <f>INDEX(Segment!$A:$AR,MATCH(Annual!$A58,Segment!$A:$A,0),MATCH("1H"&amp;RIGHT(Annual!AA$1,2),Segment!$A$3:$AR$3,0))+INDEX(Segment!$A:$AR,MATCH(Annual!$A58,Segment!$A:$A,0),MATCH("2H"&amp;RIGHT(Annual!AA$1,2),Segment!$A$3:$AR$3,0))</f>
        <v>-321.8471108414044</v>
      </c>
      <c r="AB58" s="267">
        <f>INDEX(Segment!$A:$AR,MATCH(Annual!$A58,Segment!$A:$A,0),MATCH("1H"&amp;RIGHT(Annual!AB$1,2),Segment!$A$3:$AR$3,0))+INDEX(Segment!$A:$AR,MATCH(Annual!$A58,Segment!$A:$A,0),MATCH("2H"&amp;RIGHT(Annual!AB$1,2),Segment!$A$3:$AR$3,0))</f>
        <v>-386.6389317098093</v>
      </c>
      <c r="AC58" s="1"/>
      <c r="AD58" s="1"/>
      <c r="AE58" s="99">
        <v>-79.750219223200929</v>
      </c>
      <c r="AF58" s="100" t="e">
        <f t="shared" si="0"/>
        <v>#N/A</v>
      </c>
      <c r="AG58" s="99">
        <v>-90.657389032072828</v>
      </c>
      <c r="AH58" s="100">
        <f t="shared" si="0"/>
        <v>-1.6686089826513495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x14ac:dyDescent="0.25">
      <c r="A59" s="80"/>
      <c r="B59" s="92" t="s">
        <v>210</v>
      </c>
      <c r="C59" s="93" t="s">
        <v>6</v>
      </c>
      <c r="D59" s="2"/>
      <c r="E59" s="2"/>
      <c r="F59" s="2"/>
      <c r="G59" s="2"/>
      <c r="H59" s="2"/>
      <c r="I59" s="2"/>
      <c r="J59" s="2"/>
      <c r="K59" s="101">
        <v>-0.02</v>
      </c>
      <c r="L59" s="101">
        <v>-2.1000000000000001E-2</v>
      </c>
      <c r="M59" s="101">
        <v>-6.2E-2</v>
      </c>
      <c r="N59" s="101">
        <v>-8.3000000000000004E-2</v>
      </c>
      <c r="O59" s="101">
        <v>-0.10299999999999999</v>
      </c>
      <c r="P59" s="101">
        <v>-0.122</v>
      </c>
      <c r="Q59" s="253">
        <f t="shared" ref="Q59:AB59" si="12">Q58/Q$27</f>
        <v>-0.13348855258051998</v>
      </c>
      <c r="R59" s="253">
        <f t="shared" ref="R59" si="13">R58/R$27</f>
        <v>-0.13244801877946585</v>
      </c>
      <c r="S59" s="253">
        <f t="shared" si="12"/>
        <v>-0.13291889731723547</v>
      </c>
      <c r="T59" s="253">
        <f t="shared" si="12"/>
        <v>-0.13068772293349923</v>
      </c>
      <c r="U59" s="253">
        <f t="shared" si="12"/>
        <v>-0.12748463376971417</v>
      </c>
      <c r="V59" s="253">
        <f t="shared" si="12"/>
        <v>-0.12451825158213035</v>
      </c>
      <c r="W59" s="253">
        <f t="shared" si="12"/>
        <v>-0.12228739351606441</v>
      </c>
      <c r="X59" s="253">
        <f t="shared" si="12"/>
        <v>-0.12047804406433281</v>
      </c>
      <c r="Y59" s="253">
        <f t="shared" si="12"/>
        <v>-0.11900332363639658</v>
      </c>
      <c r="Z59" s="253">
        <f t="shared" si="12"/>
        <v>-0.11779280850945713</v>
      </c>
      <c r="AA59" s="253">
        <f t="shared" si="12"/>
        <v>-0.11678986646111221</v>
      </c>
      <c r="AB59" s="253">
        <f t="shared" si="12"/>
        <v>-0.1159492431972511</v>
      </c>
      <c r="AC59" s="1"/>
      <c r="AD59" s="1"/>
      <c r="AE59" s="119">
        <v>-0.13181611336125679</v>
      </c>
      <c r="AF59" s="120" t="e">
        <f t="shared" si="0"/>
        <v>#N/A</v>
      </c>
      <c r="AG59" s="119">
        <v>-0.12910116473253411</v>
      </c>
      <c r="AH59" s="120">
        <f t="shared" si="0"/>
        <v>-3.817732584701361E-3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x14ac:dyDescent="0.25">
      <c r="A60" s="284"/>
      <c r="B60" s="285"/>
      <c r="C60" s="9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74"/>
      <c r="AF60" s="75" t="str">
        <f t="shared" si="0"/>
        <v/>
      </c>
      <c r="AG60" s="74"/>
      <c r="AH60" s="75" t="str">
        <f t="shared" si="0"/>
        <v/>
      </c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x14ac:dyDescent="0.25">
      <c r="A61" s="80"/>
      <c r="B61" s="90" t="s">
        <v>54</v>
      </c>
      <c r="C61" s="91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1"/>
      <c r="AD61" s="1"/>
      <c r="AE61" s="95"/>
      <c r="AF61" s="96" t="str">
        <f t="shared" si="0"/>
        <v/>
      </c>
      <c r="AG61" s="95"/>
      <c r="AH61" s="96" t="str">
        <f t="shared" si="0"/>
        <v/>
      </c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x14ac:dyDescent="0.25">
      <c r="A62" s="80" t="s">
        <v>54</v>
      </c>
      <c r="B62" s="97" t="s">
        <v>54</v>
      </c>
      <c r="C62" s="5" t="s">
        <v>75</v>
      </c>
      <c r="D62" s="98"/>
      <c r="E62" s="114"/>
      <c r="F62" s="114"/>
      <c r="G62" s="114"/>
      <c r="H62" s="114">
        <v>49.2</v>
      </c>
      <c r="I62" s="114">
        <v>52.4</v>
      </c>
      <c r="J62" s="114">
        <v>57.3</v>
      </c>
      <c r="K62" s="98">
        <v>50.5</v>
      </c>
      <c r="L62" s="98">
        <v>75.8</v>
      </c>
      <c r="M62" s="98">
        <v>83.6</v>
      </c>
      <c r="N62" s="98">
        <v>99.1</v>
      </c>
      <c r="O62" s="98">
        <v>113.7</v>
      </c>
      <c r="P62" s="98">
        <v>127.8</v>
      </c>
      <c r="Q62" s="257">
        <f>Q50+Q58</f>
        <v>147</v>
      </c>
      <c r="R62" s="257">
        <f>R50+R58</f>
        <v>174.90299999999999</v>
      </c>
      <c r="S62" s="267">
        <f>INDEX(Segment!$A:$AR,MATCH(Annual!$A62,Segment!$A:$A,0),MATCH("1H"&amp;RIGHT(Annual!S$1,2),Segment!$A$3:$AR$3,0))+INDEX(Segment!$A:$AR,MATCH(Annual!$A62,Segment!$A:$A,0),MATCH("2H"&amp;RIGHT(Annual!S$1,2),Segment!$A$3:$AR$3,0))</f>
        <v>205.74063275554769</v>
      </c>
      <c r="T62" s="267">
        <f>INDEX(Segment!$A:$AR,MATCH(Annual!$A62,Segment!$A:$A,0),MATCH("1H"&amp;RIGHT(Annual!T$1,2),Segment!$A$3:$AR$3,0))+INDEX(Segment!$A:$AR,MATCH(Annual!$A62,Segment!$A:$A,0),MATCH("2H"&amp;RIGHT(Annual!T$1,2),Segment!$A$3:$AR$3,0))</f>
        <v>246.26811021125852</v>
      </c>
      <c r="U62" s="267">
        <f>INDEX(Segment!$A:$AR,MATCH(Annual!$A62,Segment!$A:$A,0),MATCH("1H"&amp;RIGHT(Annual!U$1,2),Segment!$A$3:$AR$3,0))+INDEX(Segment!$A:$AR,MATCH(Annual!$A62,Segment!$A:$A,0),MATCH("2H"&amp;RIGHT(Annual!U$1,2),Segment!$A$3:$AR$3,0))</f>
        <v>301.49478329995424</v>
      </c>
      <c r="V62" s="267">
        <f>INDEX(Segment!$A:$AR,MATCH(Annual!$A62,Segment!$A:$A,0),MATCH("1H"&amp;RIGHT(Annual!V$1,2),Segment!$A$3:$AR$3,0))+INDEX(Segment!$A:$AR,MATCH(Annual!$A62,Segment!$A:$A,0),MATCH("2H"&amp;RIGHT(Annual!V$1,2),Segment!$A$3:$AR$3,0))</f>
        <v>366.69245375101946</v>
      </c>
      <c r="W62" s="267">
        <f>INDEX(Segment!$A:$AR,MATCH(Annual!$A62,Segment!$A:$A,0),MATCH("1H"&amp;RIGHT(Annual!W$1,2),Segment!$A$3:$AR$3,0))+INDEX(Segment!$A:$AR,MATCH(Annual!$A62,Segment!$A:$A,0),MATCH("2H"&amp;RIGHT(Annual!W$1,2),Segment!$A$3:$AR$3,0))</f>
        <v>445.9873551504611</v>
      </c>
      <c r="X62" s="267">
        <f>INDEX(Segment!$A:$AR,MATCH(Annual!$A62,Segment!$A:$A,0),MATCH("1H"&amp;RIGHT(Annual!X$1,2),Segment!$A$3:$AR$3,0))+INDEX(Segment!$A:$AR,MATCH(Annual!$A62,Segment!$A:$A,0),MATCH("2H"&amp;RIGHT(Annual!X$1,2),Segment!$A$3:$AR$3,0))</f>
        <v>543.79519159622532</v>
      </c>
      <c r="Y62" s="267">
        <f>INDEX(Segment!$A:$AR,MATCH(Annual!$A62,Segment!$A:$A,0),MATCH("1H"&amp;RIGHT(Annual!Y$1,2),Segment!$A$3:$AR$3,0))+INDEX(Segment!$A:$AR,MATCH(Annual!$A62,Segment!$A:$A,0),MATCH("2H"&amp;RIGHT(Annual!Y$1,2),Segment!$A$3:$AR$3,0))</f>
        <v>664.59181711794429</v>
      </c>
      <c r="Z62" s="267">
        <f>INDEX(Segment!$A:$AR,MATCH(Annual!$A62,Segment!$A:$A,0),MATCH("1H"&amp;RIGHT(Annual!Z$1,2),Segment!$A$3:$AR$3,0))+INDEX(Segment!$A:$AR,MATCH(Annual!$A62,Segment!$A:$A,0),MATCH("2H"&amp;RIGHT(Annual!Z$1,2),Segment!$A$3:$AR$3,0))</f>
        <v>813.96470098087957</v>
      </c>
      <c r="AA62" s="267">
        <f>INDEX(Segment!$A:$AR,MATCH(Annual!$A62,Segment!$A:$A,0),MATCH("1H"&amp;RIGHT(Annual!AA$1,2),Segment!$A$3:$AR$3,0))+INDEX(Segment!$A:$AR,MATCH(Annual!$A62,Segment!$A:$A,0),MATCH("2H"&amp;RIGHT(Annual!AA$1,2),Segment!$A$3:$AR$3,0))</f>
        <v>998.90191809203009</v>
      </c>
      <c r="AB62" s="267">
        <f>INDEX(Segment!$A:$AR,MATCH(Annual!$A62,Segment!$A:$A,0),MATCH("1H"&amp;RIGHT(Annual!AB$1,2),Segment!$A$3:$AR$3,0))+INDEX(Segment!$A:$AR,MATCH(Annual!$A62,Segment!$A:$A,0),MATCH("2H"&amp;RIGHT(Annual!AB$1,2),Segment!$A$3:$AR$3,0))</f>
        <v>1228.1588556461479</v>
      </c>
      <c r="AC62" s="1"/>
      <c r="AD62" s="1"/>
      <c r="AE62" s="99">
        <v>177.22574998104977</v>
      </c>
      <c r="AF62" s="100" t="e">
        <f t="shared" si="0"/>
        <v>#N/A</v>
      </c>
      <c r="AG62" s="99">
        <v>214.63942437181447</v>
      </c>
      <c r="AH62" s="100">
        <f t="shared" si="0"/>
        <v>-8.8987916162667773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x14ac:dyDescent="0.25">
      <c r="A63" s="80"/>
      <c r="B63" s="92" t="s">
        <v>211</v>
      </c>
      <c r="C63" s="93" t="s">
        <v>168</v>
      </c>
      <c r="D63" s="89"/>
      <c r="E63" s="2"/>
      <c r="F63" s="2"/>
      <c r="G63" s="2"/>
      <c r="H63" s="2"/>
      <c r="I63" s="66">
        <v>7.0000000000000007E-2</v>
      </c>
      <c r="J63" s="66">
        <v>0.09</v>
      </c>
      <c r="K63" s="66">
        <v>-0.12</v>
      </c>
      <c r="L63" s="66">
        <v>0.5</v>
      </c>
      <c r="M63" s="66">
        <v>0.1</v>
      </c>
      <c r="N63" s="66">
        <v>0.19</v>
      </c>
      <c r="O63" s="66">
        <v>0.15</v>
      </c>
      <c r="P63" s="66">
        <v>0.12</v>
      </c>
      <c r="Q63" s="253">
        <f t="shared" ref="Q63:AB63" si="14">Q62/P62-1</f>
        <v>0.15023474178403751</v>
      </c>
      <c r="R63" s="253">
        <f t="shared" si="14"/>
        <v>0.18981632653061209</v>
      </c>
      <c r="S63" s="253">
        <f t="shared" si="14"/>
        <v>0.17631277196816342</v>
      </c>
      <c r="T63" s="253">
        <f t="shared" si="14"/>
        <v>0.19698334214741076</v>
      </c>
      <c r="U63" s="253">
        <f t="shared" si="14"/>
        <v>0.22425426110315327</v>
      </c>
      <c r="V63" s="253">
        <f t="shared" si="14"/>
        <v>0.21624808806791429</v>
      </c>
      <c r="W63" s="253">
        <f t="shared" si="14"/>
        <v>0.21624361392853242</v>
      </c>
      <c r="X63" s="253">
        <f t="shared" si="14"/>
        <v>0.21930629941911062</v>
      </c>
      <c r="Y63" s="253">
        <f t="shared" si="14"/>
        <v>0.2221362516412464</v>
      </c>
      <c r="Z63" s="253">
        <f t="shared" si="14"/>
        <v>0.2247588369515332</v>
      </c>
      <c r="AA63" s="253">
        <f t="shared" si="14"/>
        <v>0.22720545115566959</v>
      </c>
      <c r="AB63" s="253">
        <f t="shared" si="14"/>
        <v>0.22950895718772268</v>
      </c>
      <c r="AC63" s="1"/>
      <c r="AD63" s="2"/>
      <c r="AE63" s="102">
        <v>0.20561734680986232</v>
      </c>
      <c r="AF63" s="103" t="e">
        <f t="shared" si="0"/>
        <v>#N/A</v>
      </c>
      <c r="AG63" s="102">
        <v>0.2111074400574704</v>
      </c>
      <c r="AH63" s="103">
        <f t="shared" si="0"/>
        <v>-3.4794668089306979E-2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x14ac:dyDescent="0.25">
      <c r="A64" s="80"/>
      <c r="B64" s="92" t="s">
        <v>212</v>
      </c>
      <c r="C64" s="93" t="s">
        <v>6</v>
      </c>
      <c r="D64" s="2"/>
      <c r="E64" s="2"/>
      <c r="F64" s="2"/>
      <c r="G64" s="2"/>
      <c r="H64" s="101">
        <v>0.22500000000000001</v>
      </c>
      <c r="I64" s="101">
        <v>0.21099999999999999</v>
      </c>
      <c r="J64" s="101">
        <v>0.21</v>
      </c>
      <c r="K64" s="101">
        <v>0.19900000000000001</v>
      </c>
      <c r="L64" s="101">
        <v>0.26500000000000001</v>
      </c>
      <c r="M64" s="101">
        <v>0.28000000000000003</v>
      </c>
      <c r="N64" s="101">
        <v>0.318</v>
      </c>
      <c r="O64" s="101">
        <v>0.308</v>
      </c>
      <c r="P64" s="101">
        <v>0.29199999999999998</v>
      </c>
      <c r="Q64" s="253">
        <f t="shared" ref="Q64:AB64" si="15">Q62/Q$27</f>
        <v>0.28521536670547148</v>
      </c>
      <c r="R64" s="253">
        <f t="shared" ref="R64" si="16">R62/R$27</f>
        <v>0.28671306890831239</v>
      </c>
      <c r="S64" s="253">
        <f t="shared" si="15"/>
        <v>0.29619845576818371</v>
      </c>
      <c r="T64" s="253">
        <f t="shared" si="15"/>
        <v>0.30851214616642575</v>
      </c>
      <c r="U64" s="253">
        <f t="shared" si="15"/>
        <v>0.32183595831628969</v>
      </c>
      <c r="V64" s="253">
        <f t="shared" si="15"/>
        <v>0.32976278207848303</v>
      </c>
      <c r="W64" s="253">
        <f t="shared" si="15"/>
        <v>0.33699013882400281</v>
      </c>
      <c r="X64" s="253">
        <f t="shared" si="15"/>
        <v>0.34379623681367805</v>
      </c>
      <c r="Y64" s="253">
        <f t="shared" si="15"/>
        <v>0.35026785852550052</v>
      </c>
      <c r="Z64" s="253">
        <f t="shared" si="15"/>
        <v>0.35647534935968844</v>
      </c>
      <c r="AA64" s="253">
        <f t="shared" si="15"/>
        <v>0.36247528000710877</v>
      </c>
      <c r="AB64" s="253">
        <f t="shared" si="15"/>
        <v>0.36831285770532224</v>
      </c>
      <c r="AC64" s="1"/>
      <c r="AD64" s="1"/>
      <c r="AE64" s="119">
        <v>0.29292972204444512</v>
      </c>
      <c r="AF64" s="120" t="e">
        <f t="shared" si="0"/>
        <v>#N/A</v>
      </c>
      <c r="AG64" s="119">
        <v>0.30565847946623065</v>
      </c>
      <c r="AH64" s="120">
        <f t="shared" si="0"/>
        <v>-9.4600236980469377E-3</v>
      </c>
      <c r="AI64" s="1"/>
      <c r="AJ64" s="2"/>
      <c r="AK64" s="1"/>
      <c r="AL64" s="1"/>
      <c r="AM64" s="1"/>
      <c r="AN64" s="1"/>
      <c r="AO64" s="1"/>
      <c r="AP64" s="1"/>
      <c r="AQ64" s="1"/>
      <c r="AR64" s="1"/>
    </row>
    <row r="65" spans="1:44" x14ac:dyDescent="0.25">
      <c r="A65" s="284"/>
      <c r="B65" s="285"/>
      <c r="C65" s="93"/>
      <c r="D65" s="128"/>
      <c r="E65" s="128"/>
      <c r="F65" s="128"/>
      <c r="G65" s="128"/>
      <c r="H65" s="128"/>
      <c r="I65" s="128"/>
      <c r="J65" s="128"/>
      <c r="K65" s="128"/>
      <c r="L65" s="129">
        <v>1.1399999999999999</v>
      </c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"/>
      <c r="AD65" s="128"/>
      <c r="AE65" s="130"/>
      <c r="AF65" s="131" t="str">
        <f t="shared" si="0"/>
        <v/>
      </c>
      <c r="AG65" s="130"/>
      <c r="AH65" s="131" t="str">
        <f t="shared" si="0"/>
        <v/>
      </c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x14ac:dyDescent="0.25">
      <c r="A66" s="80"/>
      <c r="B66" s="90" t="s">
        <v>213</v>
      </c>
      <c r="C66" s="132"/>
      <c r="D66" s="2"/>
      <c r="E66" s="2"/>
      <c r="F66" s="51"/>
      <c r="G66" s="2"/>
      <c r="H66" s="2"/>
      <c r="I66" s="2"/>
      <c r="J66" s="2"/>
      <c r="K66" s="2"/>
      <c r="L66" s="2"/>
      <c r="M66" s="2"/>
      <c r="N66" s="2"/>
      <c r="O66" s="2"/>
      <c r="P66" s="51"/>
      <c r="Q66" s="51"/>
      <c r="R66" s="51"/>
      <c r="S66" s="2"/>
      <c r="T66" s="2"/>
      <c r="U66" s="2"/>
      <c r="V66" s="2"/>
      <c r="W66" s="2"/>
      <c r="X66" s="2"/>
      <c r="Y66" s="2"/>
      <c r="Z66" s="2"/>
      <c r="AA66" s="2"/>
      <c r="AB66" s="2"/>
      <c r="AC66" s="1"/>
      <c r="AD66" s="1"/>
      <c r="AE66" s="88"/>
      <c r="AF66" s="89" t="str">
        <f t="shared" si="0"/>
        <v/>
      </c>
      <c r="AG66" s="88"/>
      <c r="AH66" s="89" t="str">
        <f t="shared" si="0"/>
        <v/>
      </c>
      <c r="AI66" s="1"/>
      <c r="AJ66" s="2"/>
      <c r="AK66" s="1"/>
      <c r="AL66" s="1"/>
      <c r="AM66" s="1"/>
      <c r="AN66" s="1"/>
      <c r="AO66" s="1"/>
      <c r="AP66" s="1"/>
      <c r="AQ66" s="1"/>
      <c r="AR66" s="1"/>
    </row>
    <row r="67" spans="1:44" x14ac:dyDescent="0.25">
      <c r="A67" s="80" t="s">
        <v>214</v>
      </c>
      <c r="B67" s="92" t="s">
        <v>214</v>
      </c>
      <c r="C67" s="93" t="s">
        <v>75</v>
      </c>
      <c r="D67" s="51" t="s">
        <v>158</v>
      </c>
      <c r="E67" s="51"/>
      <c r="F67" s="51"/>
      <c r="G67" s="51"/>
      <c r="H67" s="51"/>
      <c r="I67" s="51"/>
      <c r="J67" s="51"/>
      <c r="K67" s="51">
        <v>0.7</v>
      </c>
      <c r="L67" s="51">
        <v>0.6</v>
      </c>
      <c r="M67" s="51">
        <v>0.4</v>
      </c>
      <c r="N67" s="51">
        <v>0.2</v>
      </c>
      <c r="O67" s="51">
        <v>0.4</v>
      </c>
      <c r="P67" s="51">
        <v>4.0999999999999996</v>
      </c>
      <c r="Q67" s="51">
        <v>8.4</v>
      </c>
      <c r="R67" s="51">
        <v>10.15</v>
      </c>
      <c r="S67" s="251">
        <f t="shared" ref="S67:AB67" si="17">R140*S70</f>
        <v>10.844505557867503</v>
      </c>
      <c r="T67" s="251">
        <f t="shared" si="17"/>
        <v>11.779095204895546</v>
      </c>
      <c r="U67" s="251">
        <f t="shared" si="17"/>
        <v>14.181529278673828</v>
      </c>
      <c r="V67" s="251">
        <f t="shared" si="17"/>
        <v>16.854909304551551</v>
      </c>
      <c r="W67" s="251">
        <f t="shared" si="17"/>
        <v>17.092203518760289</v>
      </c>
      <c r="X67" s="251">
        <f t="shared" si="17"/>
        <v>17.351485832456191</v>
      </c>
      <c r="Y67" s="251">
        <f t="shared" si="17"/>
        <v>17.637413894025347</v>
      </c>
      <c r="Z67" s="251">
        <f t="shared" si="17"/>
        <v>18.004718422370043</v>
      </c>
      <c r="AA67" s="251">
        <f t="shared" si="17"/>
        <v>18.552012543139139</v>
      </c>
      <c r="AB67" s="251">
        <f t="shared" si="17"/>
        <v>19.363596959487722</v>
      </c>
      <c r="AC67" s="1"/>
      <c r="AD67" s="1"/>
      <c r="AE67" s="95">
        <v>9.3270119521912349</v>
      </c>
      <c r="AF67" s="96" t="e">
        <f t="shared" si="0"/>
        <v>#N/A</v>
      </c>
      <c r="AG67" s="95">
        <v>10.671983159637373</v>
      </c>
      <c r="AH67" s="96">
        <f t="shared" si="0"/>
        <v>0.17252239823013049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x14ac:dyDescent="0.25">
      <c r="A68" s="80" t="s">
        <v>215</v>
      </c>
      <c r="B68" s="92" t="s">
        <v>215</v>
      </c>
      <c r="C68" s="93" t="s">
        <v>75</v>
      </c>
      <c r="D68" s="51"/>
      <c r="E68" s="51"/>
      <c r="F68" s="51"/>
      <c r="G68" s="49"/>
      <c r="H68" s="49"/>
      <c r="I68" s="49"/>
      <c r="J68" s="49"/>
      <c r="K68" s="49">
        <v>-0.4</v>
      </c>
      <c r="L68" s="49">
        <v>0</v>
      </c>
      <c r="M68" s="49">
        <v>-1.5</v>
      </c>
      <c r="N68" s="49">
        <v>-1.5</v>
      </c>
      <c r="O68" s="49">
        <v>-1.8</v>
      </c>
      <c r="P68" s="49">
        <v>-2.1</v>
      </c>
      <c r="Q68" s="49">
        <f>Q69-Q67</f>
        <v>-2.6000000000000005</v>
      </c>
      <c r="R68" s="51">
        <v>-3.5110000000000001</v>
      </c>
      <c r="S68" s="251">
        <f t="shared" ref="S68:AB68" si="18">R68+S71*S212</f>
        <v>-3.5110000000000001</v>
      </c>
      <c r="T68" s="251">
        <f t="shared" si="18"/>
        <v>-3.5110000000000001</v>
      </c>
      <c r="U68" s="251">
        <f t="shared" si="18"/>
        <v>-3.5110000000000001</v>
      </c>
      <c r="V68" s="251">
        <f t="shared" si="18"/>
        <v>-3.5110000000000001</v>
      </c>
      <c r="W68" s="251">
        <f t="shared" si="18"/>
        <v>-3.5110000000000001</v>
      </c>
      <c r="X68" s="251">
        <f t="shared" si="18"/>
        <v>-3.5110000000000001</v>
      </c>
      <c r="Y68" s="251">
        <f t="shared" si="18"/>
        <v>-3.5110000000000001</v>
      </c>
      <c r="Z68" s="251">
        <f t="shared" si="18"/>
        <v>-3.5110000000000001</v>
      </c>
      <c r="AA68" s="251">
        <f t="shared" si="18"/>
        <v>-3.5110000000000001</v>
      </c>
      <c r="AB68" s="251">
        <f t="shared" si="18"/>
        <v>-3.5110000000000001</v>
      </c>
      <c r="AC68" s="1"/>
      <c r="AD68" s="1"/>
      <c r="AE68" s="95">
        <v>-2.6000000000000005</v>
      </c>
      <c r="AF68" s="96" t="e">
        <f t="shared" si="0"/>
        <v>#N/A</v>
      </c>
      <c r="AG68" s="95">
        <v>-2.6000000000000005</v>
      </c>
      <c r="AH68" s="96">
        <f t="shared" si="0"/>
        <v>-0.91099999999999959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x14ac:dyDescent="0.25">
      <c r="A69" s="80" t="s">
        <v>78</v>
      </c>
      <c r="B69" s="97" t="s">
        <v>78</v>
      </c>
      <c r="C69" s="5" t="s">
        <v>75</v>
      </c>
      <c r="D69" s="118" t="s">
        <v>179</v>
      </c>
      <c r="E69" s="114"/>
      <c r="F69" s="98"/>
      <c r="G69" s="114"/>
      <c r="H69" s="114"/>
      <c r="I69" s="114"/>
      <c r="J69" s="114"/>
      <c r="K69" s="114">
        <v>0.3</v>
      </c>
      <c r="L69" s="114">
        <v>0.6</v>
      </c>
      <c r="M69" s="114">
        <v>-1.1000000000000001</v>
      </c>
      <c r="N69" s="114">
        <v>-1.3</v>
      </c>
      <c r="O69" s="114">
        <v>-1.4</v>
      </c>
      <c r="P69" s="114">
        <v>2</v>
      </c>
      <c r="Q69" s="114">
        <v>5.8</v>
      </c>
      <c r="R69" s="255">
        <f>SUM(R67:R68)</f>
        <v>6.6390000000000002</v>
      </c>
      <c r="S69" s="267">
        <v>8.8000000000000007</v>
      </c>
      <c r="T69" s="267">
        <v>11.1</v>
      </c>
      <c r="U69" s="267">
        <v>13.7</v>
      </c>
      <c r="V69" s="267">
        <v>16.600000000000001</v>
      </c>
      <c r="W69" s="267">
        <v>16.8</v>
      </c>
      <c r="X69" s="267">
        <v>17</v>
      </c>
      <c r="Y69" s="267">
        <v>17.3</v>
      </c>
      <c r="Z69" s="267">
        <v>17.8</v>
      </c>
      <c r="AA69" s="267">
        <v>18.8</v>
      </c>
      <c r="AB69" s="267">
        <v>20.3</v>
      </c>
      <c r="AC69" s="1"/>
      <c r="AD69" s="1"/>
      <c r="AE69" s="99">
        <v>7.1</v>
      </c>
      <c r="AF69" s="100" t="e">
        <f t="shared" si="0"/>
        <v>#N/A</v>
      </c>
      <c r="AG69" s="99">
        <v>8.8000000000000007</v>
      </c>
      <c r="AH69" s="100">
        <f t="shared" si="0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x14ac:dyDescent="0.25">
      <c r="A70" s="80"/>
      <c r="B70" s="107" t="s">
        <v>504</v>
      </c>
      <c r="C70" s="115"/>
      <c r="D70" s="51"/>
      <c r="E70" s="121"/>
      <c r="F70" s="49"/>
      <c r="G70" s="49"/>
      <c r="H70" s="49"/>
      <c r="I70" s="49"/>
      <c r="J70" s="49"/>
      <c r="K70" s="49" t="e">
        <v>#DIV/0!</v>
      </c>
      <c r="L70" s="49" t="e">
        <v>#DIV/0!</v>
      </c>
      <c r="M70" s="49" t="e">
        <v>#DIV/0!</v>
      </c>
      <c r="N70" s="49" t="e">
        <v>#DIV/0!</v>
      </c>
      <c r="O70" s="49" t="e">
        <v>#DIV/0!</v>
      </c>
      <c r="P70" s="49" t="e">
        <v>#DIV/0!</v>
      </c>
      <c r="Q70" s="268">
        <f>Q67/AVERAGE(P140:Q140)</f>
        <v>3.3466135458167331E-2</v>
      </c>
      <c r="R70" s="268">
        <f>R67/AVERAGE(Q140:R140)</f>
        <v>3.3927141880633283E-2</v>
      </c>
      <c r="S70" s="133">
        <f t="shared" ref="S70:AB70" si="19">R70</f>
        <v>3.3927141880633283E-2</v>
      </c>
      <c r="T70" s="133">
        <f t="shared" si="19"/>
        <v>3.3927141880633283E-2</v>
      </c>
      <c r="U70" s="133">
        <f t="shared" si="19"/>
        <v>3.3927141880633283E-2</v>
      </c>
      <c r="V70" s="133">
        <f t="shared" si="19"/>
        <v>3.3927141880633283E-2</v>
      </c>
      <c r="W70" s="133">
        <f t="shared" si="19"/>
        <v>3.3927141880633283E-2</v>
      </c>
      <c r="X70" s="133">
        <f t="shared" si="19"/>
        <v>3.3927141880633283E-2</v>
      </c>
      <c r="Y70" s="133">
        <f t="shared" si="19"/>
        <v>3.3927141880633283E-2</v>
      </c>
      <c r="Z70" s="133">
        <f t="shared" si="19"/>
        <v>3.3927141880633283E-2</v>
      </c>
      <c r="AA70" s="133">
        <f t="shared" si="19"/>
        <v>3.3927141880633283E-2</v>
      </c>
      <c r="AB70" s="133">
        <f t="shared" si="19"/>
        <v>3.3927141880633283E-2</v>
      </c>
      <c r="AC70" s="1"/>
      <c r="AD70" s="1"/>
      <c r="AE70" s="134">
        <v>3.3466135458167331E-2</v>
      </c>
      <c r="AF70" s="135" t="e">
        <f t="shared" si="0"/>
        <v>#N/A</v>
      </c>
      <c r="AG70" s="134">
        <v>3.3466135458167331E-2</v>
      </c>
      <c r="AH70" s="135">
        <f t="shared" si="0"/>
        <v>4.6100642246595103E-4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x14ac:dyDescent="0.25">
      <c r="A71" s="80"/>
      <c r="B71" s="107" t="s">
        <v>216</v>
      </c>
      <c r="C71" s="115"/>
      <c r="D71" s="51"/>
      <c r="E71" s="121"/>
      <c r="F71" s="49"/>
      <c r="G71" s="49"/>
      <c r="H71" s="49"/>
      <c r="I71" s="49"/>
      <c r="J71" s="49"/>
      <c r="K71" s="49" t="e">
        <v>#DIV/0!</v>
      </c>
      <c r="L71" s="49" t="e">
        <v>#DIV/0!</v>
      </c>
      <c r="M71" s="49" t="e">
        <v>#DIV/0!</v>
      </c>
      <c r="N71" s="49" t="e">
        <v>#DIV/0!</v>
      </c>
      <c r="O71" s="49" t="e">
        <v>#DIV/0!</v>
      </c>
      <c r="P71" s="49" t="e">
        <v>#DIV/0!</v>
      </c>
      <c r="Q71" s="49" t="e">
        <f>Q68/AVERAGE(P159:Q159)</f>
        <v>#DIV/0!</v>
      </c>
      <c r="R71" s="49" t="e">
        <f>R68/AVERAGE(Q159:R159)</f>
        <v>#DIV/0!</v>
      </c>
      <c r="S71" s="133">
        <v>0.06</v>
      </c>
      <c r="T71" s="133">
        <v>0.06</v>
      </c>
      <c r="U71" s="133">
        <v>0.06</v>
      </c>
      <c r="V71" s="133">
        <v>0.06</v>
      </c>
      <c r="W71" s="133">
        <v>0.06</v>
      </c>
      <c r="X71" s="133">
        <v>0.06</v>
      </c>
      <c r="Y71" s="133">
        <v>0.06</v>
      </c>
      <c r="Z71" s="133">
        <v>0.06</v>
      </c>
      <c r="AA71" s="133">
        <v>0.06</v>
      </c>
      <c r="AB71" s="133">
        <v>0.06</v>
      </c>
      <c r="AC71" s="1"/>
      <c r="AD71" s="1"/>
      <c r="AE71" s="134">
        <v>0.06</v>
      </c>
      <c r="AF71" s="135" t="e">
        <f t="shared" ref="AF71:AH134" si="20">IF(ISBLANK(AE71),"",INDEX($A71:$AB71,1,MATCH(AE$3,$A$3:$AB$3,0))-AE71)</f>
        <v>#N/A</v>
      </c>
      <c r="AG71" s="134">
        <v>0.06</v>
      </c>
      <c r="AH71" s="135">
        <f t="shared" si="20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x14ac:dyDescent="0.25">
      <c r="A72" s="284"/>
      <c r="B72" s="285"/>
      <c r="C72" s="93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36"/>
      <c r="O72" s="136"/>
      <c r="P72" s="136"/>
      <c r="Q72" s="136"/>
      <c r="R72" s="136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"/>
      <c r="AD72" s="128"/>
      <c r="AE72" s="130"/>
      <c r="AF72" s="131" t="str">
        <f t="shared" si="20"/>
        <v/>
      </c>
      <c r="AG72" s="130"/>
      <c r="AH72" s="131" t="str">
        <f t="shared" si="20"/>
        <v/>
      </c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x14ac:dyDescent="0.25">
      <c r="A73" s="80"/>
      <c r="B73" s="90" t="s">
        <v>46</v>
      </c>
      <c r="C73" s="13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1"/>
      <c r="AD73" s="1"/>
      <c r="AE73" s="88"/>
      <c r="AF73" s="89" t="str">
        <f t="shared" si="20"/>
        <v/>
      </c>
      <c r="AG73" s="88"/>
      <c r="AH73" s="89" t="str">
        <f t="shared" si="20"/>
        <v/>
      </c>
      <c r="AI73" s="1"/>
      <c r="AJ73" s="2"/>
      <c r="AK73" s="1"/>
      <c r="AL73" s="1"/>
      <c r="AM73" s="1"/>
      <c r="AN73" s="1"/>
      <c r="AO73" s="1"/>
      <c r="AP73" s="1"/>
      <c r="AQ73" s="1"/>
      <c r="AR73" s="1"/>
    </row>
    <row r="74" spans="1:44" x14ac:dyDescent="0.25">
      <c r="A74" s="80" t="s">
        <v>217</v>
      </c>
      <c r="B74" s="92" t="s">
        <v>218</v>
      </c>
      <c r="C74" s="132"/>
      <c r="D74" s="2"/>
      <c r="E74" s="2"/>
      <c r="F74" s="2"/>
      <c r="G74" s="2"/>
      <c r="H74" s="2"/>
      <c r="I74" s="2"/>
      <c r="J74" s="2"/>
      <c r="K74" s="2"/>
      <c r="L74" s="2"/>
      <c r="M74" s="2"/>
      <c r="N74" s="51">
        <v>63.4</v>
      </c>
      <c r="O74" s="51">
        <v>77.5</v>
      </c>
      <c r="P74" s="51">
        <v>97.8</v>
      </c>
      <c r="Q74" s="51">
        <v>132</v>
      </c>
      <c r="R74" s="254">
        <v>162.17099999999999</v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1"/>
      <c r="AD74" s="1"/>
      <c r="AE74" s="88"/>
      <c r="AF74" s="89" t="str">
        <f t="shared" si="20"/>
        <v/>
      </c>
      <c r="AG74" s="88"/>
      <c r="AH74" s="89" t="str">
        <f t="shared" si="20"/>
        <v/>
      </c>
      <c r="AI74" s="1"/>
      <c r="AJ74" s="2"/>
      <c r="AK74" s="1"/>
      <c r="AL74" s="1"/>
      <c r="AM74" s="1"/>
      <c r="AN74" s="1"/>
      <c r="AO74" s="1"/>
      <c r="AP74" s="1"/>
      <c r="AQ74" s="1"/>
      <c r="AR74" s="1"/>
    </row>
    <row r="75" spans="1:44" x14ac:dyDescent="0.25">
      <c r="A75" s="80" t="s">
        <v>219</v>
      </c>
      <c r="B75" s="92" t="s">
        <v>220</v>
      </c>
      <c r="C75" s="132"/>
      <c r="D75" s="2"/>
      <c r="E75" s="2"/>
      <c r="F75" s="2"/>
      <c r="G75" s="2"/>
      <c r="H75" s="2"/>
      <c r="I75" s="2"/>
      <c r="J75" s="2"/>
      <c r="K75" s="2"/>
      <c r="L75" s="2"/>
      <c r="M75" s="2"/>
      <c r="N75" s="51">
        <v>15.6</v>
      </c>
      <c r="O75" s="51">
        <v>16.899999999999999</v>
      </c>
      <c r="P75" s="51">
        <v>13.8</v>
      </c>
      <c r="Q75" s="51">
        <v>6.7</v>
      </c>
      <c r="R75" s="254">
        <v>8.782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1"/>
      <c r="AD75" s="1"/>
      <c r="AE75" s="88"/>
      <c r="AF75" s="89" t="str">
        <f t="shared" si="20"/>
        <v/>
      </c>
      <c r="AG75" s="88"/>
      <c r="AH75" s="89" t="str">
        <f t="shared" si="20"/>
        <v/>
      </c>
      <c r="AI75" s="1"/>
      <c r="AJ75" s="2"/>
      <c r="AK75" s="1"/>
      <c r="AL75" s="1"/>
      <c r="AM75" s="1"/>
      <c r="AN75" s="1"/>
      <c r="AO75" s="1"/>
      <c r="AP75" s="1"/>
      <c r="AQ75" s="1"/>
      <c r="AR75" s="1"/>
    </row>
    <row r="76" spans="1:44" x14ac:dyDescent="0.25">
      <c r="A76" s="80" t="s">
        <v>221</v>
      </c>
      <c r="B76" s="92" t="s">
        <v>222</v>
      </c>
      <c r="C76" s="132"/>
      <c r="D76" s="2"/>
      <c r="E76" s="2"/>
      <c r="F76" s="2"/>
      <c r="G76" s="2"/>
      <c r="H76" s="2"/>
      <c r="I76" s="2"/>
      <c r="J76" s="2"/>
      <c r="K76" s="2"/>
      <c r="L76" s="2"/>
      <c r="M76" s="2"/>
      <c r="N76" s="51">
        <v>18.8</v>
      </c>
      <c r="O76" s="51">
        <v>18</v>
      </c>
      <c r="P76" s="51">
        <v>18.3</v>
      </c>
      <c r="Q76" s="51">
        <v>14.2</v>
      </c>
      <c r="R76" s="254">
        <v>10.593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1"/>
      <c r="AD76" s="1"/>
      <c r="AE76" s="88"/>
      <c r="AF76" s="89" t="str">
        <f t="shared" si="20"/>
        <v/>
      </c>
      <c r="AG76" s="88"/>
      <c r="AH76" s="89" t="str">
        <f t="shared" si="20"/>
        <v/>
      </c>
      <c r="AI76" s="1"/>
      <c r="AJ76" s="2"/>
      <c r="AK76" s="1"/>
      <c r="AL76" s="1"/>
      <c r="AM76" s="1"/>
      <c r="AN76" s="1"/>
      <c r="AO76" s="1"/>
      <c r="AP76" s="1"/>
      <c r="AQ76" s="1"/>
      <c r="AR76" s="1"/>
    </row>
    <row r="77" spans="1:44" x14ac:dyDescent="0.25">
      <c r="A77" s="80" t="s">
        <v>46</v>
      </c>
      <c r="B77" s="97" t="s">
        <v>46</v>
      </c>
      <c r="C77" s="5" t="s">
        <v>75</v>
      </c>
      <c r="D77" s="98"/>
      <c r="E77" s="114">
        <v>30.3</v>
      </c>
      <c r="F77" s="114">
        <v>35.1</v>
      </c>
      <c r="G77" s="114">
        <v>40.200000000000003</v>
      </c>
      <c r="H77" s="114">
        <v>46.5</v>
      </c>
      <c r="I77" s="114">
        <v>53.2</v>
      </c>
      <c r="J77" s="114">
        <v>58</v>
      </c>
      <c r="K77" s="98">
        <v>50.8</v>
      </c>
      <c r="L77" s="98">
        <v>76.400000000000006</v>
      </c>
      <c r="M77" s="98">
        <v>82.5</v>
      </c>
      <c r="N77" s="98">
        <v>97.8</v>
      </c>
      <c r="O77" s="98">
        <v>112.3</v>
      </c>
      <c r="P77" s="98">
        <v>129.9</v>
      </c>
      <c r="Q77" s="98">
        <f>SUM(Q74:Q76)</f>
        <v>152.89999999999998</v>
      </c>
      <c r="R77" s="255">
        <f>SUM(R74:R76)</f>
        <v>181.54599999999999</v>
      </c>
      <c r="S77" s="267">
        <f>INDEX(Segment!$A:$AR,MATCH(Annual!$A77,Segment!$A:$A,0),MATCH("1H"&amp;RIGHT(Annual!S$1,2),Segment!$A$3:$AR$3,0))+INDEX(Segment!$A:$AR,MATCH(Annual!$A77,Segment!$A:$A,0),MATCH("2H"&amp;RIGHT(Annual!S$1,2),Segment!$A$3:$AR$3,0))</f>
        <v>214.5406327555477</v>
      </c>
      <c r="T77" s="267">
        <f>INDEX(Segment!$A:$AR,MATCH(Annual!$A77,Segment!$A:$A,0),MATCH("1H"&amp;RIGHT(Annual!T$1,2),Segment!$A$3:$AR$3,0))+INDEX(Segment!$A:$AR,MATCH(Annual!$A77,Segment!$A:$A,0),MATCH("2H"&amp;RIGHT(Annual!T$1,2),Segment!$A$3:$AR$3,0))</f>
        <v>257.36811021125851</v>
      </c>
      <c r="U77" s="267">
        <f>INDEX(Segment!$A:$AR,MATCH(Annual!$A77,Segment!$A:$A,0),MATCH("1H"&amp;RIGHT(Annual!U$1,2),Segment!$A$3:$AR$3,0))+INDEX(Segment!$A:$AR,MATCH(Annual!$A77,Segment!$A:$A,0),MATCH("2H"&amp;RIGHT(Annual!U$1,2),Segment!$A$3:$AR$3,0))</f>
        <v>315.19478329995422</v>
      </c>
      <c r="V77" s="267">
        <f>INDEX(Segment!$A:$AR,MATCH(Annual!$A77,Segment!$A:$A,0),MATCH("1H"&amp;RIGHT(Annual!V$1,2),Segment!$A$3:$AR$3,0))+INDEX(Segment!$A:$AR,MATCH(Annual!$A77,Segment!$A:$A,0),MATCH("2H"&amp;RIGHT(Annual!V$1,2),Segment!$A$3:$AR$3,0))</f>
        <v>383.29245375101948</v>
      </c>
      <c r="W77" s="267">
        <f>INDEX(Segment!$A:$AR,MATCH(Annual!$A77,Segment!$A:$A,0),MATCH("1H"&amp;RIGHT(Annual!W$1,2),Segment!$A$3:$AR$3,0))+INDEX(Segment!$A:$AR,MATCH(Annual!$A77,Segment!$A:$A,0),MATCH("2H"&amp;RIGHT(Annual!W$1,2),Segment!$A$3:$AR$3,0))</f>
        <v>462.78735515046117</v>
      </c>
      <c r="X77" s="267">
        <f>INDEX(Segment!$A:$AR,MATCH(Annual!$A77,Segment!$A:$A,0),MATCH("1H"&amp;RIGHT(Annual!X$1,2),Segment!$A$3:$AR$3,0))+INDEX(Segment!$A:$AR,MATCH(Annual!$A77,Segment!$A:$A,0),MATCH("2H"&amp;RIGHT(Annual!X$1,2),Segment!$A$3:$AR$3,0))</f>
        <v>560.79519159622532</v>
      </c>
      <c r="Y77" s="267">
        <f>INDEX(Segment!$A:$AR,MATCH(Annual!$A77,Segment!$A:$A,0),MATCH("1H"&amp;RIGHT(Annual!Y$1,2),Segment!$A$3:$AR$3,0))+INDEX(Segment!$A:$AR,MATCH(Annual!$A77,Segment!$A:$A,0),MATCH("2H"&amp;RIGHT(Annual!Y$1,2),Segment!$A$3:$AR$3,0))</f>
        <v>681.89181711794424</v>
      </c>
      <c r="Z77" s="267">
        <f>INDEX(Segment!$A:$AR,MATCH(Annual!$A77,Segment!$A:$A,0),MATCH("1H"&amp;RIGHT(Annual!Z$1,2),Segment!$A$3:$AR$3,0))+INDEX(Segment!$A:$AR,MATCH(Annual!$A77,Segment!$A:$A,0),MATCH("2H"&amp;RIGHT(Annual!Z$1,2),Segment!$A$3:$AR$3,0))</f>
        <v>831.76470098087952</v>
      </c>
      <c r="AA77" s="267">
        <f>INDEX(Segment!$A:$AR,MATCH(Annual!$A77,Segment!$A:$A,0),MATCH("1H"&amp;RIGHT(Annual!AA$1,2),Segment!$A$3:$AR$3,0))+INDEX(Segment!$A:$AR,MATCH(Annual!$A77,Segment!$A:$A,0),MATCH("2H"&amp;RIGHT(Annual!AA$1,2),Segment!$A$3:$AR$3,0))</f>
        <v>1017.70191809203</v>
      </c>
      <c r="AB77" s="267">
        <f>INDEX(Segment!$A:$AR,MATCH(Annual!$A77,Segment!$A:$A,0),MATCH("1H"&amp;RIGHT(Annual!AB$1,2),Segment!$A$3:$AR$3,0))+INDEX(Segment!$A:$AR,MATCH(Annual!$A77,Segment!$A:$A,0),MATCH("2H"&amp;RIGHT(Annual!AB$1,2),Segment!$A$3:$AR$3,0))</f>
        <v>1248.4588556461476</v>
      </c>
      <c r="AC77" s="1"/>
      <c r="AD77" s="1"/>
      <c r="AE77" s="99">
        <v>184.3257499810498</v>
      </c>
      <c r="AF77" s="100" t="e">
        <f t="shared" si="20"/>
        <v>#N/A</v>
      </c>
      <c r="AG77" s="99">
        <v>223.43942437181448</v>
      </c>
      <c r="AH77" s="100">
        <f t="shared" si="20"/>
        <v>-8.8987916162667773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x14ac:dyDescent="0.25">
      <c r="A78" s="137"/>
      <c r="B78" s="92" t="s">
        <v>223</v>
      </c>
      <c r="C78" s="93" t="s">
        <v>6</v>
      </c>
      <c r="D78" s="2"/>
      <c r="E78" s="101">
        <v>0.17899999999999999</v>
      </c>
      <c r="F78" s="101">
        <v>0.19400000000000001</v>
      </c>
      <c r="G78" s="101">
        <v>0.20599999999999999</v>
      </c>
      <c r="H78" s="101">
        <v>0.21299999999999999</v>
      </c>
      <c r="I78" s="101">
        <v>0.214</v>
      </c>
      <c r="J78" s="101">
        <v>0.21199999999999999</v>
      </c>
      <c r="K78" s="101">
        <v>0.2</v>
      </c>
      <c r="L78" s="101">
        <v>0.26700000000000002</v>
      </c>
      <c r="M78" s="101">
        <v>0.27600000000000002</v>
      </c>
      <c r="N78" s="101">
        <v>0.314</v>
      </c>
      <c r="O78" s="101">
        <v>0.30399999999999999</v>
      </c>
      <c r="P78" s="101">
        <v>0.29699999999999999</v>
      </c>
      <c r="Q78" s="253">
        <f>Q77/Q27</f>
        <v>0.29666278618548697</v>
      </c>
      <c r="R78" s="253">
        <f>R77/R27</f>
        <v>0.2976027329893054</v>
      </c>
      <c r="S78" s="253">
        <f t="shared" ref="R78:AA78" si="21">S77/S27</f>
        <v>0.30886754488222862</v>
      </c>
      <c r="T78" s="253">
        <f t="shared" si="21"/>
        <v>0.3224176608492228</v>
      </c>
      <c r="U78" s="253">
        <f t="shared" si="21"/>
        <v>0.33646026650720967</v>
      </c>
      <c r="V78" s="253">
        <f t="shared" si="21"/>
        <v>0.34469099269887299</v>
      </c>
      <c r="W78" s="253">
        <f t="shared" si="21"/>
        <v>0.34968429767595793</v>
      </c>
      <c r="X78" s="253">
        <f t="shared" si="21"/>
        <v>0.35454391556507858</v>
      </c>
      <c r="Y78" s="253">
        <f t="shared" si="21"/>
        <v>0.35938568663654952</v>
      </c>
      <c r="Z78" s="253">
        <f t="shared" si="21"/>
        <v>0.36427084861285752</v>
      </c>
      <c r="AA78" s="253">
        <f t="shared" si="21"/>
        <v>0.36929730641501662</v>
      </c>
      <c r="AB78" s="253">
        <f>AB77/AB27</f>
        <v>0.37440062963893289</v>
      </c>
      <c r="AC78" s="2"/>
      <c r="AD78" s="2"/>
      <c r="AE78" s="101">
        <v>0.30466504282451207</v>
      </c>
      <c r="AF78" s="101" t="e">
        <f t="shared" si="20"/>
        <v>#N/A</v>
      </c>
      <c r="AG78" s="101">
        <v>0.31819016895978502</v>
      </c>
      <c r="AH78" s="101">
        <f t="shared" si="20"/>
        <v>-9.3226240775564073E-3</v>
      </c>
      <c r="AI78" s="2" t="e">
        <v>#DIV/0!</v>
      </c>
      <c r="AJ78" s="2" t="e">
        <v>#DIV/0!</v>
      </c>
      <c r="AK78" s="1"/>
      <c r="AL78" s="138"/>
      <c r="AM78" s="138"/>
      <c r="AN78" s="1"/>
      <c r="AO78" s="1"/>
      <c r="AP78" s="1"/>
      <c r="AQ78" s="1"/>
      <c r="AR78" s="1"/>
    </row>
    <row r="79" spans="1:44" x14ac:dyDescent="0.25">
      <c r="A79" s="80"/>
      <c r="B79" s="92" t="s">
        <v>167</v>
      </c>
      <c r="C79" s="93" t="s">
        <v>168</v>
      </c>
      <c r="D79" s="89"/>
      <c r="E79" s="2"/>
      <c r="F79" s="2"/>
      <c r="G79" s="2"/>
      <c r="H79" s="66">
        <v>0.16</v>
      </c>
      <c r="I79" s="66">
        <v>0.15</v>
      </c>
      <c r="J79" s="66">
        <v>0.09</v>
      </c>
      <c r="K79" s="66">
        <v>-0.12</v>
      </c>
      <c r="L79" s="66">
        <v>0.5</v>
      </c>
      <c r="M79" s="66">
        <v>0.08</v>
      </c>
      <c r="N79" s="66">
        <v>0.19</v>
      </c>
      <c r="O79" s="66">
        <v>0.15</v>
      </c>
      <c r="P79" s="66">
        <v>0.16</v>
      </c>
      <c r="Q79" s="253">
        <f>Q77/P77-1</f>
        <v>0.17705927636643559</v>
      </c>
      <c r="R79" s="253">
        <f>R77/Q77-1</f>
        <v>0.18735120994113807</v>
      </c>
      <c r="S79" s="253">
        <f t="shared" ref="R79:AA79" si="22">S77/R77-1</f>
        <v>0.18174254875099272</v>
      </c>
      <c r="T79" s="253">
        <f t="shared" si="22"/>
        <v>0.1996240847509263</v>
      </c>
      <c r="U79" s="253">
        <f t="shared" si="22"/>
        <v>0.2246846862310532</v>
      </c>
      <c r="V79" s="253">
        <f t="shared" si="22"/>
        <v>0.21604948450641182</v>
      </c>
      <c r="W79" s="253">
        <f t="shared" si="22"/>
        <v>0.20740012129505758</v>
      </c>
      <c r="X79" s="253">
        <f t="shared" si="22"/>
        <v>0.21177725656289792</v>
      </c>
      <c r="Y79" s="253">
        <f t="shared" si="22"/>
        <v>0.21593734635461881</v>
      </c>
      <c r="Z79" s="253">
        <f t="shared" si="22"/>
        <v>0.21978982604070807</v>
      </c>
      <c r="AA79" s="253">
        <f t="shared" si="22"/>
        <v>0.22354545328970965</v>
      </c>
      <c r="AB79" s="253">
        <f>AB77/AA77-1</f>
        <v>0.22674314890428504</v>
      </c>
      <c r="AC79" s="1"/>
      <c r="AD79" s="1"/>
      <c r="AE79" s="102">
        <v>0.20553139294342593</v>
      </c>
      <c r="AF79" s="103" t="e">
        <f t="shared" si="20"/>
        <v>#N/A</v>
      </c>
      <c r="AG79" s="102">
        <v>0.21219864503351205</v>
      </c>
      <c r="AH79" s="103">
        <f t="shared" si="20"/>
        <v>-3.0456096282519329E-2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x14ac:dyDescent="0.25">
      <c r="A80" s="284"/>
      <c r="B80" s="285"/>
      <c r="C80" s="93"/>
      <c r="D80" s="49"/>
      <c r="E80" s="49"/>
      <c r="F80" s="49"/>
      <c r="G80" s="49"/>
      <c r="H80" s="49"/>
      <c r="I80" s="49"/>
      <c r="J80" s="125">
        <v>1.913</v>
      </c>
      <c r="K80" s="125">
        <v>1.448</v>
      </c>
      <c r="L80" s="125">
        <v>1.899</v>
      </c>
      <c r="M80" s="125">
        <v>1.774</v>
      </c>
      <c r="N80" s="125">
        <v>1.8380000000000001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1"/>
      <c r="AD80" s="1"/>
      <c r="AE80" s="95"/>
      <c r="AF80" s="96" t="str">
        <f t="shared" si="20"/>
        <v/>
      </c>
      <c r="AG80" s="95"/>
      <c r="AH80" s="96" t="str">
        <f t="shared" si="20"/>
        <v/>
      </c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x14ac:dyDescent="0.25">
      <c r="A81" s="80"/>
      <c r="B81" s="92" t="s">
        <v>224</v>
      </c>
      <c r="C81" s="93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139">
        <v>0.1</v>
      </c>
      <c r="Q81" s="139">
        <v>0.12</v>
      </c>
      <c r="R81" s="139">
        <v>0.13</v>
      </c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1"/>
      <c r="AD81" s="1"/>
      <c r="AE81" s="95">
        <v>0.13</v>
      </c>
      <c r="AF81" s="96" t="e">
        <f t="shared" si="20"/>
        <v>#N/A</v>
      </c>
      <c r="AG81" s="95"/>
      <c r="AH81" s="96" t="str">
        <f t="shared" si="20"/>
        <v/>
      </c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x14ac:dyDescent="0.25">
      <c r="A82" s="80"/>
      <c r="B82" s="92" t="s">
        <v>225</v>
      </c>
      <c r="C82" s="93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139">
        <v>0.15</v>
      </c>
      <c r="Q82" s="139">
        <v>0.16</v>
      </c>
      <c r="R82" s="139">
        <v>0.17</v>
      </c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1"/>
      <c r="AD82" s="1"/>
      <c r="AE82" s="95">
        <v>0.17</v>
      </c>
      <c r="AF82" s="96" t="e">
        <f t="shared" si="20"/>
        <v>#N/A</v>
      </c>
      <c r="AG82" s="95"/>
      <c r="AH82" s="96" t="str">
        <f t="shared" si="20"/>
        <v/>
      </c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x14ac:dyDescent="0.25">
      <c r="A83" s="284"/>
      <c r="B83" s="285"/>
      <c r="C83" s="93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1"/>
      <c r="AD83" s="1"/>
      <c r="AE83" s="95"/>
      <c r="AF83" s="96" t="str">
        <f t="shared" si="20"/>
        <v/>
      </c>
      <c r="AG83" s="95"/>
      <c r="AH83" s="96" t="str">
        <f t="shared" si="20"/>
        <v/>
      </c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x14ac:dyDescent="0.25">
      <c r="A84" s="80"/>
      <c r="B84" s="90" t="s">
        <v>81</v>
      </c>
      <c r="C84" s="13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1"/>
      <c r="AD84" s="1"/>
      <c r="AE84" s="88"/>
      <c r="AF84" s="89" t="str">
        <f t="shared" si="20"/>
        <v/>
      </c>
      <c r="AG84" s="88"/>
      <c r="AH84" s="89" t="str">
        <f t="shared" si="20"/>
        <v/>
      </c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x14ac:dyDescent="0.25">
      <c r="A85" s="80" t="s">
        <v>226</v>
      </c>
      <c r="B85" s="97" t="s">
        <v>226</v>
      </c>
      <c r="C85" s="5" t="s">
        <v>75</v>
      </c>
      <c r="D85" s="118" t="s">
        <v>158</v>
      </c>
      <c r="E85" s="98">
        <v>-6.7</v>
      </c>
      <c r="F85" s="98">
        <v>-8.1</v>
      </c>
      <c r="G85" s="98">
        <v>-9.1999999999999993</v>
      </c>
      <c r="H85" s="98">
        <v>-10.7</v>
      </c>
      <c r="I85" s="98">
        <v>-11.9</v>
      </c>
      <c r="J85" s="98">
        <v>-13.5</v>
      </c>
      <c r="K85" s="98">
        <v>0.2</v>
      </c>
      <c r="L85" s="114">
        <v>-17.899999999999999</v>
      </c>
      <c r="M85" s="114">
        <v>-19.5</v>
      </c>
      <c r="N85" s="114">
        <v>-25.2</v>
      </c>
      <c r="O85" s="114">
        <v>-23.5</v>
      </c>
      <c r="P85" s="114">
        <v>-27</v>
      </c>
      <c r="Q85" s="114">
        <v>-34.9</v>
      </c>
      <c r="R85" s="114">
        <v>-43.901000000000003</v>
      </c>
      <c r="S85" s="267">
        <f>INDEX(Segment!$A:$AR,MATCH(Annual!$A85,Segment!$A:$A,0),MATCH("1H"&amp;RIGHT(Annual!S$1,2),Segment!$A$3:$AR$3,0))+INDEX(Segment!$A:$AR,MATCH(Annual!$A85,Segment!$A:$A,0),MATCH("2H"&amp;RIGHT(Annual!S$1,2),Segment!$A$3:$AR$3,0))</f>
        <v>-51.908086993015132</v>
      </c>
      <c r="T85" s="267">
        <f>INDEX(Segment!$A:$AR,MATCH(Annual!$A85,Segment!$A:$A,0),MATCH("1H"&amp;RIGHT(Annual!T$1,2),Segment!$A$3:$AR$3,0))+INDEX(Segment!$A:$AR,MATCH(Annual!$A85,Segment!$A:$A,0),MATCH("2H"&amp;RIGHT(Annual!T$1,2),Segment!$A$3:$AR$3,0))</f>
        <v>-62.278744109114257</v>
      </c>
      <c r="U85" s="267">
        <f>INDEX(Segment!$A:$AR,MATCH(Annual!$A85,Segment!$A:$A,0),MATCH("1H"&amp;RIGHT(Annual!U$1,2),Segment!$A$3:$AR$3,0))+INDEX(Segment!$A:$AR,MATCH(Annual!$A85,Segment!$A:$A,0),MATCH("2H"&amp;RIGHT(Annual!U$1,2),Segment!$A$3:$AR$3,0))</f>
        <v>-76.290930638651133</v>
      </c>
      <c r="V85" s="267">
        <f>INDEX(Segment!$A:$AR,MATCH(Annual!$A85,Segment!$A:$A,0),MATCH("1H"&amp;RIGHT(Annual!V$1,2),Segment!$A$3:$AR$3,0))+INDEX(Segment!$A:$AR,MATCH(Annual!$A85,Segment!$A:$A,0),MATCH("2H"&amp;RIGHT(Annual!V$1,2),Segment!$A$3:$AR$3,0))</f>
        <v>-92.753104545838852</v>
      </c>
      <c r="W85" s="267">
        <f>INDEX(Segment!$A:$AR,MATCH(Annual!$A85,Segment!$A:$A,0),MATCH("1H"&amp;RIGHT(Annual!W$1,2),Segment!$A$3:$AR$3,0))+INDEX(Segment!$A:$AR,MATCH(Annual!$A85,Segment!$A:$A,0),MATCH("2H"&amp;RIGHT(Annual!W$1,2),Segment!$A$3:$AR$3,0))</f>
        <v>-111.98390033724877</v>
      </c>
      <c r="X85" s="267">
        <f>INDEX(Segment!$A:$AR,MATCH(Annual!$A85,Segment!$A:$A,0),MATCH("1H"&amp;RIGHT(Annual!X$1,2),Segment!$A$3:$AR$3,0))+INDEX(Segment!$A:$AR,MATCH(Annual!$A85,Segment!$A:$A,0),MATCH("2H"&amp;RIGHT(Annual!X$1,2),Segment!$A$3:$AR$3,0))</f>
        <v>-135.69286725290124</v>
      </c>
      <c r="Y85" s="267">
        <f>INDEX(Segment!$A:$AR,MATCH(Annual!$A85,Segment!$A:$A,0),MATCH("1H"&amp;RIGHT(Annual!Y$1,2),Segment!$A$3:$AR$3,0))+INDEX(Segment!$A:$AR,MATCH(Annual!$A85,Segment!$A:$A,0),MATCH("2H"&amp;RIGHT(Annual!Y$1,2),Segment!$A$3:$AR$3,0))</f>
        <v>-164.98653350798475</v>
      </c>
      <c r="Z85" s="267">
        <f>INDEX(Segment!$A:$AR,MATCH(Annual!$A85,Segment!$A:$A,0),MATCH("1H"&amp;RIGHT(Annual!Z$1,2),Segment!$A$3:$AR$3,0))+INDEX(Segment!$A:$AR,MATCH(Annual!$A85,Segment!$A:$A,0),MATCH("2H"&amp;RIGHT(Annual!Z$1,2),Segment!$A$3:$AR$3,0))</f>
        <v>-201.24021940238848</v>
      </c>
      <c r="AA85" s="267">
        <f>INDEX(Segment!$A:$AR,MATCH(Annual!$A85,Segment!$A:$A,0),MATCH("1H"&amp;RIGHT(Annual!AA$1,2),Segment!$A$3:$AR$3,0))+INDEX(Segment!$A:$AR,MATCH(Annual!$A85,Segment!$A:$A,0),MATCH("2H"&amp;RIGHT(Annual!AA$1,2),Segment!$A$3:$AR$3,0))</f>
        <v>-246.21609400796058</v>
      </c>
      <c r="AB85" s="267">
        <f>INDEX(Segment!$A:$AR,MATCH(Annual!$A85,Segment!$A:$A,0),MATCH("1H"&amp;RIGHT(Annual!AB$1,2),Segment!$A$3:$AR$3,0))+INDEX(Segment!$A:$AR,MATCH(Annual!$A85,Segment!$A:$A,0),MATCH("2H"&amp;RIGHT(Annual!AB$1,2),Segment!$A$3:$AR$3,0))</f>
        <v>-302.03135397789521</v>
      </c>
      <c r="AC85" s="1"/>
      <c r="AD85" s="1"/>
      <c r="AE85" s="99">
        <v>-42.5603482456225</v>
      </c>
      <c r="AF85" s="100" t="e">
        <f t="shared" si="20"/>
        <v>#N/A</v>
      </c>
      <c r="AG85" s="99">
        <v>-51.614507029889154</v>
      </c>
      <c r="AH85" s="100">
        <f t="shared" si="20"/>
        <v>-0.29357996312597834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x14ac:dyDescent="0.25">
      <c r="A86" s="80" t="s">
        <v>227</v>
      </c>
      <c r="B86" s="92" t="s">
        <v>227</v>
      </c>
      <c r="C86" s="93" t="s">
        <v>6</v>
      </c>
      <c r="D86" s="2"/>
      <c r="E86" s="101">
        <v>0.222</v>
      </c>
      <c r="F86" s="101">
        <v>0.23100000000000001</v>
      </c>
      <c r="G86" s="101">
        <v>0.23</v>
      </c>
      <c r="H86" s="101">
        <v>0.23</v>
      </c>
      <c r="I86" s="101">
        <v>0.224</v>
      </c>
      <c r="J86" s="101">
        <v>0.23300000000000001</v>
      </c>
      <c r="K86" s="101">
        <v>-4.0000000000000001E-3</v>
      </c>
      <c r="L86" s="101">
        <v>0.23499999999999999</v>
      </c>
      <c r="M86" s="101">
        <v>0.23699999999999999</v>
      </c>
      <c r="N86" s="101">
        <v>0.25700000000000001</v>
      </c>
      <c r="O86" s="101">
        <v>0.20899999999999999</v>
      </c>
      <c r="P86" s="101">
        <v>0.20799999999999999</v>
      </c>
      <c r="Q86" s="253">
        <f>Q85/Q77</f>
        <v>-0.22825376062786137</v>
      </c>
      <c r="R86" s="253">
        <f>R85/R77</f>
        <v>-0.24181750079869568</v>
      </c>
      <c r="S86" s="253">
        <f t="shared" ref="R86:AB86" si="23">S85/S77</f>
        <v>-0.24194991096236929</v>
      </c>
      <c r="T86" s="253">
        <f t="shared" si="23"/>
        <v>-0.2419831425812361</v>
      </c>
      <c r="U86" s="253">
        <f t="shared" si="23"/>
        <v>-0.24204376049602663</v>
      </c>
      <c r="V86" s="253">
        <f t="shared" si="23"/>
        <v>-0.24199042699152579</v>
      </c>
      <c r="W86" s="253">
        <f t="shared" si="23"/>
        <v>-0.24197700972370048</v>
      </c>
      <c r="X86" s="253">
        <f t="shared" si="23"/>
        <v>-0.2419651047054637</v>
      </c>
      <c r="Y86" s="253">
        <f t="shared" si="23"/>
        <v>-0.24195411847778142</v>
      </c>
      <c r="Z86" s="253">
        <f t="shared" si="23"/>
        <v>-0.24194368811885245</v>
      </c>
      <c r="AA86" s="253">
        <f t="shared" si="23"/>
        <v>-0.24193340862475946</v>
      </c>
      <c r="AB86" s="253">
        <f t="shared" si="23"/>
        <v>-0.24192335423146724</v>
      </c>
      <c r="AC86" s="1"/>
      <c r="AD86" s="1"/>
      <c r="AE86" s="119">
        <v>-0.23089746413617226</v>
      </c>
      <c r="AF86" s="120" t="e">
        <f t="shared" si="20"/>
        <v>#N/A</v>
      </c>
      <c r="AG86" s="119">
        <v>-0.23100000000000004</v>
      </c>
      <c r="AH86" s="120">
        <f t="shared" si="20"/>
        <v>-1.0949910962369247E-2</v>
      </c>
      <c r="AI86" s="1"/>
      <c r="AJ86" s="2"/>
      <c r="AK86" s="1"/>
      <c r="AL86" s="1"/>
      <c r="AM86" s="1"/>
      <c r="AN86" s="1"/>
      <c r="AO86" s="1"/>
      <c r="AP86" s="1"/>
      <c r="AQ86" s="1"/>
      <c r="AR86" s="1"/>
    </row>
    <row r="87" spans="1:44" x14ac:dyDescent="0.25">
      <c r="A87" s="284"/>
      <c r="B87" s="285"/>
      <c r="C87" s="93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1"/>
      <c r="AD87" s="1"/>
      <c r="AE87" s="140"/>
      <c r="AF87" s="141" t="str">
        <f t="shared" si="20"/>
        <v/>
      </c>
      <c r="AG87" s="140"/>
      <c r="AH87" s="141" t="str">
        <f t="shared" si="20"/>
        <v/>
      </c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x14ac:dyDescent="0.25">
      <c r="A88" s="80"/>
      <c r="B88" s="90" t="s">
        <v>85</v>
      </c>
      <c r="C88" s="93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1"/>
      <c r="AD88" s="1"/>
      <c r="AE88" s="140"/>
      <c r="AF88" s="141" t="str">
        <f t="shared" si="20"/>
        <v/>
      </c>
      <c r="AG88" s="140"/>
      <c r="AH88" s="141" t="str">
        <f t="shared" si="20"/>
        <v/>
      </c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x14ac:dyDescent="0.25">
      <c r="A89" s="80" t="s">
        <v>228</v>
      </c>
      <c r="B89" s="97" t="s">
        <v>228</v>
      </c>
      <c r="C89" s="5" t="s">
        <v>75</v>
      </c>
      <c r="D89" s="118" t="s">
        <v>179</v>
      </c>
      <c r="E89" s="114">
        <v>23.6</v>
      </c>
      <c r="F89" s="114">
        <v>27</v>
      </c>
      <c r="G89" s="114">
        <v>31</v>
      </c>
      <c r="H89" s="114">
        <v>35.799999999999997</v>
      </c>
      <c r="I89" s="114">
        <v>41.3</v>
      </c>
      <c r="J89" s="114">
        <v>44.5</v>
      </c>
      <c r="K89" s="114">
        <v>51</v>
      </c>
      <c r="L89" s="98">
        <v>58.5</v>
      </c>
      <c r="M89" s="98">
        <v>62.9</v>
      </c>
      <c r="N89" s="98">
        <v>72.7</v>
      </c>
      <c r="O89" s="98">
        <v>88.8</v>
      </c>
      <c r="P89" s="98">
        <v>102.9</v>
      </c>
      <c r="Q89" s="98">
        <f>Q77+Q85</f>
        <v>117.99999999999997</v>
      </c>
      <c r="R89" s="98">
        <f>R77+R85</f>
        <v>137.64499999999998</v>
      </c>
      <c r="S89" s="267">
        <f>INDEX(Segment!$A:$AR,MATCH(Annual!$A89,Segment!$A:$A,0),MATCH("1H"&amp;RIGHT(Annual!S$1,2),Segment!$A$3:$AR$3,0))+INDEX(Segment!$A:$AR,MATCH(Annual!$A89,Segment!$A:$A,0),MATCH("2H"&amp;RIGHT(Annual!S$1,2),Segment!$A$3:$AR$3,0))</f>
        <v>162.63254576253257</v>
      </c>
      <c r="T89" s="267">
        <f>INDEX(Segment!$A:$AR,MATCH(Annual!$A89,Segment!$A:$A,0),MATCH("1H"&amp;RIGHT(Annual!T$1,2),Segment!$A$3:$AR$3,0))+INDEX(Segment!$A:$AR,MATCH(Annual!$A89,Segment!$A:$A,0),MATCH("2H"&amp;RIGHT(Annual!T$1,2),Segment!$A$3:$AR$3,0))</f>
        <v>195.08936610214425</v>
      </c>
      <c r="U89" s="267">
        <f>INDEX(Segment!$A:$AR,MATCH(Annual!$A89,Segment!$A:$A,0),MATCH("1H"&amp;RIGHT(Annual!U$1,2),Segment!$A$3:$AR$3,0))+INDEX(Segment!$A:$AR,MATCH(Annual!$A89,Segment!$A:$A,0),MATCH("2H"&amp;RIGHT(Annual!U$1,2),Segment!$A$3:$AR$3,0))</f>
        <v>238.90385266130309</v>
      </c>
      <c r="V89" s="267">
        <f>INDEX(Segment!$A:$AR,MATCH(Annual!$A89,Segment!$A:$A,0),MATCH("1H"&amp;RIGHT(Annual!V$1,2),Segment!$A$3:$AR$3,0))+INDEX(Segment!$A:$AR,MATCH(Annual!$A89,Segment!$A:$A,0),MATCH("2H"&amp;RIGHT(Annual!V$1,2),Segment!$A$3:$AR$3,0))</f>
        <v>290.53934920518066</v>
      </c>
      <c r="W89" s="267">
        <f>INDEX(Segment!$A:$AR,MATCH(Annual!$A89,Segment!$A:$A,0),MATCH("1H"&amp;RIGHT(Annual!W$1,2),Segment!$A$3:$AR$3,0))+INDEX(Segment!$A:$AR,MATCH(Annual!$A89,Segment!$A:$A,0),MATCH("2H"&amp;RIGHT(Annual!W$1,2),Segment!$A$3:$AR$3,0))</f>
        <v>350.8034548132124</v>
      </c>
      <c r="X89" s="267">
        <f>INDEX(Segment!$A:$AR,MATCH(Annual!$A89,Segment!$A:$A,0),MATCH("1H"&amp;RIGHT(Annual!X$1,2),Segment!$A$3:$AR$3,0))+INDEX(Segment!$A:$AR,MATCH(Annual!$A89,Segment!$A:$A,0),MATCH("2H"&amp;RIGHT(Annual!X$1,2),Segment!$A$3:$AR$3,0))</f>
        <v>425.10232434332409</v>
      </c>
      <c r="Y89" s="267">
        <f>INDEX(Segment!$A:$AR,MATCH(Annual!$A89,Segment!$A:$A,0),MATCH("1H"&amp;RIGHT(Annual!Y$1,2),Segment!$A$3:$AR$3,0))+INDEX(Segment!$A:$AR,MATCH(Annual!$A89,Segment!$A:$A,0),MATCH("2H"&amp;RIGHT(Annual!Y$1,2),Segment!$A$3:$AR$3,0))</f>
        <v>516.9052836099595</v>
      </c>
      <c r="Z89" s="267">
        <f>INDEX(Segment!$A:$AR,MATCH(Annual!$A89,Segment!$A:$A,0),MATCH("1H"&amp;RIGHT(Annual!Z$1,2),Segment!$A$3:$AR$3,0))+INDEX(Segment!$A:$AR,MATCH(Annual!$A89,Segment!$A:$A,0),MATCH("2H"&amp;RIGHT(Annual!Z$1,2),Segment!$A$3:$AR$3,0))</f>
        <v>630.52448157849108</v>
      </c>
      <c r="AA89" s="267">
        <f>INDEX(Segment!$A:$AR,MATCH(Annual!$A89,Segment!$A:$A,0),MATCH("1H"&amp;RIGHT(Annual!AA$1,2),Segment!$A$3:$AR$3,0))+INDEX(Segment!$A:$AR,MATCH(Annual!$A89,Segment!$A:$A,0),MATCH("2H"&amp;RIGHT(Annual!AA$1,2),Segment!$A$3:$AR$3,0))</f>
        <v>771.48582408406946</v>
      </c>
      <c r="AB89" s="267">
        <f>INDEX(Segment!$A:$AR,MATCH(Annual!$A89,Segment!$A:$A,0),MATCH("1H"&amp;RIGHT(Annual!AB$1,2),Segment!$A$3:$AR$3,0))+INDEX(Segment!$A:$AR,MATCH(Annual!$A89,Segment!$A:$A,0),MATCH("2H"&amp;RIGHT(Annual!AB$1,2),Segment!$A$3:$AR$3,0))</f>
        <v>946.4275016682526</v>
      </c>
      <c r="AC89" s="1"/>
      <c r="AD89" s="1"/>
      <c r="AE89" s="99">
        <v>141.76540173542728</v>
      </c>
      <c r="AF89" s="100" t="e">
        <f t="shared" si="20"/>
        <v>#N/A</v>
      </c>
      <c r="AG89" s="99">
        <v>171.82491734192536</v>
      </c>
      <c r="AH89" s="100">
        <f t="shared" si="20"/>
        <v>-9.192371579392784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x14ac:dyDescent="0.25">
      <c r="A90" s="80" t="s">
        <v>229</v>
      </c>
      <c r="B90" s="92" t="s">
        <v>229</v>
      </c>
      <c r="C90" s="93"/>
      <c r="D90" s="51"/>
      <c r="E90" s="51">
        <v>-5</v>
      </c>
      <c r="F90" s="51">
        <v>-4</v>
      </c>
      <c r="G90" s="51">
        <v>-3</v>
      </c>
      <c r="H90" s="51">
        <v>-2</v>
      </c>
      <c r="I90" s="51">
        <v>-1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142">
        <v>0</v>
      </c>
      <c r="T90" s="142">
        <v>0</v>
      </c>
      <c r="U90" s="142">
        <v>0</v>
      </c>
      <c r="V90" s="142">
        <v>0</v>
      </c>
      <c r="W90" s="142">
        <v>0</v>
      </c>
      <c r="X90" s="142">
        <v>0</v>
      </c>
      <c r="Y90" s="142">
        <v>0</v>
      </c>
      <c r="Z90" s="142">
        <v>0</v>
      </c>
      <c r="AA90" s="142">
        <v>0</v>
      </c>
      <c r="AB90" s="142">
        <v>0</v>
      </c>
      <c r="AC90" s="1"/>
      <c r="AD90" s="1"/>
      <c r="AE90" s="95">
        <v>0</v>
      </c>
      <c r="AF90" s="96" t="e">
        <f t="shared" si="20"/>
        <v>#N/A</v>
      </c>
      <c r="AG90" s="95">
        <v>0</v>
      </c>
      <c r="AH90" s="96">
        <f t="shared" si="20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x14ac:dyDescent="0.25">
      <c r="A91" s="143" t="s">
        <v>39</v>
      </c>
      <c r="B91" s="97" t="s">
        <v>39</v>
      </c>
      <c r="C91" s="5" t="s">
        <v>75</v>
      </c>
      <c r="D91" s="98"/>
      <c r="E91" s="98">
        <v>18.600000000000001</v>
      </c>
      <c r="F91" s="98">
        <v>23</v>
      </c>
      <c r="G91" s="98">
        <v>28</v>
      </c>
      <c r="H91" s="98">
        <v>33.799999999999997</v>
      </c>
      <c r="I91" s="98">
        <v>40.299999999999997</v>
      </c>
      <c r="J91" s="98">
        <v>44.5</v>
      </c>
      <c r="K91" s="98">
        <v>51</v>
      </c>
      <c r="L91" s="98">
        <v>58.5</v>
      </c>
      <c r="M91" s="98">
        <v>62.9</v>
      </c>
      <c r="N91" s="98">
        <v>72.7</v>
      </c>
      <c r="O91" s="98">
        <v>88.8</v>
      </c>
      <c r="P91" s="98">
        <v>102.9</v>
      </c>
      <c r="Q91" s="98">
        <f>Q89+Q90</f>
        <v>117.99999999999997</v>
      </c>
      <c r="R91" s="98">
        <f>R89+R90</f>
        <v>137.64499999999998</v>
      </c>
      <c r="S91" s="267">
        <f>INDEX(Segment!$A:$AR,MATCH(Annual!$A91,Segment!$A:$A,0),MATCH("1H"&amp;RIGHT(Annual!S$1,2),Segment!$A$3:$AR$3,0))+INDEX(Segment!$A:$AR,MATCH(Annual!$A91,Segment!$A:$A,0),MATCH("2H"&amp;RIGHT(Annual!S$1,2),Segment!$A$3:$AR$3,0))</f>
        <v>162.63254576253257</v>
      </c>
      <c r="T91" s="267">
        <f>INDEX(Segment!$A:$AR,MATCH(Annual!$A91,Segment!$A:$A,0),MATCH("1H"&amp;RIGHT(Annual!T$1,2),Segment!$A$3:$AR$3,0))+INDEX(Segment!$A:$AR,MATCH(Annual!$A91,Segment!$A:$A,0),MATCH("2H"&amp;RIGHT(Annual!T$1,2),Segment!$A$3:$AR$3,0))</f>
        <v>195.08936610214425</v>
      </c>
      <c r="U91" s="267">
        <f>INDEX(Segment!$A:$AR,MATCH(Annual!$A91,Segment!$A:$A,0),MATCH("1H"&amp;RIGHT(Annual!U$1,2),Segment!$A$3:$AR$3,0))+INDEX(Segment!$A:$AR,MATCH(Annual!$A91,Segment!$A:$A,0),MATCH("2H"&amp;RIGHT(Annual!U$1,2),Segment!$A$3:$AR$3,0))</f>
        <v>238.90385266130309</v>
      </c>
      <c r="V91" s="267">
        <f>INDEX(Segment!$A:$AR,MATCH(Annual!$A91,Segment!$A:$A,0),MATCH("1H"&amp;RIGHT(Annual!V$1,2),Segment!$A$3:$AR$3,0))+INDEX(Segment!$A:$AR,MATCH(Annual!$A91,Segment!$A:$A,0),MATCH("2H"&amp;RIGHT(Annual!V$1,2),Segment!$A$3:$AR$3,0))</f>
        <v>290.53934920518066</v>
      </c>
      <c r="W91" s="267">
        <f>INDEX(Segment!$A:$AR,MATCH(Annual!$A91,Segment!$A:$A,0),MATCH("1H"&amp;RIGHT(Annual!W$1,2),Segment!$A$3:$AR$3,0))+INDEX(Segment!$A:$AR,MATCH(Annual!$A91,Segment!$A:$A,0),MATCH("2H"&amp;RIGHT(Annual!W$1,2),Segment!$A$3:$AR$3,0))</f>
        <v>350.8034548132124</v>
      </c>
      <c r="X91" s="267">
        <f>INDEX(Segment!$A:$AR,MATCH(Annual!$A91,Segment!$A:$A,0),MATCH("1H"&amp;RIGHT(Annual!X$1,2),Segment!$A$3:$AR$3,0))+INDEX(Segment!$A:$AR,MATCH(Annual!$A91,Segment!$A:$A,0),MATCH("2H"&amp;RIGHT(Annual!X$1,2),Segment!$A$3:$AR$3,0))</f>
        <v>425.10232434332409</v>
      </c>
      <c r="Y91" s="267">
        <f>INDEX(Segment!$A:$AR,MATCH(Annual!$A91,Segment!$A:$A,0),MATCH("1H"&amp;RIGHT(Annual!Y$1,2),Segment!$A$3:$AR$3,0))+INDEX(Segment!$A:$AR,MATCH(Annual!$A91,Segment!$A:$A,0),MATCH("2H"&amp;RIGHT(Annual!Y$1,2),Segment!$A$3:$AR$3,0))</f>
        <v>516.9052836099595</v>
      </c>
      <c r="Z91" s="267">
        <f>INDEX(Segment!$A:$AR,MATCH(Annual!$A91,Segment!$A:$A,0),MATCH("1H"&amp;RIGHT(Annual!Z$1,2),Segment!$A$3:$AR$3,0))+INDEX(Segment!$A:$AR,MATCH(Annual!$A91,Segment!$A:$A,0),MATCH("2H"&amp;RIGHT(Annual!Z$1,2),Segment!$A$3:$AR$3,0))</f>
        <v>630.52448157849108</v>
      </c>
      <c r="AA91" s="267">
        <f>INDEX(Segment!$A:$AR,MATCH(Annual!$A91,Segment!$A:$A,0),MATCH("1H"&amp;RIGHT(Annual!AA$1,2),Segment!$A$3:$AR$3,0))+INDEX(Segment!$A:$AR,MATCH(Annual!$A91,Segment!$A:$A,0),MATCH("2H"&amp;RIGHT(Annual!AA$1,2),Segment!$A$3:$AR$3,0))</f>
        <v>771.48582408406946</v>
      </c>
      <c r="AB91" s="267">
        <f>INDEX(Segment!$A:$AR,MATCH(Annual!$A91,Segment!$A:$A,0),MATCH("1H"&amp;RIGHT(Annual!AB$1,2),Segment!$A$3:$AR$3,0))+INDEX(Segment!$A:$AR,MATCH(Annual!$A91,Segment!$A:$A,0),MATCH("2H"&amp;RIGHT(Annual!AB$1,2),Segment!$A$3:$AR$3,0))</f>
        <v>946.4275016682526</v>
      </c>
      <c r="AC91" s="19"/>
      <c r="AD91" s="19"/>
      <c r="AE91" s="99">
        <v>141.76540173542728</v>
      </c>
      <c r="AF91" s="100" t="e">
        <f t="shared" si="20"/>
        <v>#N/A</v>
      </c>
      <c r="AG91" s="99">
        <v>171.82491734192536</v>
      </c>
      <c r="AH91" s="100">
        <f t="shared" si="20"/>
        <v>-9.192371579392784</v>
      </c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spans="1:44" x14ac:dyDescent="0.25">
      <c r="A92" s="80"/>
      <c r="B92" s="92" t="s">
        <v>230</v>
      </c>
      <c r="C92" s="93" t="s">
        <v>168</v>
      </c>
      <c r="D92" s="89"/>
      <c r="E92" s="2"/>
      <c r="F92" s="101">
        <v>0.23699999999999999</v>
      </c>
      <c r="G92" s="101">
        <v>0.217</v>
      </c>
      <c r="H92" s="101">
        <v>0.20699999999999999</v>
      </c>
      <c r="I92" s="101">
        <v>0.192</v>
      </c>
      <c r="J92" s="101">
        <v>0.104</v>
      </c>
      <c r="K92" s="101">
        <v>0.14599999999999999</v>
      </c>
      <c r="L92" s="101">
        <v>0.14599999999999999</v>
      </c>
      <c r="M92" s="101">
        <v>7.6999999999999999E-2</v>
      </c>
      <c r="N92" s="101">
        <v>0.155</v>
      </c>
      <c r="O92" s="101">
        <v>0.222</v>
      </c>
      <c r="P92" s="101">
        <v>0.158</v>
      </c>
      <c r="Q92" s="253">
        <f>Q91/P91-1</f>
        <v>0.14674441205053412</v>
      </c>
      <c r="R92" s="253">
        <f>R91/Q91-1</f>
        <v>0.16648305084745774</v>
      </c>
      <c r="S92" s="253">
        <f t="shared" ref="R92:AB92" si="24">S91/R91-1</f>
        <v>0.18153616740551848</v>
      </c>
      <c r="T92" s="253">
        <f t="shared" si="24"/>
        <v>0.19957149528362805</v>
      </c>
      <c r="U92" s="253">
        <f t="shared" si="24"/>
        <v>0.2245867493168161</v>
      </c>
      <c r="V92" s="253">
        <f t="shared" si="24"/>
        <v>0.21613505168994429</v>
      </c>
      <c r="W92" s="253">
        <f t="shared" si="24"/>
        <v>0.20742149307105673</v>
      </c>
      <c r="X92" s="253">
        <f t="shared" si="24"/>
        <v>0.21179628795181804</v>
      </c>
      <c r="Y92" s="253">
        <f t="shared" si="24"/>
        <v>0.21595496897940469</v>
      </c>
      <c r="Z92" s="253">
        <f t="shared" si="24"/>
        <v>0.219806609781658</v>
      </c>
      <c r="AA92" s="253">
        <f t="shared" si="24"/>
        <v>0.22356204497038346</v>
      </c>
      <c r="AB92" s="253">
        <f t="shared" si="24"/>
        <v>0.22675941945126343</v>
      </c>
      <c r="AC92" s="1"/>
      <c r="AD92" s="1"/>
      <c r="AE92" s="119">
        <v>0.20140170962226533</v>
      </c>
      <c r="AF92" s="120" t="e">
        <f t="shared" si="20"/>
        <v>#N/A</v>
      </c>
      <c r="AG92" s="119">
        <v>0.21203703610699942</v>
      </c>
      <c r="AH92" s="120">
        <f t="shared" si="20"/>
        <v>-3.0500868701480943E-2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x14ac:dyDescent="0.25">
      <c r="A93" s="80"/>
      <c r="B93" s="92" t="s">
        <v>231</v>
      </c>
      <c r="C93" s="93" t="s">
        <v>6</v>
      </c>
      <c r="D93" s="2"/>
      <c r="E93" s="2"/>
      <c r="F93" s="101">
        <v>0.127</v>
      </c>
      <c r="G93" s="101">
        <v>0.14299999999999999</v>
      </c>
      <c r="H93" s="101">
        <v>0.155</v>
      </c>
      <c r="I93" s="101">
        <v>0.16200000000000001</v>
      </c>
      <c r="J93" s="101">
        <v>0.16300000000000001</v>
      </c>
      <c r="K93" s="101">
        <v>0.20100000000000001</v>
      </c>
      <c r="L93" s="101">
        <v>0.20499999999999999</v>
      </c>
      <c r="M93" s="101">
        <v>0.21099999999999999</v>
      </c>
      <c r="N93" s="101">
        <v>0.23300000000000001</v>
      </c>
      <c r="O93" s="101">
        <v>0.24099999999999999</v>
      </c>
      <c r="P93" s="101">
        <v>0.23499999999999999</v>
      </c>
      <c r="Q93" s="253">
        <f>Q91/Q27</f>
        <v>0.22894838960031039</v>
      </c>
      <c r="R93" s="253">
        <f>R91/R27</f>
        <v>0.22563718386697001</v>
      </c>
      <c r="S93" s="253">
        <f t="shared" ref="R93:AB93" si="25">S91/S27</f>
        <v>0.23413706989880781</v>
      </c>
      <c r="T93" s="253">
        <f t="shared" si="25"/>
        <v>0.24439802205323666</v>
      </c>
      <c r="U93" s="253">
        <f t="shared" si="25"/>
        <v>0.25502215834430936</v>
      </c>
      <c r="V93" s="253">
        <f t="shared" si="25"/>
        <v>0.26127907219553986</v>
      </c>
      <c r="W93" s="253">
        <f t="shared" si="25"/>
        <v>0.26506873697699729</v>
      </c>
      <c r="X93" s="253">
        <f t="shared" si="25"/>
        <v>0.26875665991268927</v>
      </c>
      <c r="Y93" s="253">
        <f t="shared" si="25"/>
        <v>0.27243083963287101</v>
      </c>
      <c r="Z93" s="253">
        <f t="shared" si="25"/>
        <v>0.27613781602527865</v>
      </c>
      <c r="AA93" s="253">
        <f t="shared" si="25"/>
        <v>0.27995195027808939</v>
      </c>
      <c r="AB93" s="253">
        <f t="shared" si="25"/>
        <v>0.28382437349030898</v>
      </c>
      <c r="AC93" s="1"/>
      <c r="AD93" s="1"/>
      <c r="AE93" s="119">
        <v>0.23431865702539387</v>
      </c>
      <c r="AF93" s="120" t="e">
        <f t="shared" si="20"/>
        <v>#N/A</v>
      </c>
      <c r="AG93" s="119">
        <v>0.24468823993007474</v>
      </c>
      <c r="AH93" s="120">
        <f t="shared" si="20"/>
        <v>-1.0551170031266932E-2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x14ac:dyDescent="0.25">
      <c r="A94" s="284"/>
      <c r="B94" s="285"/>
      <c r="C94" s="93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1"/>
      <c r="AD94" s="1"/>
      <c r="AE94" s="140"/>
      <c r="AF94" s="141" t="str">
        <f t="shared" si="20"/>
        <v/>
      </c>
      <c r="AG94" s="140"/>
      <c r="AH94" s="141" t="str">
        <f t="shared" si="20"/>
        <v/>
      </c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x14ac:dyDescent="0.25">
      <c r="A95" s="80"/>
      <c r="B95" s="90" t="s">
        <v>48</v>
      </c>
      <c r="C95" s="93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1"/>
      <c r="AD95" s="1"/>
      <c r="AE95" s="140"/>
      <c r="AF95" s="141" t="str">
        <f t="shared" si="20"/>
        <v/>
      </c>
      <c r="AG95" s="140"/>
      <c r="AH95" s="141" t="str">
        <f t="shared" si="20"/>
        <v/>
      </c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x14ac:dyDescent="0.25">
      <c r="A96" s="80" t="str">
        <f>B96</f>
        <v>YE Basic Shares Outstanding</v>
      </c>
      <c r="B96" s="97" t="s">
        <v>232</v>
      </c>
      <c r="C96" s="5" t="s">
        <v>233</v>
      </c>
      <c r="D96" s="114"/>
      <c r="E96" s="114"/>
      <c r="F96" s="114"/>
      <c r="G96" s="114"/>
      <c r="H96" s="114"/>
      <c r="I96" s="114"/>
      <c r="J96" s="114"/>
      <c r="K96" s="114">
        <v>316.69</v>
      </c>
      <c r="L96" s="114">
        <v>317.83</v>
      </c>
      <c r="M96" s="114">
        <v>319.3</v>
      </c>
      <c r="N96" s="114">
        <v>321.64999999999998</v>
      </c>
      <c r="O96" s="114">
        <v>323.37</v>
      </c>
      <c r="P96" s="114">
        <v>324.67</v>
      </c>
      <c r="Q96" s="114">
        <v>326.08</v>
      </c>
      <c r="R96" s="114">
        <v>327.36854099999999</v>
      </c>
      <c r="S96" s="269">
        <f t="shared" ref="S96:AB96" si="26">R96+S210/S103</f>
        <v>327.36854099999999</v>
      </c>
      <c r="T96" s="269">
        <f t="shared" si="26"/>
        <v>327.36854099999999</v>
      </c>
      <c r="U96" s="269">
        <f t="shared" si="26"/>
        <v>327.36854099999999</v>
      </c>
      <c r="V96" s="269">
        <f t="shared" si="26"/>
        <v>324.42736452941176</v>
      </c>
      <c r="W96" s="269">
        <f t="shared" si="26"/>
        <v>321.0450115882353</v>
      </c>
      <c r="X96" s="269">
        <f t="shared" si="26"/>
        <v>317.14795276470591</v>
      </c>
      <c r="Y96" s="269">
        <f t="shared" si="26"/>
        <v>312.66265864705883</v>
      </c>
      <c r="Z96" s="269">
        <f t="shared" si="26"/>
        <v>307.51559982352944</v>
      </c>
      <c r="AA96" s="269">
        <f t="shared" si="26"/>
        <v>301.5964821764706</v>
      </c>
      <c r="AB96" s="269">
        <f t="shared" si="26"/>
        <v>294.7950115882353</v>
      </c>
      <c r="AC96" s="1"/>
      <c r="AD96" s="1"/>
      <c r="AE96" s="145">
        <v>326.08</v>
      </c>
      <c r="AF96" s="146" t="e">
        <f t="shared" si="20"/>
        <v>#N/A</v>
      </c>
      <c r="AG96" s="145">
        <v>326.08</v>
      </c>
      <c r="AH96" s="146">
        <f t="shared" si="20"/>
        <v>1.2885410000000093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x14ac:dyDescent="0.25">
      <c r="A97" s="80"/>
      <c r="B97" s="97" t="s">
        <v>234</v>
      </c>
      <c r="C97" s="5" t="s">
        <v>233</v>
      </c>
      <c r="D97" s="114"/>
      <c r="E97" s="114"/>
      <c r="F97" s="114"/>
      <c r="G97" s="114"/>
      <c r="H97" s="114"/>
      <c r="I97" s="114"/>
      <c r="J97" s="114"/>
      <c r="K97" s="114">
        <v>315.8</v>
      </c>
      <c r="L97" s="114">
        <v>317.22000000000003</v>
      </c>
      <c r="M97" s="114">
        <v>318.66000000000003</v>
      </c>
      <c r="N97" s="114">
        <v>321.07</v>
      </c>
      <c r="O97" s="114">
        <v>322.95</v>
      </c>
      <c r="P97" s="114">
        <v>324.42</v>
      </c>
      <c r="Q97" s="114">
        <v>325.66000000000003</v>
      </c>
      <c r="R97" s="114">
        <v>326.72623199999998</v>
      </c>
      <c r="S97" s="144">
        <v>326.08</v>
      </c>
      <c r="T97" s="144">
        <v>326.08</v>
      </c>
      <c r="U97" s="144">
        <v>326.08</v>
      </c>
      <c r="V97" s="144">
        <v>325.02</v>
      </c>
      <c r="W97" s="144">
        <v>322.76</v>
      </c>
      <c r="X97" s="144">
        <v>320.16000000000003</v>
      </c>
      <c r="Y97" s="144">
        <v>317.16000000000003</v>
      </c>
      <c r="Z97" s="144">
        <v>313.72000000000003</v>
      </c>
      <c r="AA97" s="144">
        <v>309.76</v>
      </c>
      <c r="AB97" s="144">
        <v>305.20999999999998</v>
      </c>
      <c r="AC97" s="1"/>
      <c r="AD97" s="1"/>
      <c r="AE97" s="145">
        <v>326.08</v>
      </c>
      <c r="AF97" s="146" t="e">
        <f t="shared" si="20"/>
        <v>#N/A</v>
      </c>
      <c r="AG97" s="145">
        <v>326.08</v>
      </c>
      <c r="AH97" s="146">
        <f t="shared" si="20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x14ac:dyDescent="0.25">
      <c r="A98" s="80"/>
      <c r="B98" s="92" t="s">
        <v>235</v>
      </c>
      <c r="C98" s="93" t="s">
        <v>233</v>
      </c>
      <c r="D98" s="49"/>
      <c r="E98" s="49"/>
      <c r="F98" s="49"/>
      <c r="G98" s="49"/>
      <c r="H98" s="49"/>
      <c r="I98" s="49"/>
      <c r="J98" s="49">
        <v>0</v>
      </c>
      <c r="K98" s="49">
        <v>0.89</v>
      </c>
      <c r="L98" s="49">
        <v>2.2799999999999998</v>
      </c>
      <c r="M98" s="49">
        <v>2.2999999999999998</v>
      </c>
      <c r="N98" s="49">
        <v>1.67</v>
      </c>
      <c r="O98" s="49">
        <v>1.53</v>
      </c>
      <c r="P98" s="49">
        <v>1.58</v>
      </c>
      <c r="Q98" s="49">
        <f>Q99-Q97</f>
        <v>1.9099999999999682</v>
      </c>
      <c r="R98" s="49">
        <f>R99-R97</f>
        <v>3.137279000000035</v>
      </c>
      <c r="S98" s="142">
        <v>1.91</v>
      </c>
      <c r="T98" s="142">
        <v>1.91</v>
      </c>
      <c r="U98" s="142">
        <v>1.91</v>
      </c>
      <c r="V98" s="142">
        <v>1.91</v>
      </c>
      <c r="W98" s="142">
        <v>1.91</v>
      </c>
      <c r="X98" s="142">
        <v>1.91</v>
      </c>
      <c r="Y98" s="142">
        <v>1.91</v>
      </c>
      <c r="Z98" s="142">
        <v>1.91</v>
      </c>
      <c r="AA98" s="142">
        <v>1.91</v>
      </c>
      <c r="AB98" s="142">
        <v>1.91</v>
      </c>
      <c r="AC98" s="1"/>
      <c r="AD98" s="1"/>
      <c r="AE98" s="95">
        <v>1.91</v>
      </c>
      <c r="AF98" s="96" t="e">
        <f t="shared" si="20"/>
        <v>#N/A</v>
      </c>
      <c r="AG98" s="95">
        <v>1.91</v>
      </c>
      <c r="AH98" s="96">
        <f t="shared" si="20"/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x14ac:dyDescent="0.25">
      <c r="A99" s="80"/>
      <c r="B99" s="97" t="s">
        <v>236</v>
      </c>
      <c r="C99" s="5" t="s">
        <v>233</v>
      </c>
      <c r="D99" s="114"/>
      <c r="E99" s="114"/>
      <c r="F99" s="114"/>
      <c r="G99" s="114"/>
      <c r="H99" s="114"/>
      <c r="I99" s="114"/>
      <c r="J99" s="114"/>
      <c r="K99" s="114">
        <v>316.69</v>
      </c>
      <c r="L99" s="114">
        <v>319.5</v>
      </c>
      <c r="M99" s="114">
        <v>320.95</v>
      </c>
      <c r="N99" s="114">
        <v>322.74</v>
      </c>
      <c r="O99" s="114">
        <v>324.48</v>
      </c>
      <c r="P99" s="114">
        <v>326</v>
      </c>
      <c r="Q99" s="114">
        <v>327.57</v>
      </c>
      <c r="R99" s="114">
        <v>329.86351100000002</v>
      </c>
      <c r="S99" s="144">
        <v>327.99</v>
      </c>
      <c r="T99" s="144">
        <v>327.99</v>
      </c>
      <c r="U99" s="144">
        <v>327.99</v>
      </c>
      <c r="V99" s="144">
        <v>326.94</v>
      </c>
      <c r="W99" s="144">
        <v>324.67</v>
      </c>
      <c r="X99" s="144">
        <v>322.07</v>
      </c>
      <c r="Y99" s="144">
        <v>319.08</v>
      </c>
      <c r="Z99" s="144">
        <v>315.64</v>
      </c>
      <c r="AA99" s="144">
        <v>311.68</v>
      </c>
      <c r="AB99" s="144">
        <v>307.13</v>
      </c>
      <c r="AC99" s="1"/>
      <c r="AD99" s="1"/>
      <c r="AE99" s="145">
        <v>327.99</v>
      </c>
      <c r="AF99" s="146" t="e">
        <f t="shared" si="20"/>
        <v>#N/A</v>
      </c>
      <c r="AG99" s="145">
        <v>327.99</v>
      </c>
      <c r="AH99" s="146">
        <f t="shared" si="20"/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x14ac:dyDescent="0.25">
      <c r="A100" s="284"/>
      <c r="B100" s="285"/>
      <c r="C100" s="132"/>
      <c r="D100" s="2"/>
      <c r="E100" s="2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74"/>
      <c r="AF100" s="75" t="str">
        <f t="shared" si="20"/>
        <v/>
      </c>
      <c r="AG100" s="74"/>
      <c r="AH100" s="75" t="str">
        <f t="shared" si="20"/>
        <v/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x14ac:dyDescent="0.25">
      <c r="A101" s="80" t="s">
        <v>48</v>
      </c>
      <c r="B101" s="122" t="s">
        <v>237</v>
      </c>
      <c r="C101" s="110" t="s">
        <v>238</v>
      </c>
      <c r="D101" s="123">
        <v>6.7000000000000004E-2</v>
      </c>
      <c r="E101" s="123">
        <v>7.6999999999999999E-2</v>
      </c>
      <c r="F101" s="123">
        <v>8.7999999999999995E-2</v>
      </c>
      <c r="G101" s="123">
        <v>0.10100000000000001</v>
      </c>
      <c r="H101" s="123">
        <v>0.11600000000000001</v>
      </c>
      <c r="I101" s="123">
        <v>0.13300000000000001</v>
      </c>
      <c r="J101" s="123">
        <v>0.14199999999999999</v>
      </c>
      <c r="K101" s="111">
        <v>0.161</v>
      </c>
      <c r="L101" s="111">
        <v>0.183</v>
      </c>
      <c r="M101" s="111">
        <v>0.19600000000000001</v>
      </c>
      <c r="N101" s="111">
        <v>0.22500000000000001</v>
      </c>
      <c r="O101" s="111">
        <v>0.27400000000000002</v>
      </c>
      <c r="P101" s="111">
        <v>0.316</v>
      </c>
      <c r="Q101" s="258">
        <f>Q91/Q99</f>
        <v>0.36022834813932891</v>
      </c>
      <c r="R101" s="258">
        <f>R91/R99</f>
        <v>0.41727864831948625</v>
      </c>
      <c r="S101" s="258">
        <f t="shared" ref="R101:AB101" si="27">S91/S99</f>
        <v>0.49584604946044869</v>
      </c>
      <c r="T101" s="258">
        <f t="shared" si="27"/>
        <v>0.59480278698175015</v>
      </c>
      <c r="U101" s="258">
        <f t="shared" si="27"/>
        <v>0.72838761139456409</v>
      </c>
      <c r="V101" s="258">
        <f t="shared" si="27"/>
        <v>0.88866259621086641</v>
      </c>
      <c r="W101" s="258">
        <f t="shared" si="27"/>
        <v>1.0804923608994128</v>
      </c>
      <c r="X101" s="258">
        <f t="shared" si="27"/>
        <v>1.3199066176400289</v>
      </c>
      <c r="Y101" s="258">
        <f t="shared" si="27"/>
        <v>1.6199864723892425</v>
      </c>
      <c r="Z101" s="258">
        <f t="shared" si="27"/>
        <v>1.9976063920241132</v>
      </c>
      <c r="AA101" s="258">
        <f t="shared" si="27"/>
        <v>2.4752496922615164</v>
      </c>
      <c r="AB101" s="258">
        <f t="shared" si="27"/>
        <v>3.081520859793093</v>
      </c>
      <c r="AC101" s="1"/>
      <c r="AD101" s="1"/>
      <c r="AE101" s="147">
        <v>0.43222476824118805</v>
      </c>
      <c r="AF101" s="148" t="e">
        <f t="shared" si="20"/>
        <v>#N/A</v>
      </c>
      <c r="AG101" s="147">
        <v>0.52387242703108439</v>
      </c>
      <c r="AH101" s="148">
        <f t="shared" si="20"/>
        <v>-2.8026377570635697E-2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x14ac:dyDescent="0.25">
      <c r="A102" s="80"/>
      <c r="B102" s="92" t="s">
        <v>239</v>
      </c>
      <c r="C102" s="93" t="s">
        <v>168</v>
      </c>
      <c r="D102" s="2"/>
      <c r="E102" s="2"/>
      <c r="F102" s="2"/>
      <c r="G102" s="2"/>
      <c r="H102" s="2"/>
      <c r="I102" s="2"/>
      <c r="J102" s="66">
        <v>7.0000000000000007E-2</v>
      </c>
      <c r="K102" s="66">
        <v>0.14000000000000001</v>
      </c>
      <c r="L102" s="66">
        <v>0.14000000000000001</v>
      </c>
      <c r="M102" s="66">
        <v>7.0000000000000007E-2</v>
      </c>
      <c r="N102" s="66">
        <v>0.15</v>
      </c>
      <c r="O102" s="66">
        <v>0.22</v>
      </c>
      <c r="P102" s="66">
        <v>0.15</v>
      </c>
      <c r="Q102" s="66">
        <f>Q101/P101-1</f>
        <v>0.13996312702319269</v>
      </c>
      <c r="R102" s="66">
        <f>R101/Q101-1</f>
        <v>0.15837260025435707</v>
      </c>
      <c r="S102" s="66">
        <v>0.21</v>
      </c>
      <c r="T102" s="66">
        <v>0.22</v>
      </c>
      <c r="U102" s="66">
        <v>0.24</v>
      </c>
      <c r="V102" s="66">
        <v>0.23</v>
      </c>
      <c r="W102" s="66">
        <v>0.23</v>
      </c>
      <c r="X102" s="66">
        <v>0.24</v>
      </c>
      <c r="Y102" s="66">
        <v>0.24</v>
      </c>
      <c r="Z102" s="66">
        <v>0.25</v>
      </c>
      <c r="AA102" s="66">
        <v>0.26</v>
      </c>
      <c r="AB102" s="66">
        <v>0.26</v>
      </c>
      <c r="AC102" s="1"/>
      <c r="AD102" s="1"/>
      <c r="AE102" s="102">
        <v>0.2</v>
      </c>
      <c r="AF102" s="103" t="e">
        <f t="shared" si="20"/>
        <v>#N/A</v>
      </c>
      <c r="AG102" s="102">
        <v>0.21</v>
      </c>
      <c r="AH102" s="103">
        <f t="shared" si="20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x14ac:dyDescent="0.25">
      <c r="A103" s="80"/>
      <c r="B103" s="92" t="s">
        <v>240</v>
      </c>
      <c r="C103" s="93" t="s">
        <v>238</v>
      </c>
      <c r="D103" s="51"/>
      <c r="E103" s="51"/>
      <c r="F103" s="49"/>
      <c r="G103" s="49"/>
      <c r="H103" s="49"/>
      <c r="I103" s="49"/>
      <c r="J103" s="149">
        <v>38</v>
      </c>
      <c r="K103" s="149">
        <v>38</v>
      </c>
      <c r="L103" s="149">
        <v>38</v>
      </c>
      <c r="M103" s="149">
        <v>38</v>
      </c>
      <c r="N103" s="149">
        <v>38</v>
      </c>
      <c r="O103" s="149">
        <v>38</v>
      </c>
      <c r="P103" s="149">
        <v>38</v>
      </c>
      <c r="Q103" s="149">
        <f>Value!$D$4</f>
        <v>27.2</v>
      </c>
      <c r="R103" s="149">
        <f>Value!$D$4</f>
        <v>27.2</v>
      </c>
      <c r="S103" s="149">
        <f>Value!$D$4</f>
        <v>27.2</v>
      </c>
      <c r="T103" s="149">
        <f>Value!$D$4</f>
        <v>27.2</v>
      </c>
      <c r="U103" s="149">
        <f>Value!$D$4</f>
        <v>27.2</v>
      </c>
      <c r="V103" s="149">
        <f>Value!$D$4</f>
        <v>27.2</v>
      </c>
      <c r="W103" s="149">
        <f>Value!$D$4</f>
        <v>27.2</v>
      </c>
      <c r="X103" s="149">
        <f>Value!$D$4</f>
        <v>27.2</v>
      </c>
      <c r="Y103" s="149">
        <f>Value!$D$4</f>
        <v>27.2</v>
      </c>
      <c r="Z103" s="149">
        <f>Value!$D$4</f>
        <v>27.2</v>
      </c>
      <c r="AA103" s="149">
        <f>Value!$D$4</f>
        <v>27.2</v>
      </c>
      <c r="AB103" s="149">
        <f>Value!$D$4</f>
        <v>27.2</v>
      </c>
      <c r="AC103" s="1"/>
      <c r="AD103" s="1"/>
      <c r="AE103" s="150">
        <v>38</v>
      </c>
      <c r="AF103" s="151" t="e">
        <f t="shared" si="20"/>
        <v>#N/A</v>
      </c>
      <c r="AG103" s="150">
        <v>38</v>
      </c>
      <c r="AH103" s="151">
        <f t="shared" si="20"/>
        <v>-10.8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x14ac:dyDescent="0.25">
      <c r="A104" s="80"/>
      <c r="B104" s="92" t="s">
        <v>241</v>
      </c>
      <c r="C104" s="93" t="s">
        <v>9</v>
      </c>
      <c r="D104" s="49"/>
      <c r="E104" s="49"/>
      <c r="F104" s="49"/>
      <c r="G104" s="49"/>
      <c r="H104" s="49"/>
      <c r="I104" s="49"/>
      <c r="J104" s="49">
        <v>268</v>
      </c>
      <c r="K104" s="49">
        <v>236</v>
      </c>
      <c r="L104" s="49">
        <v>207.6</v>
      </c>
      <c r="M104" s="49">
        <v>193.8</v>
      </c>
      <c r="N104" s="49">
        <v>168.7</v>
      </c>
      <c r="O104" s="49">
        <v>138.80000000000001</v>
      </c>
      <c r="P104" s="49">
        <v>120.4</v>
      </c>
      <c r="Q104" s="149">
        <f>Q103/Q101</f>
        <v>75.507661016949172</v>
      </c>
      <c r="R104" s="149">
        <f>R103/R101</f>
        <v>65.184260228849581</v>
      </c>
      <c r="S104" s="149">
        <f t="shared" ref="R104:AB104" si="28">S103/S101</f>
        <v>54.855736028546531</v>
      </c>
      <c r="T104" s="149">
        <f t="shared" si="28"/>
        <v>45.729442758704749</v>
      </c>
      <c r="U104" s="149">
        <f t="shared" si="28"/>
        <v>37.342754838901136</v>
      </c>
      <c r="V104" s="149">
        <f t="shared" si="28"/>
        <v>30.607792109150328</v>
      </c>
      <c r="W104" s="149">
        <f t="shared" si="28"/>
        <v>25.17370875010948</v>
      </c>
      <c r="X104" s="149">
        <f t="shared" si="28"/>
        <v>20.607518468717998</v>
      </c>
      <c r="Y104" s="149">
        <f t="shared" si="28"/>
        <v>16.790263661821811</v>
      </c>
      <c r="Z104" s="149">
        <f t="shared" si="28"/>
        <v>13.616296037398577</v>
      </c>
      <c r="AA104" s="149">
        <f t="shared" si="28"/>
        <v>10.988790377405792</v>
      </c>
      <c r="AB104" s="149">
        <f t="shared" si="28"/>
        <v>8.8268102789433431</v>
      </c>
      <c r="AC104" s="1"/>
      <c r="AD104" s="1"/>
      <c r="AE104" s="95">
        <v>87.917219909978456</v>
      </c>
      <c r="AF104" s="96" t="e">
        <f t="shared" si="20"/>
        <v>#N/A</v>
      </c>
      <c r="AG104" s="95">
        <v>72.536743755260176</v>
      </c>
      <c r="AH104" s="96">
        <f t="shared" si="20"/>
        <v>-17.681007726713645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x14ac:dyDescent="0.25">
      <c r="A105" s="284"/>
      <c r="B105" s="285"/>
      <c r="C105" s="132"/>
      <c r="D105" s="2"/>
      <c r="E105" s="2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74"/>
      <c r="AF105" s="75" t="str">
        <f t="shared" si="20"/>
        <v/>
      </c>
      <c r="AG105" s="74"/>
      <c r="AH105" s="75" t="str">
        <f t="shared" si="20"/>
        <v/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x14ac:dyDescent="0.25">
      <c r="A106" s="80"/>
      <c r="B106" s="90" t="s">
        <v>55</v>
      </c>
      <c r="C106" s="13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74"/>
      <c r="AF106" s="75" t="str">
        <f t="shared" si="20"/>
        <v/>
      </c>
      <c r="AG106" s="74"/>
      <c r="AH106" s="75" t="str">
        <f t="shared" si="20"/>
        <v/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x14ac:dyDescent="0.25">
      <c r="A107" s="80"/>
      <c r="B107" s="92" t="s">
        <v>242</v>
      </c>
      <c r="C107" s="132"/>
      <c r="D107" s="50" t="s">
        <v>179</v>
      </c>
      <c r="E107" s="1"/>
      <c r="F107" s="1"/>
      <c r="G107" s="1"/>
      <c r="H107" s="1"/>
      <c r="I107" s="1"/>
      <c r="J107" s="51"/>
      <c r="K107" s="51">
        <v>0.09</v>
      </c>
      <c r="L107" s="51">
        <v>0.12</v>
      </c>
      <c r="M107" s="51">
        <v>0.13</v>
      </c>
      <c r="N107" s="51">
        <v>0.14000000000000001</v>
      </c>
      <c r="O107" s="51">
        <v>0.15</v>
      </c>
      <c r="P107" s="51">
        <v>0.17</v>
      </c>
      <c r="Q107" s="51">
        <v>0.22</v>
      </c>
      <c r="R107" s="51">
        <v>0.26600000000000001</v>
      </c>
      <c r="S107" s="261">
        <f t="shared" ref="S107:AB107" si="29">S111*S101</f>
        <v>0.30742455066547819</v>
      </c>
      <c r="T107" s="261">
        <f t="shared" si="29"/>
        <v>0.36877772792868507</v>
      </c>
      <c r="U107" s="261">
        <f t="shared" si="29"/>
        <v>0.45160031906462972</v>
      </c>
      <c r="V107" s="261">
        <f t="shared" si="29"/>
        <v>0.55097080965073719</v>
      </c>
      <c r="W107" s="261">
        <f t="shared" si="29"/>
        <v>0.66990526375763593</v>
      </c>
      <c r="X107" s="261">
        <f t="shared" si="29"/>
        <v>0.81834210293681797</v>
      </c>
      <c r="Y107" s="261">
        <f t="shared" si="29"/>
        <v>1.0043916128813304</v>
      </c>
      <c r="Z107" s="261">
        <f t="shared" si="29"/>
        <v>1.23851596305495</v>
      </c>
      <c r="AA107" s="261">
        <f t="shared" si="29"/>
        <v>1.5346548092021401</v>
      </c>
      <c r="AB107" s="261">
        <f t="shared" si="29"/>
        <v>2.4652166878344746</v>
      </c>
      <c r="AC107" s="1"/>
      <c r="AD107" s="1"/>
      <c r="AE107" s="74">
        <v>0.26797935630953656</v>
      </c>
      <c r="AF107" s="75" t="e">
        <f t="shared" si="20"/>
        <v>#N/A</v>
      </c>
      <c r="AG107" s="74">
        <v>0.32480090475927231</v>
      </c>
      <c r="AH107" s="75">
        <f t="shared" si="20"/>
        <v>-1.7376354093794122E-2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x14ac:dyDescent="0.25">
      <c r="A108" s="80"/>
      <c r="B108" s="92" t="s">
        <v>243</v>
      </c>
      <c r="C108" s="132"/>
      <c r="D108" s="50"/>
      <c r="E108" s="1"/>
      <c r="F108" s="1"/>
      <c r="G108" s="1"/>
      <c r="H108" s="1"/>
      <c r="I108" s="1"/>
      <c r="J108" s="51"/>
      <c r="K108" s="51">
        <v>0</v>
      </c>
      <c r="L108" s="51">
        <v>0</v>
      </c>
      <c r="M108" s="51">
        <v>0</v>
      </c>
      <c r="N108" s="51">
        <v>0</v>
      </c>
      <c r="O108" s="51">
        <v>0.02</v>
      </c>
      <c r="P108" s="51">
        <v>0.03</v>
      </c>
      <c r="Q108" s="51">
        <v>0</v>
      </c>
      <c r="R108" s="51">
        <v>0.1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74"/>
      <c r="AF108" s="75" t="str">
        <f t="shared" si="20"/>
        <v/>
      </c>
      <c r="AG108" s="74"/>
      <c r="AH108" s="75" t="str">
        <f t="shared" si="20"/>
        <v/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x14ac:dyDescent="0.25">
      <c r="A109" s="80" t="s">
        <v>55</v>
      </c>
      <c r="B109" s="97" t="s">
        <v>55</v>
      </c>
      <c r="C109" s="5" t="s">
        <v>238</v>
      </c>
      <c r="D109" s="114"/>
      <c r="E109" s="114"/>
      <c r="F109" s="114">
        <v>0</v>
      </c>
      <c r="G109" s="114"/>
      <c r="H109" s="114"/>
      <c r="I109" s="114"/>
      <c r="J109" s="98">
        <v>0</v>
      </c>
      <c r="K109" s="98">
        <v>0.09</v>
      </c>
      <c r="L109" s="98">
        <v>0.11899999999999999</v>
      </c>
      <c r="M109" s="98">
        <v>0.129</v>
      </c>
      <c r="N109" s="98">
        <v>0.13900000000000001</v>
      </c>
      <c r="O109" s="98">
        <v>0.17</v>
      </c>
      <c r="P109" s="98">
        <v>0.19500000000000001</v>
      </c>
      <c r="Q109" s="257">
        <f>SUM(Q107:Q108)</f>
        <v>0.22</v>
      </c>
      <c r="R109" s="257">
        <f>SUM(R107:R108)</f>
        <v>0.36599999999999999</v>
      </c>
      <c r="S109" s="257">
        <f t="shared" ref="R109:AB109" si="30">SUM(S107:S108)</f>
        <v>0.30742455066547819</v>
      </c>
      <c r="T109" s="257">
        <f t="shared" si="30"/>
        <v>0.36877772792868507</v>
      </c>
      <c r="U109" s="257">
        <f t="shared" si="30"/>
        <v>0.45160031906462972</v>
      </c>
      <c r="V109" s="257">
        <f t="shared" si="30"/>
        <v>0.55097080965073719</v>
      </c>
      <c r="W109" s="257">
        <f t="shared" si="30"/>
        <v>0.66990526375763593</v>
      </c>
      <c r="X109" s="257">
        <f t="shared" si="30"/>
        <v>0.81834210293681797</v>
      </c>
      <c r="Y109" s="257">
        <f t="shared" si="30"/>
        <v>1.0043916128813304</v>
      </c>
      <c r="Z109" s="257">
        <f t="shared" si="30"/>
        <v>1.23851596305495</v>
      </c>
      <c r="AA109" s="257">
        <f t="shared" si="30"/>
        <v>1.5346548092021401</v>
      </c>
      <c r="AB109" s="257">
        <f t="shared" si="30"/>
        <v>2.4652166878344746</v>
      </c>
      <c r="AC109" s="1"/>
      <c r="AD109" s="1"/>
      <c r="AE109" s="99">
        <v>0.26797935630953656</v>
      </c>
      <c r="AF109" s="100" t="e">
        <f t="shared" si="20"/>
        <v>#N/A</v>
      </c>
      <c r="AG109" s="99">
        <v>0.32480090475927231</v>
      </c>
      <c r="AH109" s="100">
        <f t="shared" si="20"/>
        <v>-1.7376354093794122E-2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x14ac:dyDescent="0.25">
      <c r="A110" s="80"/>
      <c r="B110" s="97" t="s">
        <v>55</v>
      </c>
      <c r="C110" s="5" t="s">
        <v>75</v>
      </c>
      <c r="D110" s="98"/>
      <c r="E110" s="98"/>
      <c r="F110" s="98">
        <v>0</v>
      </c>
      <c r="G110" s="98"/>
      <c r="H110" s="98"/>
      <c r="I110" s="98"/>
      <c r="J110" s="98">
        <v>0</v>
      </c>
      <c r="K110" s="98">
        <v>28.5</v>
      </c>
      <c r="L110" s="98">
        <v>37.799999999999997</v>
      </c>
      <c r="M110" s="98">
        <v>41</v>
      </c>
      <c r="N110" s="98">
        <v>44.7</v>
      </c>
      <c r="O110" s="98">
        <v>55</v>
      </c>
      <c r="P110" s="98">
        <v>63.3</v>
      </c>
      <c r="Q110" s="255">
        <f>Q109*Q97</f>
        <v>71.645200000000003</v>
      </c>
      <c r="R110" s="255">
        <f>R109*R97</f>
        <v>119.58180091199999</v>
      </c>
      <c r="S110" s="255">
        <f t="shared" ref="R110:AB110" si="31">S109*S97</f>
        <v>100.24499748099912</v>
      </c>
      <c r="T110" s="255">
        <f t="shared" si="31"/>
        <v>120.25104152298562</v>
      </c>
      <c r="U110" s="255">
        <f t="shared" si="31"/>
        <v>147.25783204059445</v>
      </c>
      <c r="V110" s="255">
        <f t="shared" si="31"/>
        <v>179.07653255268258</v>
      </c>
      <c r="W110" s="255">
        <f t="shared" si="31"/>
        <v>216.21862293041457</v>
      </c>
      <c r="X110" s="255">
        <f t="shared" si="31"/>
        <v>262.00040767625165</v>
      </c>
      <c r="Y110" s="255">
        <f t="shared" si="31"/>
        <v>318.55284394144275</v>
      </c>
      <c r="Z110" s="255">
        <f t="shared" si="31"/>
        <v>388.54722792959899</v>
      </c>
      <c r="AA110" s="255">
        <f t="shared" si="31"/>
        <v>475.3746736984549</v>
      </c>
      <c r="AB110" s="255">
        <f t="shared" si="31"/>
        <v>752.40878529395991</v>
      </c>
      <c r="AC110" s="1"/>
      <c r="AD110" s="1"/>
      <c r="AE110" s="99">
        <v>87.382708505413675</v>
      </c>
      <c r="AF110" s="100" t="e">
        <f t="shared" si="20"/>
        <v>#N/A</v>
      </c>
      <c r="AG110" s="99">
        <v>105.91107902390351</v>
      </c>
      <c r="AH110" s="100">
        <f t="shared" si="20"/>
        <v>-5.6660815429043936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x14ac:dyDescent="0.25">
      <c r="A111" s="80"/>
      <c r="B111" s="92" t="s">
        <v>244</v>
      </c>
      <c r="C111" s="93" t="s">
        <v>6</v>
      </c>
      <c r="D111" s="2"/>
      <c r="E111" s="2"/>
      <c r="F111" s="66">
        <v>0</v>
      </c>
      <c r="G111" s="2"/>
      <c r="H111" s="2"/>
      <c r="I111" s="2"/>
      <c r="J111" s="66">
        <v>0</v>
      </c>
      <c r="K111" s="66">
        <v>0.56000000000000005</v>
      </c>
      <c r="L111" s="66">
        <v>0.65</v>
      </c>
      <c r="M111" s="66">
        <v>0.66</v>
      </c>
      <c r="N111" s="66">
        <v>0.62</v>
      </c>
      <c r="O111" s="66">
        <v>0.62</v>
      </c>
      <c r="P111" s="66">
        <v>0.62</v>
      </c>
      <c r="Q111" s="66">
        <f>Q109/Q101</f>
        <v>0.61072372881355952</v>
      </c>
      <c r="R111" s="66">
        <f>R109/R101</f>
        <v>0.87711173690290245</v>
      </c>
      <c r="S111" s="108">
        <v>0.62</v>
      </c>
      <c r="T111" s="108">
        <v>0.62</v>
      </c>
      <c r="U111" s="108">
        <v>0.62</v>
      </c>
      <c r="V111" s="108">
        <v>0.62</v>
      </c>
      <c r="W111" s="108">
        <v>0.62</v>
      </c>
      <c r="X111" s="108">
        <v>0.62</v>
      </c>
      <c r="Y111" s="108">
        <v>0.62</v>
      </c>
      <c r="Z111" s="108">
        <v>0.62</v>
      </c>
      <c r="AA111" s="108">
        <v>0.62</v>
      </c>
      <c r="AB111" s="152">
        <f>Value!$K$9</f>
        <v>0.8</v>
      </c>
      <c r="AC111" s="1"/>
      <c r="AD111" s="1"/>
      <c r="AE111" s="102">
        <v>0.62</v>
      </c>
      <c r="AF111" s="103" t="e">
        <f t="shared" si="20"/>
        <v>#N/A</v>
      </c>
      <c r="AG111" s="102">
        <v>0.62</v>
      </c>
      <c r="AH111" s="103">
        <f t="shared" si="20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x14ac:dyDescent="0.25">
      <c r="A112" s="80"/>
      <c r="B112" s="92" t="s">
        <v>56</v>
      </c>
      <c r="C112" s="93" t="s">
        <v>6</v>
      </c>
      <c r="D112" s="2"/>
      <c r="E112" s="2"/>
      <c r="F112" s="101">
        <v>0</v>
      </c>
      <c r="G112" s="2"/>
      <c r="H112" s="2"/>
      <c r="I112" s="2"/>
      <c r="J112" s="101">
        <v>0</v>
      </c>
      <c r="K112" s="101">
        <v>2E-3</v>
      </c>
      <c r="L112" s="101">
        <v>3.0000000000000001E-3</v>
      </c>
      <c r="M112" s="101">
        <v>3.0000000000000001E-3</v>
      </c>
      <c r="N112" s="101">
        <v>4.0000000000000001E-3</v>
      </c>
      <c r="O112" s="101">
        <v>4.0000000000000001E-3</v>
      </c>
      <c r="P112" s="101">
        <v>5.0000000000000001E-3</v>
      </c>
      <c r="Q112" s="101">
        <f>Q109/Value!$D$4</f>
        <v>8.0882352941176478E-3</v>
      </c>
      <c r="R112" s="101">
        <f>R109/Value!$D$4</f>
        <v>1.3455882352941177E-2</v>
      </c>
      <c r="S112" s="101">
        <f>S109/Value!$D$4</f>
        <v>1.1302373186230816E-2</v>
      </c>
      <c r="T112" s="101">
        <f>T109/Value!$D$4</f>
        <v>1.3558004703260481E-2</v>
      </c>
      <c r="U112" s="101">
        <f>U109/Value!$D$4</f>
        <v>1.6602952906787857E-2</v>
      </c>
      <c r="V112" s="101">
        <f>V109/Value!$D$4</f>
        <v>2.0256279766571222E-2</v>
      </c>
      <c r="W112" s="101">
        <f>W109/Value!$D$4</f>
        <v>2.4628869991089555E-2</v>
      </c>
      <c r="X112" s="101">
        <f>X109/Value!$D$4</f>
        <v>3.008610672561831E-2</v>
      </c>
      <c r="Y112" s="101">
        <f>Y109/Value!$D$4</f>
        <v>3.6926162238284203E-2</v>
      </c>
      <c r="Z112" s="101">
        <f>Z109/Value!$D$4</f>
        <v>4.5533675112314341E-2</v>
      </c>
      <c r="AA112" s="101">
        <f>AA109/Value!$D$4</f>
        <v>5.6421132691255156E-2</v>
      </c>
      <c r="AB112" s="101">
        <f>AB109/Value!$D$4</f>
        <v>9.0632966464502737E-2</v>
      </c>
      <c r="AC112" s="1"/>
      <c r="AD112" s="1"/>
      <c r="AE112" s="119">
        <v>7.0520883239351727E-3</v>
      </c>
      <c r="AF112" s="120" t="e">
        <f t="shared" si="20"/>
        <v>#N/A</v>
      </c>
      <c r="AG112" s="119">
        <v>8.5473922305071663E-3</v>
      </c>
      <c r="AH112" s="120">
        <f t="shared" si="20"/>
        <v>2.7549809557236501E-3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x14ac:dyDescent="0.25">
      <c r="A113" s="80"/>
      <c r="B113" s="92" t="s">
        <v>245</v>
      </c>
      <c r="C113" s="93" t="s">
        <v>168</v>
      </c>
      <c r="D113" s="2"/>
      <c r="E113" s="2"/>
      <c r="F113" s="2" t="e">
        <v>#DIV/0!</v>
      </c>
      <c r="G113" s="2"/>
      <c r="H113" s="2"/>
      <c r="I113" s="2"/>
      <c r="J113" s="2" t="e">
        <v>#DIV/0!</v>
      </c>
      <c r="K113" s="2" t="e">
        <v>#DIV/0!</v>
      </c>
      <c r="L113" s="66">
        <v>0.32</v>
      </c>
      <c r="M113" s="66">
        <v>0.08</v>
      </c>
      <c r="N113" s="66">
        <v>0.08</v>
      </c>
      <c r="O113" s="66">
        <v>0.22</v>
      </c>
      <c r="P113" s="66">
        <v>0.15</v>
      </c>
      <c r="Q113" s="66">
        <f>Q109/P109-1</f>
        <v>0.12820512820512819</v>
      </c>
      <c r="R113" s="66">
        <f>R109/Q109-1</f>
        <v>0.66363636363636358</v>
      </c>
      <c r="S113" s="66">
        <f t="shared" ref="R113:AB113" si="32">S109/R109-1</f>
        <v>-0.16004221129650764</v>
      </c>
      <c r="T113" s="66">
        <f t="shared" si="32"/>
        <v>0.19957149528362783</v>
      </c>
      <c r="U113" s="66">
        <f t="shared" si="32"/>
        <v>0.2245867493168161</v>
      </c>
      <c r="V113" s="66">
        <f t="shared" si="32"/>
        <v>0.22004078914719782</v>
      </c>
      <c r="W113" s="66">
        <f t="shared" si="32"/>
        <v>0.2158634396299357</v>
      </c>
      <c r="X113" s="66">
        <f t="shared" si="32"/>
        <v>0.22157885183133108</v>
      </c>
      <c r="Y113" s="66">
        <f t="shared" si="32"/>
        <v>0.2273493069424497</v>
      </c>
      <c r="Z113" s="66">
        <f t="shared" si="32"/>
        <v>0.23310066230240567</v>
      </c>
      <c r="AA113" s="66">
        <f t="shared" si="32"/>
        <v>0.23910781530560787</v>
      </c>
      <c r="AB113" s="66">
        <f t="shared" si="32"/>
        <v>0.60636559638849929</v>
      </c>
      <c r="AC113" s="1"/>
      <c r="AD113" s="1"/>
      <c r="AE113" s="102">
        <v>0.21808798322516609</v>
      </c>
      <c r="AF113" s="103" t="e">
        <f t="shared" si="20"/>
        <v>#N/A</v>
      </c>
      <c r="AG113" s="102">
        <v>0.21203703610699964</v>
      </c>
      <c r="AH113" s="103">
        <f t="shared" si="20"/>
        <v>-0.37207924740350728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x14ac:dyDescent="0.25">
      <c r="A114" s="284"/>
      <c r="B114" s="285"/>
      <c r="C114" s="153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1"/>
      <c r="AD114" s="1"/>
      <c r="AE114" s="95"/>
      <c r="AF114" s="96" t="str">
        <f t="shared" si="20"/>
        <v/>
      </c>
      <c r="AG114" s="95"/>
      <c r="AH114" s="96" t="str">
        <f t="shared" si="20"/>
        <v/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25">
      <c r="A115" s="80"/>
      <c r="B115" s="154" t="s">
        <v>246</v>
      </c>
      <c r="C115" s="155"/>
      <c r="D115" s="156"/>
      <c r="E115" s="156">
        <v>2012</v>
      </c>
      <c r="F115" s="156">
        <v>2013</v>
      </c>
      <c r="G115" s="156">
        <v>2014</v>
      </c>
      <c r="H115" s="156">
        <v>2015</v>
      </c>
      <c r="I115" s="156">
        <v>2016</v>
      </c>
      <c r="J115" s="156">
        <v>2017</v>
      </c>
      <c r="K115" s="156">
        <v>2018</v>
      </c>
      <c r="L115" s="156">
        <v>2019</v>
      </c>
      <c r="M115" s="156">
        <v>2020</v>
      </c>
      <c r="N115" s="156">
        <v>2021</v>
      </c>
      <c r="O115" s="156">
        <v>2022</v>
      </c>
      <c r="P115" s="156">
        <v>2023</v>
      </c>
      <c r="Q115" s="156">
        <v>2024</v>
      </c>
      <c r="R115" s="156">
        <v>2024</v>
      </c>
      <c r="S115" s="156">
        <v>2026</v>
      </c>
      <c r="T115" s="156">
        <v>2027</v>
      </c>
      <c r="U115" s="156">
        <v>2028</v>
      </c>
      <c r="V115" s="156">
        <v>2029</v>
      </c>
      <c r="W115" s="156">
        <v>2030</v>
      </c>
      <c r="X115" s="156">
        <v>2031</v>
      </c>
      <c r="Y115" s="156">
        <v>2032</v>
      </c>
      <c r="Z115" s="156">
        <v>2033</v>
      </c>
      <c r="AA115" s="156">
        <v>2034</v>
      </c>
      <c r="AB115" s="156">
        <v>2035</v>
      </c>
      <c r="AC115" s="1"/>
      <c r="AD115" s="1"/>
      <c r="AE115" s="156">
        <v>2025</v>
      </c>
      <c r="AF115" s="157" t="e">
        <f t="shared" si="20"/>
        <v>#N/A</v>
      </c>
      <c r="AG115" s="156">
        <v>2026</v>
      </c>
      <c r="AH115" s="157">
        <f t="shared" si="20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x14ac:dyDescent="0.25">
      <c r="A116" s="284"/>
      <c r="B116" s="285"/>
      <c r="C116" s="153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1"/>
      <c r="AD116" s="1"/>
      <c r="AE116" s="95"/>
      <c r="AF116" s="96" t="str">
        <f t="shared" si="20"/>
        <v/>
      </c>
      <c r="AG116" s="95"/>
      <c r="AH116" s="96" t="str">
        <f t="shared" si="20"/>
        <v/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x14ac:dyDescent="0.25">
      <c r="A117" s="80" t="s">
        <v>247</v>
      </c>
      <c r="B117" s="90" t="s">
        <v>248</v>
      </c>
      <c r="C117" s="153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1"/>
      <c r="AD117" s="1"/>
      <c r="AE117" s="95"/>
      <c r="AF117" s="96" t="str">
        <f t="shared" si="20"/>
        <v/>
      </c>
      <c r="AG117" s="95"/>
      <c r="AH117" s="96" t="str">
        <f t="shared" si="20"/>
        <v/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x14ac:dyDescent="0.25">
      <c r="A118" s="80" t="s">
        <v>249</v>
      </c>
      <c r="B118" s="92" t="s">
        <v>250</v>
      </c>
      <c r="C118" s="153" t="s">
        <v>75</v>
      </c>
      <c r="D118" s="51" t="s">
        <v>158</v>
      </c>
      <c r="E118" s="51"/>
      <c r="F118" s="51"/>
      <c r="G118" s="51"/>
      <c r="H118" s="51">
        <v>14.3</v>
      </c>
      <c r="I118" s="51">
        <v>24.5</v>
      </c>
      <c r="J118" s="51">
        <v>50.7</v>
      </c>
      <c r="K118" s="51">
        <v>70.400000000000006</v>
      </c>
      <c r="L118" s="51">
        <v>101.7</v>
      </c>
      <c r="M118" s="51">
        <v>134.6</v>
      </c>
      <c r="N118" s="51">
        <v>192.3</v>
      </c>
      <c r="O118" s="51">
        <v>274.2</v>
      </c>
      <c r="P118" s="51">
        <v>384</v>
      </c>
      <c r="Q118" s="49">
        <f>Q120</f>
        <v>470.2</v>
      </c>
      <c r="R118" s="49">
        <f>R120</f>
        <v>554.6</v>
      </c>
      <c r="S118" s="49">
        <f>+INDEX(Segment!$A:$AR,MATCH(Annual!$A118,Segment!$A:$A,0),MATCH("2H"&amp;RIGHT(Annual!S$1,2),Segment!$A$3:$AR$3,0))</f>
        <v>652.04015000000004</v>
      </c>
      <c r="T118" s="49">
        <f>+INDEX(Segment!$A:$AR,MATCH(Annual!$A118,Segment!$A:$A,0),MATCH("2H"&amp;RIGHT(Annual!T$1,2),Segment!$A$3:$AR$3,0))</f>
        <v>778.44056725000007</v>
      </c>
      <c r="U118" s="49">
        <f>+INDEX(Segment!$A:$AR,MATCH(Annual!$A118,Segment!$A:$A,0),MATCH("2H"&amp;RIGHT(Annual!U$1,2),Segment!$A$3:$AR$3,0))</f>
        <v>947.64014323875006</v>
      </c>
      <c r="V118" s="49">
        <f>+INDEX(Segment!$A:$AR,MATCH(Annual!$A118,Segment!$A:$A,0),MATCH("2H"&amp;RIGHT(Annual!V$1,2),Segment!$A$3:$AR$3,0))</f>
        <v>1148.3851062765564</v>
      </c>
      <c r="W118" s="49">
        <f>+INDEX(Segment!$A:$AR,MATCH(Annual!$A118,Segment!$A:$A,0),MATCH("2H"&amp;RIGHT(Annual!W$1,2),Segment!$A$3:$AR$3,0))</f>
        <v>1392.6945331764225</v>
      </c>
      <c r="X118" s="49">
        <f>+INDEX(Segment!$A:$AR,MATCH(Annual!$A118,Segment!$A:$A,0),MATCH("2H"&amp;RIGHT(Annual!X$1,2),Segment!$A$3:$AR$3,0))</f>
        <v>1690.4076204354656</v>
      </c>
      <c r="Y118" s="49">
        <f>+INDEX(Segment!$A:$AR,MATCH(Annual!$A118,Segment!$A:$A,0),MATCH("2H"&amp;RIGHT(Annual!Y$1,2),Segment!$A$3:$AR$3,0))</f>
        <v>2053.68452731979</v>
      </c>
      <c r="Z118" s="49">
        <f>+INDEX(Segment!$A:$AR,MATCH(Annual!$A118,Segment!$A:$A,0),MATCH("2H"&amp;RIGHT(Annual!Z$1,2),Segment!$A$3:$AR$3,0))</f>
        <v>2497.5797053581123</v>
      </c>
      <c r="AA118" s="49">
        <f>+INDEX(Segment!$A:$AR,MATCH(Annual!$A118,Segment!$A:$A,0),MATCH("2H"&amp;RIGHT(Annual!AA$1,2),Segment!$A$3:$AR$3,0))</f>
        <v>3040.7632473168419</v>
      </c>
      <c r="AB118" s="49">
        <f>+INDEX(Segment!$A:$AR,MATCH(Annual!$A118,Segment!$A:$A,0),MATCH("2H"&amp;RIGHT(Annual!AB$1,2),Segment!$A$3:$AR$3,0))</f>
        <v>3706.4299856393563</v>
      </c>
      <c r="AC118" s="1"/>
      <c r="AD118" s="1"/>
      <c r="AE118" s="95">
        <v>564.83499999999992</v>
      </c>
      <c r="AF118" s="96" t="e">
        <f t="shared" si="20"/>
        <v>#N/A</v>
      </c>
      <c r="AG118" s="95">
        <v>681.64189999999996</v>
      </c>
      <c r="AH118" s="96">
        <f t="shared" si="20"/>
        <v>-29.601749999999925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x14ac:dyDescent="0.25">
      <c r="A119" s="80" t="s">
        <v>251</v>
      </c>
      <c r="B119" s="92" t="s">
        <v>252</v>
      </c>
      <c r="C119" s="153" t="s">
        <v>75</v>
      </c>
      <c r="D119" s="51"/>
      <c r="E119" s="51"/>
      <c r="F119" s="51"/>
      <c r="G119" s="51"/>
      <c r="H119" s="49">
        <v>94.6</v>
      </c>
      <c r="I119" s="49">
        <v>102.5</v>
      </c>
      <c r="J119" s="49">
        <v>103.2</v>
      </c>
      <c r="K119" s="49">
        <v>103.5</v>
      </c>
      <c r="L119" s="49">
        <v>100.8</v>
      </c>
      <c r="M119" s="49">
        <v>87.4</v>
      </c>
      <c r="N119" s="49">
        <v>65.2</v>
      </c>
      <c r="O119" s="49">
        <v>46.5</v>
      </c>
      <c r="P119" s="49">
        <v>9</v>
      </c>
      <c r="Q119" s="49">
        <v>0</v>
      </c>
      <c r="R119" s="49">
        <v>0</v>
      </c>
      <c r="S119" s="49">
        <f>+INDEX(Segment!$A:$AR,MATCH(Annual!$A119,Segment!$A:$A,0),MATCH("2H"&amp;RIGHT(Annual!S$1,2),Segment!$A$3:$AR$3,0))</f>
        <v>0</v>
      </c>
      <c r="T119" s="49">
        <f>+INDEX(Segment!$A:$AR,MATCH(Annual!$A119,Segment!$A:$A,0),MATCH("2H"&amp;RIGHT(Annual!T$1,2),Segment!$A$3:$AR$3,0))</f>
        <v>0</v>
      </c>
      <c r="U119" s="49">
        <f>+INDEX(Segment!$A:$AR,MATCH(Annual!$A119,Segment!$A:$A,0),MATCH("2H"&amp;RIGHT(Annual!U$1,2),Segment!$A$3:$AR$3,0))</f>
        <v>0</v>
      </c>
      <c r="V119" s="49">
        <f>+INDEX(Segment!$A:$AR,MATCH(Annual!$A119,Segment!$A:$A,0),MATCH("2H"&amp;RIGHT(Annual!V$1,2),Segment!$A$3:$AR$3,0))</f>
        <v>0</v>
      </c>
      <c r="W119" s="49">
        <f>+INDEX(Segment!$A:$AR,MATCH(Annual!$A119,Segment!$A:$A,0),MATCH("2H"&amp;RIGHT(Annual!W$1,2),Segment!$A$3:$AR$3,0))</f>
        <v>0</v>
      </c>
      <c r="X119" s="49">
        <f>+INDEX(Segment!$A:$AR,MATCH(Annual!$A119,Segment!$A:$A,0),MATCH("2H"&amp;RIGHT(Annual!X$1,2),Segment!$A$3:$AR$3,0))</f>
        <v>0</v>
      </c>
      <c r="Y119" s="49">
        <f>+INDEX(Segment!$A:$AR,MATCH(Annual!$A119,Segment!$A:$A,0),MATCH("2H"&amp;RIGHT(Annual!Y$1,2),Segment!$A$3:$AR$3,0))</f>
        <v>0</v>
      </c>
      <c r="Z119" s="49">
        <f>+INDEX(Segment!$A:$AR,MATCH(Annual!$A119,Segment!$A:$A,0),MATCH("2H"&amp;RIGHT(Annual!Z$1,2),Segment!$A$3:$AR$3,0))</f>
        <v>0</v>
      </c>
      <c r="AA119" s="49">
        <f>+INDEX(Segment!$A:$AR,MATCH(Annual!$A119,Segment!$A:$A,0),MATCH("2H"&amp;RIGHT(Annual!AA$1,2),Segment!$A$3:$AR$3,0))</f>
        <v>0</v>
      </c>
      <c r="AB119" s="49">
        <f>+INDEX(Segment!$A:$AR,MATCH(Annual!$A119,Segment!$A:$A,0),MATCH("2H"&amp;RIGHT(Annual!AB$1,2),Segment!$A$3:$AR$3,0))</f>
        <v>0</v>
      </c>
      <c r="AC119" s="1"/>
      <c r="AD119" s="1"/>
      <c r="AE119" s="95">
        <v>0</v>
      </c>
      <c r="AF119" s="96" t="e">
        <f t="shared" si="20"/>
        <v>#N/A</v>
      </c>
      <c r="AG119" s="95">
        <v>0</v>
      </c>
      <c r="AH119" s="96">
        <f t="shared" si="20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x14ac:dyDescent="0.25">
      <c r="A120" s="80" t="s">
        <v>253</v>
      </c>
      <c r="B120" s="158" t="s">
        <v>254</v>
      </c>
      <c r="C120" s="153" t="s">
        <v>75</v>
      </c>
      <c r="D120" s="51" t="s">
        <v>158</v>
      </c>
      <c r="E120" s="51"/>
      <c r="F120" s="51"/>
      <c r="G120" s="51"/>
      <c r="H120" s="51">
        <v>108.9</v>
      </c>
      <c r="I120" s="51">
        <v>127</v>
      </c>
      <c r="J120" s="51">
        <v>153.9</v>
      </c>
      <c r="K120" s="51">
        <v>173.9</v>
      </c>
      <c r="L120" s="51">
        <v>202.5</v>
      </c>
      <c r="M120" s="51">
        <v>221.9</v>
      </c>
      <c r="N120" s="51">
        <v>257.5</v>
      </c>
      <c r="O120" s="51">
        <v>320.7</v>
      </c>
      <c r="P120" s="51">
        <v>392.9</v>
      </c>
      <c r="Q120" s="51">
        <v>470.2</v>
      </c>
      <c r="R120" s="51">
        <v>554.6</v>
      </c>
      <c r="S120" s="49">
        <f>+INDEX(Segment!$A:$AR,MATCH(Annual!$A120,Segment!$A:$A,0),MATCH("2H"&amp;RIGHT(Annual!S$1,2),Segment!$A$3:$AR$3,0))</f>
        <v>652.04015000000004</v>
      </c>
      <c r="T120" s="49">
        <f>+INDEX(Segment!$A:$AR,MATCH(Annual!$A120,Segment!$A:$A,0),MATCH("2H"&amp;RIGHT(Annual!T$1,2),Segment!$A$3:$AR$3,0))</f>
        <v>778.44056725000007</v>
      </c>
      <c r="U120" s="49">
        <f>+INDEX(Segment!$A:$AR,MATCH(Annual!$A120,Segment!$A:$A,0),MATCH("2H"&amp;RIGHT(Annual!U$1,2),Segment!$A$3:$AR$3,0))</f>
        <v>947.64014323875006</v>
      </c>
      <c r="V120" s="49">
        <f>+INDEX(Segment!$A:$AR,MATCH(Annual!$A120,Segment!$A:$A,0),MATCH("2H"&amp;RIGHT(Annual!V$1,2),Segment!$A$3:$AR$3,0))</f>
        <v>1148.3851062765564</v>
      </c>
      <c r="W120" s="49">
        <f>+INDEX(Segment!$A:$AR,MATCH(Annual!$A120,Segment!$A:$A,0),MATCH("2H"&amp;RIGHT(Annual!W$1,2),Segment!$A$3:$AR$3,0))</f>
        <v>1392.6945331764225</v>
      </c>
      <c r="X120" s="49">
        <f>+INDEX(Segment!$A:$AR,MATCH(Annual!$A120,Segment!$A:$A,0),MATCH("2H"&amp;RIGHT(Annual!X$1,2),Segment!$A$3:$AR$3,0))</f>
        <v>1690.4076204354656</v>
      </c>
      <c r="Y120" s="49">
        <f>+INDEX(Segment!$A:$AR,MATCH(Annual!$A120,Segment!$A:$A,0),MATCH("2H"&amp;RIGHT(Annual!Y$1,2),Segment!$A$3:$AR$3,0))</f>
        <v>2053.68452731979</v>
      </c>
      <c r="Z120" s="49">
        <f>+INDEX(Segment!$A:$AR,MATCH(Annual!$A120,Segment!$A:$A,0),MATCH("2H"&amp;RIGHT(Annual!Z$1,2),Segment!$A$3:$AR$3,0))</f>
        <v>2497.5797053581123</v>
      </c>
      <c r="AA120" s="49">
        <f>+INDEX(Segment!$A:$AR,MATCH(Annual!$A120,Segment!$A:$A,0),MATCH("2H"&amp;RIGHT(Annual!AA$1,2),Segment!$A$3:$AR$3,0))</f>
        <v>3040.7632473168419</v>
      </c>
      <c r="AB120" s="49">
        <f>+INDEX(Segment!$A:$AR,MATCH(Annual!$A120,Segment!$A:$A,0),MATCH("2H"&amp;RIGHT(Annual!AB$1,2),Segment!$A$3:$AR$3,0))</f>
        <v>3706.4299856393563</v>
      </c>
      <c r="AC120" s="1"/>
      <c r="AD120" s="1"/>
      <c r="AE120" s="95">
        <v>564.83499999999992</v>
      </c>
      <c r="AF120" s="96" t="e">
        <f t="shared" si="20"/>
        <v>#N/A</v>
      </c>
      <c r="AG120" s="95">
        <v>681.64189999999996</v>
      </c>
      <c r="AH120" s="96">
        <f t="shared" si="20"/>
        <v>-29.601749999999925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x14ac:dyDescent="0.25">
      <c r="A121" s="80"/>
      <c r="B121" s="107" t="s">
        <v>167</v>
      </c>
      <c r="C121" s="93" t="s">
        <v>168</v>
      </c>
      <c r="D121" s="51"/>
      <c r="E121" s="51"/>
      <c r="F121" s="51"/>
      <c r="G121" s="51"/>
      <c r="H121" s="51"/>
      <c r="I121" s="126">
        <v>0.17</v>
      </c>
      <c r="J121" s="126">
        <v>0.21</v>
      </c>
      <c r="K121" s="126">
        <v>0.13</v>
      </c>
      <c r="L121" s="126">
        <v>0.16</v>
      </c>
      <c r="M121" s="126">
        <v>0.1</v>
      </c>
      <c r="N121" s="126">
        <v>0.16</v>
      </c>
      <c r="O121" s="126">
        <v>0.25</v>
      </c>
      <c r="P121" s="126">
        <v>0.23</v>
      </c>
      <c r="Q121" s="126">
        <f>Q120/P120-1</f>
        <v>0.19674217358106394</v>
      </c>
      <c r="R121" s="126">
        <f>R120/Q120-1</f>
        <v>0.17949808592088479</v>
      </c>
      <c r="S121" s="126">
        <f t="shared" ref="R121:AB121" si="33">S120/R120-1</f>
        <v>0.1756944644789038</v>
      </c>
      <c r="T121" s="126">
        <f t="shared" si="33"/>
        <v>0.19385373316351773</v>
      </c>
      <c r="U121" s="126">
        <f t="shared" si="33"/>
        <v>0.21735708942621268</v>
      </c>
      <c r="V121" s="126">
        <f t="shared" si="33"/>
        <v>0.21183670243402752</v>
      </c>
      <c r="W121" s="126">
        <f t="shared" si="33"/>
        <v>0.21274172362962629</v>
      </c>
      <c r="X121" s="126">
        <f t="shared" si="33"/>
        <v>0.2137676857106825</v>
      </c>
      <c r="Y121" s="126">
        <f t="shared" si="33"/>
        <v>0.21490491553199509</v>
      </c>
      <c r="Z121" s="126">
        <f t="shared" si="33"/>
        <v>0.2161457478659774</v>
      </c>
      <c r="AA121" s="126">
        <f t="shared" si="33"/>
        <v>0.21748396689540117</v>
      </c>
      <c r="AB121" s="126">
        <f t="shared" si="33"/>
        <v>0.21891435938325565</v>
      </c>
      <c r="AC121" s="1"/>
      <c r="AD121" s="1"/>
      <c r="AE121" s="95">
        <v>0.20126541897065064</v>
      </c>
      <c r="AF121" s="96" t="e">
        <f t="shared" si="20"/>
        <v>#N/A</v>
      </c>
      <c r="AG121" s="95">
        <v>0.20679826852089556</v>
      </c>
      <c r="AH121" s="96">
        <f t="shared" si="20"/>
        <v>-3.1103804041991756E-2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x14ac:dyDescent="0.25">
      <c r="A122" s="80"/>
      <c r="B122" s="107" t="s">
        <v>255</v>
      </c>
      <c r="C122" s="93" t="s">
        <v>168</v>
      </c>
      <c r="D122" s="51"/>
      <c r="E122" s="51"/>
      <c r="F122" s="51"/>
      <c r="G122" s="51"/>
      <c r="H122" s="51"/>
      <c r="I122" s="126">
        <v>0.24</v>
      </c>
      <c r="J122" s="126">
        <v>0.22</v>
      </c>
      <c r="K122" s="126">
        <v>0.13</v>
      </c>
      <c r="L122" s="126">
        <v>0.15</v>
      </c>
      <c r="M122" s="126">
        <v>0.03</v>
      </c>
      <c r="N122" s="126">
        <v>0.06</v>
      </c>
      <c r="O122" s="126">
        <v>0.17</v>
      </c>
      <c r="P122" s="126">
        <f>(P120+(P7-O7))/O120-1</f>
        <v>0.12472715933894607</v>
      </c>
      <c r="Q122" s="126">
        <f>(Q120+(Q119-P119))/P120-1</f>
        <v>0.17383558157291934</v>
      </c>
      <c r="R122" s="126">
        <f>(R120+(R119-Q119))/Q120-1</f>
        <v>0.17949808592088479</v>
      </c>
      <c r="S122" s="126">
        <f t="shared" ref="R122:AB122" si="34">(S120+(S119-R119))/R120-1</f>
        <v>0.1756944644789038</v>
      </c>
      <c r="T122" s="126">
        <f t="shared" si="34"/>
        <v>0.19385373316351773</v>
      </c>
      <c r="U122" s="126">
        <f t="shared" si="34"/>
        <v>0.21735708942621268</v>
      </c>
      <c r="V122" s="126">
        <f t="shared" si="34"/>
        <v>0.21183670243402752</v>
      </c>
      <c r="W122" s="126">
        <f t="shared" si="34"/>
        <v>0.21274172362962629</v>
      </c>
      <c r="X122" s="126">
        <f t="shared" si="34"/>
        <v>0.2137676857106825</v>
      </c>
      <c r="Y122" s="126">
        <f t="shared" si="34"/>
        <v>0.21490491553199509</v>
      </c>
      <c r="Z122" s="126">
        <f t="shared" si="34"/>
        <v>0.2161457478659774</v>
      </c>
      <c r="AA122" s="126">
        <f t="shared" si="34"/>
        <v>0.21748396689540117</v>
      </c>
      <c r="AB122" s="126">
        <f t="shared" si="34"/>
        <v>0.21891435938325565</v>
      </c>
      <c r="AC122" s="1"/>
      <c r="AD122" s="1"/>
      <c r="AE122" s="95">
        <v>0.20126541897065064</v>
      </c>
      <c r="AF122" s="96" t="e">
        <f t="shared" si="20"/>
        <v>#N/A</v>
      </c>
      <c r="AG122" s="95">
        <v>0.20679826852089556</v>
      </c>
      <c r="AH122" s="96">
        <f t="shared" si="20"/>
        <v>-3.1103804041991756E-2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x14ac:dyDescent="0.25">
      <c r="A123" s="284"/>
      <c r="B123" s="285"/>
      <c r="C123" s="153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1"/>
      <c r="AD123" s="1"/>
      <c r="AE123" s="95"/>
      <c r="AF123" s="96" t="str">
        <f t="shared" si="20"/>
        <v/>
      </c>
      <c r="AG123" s="95"/>
      <c r="AH123" s="96" t="str">
        <f t="shared" si="20"/>
        <v/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x14ac:dyDescent="0.25">
      <c r="A124" s="80" t="s">
        <v>256</v>
      </c>
      <c r="B124" s="92" t="s">
        <v>257</v>
      </c>
      <c r="C124" s="153" t="s">
        <v>75</v>
      </c>
      <c r="D124" s="51"/>
      <c r="E124" s="51"/>
      <c r="F124" s="51"/>
      <c r="G124" s="51"/>
      <c r="H124" s="51"/>
      <c r="I124" s="51"/>
      <c r="J124" s="51"/>
      <c r="K124" s="51"/>
      <c r="L124" s="51"/>
      <c r="M124" s="51">
        <v>7.9</v>
      </c>
      <c r="N124" s="51">
        <v>9</v>
      </c>
      <c r="O124" s="51">
        <v>17.5</v>
      </c>
      <c r="P124" s="51">
        <v>26.5</v>
      </c>
      <c r="Q124" s="51">
        <v>34.700000000000003</v>
      </c>
      <c r="R124" s="51">
        <v>51.8</v>
      </c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1"/>
      <c r="AD124" s="1"/>
      <c r="AE124" s="95"/>
      <c r="AF124" s="96" t="str">
        <f t="shared" si="20"/>
        <v/>
      </c>
      <c r="AG124" s="95"/>
      <c r="AH124" s="96" t="str">
        <f t="shared" si="20"/>
        <v/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x14ac:dyDescent="0.25">
      <c r="A125" s="80" t="s">
        <v>258</v>
      </c>
      <c r="B125" s="92" t="s">
        <v>259</v>
      </c>
      <c r="C125" s="153" t="s">
        <v>75</v>
      </c>
      <c r="D125" s="51"/>
      <c r="E125" s="51"/>
      <c r="F125" s="51"/>
      <c r="G125" s="51"/>
      <c r="H125" s="51"/>
      <c r="I125" s="49"/>
      <c r="J125" s="51"/>
      <c r="K125" s="49"/>
      <c r="L125" s="51"/>
      <c r="M125" s="51">
        <v>11.9</v>
      </c>
      <c r="N125" s="51">
        <v>12.8</v>
      </c>
      <c r="O125" s="51">
        <v>25.3</v>
      </c>
      <c r="P125" s="51">
        <v>31.8</v>
      </c>
      <c r="Q125" s="51">
        <v>36.6</v>
      </c>
      <c r="R125" s="51">
        <v>50.180999999999997</v>
      </c>
      <c r="S125" s="4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 t="str">
        <f t="shared" si="20"/>
        <v/>
      </c>
      <c r="AG125" s="159"/>
      <c r="AH125" s="159" t="str">
        <f t="shared" si="20"/>
        <v/>
      </c>
      <c r="AI125" s="159"/>
      <c r="AJ125" s="159"/>
      <c r="AK125" s="159"/>
      <c r="AL125" s="159"/>
      <c r="AM125" s="159"/>
      <c r="AN125" s="159"/>
      <c r="AO125" s="159"/>
      <c r="AP125" s="1"/>
      <c r="AQ125" s="138"/>
      <c r="AR125" s="138"/>
    </row>
    <row r="126" spans="1:44" x14ac:dyDescent="0.25">
      <c r="A126" s="80" t="s">
        <v>260</v>
      </c>
      <c r="B126" s="92" t="s">
        <v>261</v>
      </c>
      <c r="C126" s="153" t="s">
        <v>75</v>
      </c>
      <c r="D126" s="51"/>
      <c r="E126" s="51"/>
      <c r="F126" s="51"/>
      <c r="G126" s="51"/>
      <c r="H126" s="51"/>
      <c r="I126" s="51"/>
      <c r="J126" s="51"/>
      <c r="K126" s="51"/>
      <c r="L126" s="51"/>
      <c r="M126" s="51">
        <v>0.1</v>
      </c>
      <c r="N126" s="51">
        <v>1.6</v>
      </c>
      <c r="O126" s="51">
        <v>2.4</v>
      </c>
      <c r="P126" s="51">
        <v>3.7</v>
      </c>
      <c r="Q126" s="51">
        <v>2.9</v>
      </c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1"/>
      <c r="AD126" s="1"/>
      <c r="AE126" s="95"/>
      <c r="AF126" s="96" t="str">
        <f t="shared" si="20"/>
        <v/>
      </c>
      <c r="AG126" s="95"/>
      <c r="AH126" s="96" t="str">
        <f t="shared" si="20"/>
        <v/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x14ac:dyDescent="0.25">
      <c r="A127" s="80"/>
      <c r="B127" s="92" t="s">
        <v>262</v>
      </c>
      <c r="C127" s="153" t="s">
        <v>75</v>
      </c>
      <c r="D127" s="51"/>
      <c r="E127" s="51"/>
      <c r="F127" s="51"/>
      <c r="G127" s="51"/>
      <c r="H127" s="51"/>
      <c r="I127" s="51"/>
      <c r="J127" s="51"/>
      <c r="K127" s="51"/>
      <c r="L127" s="51"/>
      <c r="M127" s="126">
        <v>0.01</v>
      </c>
      <c r="N127" s="126">
        <v>0.12</v>
      </c>
      <c r="O127" s="126">
        <v>0.09</v>
      </c>
      <c r="P127" s="126">
        <v>0.12</v>
      </c>
      <c r="Q127" s="126">
        <f>Q126/Q125</f>
        <v>7.9234972677595619E-2</v>
      </c>
      <c r="R127" s="126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1"/>
      <c r="AD127" s="1"/>
      <c r="AE127" s="95"/>
      <c r="AF127" s="96" t="str">
        <f t="shared" si="20"/>
        <v/>
      </c>
      <c r="AG127" s="95"/>
      <c r="AH127" s="96" t="str">
        <f t="shared" si="20"/>
        <v/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x14ac:dyDescent="0.25">
      <c r="A128" s="284"/>
      <c r="B128" s="285"/>
      <c r="C128" s="153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1"/>
      <c r="AD128" s="1"/>
      <c r="AE128" s="95"/>
      <c r="AF128" s="96" t="str">
        <f t="shared" si="20"/>
        <v/>
      </c>
      <c r="AG128" s="95"/>
      <c r="AH128" s="96" t="str">
        <f t="shared" si="20"/>
        <v/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x14ac:dyDescent="0.25">
      <c r="A129" s="80" t="s">
        <v>263</v>
      </c>
      <c r="B129" s="92" t="s">
        <v>264</v>
      </c>
      <c r="C129" s="93" t="s">
        <v>6</v>
      </c>
      <c r="D129" s="51" t="s">
        <v>265</v>
      </c>
      <c r="E129" s="51"/>
      <c r="F129" s="51"/>
      <c r="G129" s="51"/>
      <c r="H129" s="51"/>
      <c r="I129" s="127">
        <v>1.1200000000000001</v>
      </c>
      <c r="J129" s="127">
        <v>1.1299999999999999</v>
      </c>
      <c r="K129" s="127">
        <v>1.1000000000000001</v>
      </c>
      <c r="L129" s="127">
        <v>1.1399999999999999</v>
      </c>
      <c r="M129" s="127">
        <v>1.07</v>
      </c>
      <c r="N129" s="127">
        <v>1.1200000000000001</v>
      </c>
      <c r="O129" s="127">
        <v>1.1599999999999999</v>
      </c>
      <c r="P129" s="127">
        <v>1.19</v>
      </c>
      <c r="Q129" s="127">
        <v>1.17</v>
      </c>
      <c r="R129" s="127">
        <v>1.1499999999999999</v>
      </c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1"/>
      <c r="AD129" s="1"/>
      <c r="AE129" s="95"/>
      <c r="AF129" s="96" t="str">
        <f t="shared" si="20"/>
        <v/>
      </c>
      <c r="AG129" s="95"/>
      <c r="AH129" s="96" t="str">
        <f t="shared" si="20"/>
        <v/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x14ac:dyDescent="0.25">
      <c r="A130" s="80" t="s">
        <v>266</v>
      </c>
      <c r="B130" s="92" t="s">
        <v>267</v>
      </c>
      <c r="C130" s="93" t="s">
        <v>6</v>
      </c>
      <c r="D130" s="51" t="s">
        <v>268</v>
      </c>
      <c r="E130" s="51"/>
      <c r="F130" s="139">
        <v>4.0000000000000001E-3</v>
      </c>
      <c r="G130" s="139">
        <v>6.0000000000000001E-3</v>
      </c>
      <c r="H130" s="139">
        <v>8.0000000000000002E-3</v>
      </c>
      <c r="I130" s="139">
        <v>0.01</v>
      </c>
      <c r="J130" s="139">
        <v>4.0000000000000001E-3</v>
      </c>
      <c r="K130" s="139">
        <v>0.01</v>
      </c>
      <c r="L130" s="139">
        <v>5.0000000000000001E-3</v>
      </c>
      <c r="M130" s="139">
        <v>8.0000000000000002E-3</v>
      </c>
      <c r="N130" s="139">
        <v>1.4E-2</v>
      </c>
      <c r="O130" s="139">
        <v>6.0000000000000001E-3</v>
      </c>
      <c r="P130" s="139">
        <v>0.01</v>
      </c>
      <c r="Q130" s="139">
        <v>1.2999999999999999E-2</v>
      </c>
      <c r="R130" s="139">
        <v>1.2E-2</v>
      </c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1"/>
      <c r="AD130" s="1"/>
      <c r="AE130" s="95"/>
      <c r="AF130" s="96" t="str">
        <f t="shared" si="20"/>
        <v/>
      </c>
      <c r="AG130" s="95"/>
      <c r="AH130" s="96" t="str">
        <f t="shared" si="20"/>
        <v/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25">
      <c r="A131" s="80"/>
      <c r="B131" s="92" t="s">
        <v>269</v>
      </c>
      <c r="C131" s="93" t="s">
        <v>168</v>
      </c>
      <c r="D131" s="51"/>
      <c r="E131" s="51"/>
      <c r="F131" s="51"/>
      <c r="G131" s="51"/>
      <c r="H131" s="51"/>
      <c r="I131" s="51"/>
      <c r="J131" s="125">
        <v>8.2000000000000003E-2</v>
      </c>
      <c r="K131" s="125">
        <v>0.03</v>
      </c>
      <c r="L131" s="125">
        <v>2.4E-2</v>
      </c>
      <c r="M131" s="125">
        <v>2.5999999999999999E-2</v>
      </c>
      <c r="N131" s="125">
        <v>0.04</v>
      </c>
      <c r="O131" s="125">
        <v>8.5000000000000006E-2</v>
      </c>
      <c r="P131" s="125">
        <v>3.5000000000000003E-2</v>
      </c>
      <c r="Q131" s="125">
        <f>(1+Q121)/Q129-1</f>
        <v>2.2856558616294098E-2</v>
      </c>
      <c r="R131" s="125">
        <f>(1+R121)/R129-1</f>
        <v>2.565050949642167E-2</v>
      </c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1"/>
      <c r="AD131" s="1"/>
      <c r="AE131" s="95"/>
      <c r="AF131" s="96" t="str">
        <f t="shared" si="20"/>
        <v/>
      </c>
      <c r="AG131" s="95"/>
      <c r="AH131" s="96" t="str">
        <f t="shared" si="20"/>
        <v/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25">
      <c r="A132" s="284"/>
      <c r="B132" s="285"/>
      <c r="C132" s="93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1"/>
      <c r="AD132" s="1"/>
      <c r="AE132" s="95"/>
      <c r="AF132" s="96" t="str">
        <f t="shared" si="20"/>
        <v/>
      </c>
      <c r="AG132" s="95"/>
      <c r="AH132" s="96" t="str">
        <f t="shared" si="20"/>
        <v/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x14ac:dyDescent="0.25">
      <c r="A133" s="80" t="s">
        <v>270</v>
      </c>
      <c r="B133" s="92" t="s">
        <v>271</v>
      </c>
      <c r="C133" s="153" t="s">
        <v>272</v>
      </c>
      <c r="D133" s="51" t="s">
        <v>179</v>
      </c>
      <c r="E133" s="51"/>
      <c r="F133" s="51">
        <v>4.5</v>
      </c>
      <c r="G133" s="51">
        <v>4.5999999999999996</v>
      </c>
      <c r="H133" s="51">
        <v>4.7</v>
      </c>
      <c r="I133" s="51">
        <v>4.7</v>
      </c>
      <c r="J133" s="51">
        <v>4.9000000000000004</v>
      </c>
      <c r="K133" s="51">
        <v>5.0999999999999996</v>
      </c>
      <c r="L133" s="51">
        <v>5.4</v>
      </c>
      <c r="M133" s="51">
        <v>5.5</v>
      </c>
      <c r="N133" s="51">
        <v>5.9</v>
      </c>
      <c r="O133" s="51">
        <v>6.2</v>
      </c>
      <c r="P133" s="51">
        <v>6.7</v>
      </c>
      <c r="Q133" s="51" t="s">
        <v>273</v>
      </c>
      <c r="R133" s="51" t="s">
        <v>273</v>
      </c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1"/>
      <c r="AD133" s="1"/>
      <c r="AE133" s="95"/>
      <c r="AF133" s="96" t="str">
        <f t="shared" si="20"/>
        <v/>
      </c>
      <c r="AG133" s="95"/>
      <c r="AH133" s="96" t="str">
        <f t="shared" si="20"/>
        <v/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25">
      <c r="A134" s="80" t="s">
        <v>274</v>
      </c>
      <c r="B134" s="92" t="s">
        <v>275</v>
      </c>
      <c r="C134" s="153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>
        <v>5.5</v>
      </c>
      <c r="P134" s="51"/>
      <c r="Q134" s="51"/>
      <c r="R134" s="51"/>
      <c r="S134" s="4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 t="str">
        <f t="shared" si="20"/>
        <v/>
      </c>
      <c r="AG134" s="159"/>
      <c r="AH134" s="159" t="str">
        <f t="shared" si="20"/>
        <v/>
      </c>
      <c r="AI134" s="159"/>
      <c r="AJ134" s="159"/>
      <c r="AK134" s="1"/>
      <c r="AL134" s="138"/>
      <c r="AM134" s="138"/>
      <c r="AN134" s="1"/>
      <c r="AO134" s="1"/>
      <c r="AP134" s="1"/>
      <c r="AQ134" s="1"/>
      <c r="AR134" s="1"/>
    </row>
    <row r="135" spans="1:44" x14ac:dyDescent="0.25">
      <c r="A135" s="80" t="s">
        <v>276</v>
      </c>
      <c r="B135" s="107" t="s">
        <v>277</v>
      </c>
      <c r="C135" s="93" t="s">
        <v>272</v>
      </c>
      <c r="D135" s="51" t="s">
        <v>179</v>
      </c>
      <c r="E135" s="51"/>
      <c r="F135" s="51"/>
      <c r="G135" s="51"/>
      <c r="H135" s="51"/>
      <c r="I135" s="51"/>
      <c r="J135" s="51"/>
      <c r="K135" s="51">
        <v>345</v>
      </c>
      <c r="L135" s="51">
        <v>435</v>
      </c>
      <c r="M135" s="51">
        <v>539</v>
      </c>
      <c r="N135" s="51">
        <v>637</v>
      </c>
      <c r="O135" s="51">
        <v>810</v>
      </c>
      <c r="P135" s="51" t="s">
        <v>273</v>
      </c>
      <c r="Q135" s="51" t="s">
        <v>273</v>
      </c>
      <c r="R135" s="51" t="s">
        <v>273</v>
      </c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1"/>
      <c r="AD135" s="1"/>
      <c r="AE135" s="95"/>
      <c r="AF135" s="96" t="str">
        <f t="shared" ref="AF135:AH198" si="35">IF(ISBLANK(AE135),"",INDEX($A135:$AB135,1,MATCH(AE$3,$A$3:$AB$3,0))-AE135)</f>
        <v/>
      </c>
      <c r="AG135" s="95"/>
      <c r="AH135" s="96" t="str">
        <f t="shared" si="35"/>
        <v/>
      </c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25">
      <c r="A136" s="80" t="s">
        <v>278</v>
      </c>
      <c r="B136" s="107" t="s">
        <v>279</v>
      </c>
      <c r="C136" s="93" t="s">
        <v>75</v>
      </c>
      <c r="D136" s="51"/>
      <c r="E136" s="51"/>
      <c r="F136" s="51"/>
      <c r="G136" s="51"/>
      <c r="H136" s="51"/>
      <c r="I136" s="51"/>
      <c r="J136" s="51"/>
      <c r="K136" s="49">
        <v>0.2</v>
      </c>
      <c r="L136" s="49">
        <v>0.23</v>
      </c>
      <c r="M136" s="49">
        <v>0.25</v>
      </c>
      <c r="N136" s="49">
        <v>0.3</v>
      </c>
      <c r="O136" s="49">
        <v>0.34</v>
      </c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1"/>
      <c r="AD136" s="1"/>
      <c r="AE136" s="95"/>
      <c r="AF136" s="96" t="str">
        <f t="shared" si="35"/>
        <v/>
      </c>
      <c r="AG136" s="95"/>
      <c r="AH136" s="96" t="str">
        <f t="shared" si="35"/>
        <v/>
      </c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25">
      <c r="A137" s="284" t="s">
        <v>280</v>
      </c>
      <c r="B137" s="285"/>
      <c r="C137" s="93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1"/>
      <c r="AD137" s="1"/>
      <c r="AE137" s="95"/>
      <c r="AF137" s="96" t="str">
        <f t="shared" si="35"/>
        <v/>
      </c>
      <c r="AG137" s="95"/>
      <c r="AH137" s="96" t="str">
        <f t="shared" si="35"/>
        <v/>
      </c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25">
      <c r="A138" s="80"/>
      <c r="B138" s="84" t="s">
        <v>281</v>
      </c>
      <c r="C138" s="160"/>
      <c r="D138" s="161"/>
      <c r="E138" s="161"/>
      <c r="F138" s="161"/>
      <c r="G138" s="161"/>
      <c r="H138" s="161"/>
      <c r="I138" s="161"/>
      <c r="J138" s="161"/>
      <c r="K138" s="161">
        <v>2018</v>
      </c>
      <c r="L138" s="161">
        <v>2019</v>
      </c>
      <c r="M138" s="161">
        <v>2020</v>
      </c>
      <c r="N138" s="161">
        <v>2021</v>
      </c>
      <c r="O138" s="161">
        <v>2022</v>
      </c>
      <c r="P138" s="161">
        <v>2023</v>
      </c>
      <c r="Q138" s="161">
        <v>2024</v>
      </c>
      <c r="R138" s="161">
        <v>2024</v>
      </c>
      <c r="S138" s="161">
        <v>2026</v>
      </c>
      <c r="T138" s="161">
        <v>2027</v>
      </c>
      <c r="U138" s="161">
        <v>2028</v>
      </c>
      <c r="V138" s="161">
        <v>2029</v>
      </c>
      <c r="W138" s="161">
        <v>2030</v>
      </c>
      <c r="X138" s="161">
        <v>2031</v>
      </c>
      <c r="Y138" s="161">
        <v>2032</v>
      </c>
      <c r="Z138" s="161">
        <v>2033</v>
      </c>
      <c r="AA138" s="161">
        <v>2034</v>
      </c>
      <c r="AB138" s="161">
        <v>2035</v>
      </c>
      <c r="AC138" s="1"/>
      <c r="AD138" s="1"/>
      <c r="AE138" s="156">
        <v>2025</v>
      </c>
      <c r="AF138" s="157" t="e">
        <f t="shared" si="35"/>
        <v>#N/A</v>
      </c>
      <c r="AG138" s="156">
        <v>2026</v>
      </c>
      <c r="AH138" s="157">
        <f t="shared" si="35"/>
        <v>0</v>
      </c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25">
      <c r="A139" s="80"/>
      <c r="B139" s="90" t="s">
        <v>282</v>
      </c>
      <c r="C139" s="93"/>
      <c r="D139" s="2"/>
      <c r="E139" s="2"/>
      <c r="F139" s="2"/>
      <c r="G139" s="2"/>
      <c r="H139" s="2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74"/>
      <c r="AF139" s="75" t="str">
        <f t="shared" si="35"/>
        <v/>
      </c>
      <c r="AG139" s="74"/>
      <c r="AH139" s="75" t="str">
        <f t="shared" si="35"/>
        <v/>
      </c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25">
      <c r="A140" s="80"/>
      <c r="B140" s="92" t="s">
        <v>283</v>
      </c>
      <c r="C140" s="93" t="s">
        <v>75</v>
      </c>
      <c r="D140" s="51"/>
      <c r="E140" s="51"/>
      <c r="F140" s="51"/>
      <c r="G140" s="51"/>
      <c r="H140" s="51"/>
      <c r="I140" s="51"/>
      <c r="J140" s="51"/>
      <c r="K140" s="51"/>
      <c r="L140" s="51"/>
      <c r="M140" s="51">
        <v>125</v>
      </c>
      <c r="N140" s="51">
        <v>142.9</v>
      </c>
      <c r="O140" s="51">
        <v>175.9</v>
      </c>
      <c r="P140" s="51">
        <v>223.3</v>
      </c>
      <c r="Q140" s="51">
        <v>278.7</v>
      </c>
      <c r="R140" s="51">
        <f>95.853+223.788</f>
        <v>319.64100000000002</v>
      </c>
      <c r="S140" s="49">
        <f t="shared" ref="S140:AB140" si="36">R140+S217</f>
        <v>347.18796078780326</v>
      </c>
      <c r="T140" s="49">
        <f t="shared" si="36"/>
        <v>417.99952759265898</v>
      </c>
      <c r="U140" s="49">
        <f t="shared" si="36"/>
        <v>496.79720631500891</v>
      </c>
      <c r="V140" s="49">
        <f t="shared" si="36"/>
        <v>503.7914357447562</v>
      </c>
      <c r="W140" s="49">
        <f t="shared" si="36"/>
        <v>511.43376278215123</v>
      </c>
      <c r="X140" s="49">
        <f t="shared" si="36"/>
        <v>519.86147126921287</v>
      </c>
      <c r="Y140" s="49">
        <f t="shared" si="36"/>
        <v>530.68774510144408</v>
      </c>
      <c r="Z140" s="49">
        <f t="shared" si="36"/>
        <v>546.8191988706609</v>
      </c>
      <c r="AA140" s="49">
        <f t="shared" si="36"/>
        <v>570.7405895732436</v>
      </c>
      <c r="AB140" s="49">
        <f t="shared" si="36"/>
        <v>437.34764528670291</v>
      </c>
      <c r="AC140" s="1"/>
      <c r="AD140" s="1"/>
      <c r="AE140" s="95">
        <v>318.88902060345004</v>
      </c>
      <c r="AF140" s="96" t="e">
        <f t="shared" si="35"/>
        <v>#N/A</v>
      </c>
      <c r="AG140" s="95">
        <v>372.76733536162686</v>
      </c>
      <c r="AH140" s="96">
        <f t="shared" si="35"/>
        <v>-25.5793745738236</v>
      </c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25">
      <c r="A141" s="80"/>
      <c r="B141" s="92" t="s">
        <v>284</v>
      </c>
      <c r="C141" s="93" t="s">
        <v>75</v>
      </c>
      <c r="D141" s="51"/>
      <c r="E141" s="51"/>
      <c r="F141" s="51"/>
      <c r="G141" s="51"/>
      <c r="H141" s="51"/>
      <c r="I141" s="51"/>
      <c r="J141" s="51"/>
      <c r="K141" s="51"/>
      <c r="L141" s="51"/>
      <c r="M141" s="51">
        <v>37</v>
      </c>
      <c r="N141" s="51">
        <v>50.6</v>
      </c>
      <c r="O141" s="51">
        <v>57.3</v>
      </c>
      <c r="P141" s="51">
        <v>62.4</v>
      </c>
      <c r="Q141" s="51">
        <v>67.5</v>
      </c>
      <c r="R141" s="51">
        <v>60.802</v>
      </c>
      <c r="S141" s="263">
        <f t="shared" ref="S141:AB141" si="37">S$27*S148</f>
        <v>90.993124258792349</v>
      </c>
      <c r="T141" s="263">
        <f t="shared" si="37"/>
        <v>104.5700237042587</v>
      </c>
      <c r="U141" s="263">
        <f t="shared" si="37"/>
        <v>122.72033497723342</v>
      </c>
      <c r="V141" s="263">
        <f t="shared" si="37"/>
        <v>145.67050635189901</v>
      </c>
      <c r="W141" s="263">
        <f t="shared" si="37"/>
        <v>173.37107764813032</v>
      </c>
      <c r="X141" s="263">
        <f t="shared" si="37"/>
        <v>207.20753304147664</v>
      </c>
      <c r="Y141" s="263">
        <f t="shared" si="37"/>
        <v>248.55699980280198</v>
      </c>
      <c r="Z141" s="263">
        <f t="shared" si="37"/>
        <v>299.12131657918582</v>
      </c>
      <c r="AA141" s="263">
        <f t="shared" si="37"/>
        <v>361.00710444996315</v>
      </c>
      <c r="AB141" s="263">
        <f t="shared" si="37"/>
        <v>436.82648249648787</v>
      </c>
      <c r="AC141" s="1"/>
      <c r="AD141" s="1"/>
      <c r="AE141" s="95">
        <v>79.256461534466482</v>
      </c>
      <c r="AF141" s="96" t="e">
        <f t="shared" si="35"/>
        <v>#N/A</v>
      </c>
      <c r="AG141" s="95">
        <v>91.990788679605942</v>
      </c>
      <c r="AH141" s="96">
        <f t="shared" si="35"/>
        <v>-0.9976644208135923</v>
      </c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25">
      <c r="A142" s="80"/>
      <c r="B142" s="92" t="s">
        <v>285</v>
      </c>
      <c r="C142" s="93" t="s">
        <v>75</v>
      </c>
      <c r="D142" s="51"/>
      <c r="E142" s="51"/>
      <c r="F142" s="51"/>
      <c r="G142" s="51"/>
      <c r="H142" s="51"/>
      <c r="I142" s="51"/>
      <c r="J142" s="51"/>
      <c r="K142" s="51"/>
      <c r="L142" s="51"/>
      <c r="M142" s="51">
        <v>11</v>
      </c>
      <c r="N142" s="51">
        <v>13.4</v>
      </c>
      <c r="O142" s="51">
        <v>20.399999999999999</v>
      </c>
      <c r="P142" s="51">
        <v>25.2</v>
      </c>
      <c r="Q142" s="51">
        <v>26.8</v>
      </c>
      <c r="R142" s="51">
        <v>18.077000000000002</v>
      </c>
      <c r="S142" s="263">
        <f t="shared" ref="S142:AB142" si="38">S$27*S149</f>
        <v>36.11940810272673</v>
      </c>
      <c r="T142" s="263">
        <f t="shared" si="38"/>
        <v>41.508711699400394</v>
      </c>
      <c r="U142" s="263">
        <f t="shared" si="38"/>
        <v>48.713415410810214</v>
      </c>
      <c r="V142" s="263">
        <f t="shared" si="38"/>
        <v>57.823407101517162</v>
      </c>
      <c r="W142" s="263">
        <f t="shared" si="38"/>
        <v>68.81905372292195</v>
      </c>
      <c r="X142" s="263">
        <f t="shared" si="38"/>
        <v>82.250318459212082</v>
      </c>
      <c r="Y142" s="263">
        <f t="shared" si="38"/>
        <v>98.663847249967191</v>
      </c>
      <c r="Z142" s="263">
        <f t="shared" si="38"/>
        <v>118.73517910013481</v>
      </c>
      <c r="AA142" s="263">
        <f t="shared" si="38"/>
        <v>143.30053001067236</v>
      </c>
      <c r="AB142" s="263">
        <f t="shared" si="38"/>
        <v>173.39677167799516</v>
      </c>
      <c r="AC142" s="1"/>
      <c r="AD142" s="1"/>
      <c r="AE142" s="95">
        <v>31.460580151085928</v>
      </c>
      <c r="AF142" s="96" t="e">
        <f t="shared" si="35"/>
        <v>#N/A</v>
      </c>
      <c r="AG142" s="95">
        <v>36.515427567477168</v>
      </c>
      <c r="AH142" s="96">
        <f t="shared" si="35"/>
        <v>-0.39601946475043803</v>
      </c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25">
      <c r="A143" s="80"/>
      <c r="B143" s="92" t="s">
        <v>286</v>
      </c>
      <c r="C143" s="93" t="s">
        <v>75</v>
      </c>
      <c r="D143" s="51"/>
      <c r="E143" s="51"/>
      <c r="F143" s="51"/>
      <c r="G143" s="51"/>
      <c r="H143" s="51"/>
      <c r="I143" s="51"/>
      <c r="J143" s="51"/>
      <c r="K143" s="51"/>
      <c r="L143" s="51"/>
      <c r="M143" s="51">
        <v>9</v>
      </c>
      <c r="N143" s="51">
        <v>7.3</v>
      </c>
      <c r="O143" s="51">
        <v>8.5</v>
      </c>
      <c r="P143" s="51">
        <v>13.3</v>
      </c>
      <c r="Q143" s="51">
        <v>15.5</v>
      </c>
      <c r="R143" s="51">
        <v>13.583</v>
      </c>
      <c r="S143" s="263">
        <f t="shared" ref="S143:AB143" si="39">R143-S198+S55</f>
        <v>11.27801495760756</v>
      </c>
      <c r="T143" s="263">
        <f t="shared" si="39"/>
        <v>8.6299143139736714</v>
      </c>
      <c r="U143" s="263">
        <f t="shared" si="39"/>
        <v>5.5235653051968203</v>
      </c>
      <c r="V143" s="263">
        <f t="shared" si="39"/>
        <v>1.835753223807064</v>
      </c>
      <c r="W143" s="263">
        <f t="shared" si="39"/>
        <v>-2.553386596362615</v>
      </c>
      <c r="X143" s="263">
        <f t="shared" si="39"/>
        <v>-7.7992082443937241</v>
      </c>
      <c r="Y143" s="263">
        <f t="shared" si="39"/>
        <v>-14.091936064761263</v>
      </c>
      <c r="Z143" s="263">
        <f t="shared" si="39"/>
        <v>-21.664887336841399</v>
      </c>
      <c r="AA143" s="263">
        <f t="shared" si="39"/>
        <v>-30.804722764969981</v>
      </c>
      <c r="AB143" s="263">
        <f t="shared" si="39"/>
        <v>-41.864247643816512</v>
      </c>
      <c r="AC143" s="1"/>
      <c r="AD143" s="1"/>
      <c r="AE143" s="95">
        <v>17.929919494703807</v>
      </c>
      <c r="AF143" s="96" t="e">
        <f t="shared" si="35"/>
        <v>#N/A</v>
      </c>
      <c r="AG143" s="95">
        <v>20.750120964339231</v>
      </c>
      <c r="AH143" s="96">
        <f t="shared" si="35"/>
        <v>-9.4721060067316714</v>
      </c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25">
      <c r="A144" s="80"/>
      <c r="B144" s="92" t="s">
        <v>287</v>
      </c>
      <c r="C144" s="93" t="s">
        <v>75</v>
      </c>
      <c r="D144" s="51"/>
      <c r="E144" s="51"/>
      <c r="F144" s="51"/>
      <c r="G144" s="51"/>
      <c r="H144" s="51"/>
      <c r="I144" s="51"/>
      <c r="J144" s="51"/>
      <c r="K144" s="51"/>
      <c r="L144" s="51"/>
      <c r="M144" s="51">
        <v>103</v>
      </c>
      <c r="N144" s="51">
        <v>152.69999999999999</v>
      </c>
      <c r="O144" s="51">
        <v>186.4</v>
      </c>
      <c r="P144" s="51">
        <v>208.1</v>
      </c>
      <c r="Q144" s="51">
        <v>231</v>
      </c>
      <c r="R144" s="51">
        <f>105.602+204.323</f>
        <v>309.92500000000001</v>
      </c>
      <c r="S144" s="263">
        <f t="shared" ref="S144:AB144" si="40">R144-S199+S56+S57</f>
        <v>338.344201858904</v>
      </c>
      <c r="T144" s="263">
        <f t="shared" si="40"/>
        <v>369.94660814832292</v>
      </c>
      <c r="U144" s="263">
        <f t="shared" si="40"/>
        <v>406.75769655011544</v>
      </c>
      <c r="V144" s="263">
        <f t="shared" si="40"/>
        <v>450.10954696632791</v>
      </c>
      <c r="W144" s="263">
        <f t="shared" si="40"/>
        <v>500.9811573102711</v>
      </c>
      <c r="X144" s="263">
        <f t="shared" si="40"/>
        <v>560.86968671093223</v>
      </c>
      <c r="Y144" s="263">
        <f t="shared" si="40"/>
        <v>631.6486750644284</v>
      </c>
      <c r="Z144" s="263">
        <f t="shared" si="40"/>
        <v>715.65608473913358</v>
      </c>
      <c r="AA144" s="263">
        <f t="shared" si="40"/>
        <v>815.80575422863581</v>
      </c>
      <c r="AB144" s="263">
        <f t="shared" si="40"/>
        <v>935.72835981624382</v>
      </c>
      <c r="AC144" s="1"/>
      <c r="AD144" s="1"/>
      <c r="AE144" s="95">
        <v>255.22777076393768</v>
      </c>
      <c r="AF144" s="96" t="e">
        <f t="shared" si="35"/>
        <v>#N/A</v>
      </c>
      <c r="AG144" s="95">
        <v>282.59169656302606</v>
      </c>
      <c r="AH144" s="96">
        <f t="shared" si="35"/>
        <v>55.752505295877938</v>
      </c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80"/>
      <c r="B145" s="92" t="s">
        <v>288</v>
      </c>
      <c r="C145" s="93" t="s">
        <v>75</v>
      </c>
      <c r="D145" s="51"/>
      <c r="E145" s="51"/>
      <c r="F145" s="51"/>
      <c r="G145" s="51"/>
      <c r="H145" s="51"/>
      <c r="I145" s="51"/>
      <c r="J145" s="51"/>
      <c r="K145" s="51"/>
      <c r="L145" s="51"/>
      <c r="M145" s="51">
        <v>24</v>
      </c>
      <c r="N145" s="51">
        <v>21</v>
      </c>
      <c r="O145" s="51">
        <v>23.1</v>
      </c>
      <c r="P145" s="51">
        <v>22.6</v>
      </c>
      <c r="Q145" s="51">
        <v>51.6</v>
      </c>
      <c r="R145" s="51">
        <v>46.171999999999997</v>
      </c>
      <c r="S145" s="142">
        <f t="shared" ref="S145:AB145" si="41">R145</f>
        <v>46.171999999999997</v>
      </c>
      <c r="T145" s="142">
        <f t="shared" si="41"/>
        <v>46.171999999999997</v>
      </c>
      <c r="U145" s="142">
        <f t="shared" si="41"/>
        <v>46.171999999999997</v>
      </c>
      <c r="V145" s="142">
        <f t="shared" si="41"/>
        <v>46.171999999999997</v>
      </c>
      <c r="W145" s="142">
        <f t="shared" si="41"/>
        <v>46.171999999999997</v>
      </c>
      <c r="X145" s="142">
        <f t="shared" si="41"/>
        <v>46.171999999999997</v>
      </c>
      <c r="Y145" s="142">
        <f t="shared" si="41"/>
        <v>46.171999999999997</v>
      </c>
      <c r="Z145" s="142">
        <f t="shared" si="41"/>
        <v>46.171999999999997</v>
      </c>
      <c r="AA145" s="142">
        <f t="shared" si="41"/>
        <v>46.171999999999997</v>
      </c>
      <c r="AB145" s="142">
        <f t="shared" si="41"/>
        <v>46.171999999999997</v>
      </c>
      <c r="AC145" s="1"/>
      <c r="AD145" s="1"/>
      <c r="AE145" s="95">
        <v>51.6</v>
      </c>
      <c r="AF145" s="96" t="e">
        <f t="shared" si="35"/>
        <v>#N/A</v>
      </c>
      <c r="AG145" s="95">
        <v>51.6</v>
      </c>
      <c r="AH145" s="96">
        <f t="shared" si="35"/>
        <v>-5.4280000000000044</v>
      </c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80"/>
      <c r="B146" s="92" t="s">
        <v>289</v>
      </c>
      <c r="C146" s="93" t="s">
        <v>75</v>
      </c>
      <c r="D146" s="49"/>
      <c r="E146" s="49"/>
      <c r="F146" s="49"/>
      <c r="G146" s="49"/>
      <c r="H146" s="49"/>
      <c r="I146" s="49"/>
      <c r="J146" s="49"/>
      <c r="K146" s="49"/>
      <c r="L146" s="49"/>
      <c r="M146" s="49">
        <v>67.099999999999994</v>
      </c>
      <c r="N146" s="49">
        <v>66.900000000000006</v>
      </c>
      <c r="O146" s="49">
        <v>68.5</v>
      </c>
      <c r="P146" s="49">
        <v>81.8</v>
      </c>
      <c r="Q146" s="49">
        <f>Q147-SUM(Q140:Q145)</f>
        <v>86.299999999999955</v>
      </c>
      <c r="R146" s="49">
        <f>R147-SUM(R140:R145)</f>
        <v>123.202</v>
      </c>
      <c r="S146" s="142">
        <f t="shared" ref="S146:AB146" si="42">R146</f>
        <v>123.202</v>
      </c>
      <c r="T146" s="142">
        <f t="shared" si="42"/>
        <v>123.202</v>
      </c>
      <c r="U146" s="142">
        <f t="shared" si="42"/>
        <v>123.202</v>
      </c>
      <c r="V146" s="142">
        <f t="shared" si="42"/>
        <v>123.202</v>
      </c>
      <c r="W146" s="142">
        <f t="shared" si="42"/>
        <v>123.202</v>
      </c>
      <c r="X146" s="142">
        <f t="shared" si="42"/>
        <v>123.202</v>
      </c>
      <c r="Y146" s="142">
        <f t="shared" si="42"/>
        <v>123.202</v>
      </c>
      <c r="Z146" s="142">
        <f t="shared" si="42"/>
        <v>123.202</v>
      </c>
      <c r="AA146" s="142">
        <f t="shared" si="42"/>
        <v>123.202</v>
      </c>
      <c r="AB146" s="142">
        <f t="shared" si="42"/>
        <v>123.202</v>
      </c>
      <c r="AC146" s="1"/>
      <c r="AD146" s="1"/>
      <c r="AE146" s="95">
        <v>86.299999999999955</v>
      </c>
      <c r="AF146" s="96" t="e">
        <f t="shared" si="35"/>
        <v>#N/A</v>
      </c>
      <c r="AG146" s="95">
        <v>86.299999999999955</v>
      </c>
      <c r="AH146" s="96">
        <f t="shared" si="35"/>
        <v>36.902000000000044</v>
      </c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80"/>
      <c r="B147" s="97" t="s">
        <v>290</v>
      </c>
      <c r="C147" s="5" t="s">
        <v>75</v>
      </c>
      <c r="D147" s="114"/>
      <c r="E147" s="114"/>
      <c r="F147" s="114"/>
      <c r="G147" s="114"/>
      <c r="H147" s="114"/>
      <c r="I147" s="114"/>
      <c r="J147" s="114"/>
      <c r="K147" s="114"/>
      <c r="L147" s="114"/>
      <c r="M147" s="114">
        <v>376</v>
      </c>
      <c r="N147" s="114">
        <v>455</v>
      </c>
      <c r="O147" s="114">
        <v>539.9</v>
      </c>
      <c r="P147" s="114">
        <v>636.70000000000005</v>
      </c>
      <c r="Q147" s="114">
        <v>757.4</v>
      </c>
      <c r="R147" s="114">
        <v>891.40200000000004</v>
      </c>
      <c r="S147" s="270">
        <f t="shared" ref="S147:AB147" si="43">SUM(S140:S146)</f>
        <v>993.296709965834</v>
      </c>
      <c r="T147" s="270">
        <f t="shared" si="43"/>
        <v>1112.0287854586147</v>
      </c>
      <c r="U147" s="270">
        <f t="shared" si="43"/>
        <v>1249.8862185583648</v>
      </c>
      <c r="V147" s="270">
        <f t="shared" si="43"/>
        <v>1328.6046493883075</v>
      </c>
      <c r="W147" s="270">
        <f t="shared" si="43"/>
        <v>1421.4256648671119</v>
      </c>
      <c r="X147" s="270">
        <f t="shared" si="43"/>
        <v>1531.76380123644</v>
      </c>
      <c r="Y147" s="270">
        <f t="shared" si="43"/>
        <v>1664.8393311538805</v>
      </c>
      <c r="Z147" s="270">
        <f t="shared" si="43"/>
        <v>1828.0408919522738</v>
      </c>
      <c r="AA147" s="270">
        <f t="shared" si="43"/>
        <v>2029.4232554975451</v>
      </c>
      <c r="AB147" s="270">
        <f t="shared" si="43"/>
        <v>2110.8090116336134</v>
      </c>
      <c r="AC147" s="1"/>
      <c r="AD147" s="1"/>
      <c r="AE147" s="145">
        <v>840.66375254764398</v>
      </c>
      <c r="AF147" s="146" t="e">
        <f t="shared" si="35"/>
        <v>#N/A</v>
      </c>
      <c r="AG147" s="145">
        <v>942.51536913607526</v>
      </c>
      <c r="AH147" s="146">
        <f t="shared" si="35"/>
        <v>50.781340829758733</v>
      </c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80"/>
      <c r="B148" s="92" t="s">
        <v>291</v>
      </c>
      <c r="C148" s="93" t="s">
        <v>6</v>
      </c>
      <c r="D148" s="2"/>
      <c r="E148" s="2"/>
      <c r="F148" s="2"/>
      <c r="G148" s="2"/>
      <c r="H148" s="2"/>
      <c r="I148" s="2"/>
      <c r="J148" s="2"/>
      <c r="K148" s="2"/>
      <c r="L148" s="2"/>
      <c r="M148" s="101">
        <v>0.125</v>
      </c>
      <c r="N148" s="101">
        <v>0.16200000000000001</v>
      </c>
      <c r="O148" s="101">
        <v>0.155</v>
      </c>
      <c r="P148" s="101">
        <v>0.14299999999999999</v>
      </c>
      <c r="Q148" s="253">
        <f>Q141/Q$27</f>
        <v>0.1309662398137369</v>
      </c>
      <c r="R148" s="253">
        <f>R141/R$27</f>
        <v>9.9670834781354301E-2</v>
      </c>
      <c r="S148" s="163">
        <v>0.13100000000000001</v>
      </c>
      <c r="T148" s="163">
        <v>0.13100000000000001</v>
      </c>
      <c r="U148" s="163">
        <v>0.13100000000000001</v>
      </c>
      <c r="V148" s="163">
        <v>0.13100000000000001</v>
      </c>
      <c r="W148" s="163">
        <v>0.13100000000000001</v>
      </c>
      <c r="X148" s="163">
        <v>0.13100000000000001</v>
      </c>
      <c r="Y148" s="163">
        <v>0.13100000000000001</v>
      </c>
      <c r="Z148" s="163">
        <v>0.13100000000000001</v>
      </c>
      <c r="AA148" s="163">
        <v>0.13100000000000001</v>
      </c>
      <c r="AB148" s="163">
        <v>0.13100000000000001</v>
      </c>
      <c r="AC148" s="1"/>
      <c r="AD148" s="1"/>
      <c r="AE148" s="119">
        <v>0.13100000000000001</v>
      </c>
      <c r="AF148" s="120" t="e">
        <f t="shared" si="35"/>
        <v>#N/A</v>
      </c>
      <c r="AG148" s="119">
        <v>0.13100000000000001</v>
      </c>
      <c r="AH148" s="120">
        <f t="shared" si="35"/>
        <v>0</v>
      </c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80"/>
      <c r="B149" s="92" t="s">
        <v>292</v>
      </c>
      <c r="C149" s="93" t="s">
        <v>6</v>
      </c>
      <c r="D149" s="2"/>
      <c r="E149" s="2"/>
      <c r="F149" s="2"/>
      <c r="G149" s="2"/>
      <c r="H149" s="2"/>
      <c r="I149" s="2"/>
      <c r="J149" s="2"/>
      <c r="K149" s="2"/>
      <c r="L149" s="2"/>
      <c r="M149" s="101">
        <v>3.5999999999999997E-2</v>
      </c>
      <c r="N149" s="101">
        <v>4.2999999999999997E-2</v>
      </c>
      <c r="O149" s="101">
        <v>5.5E-2</v>
      </c>
      <c r="P149" s="101">
        <v>5.8000000000000003E-2</v>
      </c>
      <c r="Q149" s="253">
        <f>Q142/Q$27</f>
        <v>5.1998447807528138E-2</v>
      </c>
      <c r="R149" s="253">
        <f>R142/R$27</f>
        <v>2.9633066023198935E-2</v>
      </c>
      <c r="S149" s="163">
        <v>5.1999999999999998E-2</v>
      </c>
      <c r="T149" s="163">
        <v>5.1999999999999998E-2</v>
      </c>
      <c r="U149" s="163">
        <v>5.1999999999999998E-2</v>
      </c>
      <c r="V149" s="163">
        <v>5.1999999999999998E-2</v>
      </c>
      <c r="W149" s="163">
        <v>5.1999999999999998E-2</v>
      </c>
      <c r="X149" s="163">
        <v>5.1999999999999998E-2</v>
      </c>
      <c r="Y149" s="163">
        <v>5.1999999999999998E-2</v>
      </c>
      <c r="Z149" s="163">
        <v>5.1999999999999998E-2</v>
      </c>
      <c r="AA149" s="163">
        <v>5.1999999999999998E-2</v>
      </c>
      <c r="AB149" s="163">
        <v>5.1999999999999998E-2</v>
      </c>
      <c r="AC149" s="1"/>
      <c r="AD149" s="1"/>
      <c r="AE149" s="119">
        <v>5.1999999999999998E-2</v>
      </c>
      <c r="AF149" s="120" t="e">
        <f t="shared" si="35"/>
        <v>#N/A</v>
      </c>
      <c r="AG149" s="119">
        <v>5.1999999999999998E-2</v>
      </c>
      <c r="AH149" s="120">
        <f t="shared" si="35"/>
        <v>0</v>
      </c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80"/>
      <c r="B150" s="92" t="s">
        <v>293</v>
      </c>
      <c r="C150" s="93" t="s">
        <v>75</v>
      </c>
      <c r="D150" s="49"/>
      <c r="E150" s="49"/>
      <c r="F150" s="49"/>
      <c r="G150" s="49"/>
      <c r="H150" s="49"/>
      <c r="I150" s="49"/>
      <c r="J150" s="49"/>
      <c r="K150" s="49"/>
      <c r="L150" s="49"/>
      <c r="M150" s="49">
        <v>11</v>
      </c>
      <c r="N150" s="49">
        <v>28</v>
      </c>
      <c r="O150" s="49">
        <v>29</v>
      </c>
      <c r="P150" s="49">
        <v>38</v>
      </c>
      <c r="Q150" s="49">
        <f>Q141+Q142-Q155</f>
        <v>61.099999999999994</v>
      </c>
      <c r="R150" s="49">
        <f>R141+R142-R155</f>
        <v>37.966000000000008</v>
      </c>
      <c r="S150" s="263">
        <f t="shared" ref="R150:AB150" si="44">S141+S142-S155</f>
        <v>82.657876235086178</v>
      </c>
      <c r="T150" s="263">
        <f t="shared" si="44"/>
        <v>94.991090235166297</v>
      </c>
      <c r="U150" s="263">
        <f t="shared" si="44"/>
        <v>111.47877757473874</v>
      </c>
      <c r="V150" s="263">
        <f t="shared" si="44"/>
        <v>132.32664317462581</v>
      </c>
      <c r="W150" s="263">
        <f t="shared" si="44"/>
        <v>157.48975755822525</v>
      </c>
      <c r="X150" s="263">
        <f t="shared" si="44"/>
        <v>188.22669032011999</v>
      </c>
      <c r="Y150" s="263">
        <f t="shared" si="44"/>
        <v>225.78841966819414</v>
      </c>
      <c r="Z150" s="263">
        <f t="shared" si="44"/>
        <v>271.72089063300086</v>
      </c>
      <c r="AA150" s="263">
        <f t="shared" si="44"/>
        <v>327.93775137057719</v>
      </c>
      <c r="AB150" s="263">
        <f t="shared" si="44"/>
        <v>396.81184287848896</v>
      </c>
      <c r="AC150" s="1"/>
      <c r="AD150" s="1"/>
      <c r="AE150" s="95">
        <v>71.996327653446642</v>
      </c>
      <c r="AF150" s="96" t="e">
        <f t="shared" si="35"/>
        <v>#N/A</v>
      </c>
      <c r="AG150" s="95">
        <v>83.564151548649662</v>
      </c>
      <c r="AH150" s="96">
        <f t="shared" si="35"/>
        <v>-0.90627531356348356</v>
      </c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80"/>
      <c r="B151" s="92" t="s">
        <v>294</v>
      </c>
      <c r="C151" s="93" t="s">
        <v>6</v>
      </c>
      <c r="D151" s="2"/>
      <c r="E151" s="2"/>
      <c r="F151" s="2"/>
      <c r="G151" s="2"/>
      <c r="H151" s="2"/>
      <c r="I151" s="2"/>
      <c r="J151" s="2"/>
      <c r="K151" s="2"/>
      <c r="L151" s="2"/>
      <c r="M151" s="101">
        <v>0.16700000000000001</v>
      </c>
      <c r="N151" s="101">
        <v>0.16</v>
      </c>
      <c r="O151" s="101">
        <v>0.16500000000000001</v>
      </c>
      <c r="P151" s="101">
        <v>0.16200000000000001</v>
      </c>
      <c r="Q151" s="253">
        <f>Q$91/Q147</f>
        <v>0.15579614470557165</v>
      </c>
      <c r="R151" s="253">
        <f>R$91/R147</f>
        <v>0.15441405785492962</v>
      </c>
      <c r="S151" s="253">
        <f t="shared" ref="R151:AB151" si="45">S$91/S147</f>
        <v>0.16373007594893429</v>
      </c>
      <c r="T151" s="253">
        <f t="shared" si="45"/>
        <v>0.17543553606994708</v>
      </c>
      <c r="U151" s="253">
        <f t="shared" si="45"/>
        <v>0.19114048072060347</v>
      </c>
      <c r="V151" s="253">
        <f t="shared" si="45"/>
        <v>0.21868006358320785</v>
      </c>
      <c r="W151" s="253">
        <f t="shared" si="45"/>
        <v>0.24679690502563761</v>
      </c>
      <c r="X151" s="253">
        <f t="shared" si="45"/>
        <v>0.27752472280659812</v>
      </c>
      <c r="Y151" s="253">
        <f t="shared" si="45"/>
        <v>0.31048358477433285</v>
      </c>
      <c r="Z151" s="253">
        <f t="shared" si="45"/>
        <v>0.34491814945404009</v>
      </c>
      <c r="AA151" s="253">
        <f t="shared" si="45"/>
        <v>0.38015028259589323</v>
      </c>
      <c r="AB151" s="253">
        <f t="shared" si="45"/>
        <v>0.44837192585973762</v>
      </c>
      <c r="AC151" s="1"/>
      <c r="AD151" s="1"/>
      <c r="AE151" s="119">
        <v>0.16863508305883906</v>
      </c>
      <c r="AF151" s="120" t="e">
        <f t="shared" si="35"/>
        <v>#N/A</v>
      </c>
      <c r="AG151" s="119">
        <v>0.18230463180608167</v>
      </c>
      <c r="AH151" s="120">
        <f t="shared" si="35"/>
        <v>-1.8574555857147373E-2</v>
      </c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80"/>
      <c r="B152" s="92" t="s">
        <v>295</v>
      </c>
      <c r="C152" s="93" t="s">
        <v>6</v>
      </c>
      <c r="D152" s="2"/>
      <c r="E152" s="2"/>
      <c r="F152" s="2"/>
      <c r="G152" s="2"/>
      <c r="H152" s="2"/>
      <c r="I152" s="2"/>
      <c r="J152" s="2"/>
      <c r="K152" s="2"/>
      <c r="L152" s="2"/>
      <c r="M152" s="101">
        <v>0.23</v>
      </c>
      <c r="N152" s="101">
        <v>0.24099999999999999</v>
      </c>
      <c r="O152" s="101">
        <v>0.251</v>
      </c>
      <c r="P152" s="101">
        <v>0.24</v>
      </c>
      <c r="Q152" s="253">
        <f>Q$91/(Q147-Q144)</f>
        <v>0.22416413373860178</v>
      </c>
      <c r="R152" s="253">
        <f>R$91/(R147-R144)</f>
        <v>0.23671615558310985</v>
      </c>
      <c r="S152" s="253">
        <f t="shared" ref="R152:AB152" si="46">S$91/(S147-S144)</f>
        <v>0.24831196727928334</v>
      </c>
      <c r="T152" s="253">
        <f t="shared" si="46"/>
        <v>0.26289455813270424</v>
      </c>
      <c r="U152" s="253">
        <f t="shared" si="46"/>
        <v>0.28335401593609666</v>
      </c>
      <c r="V152" s="253">
        <f t="shared" si="46"/>
        <v>0.33072392595493594</v>
      </c>
      <c r="W152" s="253">
        <f t="shared" si="46"/>
        <v>0.38112395905795443</v>
      </c>
      <c r="X152" s="253">
        <f t="shared" si="46"/>
        <v>0.43784622646629051</v>
      </c>
      <c r="Y152" s="253">
        <f t="shared" si="46"/>
        <v>0.50029999842082051</v>
      </c>
      <c r="Z152" s="253">
        <f t="shared" si="46"/>
        <v>0.56682227003634222</v>
      </c>
      <c r="AA152" s="253">
        <f t="shared" si="46"/>
        <v>0.63569108329225243</v>
      </c>
      <c r="AB152" s="253">
        <f t="shared" si="46"/>
        <v>0.80541493063009428</v>
      </c>
      <c r="AC152" s="1"/>
      <c r="AD152" s="1"/>
      <c r="AE152" s="119">
        <v>0.24215355076655257</v>
      </c>
      <c r="AF152" s="120" t="e">
        <f t="shared" si="35"/>
        <v>#N/A</v>
      </c>
      <c r="AG152" s="119">
        <v>0.26037089512485317</v>
      </c>
      <c r="AH152" s="120">
        <f t="shared" si="35"/>
        <v>-1.2058927845569833E-2</v>
      </c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284"/>
      <c r="B153" s="285"/>
      <c r="C153" s="9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1"/>
      <c r="AD153" s="1"/>
      <c r="AE153" s="88"/>
      <c r="AF153" s="89" t="str">
        <f t="shared" si="35"/>
        <v/>
      </c>
      <c r="AG153" s="88"/>
      <c r="AH153" s="89" t="str">
        <f t="shared" si="35"/>
        <v/>
      </c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80"/>
      <c r="B154" s="90" t="s">
        <v>296</v>
      </c>
      <c r="C154" s="9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1"/>
      <c r="AD154" s="1"/>
      <c r="AE154" s="88"/>
      <c r="AF154" s="89" t="str">
        <f t="shared" si="35"/>
        <v/>
      </c>
      <c r="AG154" s="88"/>
      <c r="AH154" s="89" t="str">
        <f t="shared" si="35"/>
        <v/>
      </c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80"/>
      <c r="B155" s="92" t="s">
        <v>297</v>
      </c>
      <c r="C155" s="93" t="s">
        <v>75</v>
      </c>
      <c r="D155" s="51"/>
      <c r="E155" s="51"/>
      <c r="F155" s="51"/>
      <c r="G155" s="51"/>
      <c r="H155" s="51"/>
      <c r="I155" s="51"/>
      <c r="J155" s="51"/>
      <c r="K155" s="51"/>
      <c r="L155" s="51"/>
      <c r="M155" s="51">
        <v>37</v>
      </c>
      <c r="N155" s="51">
        <v>36</v>
      </c>
      <c r="O155" s="51">
        <v>48.6</v>
      </c>
      <c r="P155" s="51">
        <v>49.2</v>
      </c>
      <c r="Q155" s="51">
        <v>33.200000000000003</v>
      </c>
      <c r="R155" s="51">
        <v>40.912999999999997</v>
      </c>
      <c r="S155" s="263">
        <f t="shared" ref="S155:AB155" si="47">S$27*S161</f>
        <v>44.454656126432901</v>
      </c>
      <c r="T155" s="263">
        <f t="shared" si="47"/>
        <v>51.087645168492799</v>
      </c>
      <c r="U155" s="263">
        <f t="shared" si="47"/>
        <v>59.954972813304877</v>
      </c>
      <c r="V155" s="263">
        <f t="shared" si="47"/>
        <v>71.167270278790355</v>
      </c>
      <c r="W155" s="263">
        <f t="shared" si="47"/>
        <v>84.700373812827024</v>
      </c>
      <c r="X155" s="263">
        <f t="shared" si="47"/>
        <v>101.23116118056873</v>
      </c>
      <c r="Y155" s="263">
        <f t="shared" si="47"/>
        <v>121.43242738457502</v>
      </c>
      <c r="Z155" s="263">
        <f t="shared" si="47"/>
        <v>146.13560504631977</v>
      </c>
      <c r="AA155" s="263">
        <f t="shared" si="47"/>
        <v>176.36988309005832</v>
      </c>
      <c r="AB155" s="263">
        <f t="shared" si="47"/>
        <v>213.41141129599407</v>
      </c>
      <c r="AC155" s="1"/>
      <c r="AD155" s="1"/>
      <c r="AE155" s="95">
        <v>38.720714032105761</v>
      </c>
      <c r="AF155" s="96" t="e">
        <f t="shared" si="35"/>
        <v>#N/A</v>
      </c>
      <c r="AG155" s="95">
        <v>44.942064698433441</v>
      </c>
      <c r="AH155" s="96">
        <f t="shared" si="35"/>
        <v>-0.48740857200053966</v>
      </c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80"/>
      <c r="B156" s="92" t="s">
        <v>298</v>
      </c>
      <c r="C156" s="93" t="s">
        <v>75</v>
      </c>
      <c r="D156" s="51"/>
      <c r="E156" s="51"/>
      <c r="F156" s="51"/>
      <c r="G156" s="51"/>
      <c r="H156" s="51"/>
      <c r="I156" s="51"/>
      <c r="J156" s="51"/>
      <c r="K156" s="51"/>
      <c r="L156" s="51"/>
      <c r="M156" s="51">
        <v>21</v>
      </c>
      <c r="N156" s="51">
        <v>21</v>
      </c>
      <c r="O156" s="51">
        <v>20.9</v>
      </c>
      <c r="P156" s="51">
        <v>21.3</v>
      </c>
      <c r="Q156" s="51">
        <v>23.7</v>
      </c>
      <c r="R156" s="51">
        <v>30.951000000000001</v>
      </c>
      <c r="S156" s="142">
        <f t="shared" ref="S156:AB156" si="48">R156</f>
        <v>30.951000000000001</v>
      </c>
      <c r="T156" s="142">
        <f t="shared" si="48"/>
        <v>30.951000000000001</v>
      </c>
      <c r="U156" s="142">
        <f t="shared" si="48"/>
        <v>30.951000000000001</v>
      </c>
      <c r="V156" s="142">
        <f t="shared" si="48"/>
        <v>30.951000000000001</v>
      </c>
      <c r="W156" s="142">
        <f t="shared" si="48"/>
        <v>30.951000000000001</v>
      </c>
      <c r="X156" s="142">
        <f t="shared" si="48"/>
        <v>30.951000000000001</v>
      </c>
      <c r="Y156" s="142">
        <f t="shared" si="48"/>
        <v>30.951000000000001</v>
      </c>
      <c r="Z156" s="142">
        <f t="shared" si="48"/>
        <v>30.951000000000001</v>
      </c>
      <c r="AA156" s="142">
        <f t="shared" si="48"/>
        <v>30.951000000000001</v>
      </c>
      <c r="AB156" s="142">
        <f t="shared" si="48"/>
        <v>30.951000000000001</v>
      </c>
      <c r="AC156" s="1"/>
      <c r="AD156" s="1"/>
      <c r="AE156" s="95">
        <v>23.7</v>
      </c>
      <c r="AF156" s="96" t="e">
        <f t="shared" si="35"/>
        <v>#N/A</v>
      </c>
      <c r="AG156" s="95">
        <v>23.7</v>
      </c>
      <c r="AH156" s="96">
        <f t="shared" si="35"/>
        <v>7.2510000000000012</v>
      </c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80"/>
      <c r="B157" s="92" t="s">
        <v>299</v>
      </c>
      <c r="C157" s="93" t="s">
        <v>75</v>
      </c>
      <c r="D157" s="51"/>
      <c r="E157" s="51"/>
      <c r="F157" s="51"/>
      <c r="G157" s="51"/>
      <c r="H157" s="51"/>
      <c r="I157" s="51"/>
      <c r="J157" s="51"/>
      <c r="K157" s="51"/>
      <c r="L157" s="51"/>
      <c r="M157" s="51">
        <v>27</v>
      </c>
      <c r="N157" s="51">
        <v>27</v>
      </c>
      <c r="O157" s="51">
        <v>35.299999999999997</v>
      </c>
      <c r="P157" s="51">
        <v>33.200000000000003</v>
      </c>
      <c r="Q157" s="51">
        <v>59.7</v>
      </c>
      <c r="R157" s="51">
        <f>7.24+46.141</f>
        <v>53.381</v>
      </c>
      <c r="S157" s="142">
        <f t="shared" ref="R157:AB158" si="49">R157</f>
        <v>53.381</v>
      </c>
      <c r="T157" s="142">
        <f t="shared" si="49"/>
        <v>53.381</v>
      </c>
      <c r="U157" s="142">
        <f t="shared" si="49"/>
        <v>53.381</v>
      </c>
      <c r="V157" s="142">
        <f t="shared" si="49"/>
        <v>53.381</v>
      </c>
      <c r="W157" s="142">
        <f t="shared" si="49"/>
        <v>53.381</v>
      </c>
      <c r="X157" s="142">
        <f t="shared" si="49"/>
        <v>53.381</v>
      </c>
      <c r="Y157" s="142">
        <f t="shared" si="49"/>
        <v>53.381</v>
      </c>
      <c r="Z157" s="142">
        <f t="shared" si="49"/>
        <v>53.381</v>
      </c>
      <c r="AA157" s="142">
        <f t="shared" si="49"/>
        <v>53.381</v>
      </c>
      <c r="AB157" s="142">
        <f t="shared" si="49"/>
        <v>53.381</v>
      </c>
      <c r="AC157" s="1"/>
      <c r="AD157" s="1"/>
      <c r="AE157" s="95">
        <v>59.7</v>
      </c>
      <c r="AF157" s="96" t="e">
        <f t="shared" si="35"/>
        <v>#N/A</v>
      </c>
      <c r="AG157" s="95">
        <v>59.7</v>
      </c>
      <c r="AH157" s="96">
        <f t="shared" si="35"/>
        <v>-6.3190000000000026</v>
      </c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80"/>
      <c r="B158" s="92" t="s">
        <v>186</v>
      </c>
      <c r="C158" s="93" t="s">
        <v>75</v>
      </c>
      <c r="D158" s="49"/>
      <c r="E158" s="49"/>
      <c r="F158" s="49"/>
      <c r="G158" s="49"/>
      <c r="H158" s="49"/>
      <c r="I158" s="49"/>
      <c r="J158" s="49"/>
      <c r="K158" s="49"/>
      <c r="L158" s="49"/>
      <c r="M158" s="49">
        <v>148.9</v>
      </c>
      <c r="N158" s="49">
        <v>180.6</v>
      </c>
      <c r="O158" s="49">
        <v>196.1</v>
      </c>
      <c r="P158" s="49">
        <v>227.1</v>
      </c>
      <c r="Q158" s="49">
        <f>Q160-SUM(Q155:Q157,Q159)</f>
        <v>262.7</v>
      </c>
      <c r="R158" s="49">
        <f>R160-SUM(R155:R157,R159)</f>
        <v>315.45799999999997</v>
      </c>
      <c r="S158" s="142">
        <f t="shared" si="49"/>
        <v>315.45799999999997</v>
      </c>
      <c r="T158" s="142">
        <f t="shared" si="49"/>
        <v>315.45799999999997</v>
      </c>
      <c r="U158" s="142">
        <f t="shared" si="49"/>
        <v>315.45799999999997</v>
      </c>
      <c r="V158" s="142">
        <f t="shared" si="49"/>
        <v>315.45799999999997</v>
      </c>
      <c r="W158" s="142">
        <f t="shared" si="49"/>
        <v>315.45799999999997</v>
      </c>
      <c r="X158" s="142">
        <f t="shared" si="49"/>
        <v>315.45799999999997</v>
      </c>
      <c r="Y158" s="142">
        <f t="shared" si="49"/>
        <v>315.45799999999997</v>
      </c>
      <c r="Z158" s="142">
        <f t="shared" si="49"/>
        <v>315.45799999999997</v>
      </c>
      <c r="AA158" s="142">
        <f t="shared" si="49"/>
        <v>315.45799999999997</v>
      </c>
      <c r="AB158" s="142">
        <f t="shared" si="49"/>
        <v>315.45799999999997</v>
      </c>
      <c r="AC158" s="1"/>
      <c r="AD158" s="1"/>
      <c r="AE158" s="95">
        <v>262.7</v>
      </c>
      <c r="AF158" s="96" t="e">
        <f t="shared" si="35"/>
        <v>#N/A</v>
      </c>
      <c r="AG158" s="95">
        <v>262.7</v>
      </c>
      <c r="AH158" s="96">
        <f t="shared" si="35"/>
        <v>52.757999999999981</v>
      </c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80" t="s">
        <v>300</v>
      </c>
      <c r="B159" s="92" t="s">
        <v>300</v>
      </c>
      <c r="C159" s="93" t="s">
        <v>75</v>
      </c>
      <c r="D159" s="51"/>
      <c r="E159" s="51"/>
      <c r="F159" s="51"/>
      <c r="G159" s="51"/>
      <c r="H159" s="51"/>
      <c r="I159" s="51"/>
      <c r="J159" s="51"/>
      <c r="K159" s="51"/>
      <c r="L159" s="51"/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49">
        <f t="shared" ref="S159:AB159" si="50">R159+S212</f>
        <v>0</v>
      </c>
      <c r="T159" s="49">
        <f t="shared" si="50"/>
        <v>0</v>
      </c>
      <c r="U159" s="49">
        <f t="shared" si="50"/>
        <v>0</v>
      </c>
      <c r="V159" s="49">
        <f t="shared" si="50"/>
        <v>0</v>
      </c>
      <c r="W159" s="49">
        <f t="shared" si="50"/>
        <v>0</v>
      </c>
      <c r="X159" s="49">
        <f t="shared" si="50"/>
        <v>0</v>
      </c>
      <c r="Y159" s="49">
        <f t="shared" si="50"/>
        <v>0</v>
      </c>
      <c r="Z159" s="49">
        <f t="shared" si="50"/>
        <v>0</v>
      </c>
      <c r="AA159" s="49">
        <f t="shared" si="50"/>
        <v>0</v>
      </c>
      <c r="AB159" s="49">
        <f t="shared" si="50"/>
        <v>0</v>
      </c>
      <c r="AC159" s="1"/>
      <c r="AD159" s="1"/>
      <c r="AE159" s="95">
        <v>0</v>
      </c>
      <c r="AF159" s="96" t="e">
        <f t="shared" si="35"/>
        <v>#N/A</v>
      </c>
      <c r="AG159" s="95">
        <v>0</v>
      </c>
      <c r="AH159" s="96">
        <f t="shared" si="35"/>
        <v>0</v>
      </c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80"/>
      <c r="B160" s="97" t="s">
        <v>301</v>
      </c>
      <c r="C160" s="5" t="s">
        <v>75</v>
      </c>
      <c r="D160" s="114"/>
      <c r="E160" s="114"/>
      <c r="F160" s="114"/>
      <c r="G160" s="114"/>
      <c r="H160" s="114"/>
      <c r="I160" s="114"/>
      <c r="J160" s="114"/>
      <c r="K160" s="114"/>
      <c r="L160" s="114"/>
      <c r="M160" s="114">
        <v>234</v>
      </c>
      <c r="N160" s="114">
        <v>264</v>
      </c>
      <c r="O160" s="114">
        <v>300.8</v>
      </c>
      <c r="P160" s="114">
        <v>330.7</v>
      </c>
      <c r="Q160" s="114">
        <v>379.3</v>
      </c>
      <c r="R160" s="114">
        <v>440.70299999999997</v>
      </c>
      <c r="S160" s="270">
        <f t="shared" ref="S160:AB160" si="51">SUM(S155:S159)</f>
        <v>444.24465612643286</v>
      </c>
      <c r="T160" s="270">
        <f t="shared" si="51"/>
        <v>450.87764516849279</v>
      </c>
      <c r="U160" s="270">
        <f t="shared" si="51"/>
        <v>459.74497281330486</v>
      </c>
      <c r="V160" s="270">
        <f t="shared" si="51"/>
        <v>470.95727027879036</v>
      </c>
      <c r="W160" s="270">
        <f t="shared" si="51"/>
        <v>484.49037381282699</v>
      </c>
      <c r="X160" s="270">
        <f t="shared" si="51"/>
        <v>501.0211611805687</v>
      </c>
      <c r="Y160" s="270">
        <f t="shared" si="51"/>
        <v>521.22242738457498</v>
      </c>
      <c r="Z160" s="270">
        <f t="shared" si="51"/>
        <v>545.92560504631979</v>
      </c>
      <c r="AA160" s="270">
        <f t="shared" si="51"/>
        <v>576.15988309005832</v>
      </c>
      <c r="AB160" s="270">
        <f t="shared" si="51"/>
        <v>613.20141129599403</v>
      </c>
      <c r="AC160" s="1"/>
      <c r="AD160" s="1"/>
      <c r="AE160" s="145">
        <v>384.82071403210574</v>
      </c>
      <c r="AF160" s="146" t="e">
        <f t="shared" si="35"/>
        <v>#N/A</v>
      </c>
      <c r="AG160" s="145">
        <v>391.04206469843342</v>
      </c>
      <c r="AH160" s="146">
        <f t="shared" si="35"/>
        <v>53.202591427999437</v>
      </c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80"/>
      <c r="B161" s="92" t="s">
        <v>302</v>
      </c>
      <c r="C161" s="93" t="s">
        <v>6</v>
      </c>
      <c r="D161" s="2"/>
      <c r="E161" s="2"/>
      <c r="F161" s="2"/>
      <c r="G161" s="2"/>
      <c r="H161" s="2"/>
      <c r="I161" s="2"/>
      <c r="J161" s="2"/>
      <c r="K161" s="2"/>
      <c r="L161" s="2"/>
      <c r="M161" s="101">
        <v>0.124</v>
      </c>
      <c r="N161" s="101">
        <v>0.114</v>
      </c>
      <c r="O161" s="101">
        <v>0.13200000000000001</v>
      </c>
      <c r="P161" s="101">
        <v>0.113</v>
      </c>
      <c r="Q161" s="253">
        <f>Q155/Q$27</f>
        <v>6.4415987582460227E-2</v>
      </c>
      <c r="R161" s="253">
        <f>R155/R$27</f>
        <v>6.7067413299061671E-2</v>
      </c>
      <c r="S161" s="163">
        <v>6.4000000000000001E-2</v>
      </c>
      <c r="T161" s="163">
        <v>6.4000000000000001E-2</v>
      </c>
      <c r="U161" s="163">
        <v>6.4000000000000001E-2</v>
      </c>
      <c r="V161" s="163">
        <v>6.4000000000000001E-2</v>
      </c>
      <c r="W161" s="163">
        <v>6.4000000000000001E-2</v>
      </c>
      <c r="X161" s="163">
        <v>6.4000000000000001E-2</v>
      </c>
      <c r="Y161" s="163">
        <v>6.4000000000000001E-2</v>
      </c>
      <c r="Z161" s="163">
        <v>6.4000000000000001E-2</v>
      </c>
      <c r="AA161" s="163">
        <v>6.4000000000000001E-2</v>
      </c>
      <c r="AB161" s="163">
        <v>6.4000000000000001E-2</v>
      </c>
      <c r="AC161" s="1"/>
      <c r="AD161" s="1"/>
      <c r="AE161" s="119">
        <v>6.4000000000000001E-2</v>
      </c>
      <c r="AF161" s="120" t="e">
        <f t="shared" si="35"/>
        <v>#N/A</v>
      </c>
      <c r="AG161" s="119">
        <v>6.4000000000000001E-2</v>
      </c>
      <c r="AH161" s="120">
        <f t="shared" si="35"/>
        <v>0</v>
      </c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80" t="s">
        <v>53</v>
      </c>
      <c r="B162" s="92" t="s">
        <v>53</v>
      </c>
      <c r="C162" s="93" t="s">
        <v>75</v>
      </c>
      <c r="D162" s="2"/>
      <c r="E162" s="2"/>
      <c r="F162" s="2"/>
      <c r="G162" s="2"/>
      <c r="H162" s="2"/>
      <c r="I162" s="2"/>
      <c r="J162" s="2"/>
      <c r="K162" s="2"/>
      <c r="L162" s="2"/>
      <c r="M162" s="2">
        <v>-125</v>
      </c>
      <c r="N162" s="2">
        <v>-143</v>
      </c>
      <c r="O162" s="2">
        <v>-176</v>
      </c>
      <c r="P162" s="2">
        <v>-223</v>
      </c>
      <c r="Q162" s="2">
        <f>Q159-Q140</f>
        <v>-278.7</v>
      </c>
      <c r="R162" s="2">
        <f>R159-R140</f>
        <v>-319.64100000000002</v>
      </c>
      <c r="S162" s="2">
        <f t="shared" ref="R162:AB162" si="52">S159-S140</f>
        <v>-347.18796078780326</v>
      </c>
      <c r="T162" s="2">
        <f t="shared" si="52"/>
        <v>-417.99952759265898</v>
      </c>
      <c r="U162" s="2">
        <f t="shared" si="52"/>
        <v>-496.79720631500891</v>
      </c>
      <c r="V162" s="2">
        <f t="shared" si="52"/>
        <v>-503.7914357447562</v>
      </c>
      <c r="W162" s="2">
        <f t="shared" si="52"/>
        <v>-511.43376278215123</v>
      </c>
      <c r="X162" s="2">
        <f t="shared" si="52"/>
        <v>-519.86147126921287</v>
      </c>
      <c r="Y162" s="2">
        <f t="shared" si="52"/>
        <v>-530.68774510144408</v>
      </c>
      <c r="Z162" s="2">
        <f t="shared" si="52"/>
        <v>-546.8191988706609</v>
      </c>
      <c r="AA162" s="2">
        <f t="shared" si="52"/>
        <v>-570.7405895732436</v>
      </c>
      <c r="AB162" s="2">
        <f t="shared" si="52"/>
        <v>-437.34764528670291</v>
      </c>
      <c r="AC162" s="1"/>
      <c r="AD162" s="1"/>
      <c r="AE162" s="88">
        <v>-318.88902060345004</v>
      </c>
      <c r="AF162" s="89" t="e">
        <f t="shared" si="35"/>
        <v>#N/A</v>
      </c>
      <c r="AG162" s="88">
        <v>-372.76733536162686</v>
      </c>
      <c r="AH162" s="89">
        <f t="shared" si="35"/>
        <v>25.5793745738236</v>
      </c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80"/>
      <c r="B163" s="92" t="s">
        <v>303</v>
      </c>
      <c r="C163" s="93"/>
      <c r="D163" s="2"/>
      <c r="E163" s="49"/>
      <c r="F163" s="49"/>
      <c r="G163" s="2"/>
      <c r="H163" s="2"/>
      <c r="I163" s="2"/>
      <c r="J163" s="2"/>
      <c r="K163" s="49"/>
      <c r="L163" s="49"/>
      <c r="M163" s="49">
        <v>-125</v>
      </c>
      <c r="N163" s="49">
        <v>-143</v>
      </c>
      <c r="O163" s="49">
        <v>-176</v>
      </c>
      <c r="P163" s="49">
        <v>-223</v>
      </c>
      <c r="Q163" s="49">
        <f>Q162</f>
        <v>-278.7</v>
      </c>
      <c r="R163" s="49">
        <f>R162</f>
        <v>-319.64100000000002</v>
      </c>
      <c r="S163" s="49">
        <f t="shared" ref="R163:AB163" si="53">S162</f>
        <v>-347.18796078780326</v>
      </c>
      <c r="T163" s="49">
        <f t="shared" si="53"/>
        <v>-417.99952759265898</v>
      </c>
      <c r="U163" s="49">
        <f t="shared" si="53"/>
        <v>-496.79720631500891</v>
      </c>
      <c r="V163" s="49">
        <f t="shared" si="53"/>
        <v>-503.7914357447562</v>
      </c>
      <c r="W163" s="49">
        <f t="shared" si="53"/>
        <v>-511.43376278215123</v>
      </c>
      <c r="X163" s="49">
        <f t="shared" si="53"/>
        <v>-519.86147126921287</v>
      </c>
      <c r="Y163" s="49">
        <f t="shared" si="53"/>
        <v>-530.68774510144408</v>
      </c>
      <c r="Z163" s="49">
        <f t="shared" si="53"/>
        <v>-546.8191988706609</v>
      </c>
      <c r="AA163" s="49">
        <f t="shared" si="53"/>
        <v>-570.7405895732436</v>
      </c>
      <c r="AB163" s="49">
        <f t="shared" si="53"/>
        <v>-437.34764528670291</v>
      </c>
      <c r="AC163" s="1"/>
      <c r="AD163" s="1"/>
      <c r="AE163" s="95">
        <v>-318.88902060345004</v>
      </c>
      <c r="AF163" s="96" t="e">
        <f t="shared" si="35"/>
        <v>#N/A</v>
      </c>
      <c r="AG163" s="95">
        <v>-372.76733536162686</v>
      </c>
      <c r="AH163" s="96">
        <f t="shared" si="35"/>
        <v>25.5793745738236</v>
      </c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80"/>
      <c r="B164" s="164" t="s">
        <v>304</v>
      </c>
      <c r="C164" s="115" t="s">
        <v>9</v>
      </c>
      <c r="D164" s="72"/>
      <c r="E164" s="72"/>
      <c r="F164" s="72"/>
      <c r="G164" s="72"/>
      <c r="H164" s="72"/>
      <c r="I164" s="72"/>
      <c r="J164" s="72"/>
      <c r="K164" s="72"/>
      <c r="L164" s="72"/>
      <c r="M164" s="72">
        <v>-1.22</v>
      </c>
      <c r="N164" s="72">
        <v>-1.1399999999999999</v>
      </c>
      <c r="O164" s="72">
        <v>-1.1599999999999999</v>
      </c>
      <c r="P164" s="72">
        <v>-1.23</v>
      </c>
      <c r="Q164" s="260">
        <f>Q163/P50</f>
        <v>-1.5372311086596799</v>
      </c>
      <c r="R164" s="260">
        <f>R163/Q50</f>
        <v>-1.4811909175162188</v>
      </c>
      <c r="S164" s="260">
        <f t="shared" ref="R164:AB164" si="54">S163/R50</f>
        <v>-1.3577941368314559</v>
      </c>
      <c r="T164" s="260">
        <f t="shared" si="54"/>
        <v>-1.4023694182487092</v>
      </c>
      <c r="U164" s="260">
        <f t="shared" si="54"/>
        <v>-1.4170364843792378</v>
      </c>
      <c r="V164" s="260">
        <f t="shared" si="54"/>
        <v>-1.1968761735856877</v>
      </c>
      <c r="W164" s="260">
        <f t="shared" si="54"/>
        <v>-1.012428717754198</v>
      </c>
      <c r="X164" s="260">
        <f t="shared" si="54"/>
        <v>-0.8552775610319272</v>
      </c>
      <c r="Y164" s="260">
        <f t="shared" si="54"/>
        <v>-0.72265362961852764</v>
      </c>
      <c r="Z164" s="260">
        <f t="shared" si="54"/>
        <v>-0.61413686356106123</v>
      </c>
      <c r="AA164" s="260">
        <f t="shared" si="54"/>
        <v>-0.52703411027931957</v>
      </c>
      <c r="AB164" s="260">
        <f t="shared" si="54"/>
        <v>-0.33113607180910154</v>
      </c>
      <c r="AC164" s="1"/>
      <c r="AD164" s="1"/>
      <c r="AE164" s="156">
        <v>-1.4777063049279426</v>
      </c>
      <c r="AF164" s="157" t="e">
        <f t="shared" si="35"/>
        <v>#N/A</v>
      </c>
      <c r="AG164" s="156">
        <v>-1.4505921955112557</v>
      </c>
      <c r="AH164" s="157">
        <f t="shared" si="35"/>
        <v>9.2798058679799844E-2</v>
      </c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284"/>
      <c r="B165" s="285"/>
      <c r="C165" s="115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1"/>
      <c r="AD165" s="1"/>
      <c r="AE165" s="156"/>
      <c r="AF165" s="157" t="str">
        <f t="shared" si="35"/>
        <v/>
      </c>
      <c r="AG165" s="156"/>
      <c r="AH165" s="157" t="str">
        <f t="shared" si="35"/>
        <v/>
      </c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80"/>
      <c r="B166" s="92" t="s">
        <v>305</v>
      </c>
      <c r="C166" s="93" t="s">
        <v>9</v>
      </c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1"/>
      <c r="AD166" s="1"/>
      <c r="AE166" s="140"/>
      <c r="AF166" s="141" t="str">
        <f t="shared" si="35"/>
        <v/>
      </c>
      <c r="AG166" s="140"/>
      <c r="AH166" s="141" t="str">
        <f t="shared" si="35"/>
        <v/>
      </c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80"/>
      <c r="B167" s="92" t="s">
        <v>306</v>
      </c>
      <c r="C167" s="93" t="s">
        <v>6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1"/>
      <c r="AD167" s="1"/>
      <c r="AE167" s="102"/>
      <c r="AF167" s="103" t="str">
        <f t="shared" si="35"/>
        <v/>
      </c>
      <c r="AG167" s="102"/>
      <c r="AH167" s="103" t="str">
        <f t="shared" si="35"/>
        <v/>
      </c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284"/>
      <c r="B168" s="285"/>
      <c r="C168" s="9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74"/>
      <c r="AF168" s="75" t="str">
        <f t="shared" si="35"/>
        <v/>
      </c>
      <c r="AG168" s="74"/>
      <c r="AH168" s="75" t="str">
        <f t="shared" si="35"/>
        <v/>
      </c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80"/>
      <c r="B169" s="90" t="s">
        <v>307</v>
      </c>
      <c r="C169" s="132"/>
      <c r="D169" s="1"/>
      <c r="E169" s="51"/>
      <c r="F169" s="51"/>
      <c r="G169" s="1"/>
      <c r="H169" s="1"/>
      <c r="I169" s="1"/>
      <c r="J169" s="1"/>
      <c r="K169" s="1"/>
      <c r="L169" s="1"/>
      <c r="M169" s="1"/>
      <c r="N169" s="1"/>
      <c r="O169" s="51"/>
      <c r="P169" s="51"/>
      <c r="Q169" s="51"/>
      <c r="R169" s="5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74"/>
      <c r="AF169" s="75" t="str">
        <f t="shared" si="35"/>
        <v/>
      </c>
      <c r="AG169" s="74"/>
      <c r="AH169" s="75" t="str">
        <f t="shared" si="35"/>
        <v/>
      </c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80"/>
      <c r="B170" s="92" t="s">
        <v>308</v>
      </c>
      <c r="C170" s="93" t="s">
        <v>75</v>
      </c>
      <c r="D170" s="51"/>
      <c r="E170" s="51"/>
      <c r="F170" s="51"/>
      <c r="G170" s="51"/>
      <c r="H170" s="51"/>
      <c r="I170" s="51"/>
      <c r="J170" s="51"/>
      <c r="K170" s="51"/>
      <c r="L170" s="51"/>
      <c r="M170" s="51">
        <v>41</v>
      </c>
      <c r="N170" s="51">
        <v>52</v>
      </c>
      <c r="O170" s="51">
        <v>57.6</v>
      </c>
      <c r="P170" s="51">
        <v>67.5</v>
      </c>
      <c r="Q170" s="51">
        <v>77.3</v>
      </c>
      <c r="R170" s="51">
        <v>59.43</v>
      </c>
      <c r="S170" s="251">
        <f t="shared" ref="S170:AB170" si="55">R170+S210</f>
        <v>59.43</v>
      </c>
      <c r="T170" s="251">
        <f t="shared" si="55"/>
        <v>59.43</v>
      </c>
      <c r="U170" s="251">
        <f t="shared" si="55"/>
        <v>59.43</v>
      </c>
      <c r="V170" s="251">
        <f t="shared" si="55"/>
        <v>-20.57</v>
      </c>
      <c r="W170" s="251">
        <f t="shared" si="55"/>
        <v>-112.57</v>
      </c>
      <c r="X170" s="251">
        <f t="shared" si="55"/>
        <v>-218.57</v>
      </c>
      <c r="Y170" s="251">
        <f t="shared" si="55"/>
        <v>-340.57</v>
      </c>
      <c r="Z170" s="251">
        <f t="shared" si="55"/>
        <v>-480.57</v>
      </c>
      <c r="AA170" s="251">
        <f t="shared" si="55"/>
        <v>-641.56999999999994</v>
      </c>
      <c r="AB170" s="251">
        <f t="shared" si="55"/>
        <v>-826.56999999999994</v>
      </c>
      <c r="AC170" s="1"/>
      <c r="AD170" s="1"/>
      <c r="AE170" s="95">
        <v>77.3</v>
      </c>
      <c r="AF170" s="96" t="e">
        <f t="shared" si="35"/>
        <v>#N/A</v>
      </c>
      <c r="AG170" s="95">
        <v>77.3</v>
      </c>
      <c r="AH170" s="96">
        <f t="shared" si="35"/>
        <v>-17.869999999999997</v>
      </c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80"/>
      <c r="B171" s="92" t="s">
        <v>309</v>
      </c>
      <c r="C171" s="93" t="s">
        <v>75</v>
      </c>
      <c r="D171" s="51"/>
      <c r="E171" s="51"/>
      <c r="F171" s="51"/>
      <c r="G171" s="51"/>
      <c r="H171" s="51"/>
      <c r="I171" s="51"/>
      <c r="J171" s="51"/>
      <c r="K171" s="51"/>
      <c r="L171" s="51"/>
      <c r="M171" s="51">
        <v>38</v>
      </c>
      <c r="N171" s="51">
        <v>66</v>
      </c>
      <c r="O171" s="51">
        <v>99.6</v>
      </c>
      <c r="P171" s="51">
        <v>138.9</v>
      </c>
      <c r="Q171" s="51">
        <v>183.8</v>
      </c>
      <c r="R171" s="51">
        <v>201.50200000000001</v>
      </c>
      <c r="S171" s="251">
        <f t="shared" ref="S171:AB171" si="56">R171+S91+S209</f>
        <v>263.88954828153345</v>
      </c>
      <c r="T171" s="251">
        <f t="shared" si="56"/>
        <v>338.72787286069206</v>
      </c>
      <c r="U171" s="251">
        <f t="shared" si="56"/>
        <v>430.37389348140067</v>
      </c>
      <c r="V171" s="251">
        <f t="shared" si="56"/>
        <v>541.83671013389869</v>
      </c>
      <c r="W171" s="251">
        <f t="shared" si="56"/>
        <v>676.42154201669655</v>
      </c>
      <c r="X171" s="251">
        <f t="shared" si="56"/>
        <v>839.52345868376915</v>
      </c>
      <c r="Y171" s="251">
        <f t="shared" si="56"/>
        <v>1037.875898352286</v>
      </c>
      <c r="Z171" s="251">
        <f t="shared" si="56"/>
        <v>1279.8531520011779</v>
      </c>
      <c r="AA171" s="251">
        <f t="shared" si="56"/>
        <v>1575.9643023867925</v>
      </c>
      <c r="AB171" s="251">
        <f t="shared" si="56"/>
        <v>1769.9830187610853</v>
      </c>
      <c r="AC171" s="1"/>
      <c r="AD171" s="1"/>
      <c r="AE171" s="95">
        <v>238.18269323001357</v>
      </c>
      <c r="AF171" s="96" t="e">
        <f t="shared" si="35"/>
        <v>#N/A</v>
      </c>
      <c r="AG171" s="95">
        <v>304.09653154803539</v>
      </c>
      <c r="AH171" s="96">
        <f t="shared" si="35"/>
        <v>-40.206983266501936</v>
      </c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80"/>
      <c r="B172" s="92" t="s">
        <v>310</v>
      </c>
      <c r="C172" s="93" t="s">
        <v>75</v>
      </c>
      <c r="D172" s="51"/>
      <c r="E172" s="51"/>
      <c r="F172" s="51"/>
      <c r="G172" s="51"/>
      <c r="H172" s="51"/>
      <c r="I172" s="51"/>
      <c r="J172" s="51"/>
      <c r="K172" s="51"/>
      <c r="L172" s="51"/>
      <c r="M172" s="51">
        <v>64</v>
      </c>
      <c r="N172" s="51">
        <v>73</v>
      </c>
      <c r="O172" s="51">
        <v>81.900000000000006</v>
      </c>
      <c r="P172" s="51">
        <v>99.6</v>
      </c>
      <c r="Q172" s="51">
        <v>118.1</v>
      </c>
      <c r="R172" s="51">
        <v>189.767</v>
      </c>
      <c r="S172" s="251">
        <f t="shared" ref="S172:AB172" si="57">S147-S160-SUM(S170:S171,S173)</f>
        <v>225.73250555786774</v>
      </c>
      <c r="T172" s="251">
        <f t="shared" si="57"/>
        <v>262.99326742942986</v>
      </c>
      <c r="U172" s="251">
        <f t="shared" si="57"/>
        <v>300.33735226365923</v>
      </c>
      <c r="V172" s="251">
        <f t="shared" si="57"/>
        <v>336.38066897561851</v>
      </c>
      <c r="W172" s="251">
        <f t="shared" si="57"/>
        <v>373.08374903758829</v>
      </c>
      <c r="X172" s="251">
        <f t="shared" si="57"/>
        <v>409.78918137210212</v>
      </c>
      <c r="Y172" s="251">
        <f t="shared" si="57"/>
        <v>446.31100541701949</v>
      </c>
      <c r="Z172" s="251">
        <f t="shared" si="57"/>
        <v>482.83213490477601</v>
      </c>
      <c r="AA172" s="251">
        <f t="shared" si="57"/>
        <v>518.86907002069415</v>
      </c>
      <c r="AB172" s="251">
        <f t="shared" si="57"/>
        <v>554.19458157653389</v>
      </c>
      <c r="AC172" s="1"/>
      <c r="AD172" s="1"/>
      <c r="AE172" s="95">
        <v>140.36034528552466</v>
      </c>
      <c r="AF172" s="96" t="e">
        <f t="shared" si="35"/>
        <v>#N/A</v>
      </c>
      <c r="AG172" s="95">
        <v>170.0767728896065</v>
      </c>
      <c r="AH172" s="96">
        <f t="shared" si="35"/>
        <v>55.655732668261237</v>
      </c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80"/>
      <c r="B173" s="92" t="s">
        <v>311</v>
      </c>
      <c r="C173" s="93" t="s">
        <v>75</v>
      </c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271">
        <v>0</v>
      </c>
      <c r="T173" s="271">
        <v>0</v>
      </c>
      <c r="U173" s="271">
        <v>0</v>
      </c>
      <c r="V173" s="271">
        <v>0</v>
      </c>
      <c r="W173" s="271">
        <v>0</v>
      </c>
      <c r="X173" s="271">
        <v>0</v>
      </c>
      <c r="Y173" s="271">
        <v>0</v>
      </c>
      <c r="Z173" s="271">
        <v>0</v>
      </c>
      <c r="AA173" s="271">
        <v>0</v>
      </c>
      <c r="AB173" s="271">
        <v>0</v>
      </c>
      <c r="AC173" s="1"/>
      <c r="AD173" s="1"/>
      <c r="AE173" s="95">
        <v>0</v>
      </c>
      <c r="AF173" s="96" t="e">
        <f t="shared" si="35"/>
        <v>#N/A</v>
      </c>
      <c r="AG173" s="95">
        <v>0</v>
      </c>
      <c r="AH173" s="96">
        <f t="shared" si="35"/>
        <v>0</v>
      </c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80"/>
      <c r="B174" s="97" t="s">
        <v>312</v>
      </c>
      <c r="C174" s="5" t="s">
        <v>75</v>
      </c>
      <c r="D174" s="144"/>
      <c r="E174" s="114">
        <v>74</v>
      </c>
      <c r="F174" s="114">
        <v>87.74</v>
      </c>
      <c r="G174" s="114">
        <v>104.5</v>
      </c>
      <c r="H174" s="114">
        <v>117.94</v>
      </c>
      <c r="I174" s="114">
        <v>138.49</v>
      </c>
      <c r="J174" s="114">
        <v>157.52000000000001</v>
      </c>
      <c r="K174" s="114">
        <v>103.48</v>
      </c>
      <c r="L174" s="114">
        <v>106.86</v>
      </c>
      <c r="M174" s="144">
        <v>142.19999999999999</v>
      </c>
      <c r="N174" s="144">
        <v>190.2</v>
      </c>
      <c r="O174" s="144">
        <v>239.1</v>
      </c>
      <c r="P174" s="144">
        <v>306</v>
      </c>
      <c r="Q174" s="144">
        <f>SUM(Q170:Q173)</f>
        <v>379.20000000000005</v>
      </c>
      <c r="R174" s="144">
        <f>SUM(R170:R173)</f>
        <v>450.69900000000001</v>
      </c>
      <c r="S174" s="272">
        <f t="shared" ref="R174:AB174" si="58">SUM(S170:S173)</f>
        <v>549.0520538394012</v>
      </c>
      <c r="T174" s="272">
        <f t="shared" si="58"/>
        <v>661.15114029012193</v>
      </c>
      <c r="U174" s="272">
        <f t="shared" si="58"/>
        <v>790.1412457450599</v>
      </c>
      <c r="V174" s="272">
        <f t="shared" si="58"/>
        <v>857.64737910951715</v>
      </c>
      <c r="W174" s="272">
        <f t="shared" si="58"/>
        <v>936.9352910542849</v>
      </c>
      <c r="X174" s="272">
        <f t="shared" si="58"/>
        <v>1030.7426400558713</v>
      </c>
      <c r="Y174" s="272">
        <f t="shared" si="58"/>
        <v>1143.6169037693055</v>
      </c>
      <c r="Z174" s="272">
        <f t="shared" si="58"/>
        <v>1282.115286905954</v>
      </c>
      <c r="AA174" s="272">
        <f t="shared" si="58"/>
        <v>1453.2633724074867</v>
      </c>
      <c r="AB174" s="272">
        <f t="shared" si="58"/>
        <v>1497.6076003376193</v>
      </c>
      <c r="AC174" s="1"/>
      <c r="AD174" s="1"/>
      <c r="AE174" s="145">
        <v>455.84303851553824</v>
      </c>
      <c r="AF174" s="146" t="e">
        <f t="shared" si="35"/>
        <v>#N/A</v>
      </c>
      <c r="AG174" s="145">
        <v>551.4733044376419</v>
      </c>
      <c r="AH174" s="146">
        <f t="shared" si="35"/>
        <v>-2.4212505982407038</v>
      </c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80"/>
      <c r="B175" s="92" t="s">
        <v>15</v>
      </c>
      <c r="C175" s="93" t="s">
        <v>6</v>
      </c>
      <c r="D175" s="2"/>
      <c r="E175" s="101">
        <v>0.251</v>
      </c>
      <c r="F175" s="101">
        <v>0.26200000000000001</v>
      </c>
      <c r="G175" s="101">
        <v>0.26800000000000002</v>
      </c>
      <c r="H175" s="101">
        <v>0.28699999999999998</v>
      </c>
      <c r="I175" s="101">
        <v>0.29099999999999998</v>
      </c>
      <c r="J175" s="101">
        <v>0.28299999999999997</v>
      </c>
      <c r="K175" s="101">
        <v>0.49299999999999999</v>
      </c>
      <c r="L175" s="101">
        <v>0.54700000000000004</v>
      </c>
      <c r="M175" s="101">
        <v>0.443</v>
      </c>
      <c r="N175" s="101">
        <v>0.38200000000000001</v>
      </c>
      <c r="O175" s="101">
        <v>0.372</v>
      </c>
      <c r="P175" s="101">
        <v>0.33600000000000002</v>
      </c>
      <c r="Q175" s="253">
        <f>Q$91/Q174</f>
        <v>0.31118143459915598</v>
      </c>
      <c r="R175" s="253">
        <f>R$91/R174</f>
        <v>0.30540338452048926</v>
      </c>
      <c r="S175" s="253">
        <f t="shared" ref="R175:AB175" si="59">S$91/S174</f>
        <v>0.29620606029114849</v>
      </c>
      <c r="T175" s="253">
        <f t="shared" si="59"/>
        <v>0.295075292491421</v>
      </c>
      <c r="U175" s="253">
        <f t="shared" si="59"/>
        <v>0.30235588123997986</v>
      </c>
      <c r="V175" s="253">
        <f t="shared" si="59"/>
        <v>0.338763175032195</v>
      </c>
      <c r="W175" s="253">
        <f t="shared" si="59"/>
        <v>0.37441588353286531</v>
      </c>
      <c r="X175" s="253">
        <f t="shared" si="59"/>
        <v>0.41242334198988939</v>
      </c>
      <c r="Y175" s="253">
        <f t="shared" si="59"/>
        <v>0.45199164327342917</v>
      </c>
      <c r="Z175" s="253">
        <f t="shared" si="59"/>
        <v>0.49178454388457926</v>
      </c>
      <c r="AA175" s="253">
        <f t="shared" si="59"/>
        <v>0.53086442466792538</v>
      </c>
      <c r="AB175" s="253">
        <f t="shared" si="59"/>
        <v>0.63195960106965998</v>
      </c>
      <c r="AC175" s="1"/>
      <c r="AD175" s="1"/>
      <c r="AE175" s="119">
        <v>0.31099608803304107</v>
      </c>
      <c r="AF175" s="120" t="e">
        <f t="shared" si="35"/>
        <v>#N/A</v>
      </c>
      <c r="AG175" s="119">
        <v>0.31157431549137576</v>
      </c>
      <c r="AH175" s="120">
        <f t="shared" si="35"/>
        <v>-1.5368255200227277E-2</v>
      </c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80"/>
      <c r="B176" s="92" t="s">
        <v>313</v>
      </c>
      <c r="C176" s="115" t="s">
        <v>9</v>
      </c>
      <c r="D176" s="2"/>
      <c r="E176" s="2"/>
      <c r="F176" s="2"/>
      <c r="G176" s="2"/>
      <c r="H176" s="2"/>
      <c r="I176" s="2"/>
      <c r="J176" s="2"/>
      <c r="K176" s="2"/>
      <c r="L176" s="2"/>
      <c r="M176" s="2">
        <v>85.17</v>
      </c>
      <c r="N176" s="2">
        <v>64.14</v>
      </c>
      <c r="O176" s="2">
        <v>51.33</v>
      </c>
      <c r="P176" s="2">
        <v>40.29</v>
      </c>
      <c r="Q176" s="262">
        <f>Value!$D$4/(Q174/Q96)</f>
        <v>23.389704641350207</v>
      </c>
      <c r="R176" s="262">
        <f>Value!$D$4/(R174/R96)</f>
        <v>19.756920506147114</v>
      </c>
      <c r="S176" s="262">
        <f>Value!$D$4/(S174/S96)</f>
        <v>16.21781441838402</v>
      </c>
      <c r="T176" s="262">
        <f>Value!$D$4/(T174/T96)</f>
        <v>13.468061646679788</v>
      </c>
      <c r="U176" s="262">
        <f>Value!$D$4/(U174/U96)</f>
        <v>11.269408302820105</v>
      </c>
      <c r="V176" s="262">
        <f>Value!$D$4/(V174/V96)</f>
        <v>10.289105441402119</v>
      </c>
      <c r="W176" s="262">
        <f>Value!$D$4/(W174/W96)</f>
        <v>9.3202000165602197</v>
      </c>
      <c r="X176" s="262">
        <f>Value!$D$4/(X174/X96)</f>
        <v>8.3691350100083231</v>
      </c>
      <c r="Y176" s="262">
        <f>Value!$D$4/(Y174/Y96)</f>
        <v>7.4364276071557116</v>
      </c>
      <c r="Z176" s="262">
        <f>Value!$D$4/(Z174/Z96)</f>
        <v>6.5239252668028982</v>
      </c>
      <c r="AA176" s="262">
        <f>Value!$D$4/(AA174/AA96)</f>
        <v>5.6448297472812152</v>
      </c>
      <c r="AB176" s="262">
        <f>Value!$D$4/(AB174/AB96)</f>
        <v>5.3541557303744538</v>
      </c>
      <c r="AC176" s="1"/>
      <c r="AD176" s="1"/>
      <c r="AE176" s="88">
        <v>27.182689989851909</v>
      </c>
      <c r="AF176" s="89" t="e">
        <f t="shared" si="35"/>
        <v>#N/A</v>
      </c>
      <c r="AG176" s="88">
        <v>22.46897519841982</v>
      </c>
      <c r="AH176" s="89">
        <f t="shared" si="35"/>
        <v>-6.2511607800358</v>
      </c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284"/>
      <c r="B177" s="285"/>
      <c r="C177" s="9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74"/>
      <c r="AF177" s="75" t="str">
        <f t="shared" si="35"/>
        <v/>
      </c>
      <c r="AG177" s="74"/>
      <c r="AH177" s="75" t="str">
        <f t="shared" si="35"/>
        <v/>
      </c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80"/>
      <c r="B178" s="84" t="s">
        <v>314</v>
      </c>
      <c r="C178" s="160"/>
      <c r="D178" s="165"/>
      <c r="E178" s="165"/>
      <c r="F178" s="165"/>
      <c r="G178" s="165"/>
      <c r="H178" s="165"/>
      <c r="I178" s="165"/>
      <c r="J178" s="165">
        <v>2017</v>
      </c>
      <c r="K178" s="165">
        <v>2018</v>
      </c>
      <c r="L178" s="165">
        <v>2019</v>
      </c>
      <c r="M178" s="165">
        <v>2020</v>
      </c>
      <c r="N178" s="165">
        <v>2021</v>
      </c>
      <c r="O178" s="165">
        <v>2022</v>
      </c>
      <c r="P178" s="165">
        <v>2023</v>
      </c>
      <c r="Q178" s="165">
        <v>2024</v>
      </c>
      <c r="R178" s="165">
        <v>2024</v>
      </c>
      <c r="S178" s="165">
        <v>2026</v>
      </c>
      <c r="T178" s="165">
        <v>2027</v>
      </c>
      <c r="U178" s="165">
        <v>2028</v>
      </c>
      <c r="V178" s="165">
        <v>2029</v>
      </c>
      <c r="W178" s="165">
        <v>2030</v>
      </c>
      <c r="X178" s="165">
        <v>2031</v>
      </c>
      <c r="Y178" s="165">
        <v>2032</v>
      </c>
      <c r="Z178" s="165">
        <v>2033</v>
      </c>
      <c r="AA178" s="165">
        <v>2034</v>
      </c>
      <c r="AB178" s="165">
        <v>2035</v>
      </c>
      <c r="AC178" s="1"/>
      <c r="AD178" s="1"/>
      <c r="AE178" s="140">
        <v>2025</v>
      </c>
      <c r="AF178" s="141" t="e">
        <f t="shared" si="35"/>
        <v>#N/A</v>
      </c>
      <c r="AG178" s="140">
        <v>2026</v>
      </c>
      <c r="AH178" s="141">
        <f t="shared" si="35"/>
        <v>0</v>
      </c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80"/>
      <c r="B179" s="90" t="s">
        <v>315</v>
      </c>
      <c r="C179" s="13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>
        <v>0.18373783699999999</v>
      </c>
      <c r="V179" s="1"/>
      <c r="W179" s="1"/>
      <c r="X179" s="1"/>
      <c r="Y179" s="1"/>
      <c r="Z179" s="1"/>
      <c r="AA179" s="1"/>
      <c r="AB179" s="1"/>
      <c r="AC179" s="1"/>
      <c r="AD179" s="1"/>
      <c r="AE179" s="74"/>
      <c r="AF179" s="75" t="str">
        <f t="shared" si="35"/>
        <v/>
      </c>
      <c r="AG179" s="74"/>
      <c r="AH179" s="75" t="str">
        <f t="shared" si="35"/>
        <v/>
      </c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80"/>
      <c r="B180" s="92" t="s">
        <v>316</v>
      </c>
      <c r="C180" s="132"/>
      <c r="D180" s="1"/>
      <c r="E180" s="51"/>
      <c r="F180" s="51"/>
      <c r="G180" s="51"/>
      <c r="H180" s="51"/>
      <c r="I180" s="51"/>
      <c r="J180" s="51"/>
      <c r="K180" s="51">
        <v>300.10000000000002</v>
      </c>
      <c r="L180" s="51">
        <v>310.89999999999998</v>
      </c>
      <c r="M180" s="51">
        <v>340.4</v>
      </c>
      <c r="N180" s="51">
        <v>341.8</v>
      </c>
      <c r="O180" s="51">
        <v>413.9</v>
      </c>
      <c r="P180" s="51">
        <v>501.2</v>
      </c>
      <c r="Q180" s="51">
        <v>591.9</v>
      </c>
      <c r="R180" s="51">
        <v>716.15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74"/>
      <c r="AF180" s="75" t="str">
        <f t="shared" si="35"/>
        <v/>
      </c>
      <c r="AG180" s="74"/>
      <c r="AH180" s="75" t="str">
        <f t="shared" si="35"/>
        <v/>
      </c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80"/>
      <c r="B181" s="92" t="s">
        <v>317</v>
      </c>
      <c r="C181" s="132"/>
      <c r="D181" s="1"/>
      <c r="E181" s="51"/>
      <c r="F181" s="51"/>
      <c r="G181" s="51"/>
      <c r="H181" s="51"/>
      <c r="I181" s="51"/>
      <c r="J181" s="51"/>
      <c r="K181" s="51">
        <v>-237.3</v>
      </c>
      <c r="L181" s="51">
        <v>-223.1</v>
      </c>
      <c r="M181" s="51">
        <v>-222</v>
      </c>
      <c r="N181" s="51">
        <v>-217.8</v>
      </c>
      <c r="O181" s="51">
        <v>-251.4</v>
      </c>
      <c r="P181" s="51">
        <v>-292.60000000000002</v>
      </c>
      <c r="Q181" s="51">
        <v>-352.8</v>
      </c>
      <c r="R181" s="51">
        <v>-386.57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74"/>
      <c r="AF181" s="75" t="str">
        <f t="shared" si="35"/>
        <v/>
      </c>
      <c r="AG181" s="74"/>
      <c r="AH181" s="75" t="str">
        <f t="shared" si="35"/>
        <v/>
      </c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80"/>
      <c r="B182" s="92" t="s">
        <v>318</v>
      </c>
      <c r="C182" s="93" t="s">
        <v>75</v>
      </c>
      <c r="D182" s="2"/>
      <c r="E182" s="2"/>
      <c r="F182" s="2"/>
      <c r="G182" s="2"/>
      <c r="H182" s="2"/>
      <c r="I182" s="2"/>
      <c r="J182" s="2"/>
      <c r="K182" s="2">
        <v>55.6</v>
      </c>
      <c r="L182" s="2">
        <v>81.900000000000006</v>
      </c>
      <c r="M182" s="2">
        <v>102.3</v>
      </c>
      <c r="N182" s="2">
        <v>124.9</v>
      </c>
      <c r="O182" s="2">
        <v>151.9</v>
      </c>
      <c r="P182" s="2">
        <v>181.3</v>
      </c>
      <c r="Q182" s="2">
        <f>Q50</f>
        <v>215.8</v>
      </c>
      <c r="R182" s="2">
        <f>R50</f>
        <v>255.7</v>
      </c>
      <c r="S182" s="252">
        <f t="shared" ref="R182:AB182" si="60">S50</f>
        <v>298.0666307702719</v>
      </c>
      <c r="T182" s="252">
        <f t="shared" si="60"/>
        <v>350.58886047852269</v>
      </c>
      <c r="U182" s="252">
        <f t="shared" si="60"/>
        <v>420.92193567147518</v>
      </c>
      <c r="V182" s="252">
        <f t="shared" si="60"/>
        <v>505.15532976645517</v>
      </c>
      <c r="W182" s="252">
        <f t="shared" si="60"/>
        <v>607.82779176619442</v>
      </c>
      <c r="X182" s="252">
        <f t="shared" si="60"/>
        <v>734.35975874303995</v>
      </c>
      <c r="Y182" s="252">
        <f t="shared" si="60"/>
        <v>890.38654299294126</v>
      </c>
      <c r="Z182" s="252">
        <f t="shared" si="60"/>
        <v>1082.9291281939234</v>
      </c>
      <c r="AA182" s="252">
        <f t="shared" si="60"/>
        <v>1320.7490289334346</v>
      </c>
      <c r="AB182" s="252">
        <f t="shared" si="60"/>
        <v>1614.7977873559571</v>
      </c>
      <c r="AC182" s="1"/>
      <c r="AD182" s="1"/>
      <c r="AE182" s="88">
        <v>256.9759692042507</v>
      </c>
      <c r="AF182" s="89" t="e">
        <f t="shared" si="35"/>
        <v>#N/A</v>
      </c>
      <c r="AG182" s="88">
        <v>305.29681340388731</v>
      </c>
      <c r="AH182" s="89">
        <f t="shared" si="35"/>
        <v>-7.2301826336154136</v>
      </c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80"/>
      <c r="B183" s="92" t="s">
        <v>293</v>
      </c>
      <c r="C183" s="93" t="s">
        <v>75</v>
      </c>
      <c r="D183" s="89"/>
      <c r="E183" s="2"/>
      <c r="F183" s="2"/>
      <c r="G183" s="2"/>
      <c r="H183" s="2"/>
      <c r="I183" s="2"/>
      <c r="J183" s="2"/>
      <c r="K183" s="2">
        <v>0</v>
      </c>
      <c r="L183" s="2">
        <v>0</v>
      </c>
      <c r="M183" s="2">
        <v>-11.1</v>
      </c>
      <c r="N183" s="2">
        <v>-17.3</v>
      </c>
      <c r="O183" s="2">
        <v>-0.6</v>
      </c>
      <c r="P183" s="2">
        <v>-9.1999999999999993</v>
      </c>
      <c r="Q183" s="262">
        <f>-(Q150-P150)</f>
        <v>-23.099999999999994</v>
      </c>
      <c r="R183" s="262">
        <f>-(R150-Q150)</f>
        <v>23.133999999999986</v>
      </c>
      <c r="S183" s="252">
        <f t="shared" ref="R183:AB183" si="61">-(S150-R150)</f>
        <v>-44.69187623508617</v>
      </c>
      <c r="T183" s="252">
        <f t="shared" si="61"/>
        <v>-12.333214000080119</v>
      </c>
      <c r="U183" s="252">
        <f t="shared" si="61"/>
        <v>-16.487687339572446</v>
      </c>
      <c r="V183" s="252">
        <f t="shared" si="61"/>
        <v>-20.847865599887072</v>
      </c>
      <c r="W183" s="252">
        <f t="shared" si="61"/>
        <v>-25.163114383599435</v>
      </c>
      <c r="X183" s="252">
        <f t="shared" si="61"/>
        <v>-30.736932761894735</v>
      </c>
      <c r="Y183" s="252">
        <f t="shared" si="61"/>
        <v>-37.561729348074152</v>
      </c>
      <c r="Z183" s="252">
        <f t="shared" si="61"/>
        <v>-45.932470964806726</v>
      </c>
      <c r="AA183" s="252">
        <f t="shared" si="61"/>
        <v>-56.216860737576326</v>
      </c>
      <c r="AB183" s="252">
        <f t="shared" si="61"/>
        <v>-68.874091507911771</v>
      </c>
      <c r="AC183" s="1"/>
      <c r="AD183" s="1"/>
      <c r="AE183" s="88">
        <v>-10.896327653446647</v>
      </c>
      <c r="AF183" s="89" t="e">
        <f t="shared" si="35"/>
        <v>#N/A</v>
      </c>
      <c r="AG183" s="88">
        <v>-11.56782389520302</v>
      </c>
      <c r="AH183" s="89">
        <f t="shared" si="35"/>
        <v>-33.12405233988315</v>
      </c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80"/>
      <c r="B184" s="92" t="s">
        <v>319</v>
      </c>
      <c r="C184" s="93" t="s">
        <v>75</v>
      </c>
      <c r="D184" s="2"/>
      <c r="E184" s="2"/>
      <c r="F184" s="2"/>
      <c r="G184" s="2"/>
      <c r="H184" s="2"/>
      <c r="I184" s="2"/>
      <c r="J184" s="2"/>
      <c r="K184" s="2">
        <v>7.1</v>
      </c>
      <c r="L184" s="2">
        <v>5.9</v>
      </c>
      <c r="M184" s="2">
        <v>27.2</v>
      </c>
      <c r="N184" s="2">
        <v>16.399999999999999</v>
      </c>
      <c r="O184" s="2">
        <v>11.3</v>
      </c>
      <c r="P184" s="2">
        <v>36.6</v>
      </c>
      <c r="Q184" s="2">
        <f>Q185-Q183-Q182</f>
        <v>46.39999999999992</v>
      </c>
      <c r="R184" s="2">
        <f>R185-R183-R182</f>
        <v>50.746000000000038</v>
      </c>
      <c r="S184" s="273">
        <f t="shared" ref="S184:AB184" si="62">AVERAGE(P184:R184)</f>
        <v>44.581999999999987</v>
      </c>
      <c r="T184" s="273">
        <f t="shared" si="62"/>
        <v>47.242666666666651</v>
      </c>
      <c r="U184" s="273">
        <f t="shared" si="62"/>
        <v>47.523555555555561</v>
      </c>
      <c r="V184" s="273">
        <f t="shared" si="62"/>
        <v>46.449407407407399</v>
      </c>
      <c r="W184" s="273">
        <f t="shared" si="62"/>
        <v>47.071876543209868</v>
      </c>
      <c r="X184" s="273">
        <f t="shared" si="62"/>
        <v>47.014946502057605</v>
      </c>
      <c r="Y184" s="273">
        <f t="shared" si="62"/>
        <v>46.845410150891617</v>
      </c>
      <c r="Z184" s="273">
        <f t="shared" si="62"/>
        <v>46.977411065386356</v>
      </c>
      <c r="AA184" s="273">
        <f t="shared" si="62"/>
        <v>46.945922572778528</v>
      </c>
      <c r="AB184" s="273">
        <f t="shared" si="62"/>
        <v>46.922914596352165</v>
      </c>
      <c r="AC184" s="1"/>
      <c r="AD184" s="1"/>
      <c r="AE184" s="88">
        <v>31.433333333333309</v>
      </c>
      <c r="AF184" s="89" t="e">
        <f t="shared" si="35"/>
        <v>#N/A</v>
      </c>
      <c r="AG184" s="88">
        <v>38.14444444444441</v>
      </c>
      <c r="AH184" s="89">
        <f t="shared" si="35"/>
        <v>6.4375555555555763</v>
      </c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80"/>
      <c r="B185" s="97" t="s">
        <v>320</v>
      </c>
      <c r="C185" s="5" t="s">
        <v>75</v>
      </c>
      <c r="D185" s="114"/>
      <c r="E185" s="144"/>
      <c r="F185" s="144"/>
      <c r="G185" s="144"/>
      <c r="H185" s="144"/>
      <c r="I185" s="144"/>
      <c r="J185" s="144"/>
      <c r="K185" s="144">
        <v>62.7</v>
      </c>
      <c r="L185" s="144">
        <v>87.8</v>
      </c>
      <c r="M185" s="144">
        <v>118.4</v>
      </c>
      <c r="N185" s="144">
        <v>124</v>
      </c>
      <c r="O185" s="144">
        <v>162.5</v>
      </c>
      <c r="P185" s="144">
        <v>208.7</v>
      </c>
      <c r="Q185" s="144">
        <f>SUM(Q180:Q181)</f>
        <v>239.09999999999997</v>
      </c>
      <c r="R185" s="144">
        <f>SUM(R180:R181)</f>
        <v>329.58</v>
      </c>
      <c r="S185" s="272">
        <f t="shared" ref="S185:AB185" si="63">SUM(S182:S184)</f>
        <v>297.95675453518572</v>
      </c>
      <c r="T185" s="272">
        <f t="shared" si="63"/>
        <v>385.49831314510925</v>
      </c>
      <c r="U185" s="272">
        <f t="shared" si="63"/>
        <v>451.95780388745828</v>
      </c>
      <c r="V185" s="272">
        <f t="shared" si="63"/>
        <v>530.75687157397545</v>
      </c>
      <c r="W185" s="272">
        <f t="shared" si="63"/>
        <v>629.73655392580486</v>
      </c>
      <c r="X185" s="272">
        <f t="shared" si="63"/>
        <v>750.63777248320275</v>
      </c>
      <c r="Y185" s="272">
        <f t="shared" si="63"/>
        <v>899.67022379575883</v>
      </c>
      <c r="Z185" s="272">
        <f t="shared" si="63"/>
        <v>1083.974068294503</v>
      </c>
      <c r="AA185" s="272">
        <f t="shared" si="63"/>
        <v>1311.4780907686368</v>
      </c>
      <c r="AB185" s="272">
        <f t="shared" si="63"/>
        <v>1592.8466104443976</v>
      </c>
      <c r="AC185" s="1"/>
      <c r="AD185" s="1"/>
      <c r="AE185" s="145">
        <v>277.51297488413741</v>
      </c>
      <c r="AF185" s="146" t="e">
        <f t="shared" si="35"/>
        <v>#N/A</v>
      </c>
      <c r="AG185" s="145">
        <v>331.87343395312871</v>
      </c>
      <c r="AH185" s="146">
        <f t="shared" si="35"/>
        <v>-33.916679417942987</v>
      </c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80"/>
      <c r="B186" s="92" t="s">
        <v>321</v>
      </c>
      <c r="C186" s="93" t="s">
        <v>75</v>
      </c>
      <c r="D186" s="51"/>
      <c r="E186" s="51"/>
      <c r="F186" s="51"/>
      <c r="G186" s="51"/>
      <c r="H186" s="51"/>
      <c r="I186" s="51"/>
      <c r="J186" s="51"/>
      <c r="K186" s="51">
        <v>0.7</v>
      </c>
      <c r="L186" s="51">
        <v>0.6</v>
      </c>
      <c r="M186" s="51">
        <v>0.4</v>
      </c>
      <c r="N186" s="51">
        <v>0.2</v>
      </c>
      <c r="O186" s="51">
        <v>0.4</v>
      </c>
      <c r="P186" s="51">
        <v>3.5</v>
      </c>
      <c r="Q186" s="51">
        <v>7</v>
      </c>
      <c r="R186" s="51">
        <v>9.7129999999999992</v>
      </c>
      <c r="S186" s="252">
        <f t="shared" ref="S186:AB186" si="64">S$194*S67</f>
        <v>10.844505557867503</v>
      </c>
      <c r="T186" s="252">
        <f t="shared" si="64"/>
        <v>11.779095204895546</v>
      </c>
      <c r="U186" s="252">
        <f t="shared" si="64"/>
        <v>14.181529278673828</v>
      </c>
      <c r="V186" s="252">
        <f t="shared" si="64"/>
        <v>16.854909304551551</v>
      </c>
      <c r="W186" s="252">
        <f t="shared" si="64"/>
        <v>17.092203518760289</v>
      </c>
      <c r="X186" s="252">
        <f t="shared" si="64"/>
        <v>17.351485832456191</v>
      </c>
      <c r="Y186" s="252">
        <f t="shared" si="64"/>
        <v>17.637413894025347</v>
      </c>
      <c r="Z186" s="252">
        <f t="shared" si="64"/>
        <v>18.004718422370043</v>
      </c>
      <c r="AA186" s="252">
        <f t="shared" si="64"/>
        <v>18.552012543139139</v>
      </c>
      <c r="AB186" s="252">
        <f t="shared" si="64"/>
        <v>19.363596959487722</v>
      </c>
      <c r="AC186" s="1"/>
      <c r="AD186" s="1"/>
      <c r="AE186" s="88">
        <v>9.3270119521912349</v>
      </c>
      <c r="AF186" s="89" t="e">
        <f t="shared" si="35"/>
        <v>#N/A</v>
      </c>
      <c r="AG186" s="88">
        <v>10.671983159637373</v>
      </c>
      <c r="AH186" s="89">
        <f t="shared" si="35"/>
        <v>0.17252239823013049</v>
      </c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80"/>
      <c r="B187" s="92" t="s">
        <v>322</v>
      </c>
      <c r="C187" s="93" t="s">
        <v>75</v>
      </c>
      <c r="D187" s="51"/>
      <c r="E187" s="51"/>
      <c r="F187" s="51"/>
      <c r="G187" s="51"/>
      <c r="H187" s="51"/>
      <c r="I187" s="51"/>
      <c r="J187" s="51"/>
      <c r="K187" s="51">
        <v>-0.4</v>
      </c>
      <c r="L187" s="51">
        <v>0</v>
      </c>
      <c r="M187" s="51">
        <v>-1.5</v>
      </c>
      <c r="N187" s="51">
        <v>-1.5</v>
      </c>
      <c r="O187" s="51">
        <v>-1.8</v>
      </c>
      <c r="P187" s="51">
        <v>-2.1</v>
      </c>
      <c r="Q187" s="51">
        <v>-2.6</v>
      </c>
      <c r="R187" s="51">
        <v>-3.5110000000000001</v>
      </c>
      <c r="S187" s="252">
        <f t="shared" ref="S187:AB187" si="65">S$194*S68</f>
        <v>-3.5110000000000001</v>
      </c>
      <c r="T187" s="252">
        <f t="shared" si="65"/>
        <v>-3.5110000000000001</v>
      </c>
      <c r="U187" s="252">
        <f t="shared" si="65"/>
        <v>-3.5110000000000001</v>
      </c>
      <c r="V187" s="252">
        <f t="shared" si="65"/>
        <v>-3.5110000000000001</v>
      </c>
      <c r="W187" s="252">
        <f t="shared" si="65"/>
        <v>-3.5110000000000001</v>
      </c>
      <c r="X187" s="252">
        <f t="shared" si="65"/>
        <v>-3.5110000000000001</v>
      </c>
      <c r="Y187" s="252">
        <f t="shared" si="65"/>
        <v>-3.5110000000000001</v>
      </c>
      <c r="Z187" s="252">
        <f t="shared" si="65"/>
        <v>-3.5110000000000001</v>
      </c>
      <c r="AA187" s="252">
        <f t="shared" si="65"/>
        <v>-3.5110000000000001</v>
      </c>
      <c r="AB187" s="252">
        <f t="shared" si="65"/>
        <v>-3.5110000000000001</v>
      </c>
      <c r="AC187" s="1"/>
      <c r="AD187" s="1"/>
      <c r="AE187" s="88">
        <v>-2.6000000000000005</v>
      </c>
      <c r="AF187" s="89" t="e">
        <f t="shared" si="35"/>
        <v>#N/A</v>
      </c>
      <c r="AG187" s="88">
        <v>-2.6000000000000005</v>
      </c>
      <c r="AH187" s="89">
        <f t="shared" si="35"/>
        <v>-0.91099999999999959</v>
      </c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80"/>
      <c r="B188" s="92" t="s">
        <v>323</v>
      </c>
      <c r="C188" s="93" t="s">
        <v>75</v>
      </c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274"/>
      <c r="T188" s="274"/>
      <c r="U188" s="274"/>
      <c r="V188" s="274"/>
      <c r="W188" s="274"/>
      <c r="X188" s="274"/>
      <c r="Y188" s="274"/>
      <c r="Z188" s="274"/>
      <c r="AA188" s="274"/>
      <c r="AB188" s="274"/>
      <c r="AC188" s="1"/>
      <c r="AD188" s="1"/>
      <c r="AE188" s="140"/>
      <c r="AF188" s="141" t="str">
        <f t="shared" si="35"/>
        <v/>
      </c>
      <c r="AG188" s="140"/>
      <c r="AH188" s="141" t="str">
        <f t="shared" si="35"/>
        <v/>
      </c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80"/>
      <c r="B189" s="92" t="s">
        <v>324</v>
      </c>
      <c r="C189" s="93" t="s">
        <v>75</v>
      </c>
      <c r="D189" s="51"/>
      <c r="E189" s="51"/>
      <c r="F189" s="51"/>
      <c r="G189" s="51"/>
      <c r="H189" s="51"/>
      <c r="I189" s="51"/>
      <c r="J189" s="51"/>
      <c r="K189" s="51">
        <v>-11.2</v>
      </c>
      <c r="L189" s="51">
        <v>-11.5</v>
      </c>
      <c r="M189" s="51">
        <v>-13.7</v>
      </c>
      <c r="N189" s="51">
        <v>-7.8</v>
      </c>
      <c r="O189" s="51">
        <v>-18.3</v>
      </c>
      <c r="P189" s="51">
        <v>-16.399999999999999</v>
      </c>
      <c r="Q189" s="51">
        <v>-30.7</v>
      </c>
      <c r="R189" s="51">
        <v>-41.249000000000002</v>
      </c>
      <c r="S189" s="252">
        <f t="shared" ref="S189:AB189" si="66">S195*S85</f>
        <v>-51.908086993015132</v>
      </c>
      <c r="T189" s="252">
        <f t="shared" si="66"/>
        <v>-62.278744109114257</v>
      </c>
      <c r="U189" s="252">
        <f t="shared" si="66"/>
        <v>-76.290930638651133</v>
      </c>
      <c r="V189" s="252">
        <f t="shared" si="66"/>
        <v>-92.753104545838852</v>
      </c>
      <c r="W189" s="252">
        <f t="shared" si="66"/>
        <v>-111.98390033724877</v>
      </c>
      <c r="X189" s="252">
        <f t="shared" si="66"/>
        <v>-135.69286725290124</v>
      </c>
      <c r="Y189" s="252">
        <f t="shared" si="66"/>
        <v>-164.98653350798475</v>
      </c>
      <c r="Z189" s="252">
        <f t="shared" si="66"/>
        <v>-201.24021940238848</v>
      </c>
      <c r="AA189" s="252">
        <f t="shared" si="66"/>
        <v>-246.21609400796058</v>
      </c>
      <c r="AB189" s="252">
        <f t="shared" si="66"/>
        <v>-302.03135397789521</v>
      </c>
      <c r="AC189" s="1"/>
      <c r="AD189" s="1"/>
      <c r="AE189" s="88">
        <v>-42.5603482456225</v>
      </c>
      <c r="AF189" s="89" t="e">
        <f t="shared" si="35"/>
        <v>#N/A</v>
      </c>
      <c r="AG189" s="88">
        <v>-51.614507029889154</v>
      </c>
      <c r="AH189" s="89">
        <f t="shared" si="35"/>
        <v>-0.29357996312597834</v>
      </c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80"/>
      <c r="B190" s="92" t="s">
        <v>186</v>
      </c>
      <c r="C190" s="93" t="s">
        <v>75</v>
      </c>
      <c r="D190" s="49"/>
      <c r="E190" s="51"/>
      <c r="F190" s="49"/>
      <c r="G190" s="49"/>
      <c r="H190" s="49"/>
      <c r="I190" s="49"/>
      <c r="J190" s="49"/>
      <c r="K190" s="49"/>
      <c r="L190" s="49"/>
      <c r="M190" s="49"/>
      <c r="N190" s="49"/>
      <c r="O190" s="51"/>
      <c r="P190" s="49"/>
      <c r="Q190" s="49"/>
      <c r="R190" s="49"/>
      <c r="S190" s="273">
        <v>0</v>
      </c>
      <c r="T190" s="273">
        <v>0</v>
      </c>
      <c r="U190" s="273">
        <v>0</v>
      </c>
      <c r="V190" s="273">
        <v>0</v>
      </c>
      <c r="W190" s="273">
        <v>0</v>
      </c>
      <c r="X190" s="273">
        <v>0</v>
      </c>
      <c r="Y190" s="273">
        <v>0</v>
      </c>
      <c r="Z190" s="273">
        <v>0</v>
      </c>
      <c r="AA190" s="273">
        <v>0</v>
      </c>
      <c r="AB190" s="273">
        <v>0</v>
      </c>
      <c r="AC190" s="1"/>
      <c r="AD190" s="1"/>
      <c r="AE190" s="88">
        <v>0</v>
      </c>
      <c r="AF190" s="89" t="e">
        <f t="shared" si="35"/>
        <v>#N/A</v>
      </c>
      <c r="AG190" s="88">
        <v>0</v>
      </c>
      <c r="AH190" s="89">
        <f t="shared" si="35"/>
        <v>0</v>
      </c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80"/>
      <c r="B191" s="97" t="s">
        <v>325</v>
      </c>
      <c r="C191" s="5" t="s">
        <v>75</v>
      </c>
      <c r="D191" s="114"/>
      <c r="E191" s="144"/>
      <c r="F191" s="144"/>
      <c r="G191" s="114"/>
      <c r="H191" s="114"/>
      <c r="I191" s="114"/>
      <c r="J191" s="114"/>
      <c r="K191" s="144">
        <v>51.9</v>
      </c>
      <c r="L191" s="144">
        <v>76.900000000000006</v>
      </c>
      <c r="M191" s="144">
        <v>103.5</v>
      </c>
      <c r="N191" s="144">
        <v>115</v>
      </c>
      <c r="O191" s="144">
        <v>142.69999999999999</v>
      </c>
      <c r="P191" s="144">
        <v>193.7</v>
      </c>
      <c r="Q191" s="144">
        <f>SUM(Q185:Q190)</f>
        <v>212.79999999999998</v>
      </c>
      <c r="R191" s="144">
        <f>SUM(R185:R190)</f>
        <v>294.53299999999996</v>
      </c>
      <c r="S191" s="272">
        <f t="shared" ref="R191:AB191" si="67">SUM(S185:S190)</f>
        <v>253.38217310003805</v>
      </c>
      <c r="T191" s="272">
        <f t="shared" si="67"/>
        <v>331.48766424089052</v>
      </c>
      <c r="U191" s="272">
        <f t="shared" si="67"/>
        <v>386.337402527481</v>
      </c>
      <c r="V191" s="272">
        <f t="shared" si="67"/>
        <v>451.34767633268825</v>
      </c>
      <c r="W191" s="272">
        <f t="shared" si="67"/>
        <v>531.33385710731636</v>
      </c>
      <c r="X191" s="272">
        <f t="shared" si="67"/>
        <v>628.78539106275775</v>
      </c>
      <c r="Y191" s="272">
        <f t="shared" si="67"/>
        <v>748.81010418179949</v>
      </c>
      <c r="Z191" s="272">
        <f t="shared" si="67"/>
        <v>897.22756731448453</v>
      </c>
      <c r="AA191" s="272">
        <f t="shared" si="67"/>
        <v>1080.3030093038155</v>
      </c>
      <c r="AB191" s="272">
        <f t="shared" si="67"/>
        <v>1306.6678534259902</v>
      </c>
      <c r="AC191" s="1"/>
      <c r="AD191" s="1"/>
      <c r="AE191" s="145">
        <v>241.67963859070613</v>
      </c>
      <c r="AF191" s="146" t="e">
        <f t="shared" si="35"/>
        <v>#N/A</v>
      </c>
      <c r="AG191" s="145">
        <v>288.33091008287693</v>
      </c>
      <c r="AH191" s="146">
        <f t="shared" si="35"/>
        <v>-34.948736982838881</v>
      </c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80"/>
      <c r="B192" s="92" t="s">
        <v>326</v>
      </c>
      <c r="C192" s="93" t="s">
        <v>168</v>
      </c>
      <c r="D192" s="89"/>
      <c r="E192" s="2"/>
      <c r="F192" s="2"/>
      <c r="G192" s="89"/>
      <c r="H192" s="89"/>
      <c r="I192" s="89"/>
      <c r="J192" s="89"/>
      <c r="K192" s="2" t="e">
        <v>#DIV/0!</v>
      </c>
      <c r="L192" s="101">
        <v>0.48199999999999998</v>
      </c>
      <c r="M192" s="101">
        <v>0.34699999999999998</v>
      </c>
      <c r="N192" s="101">
        <v>0.111</v>
      </c>
      <c r="O192" s="101">
        <v>0.24099999999999999</v>
      </c>
      <c r="P192" s="101">
        <v>0.35699999999999998</v>
      </c>
      <c r="Q192" s="101">
        <f>Q191/P191-1</f>
        <v>9.8606091894682502E-2</v>
      </c>
      <c r="R192" s="101">
        <f>R191/Q191-1</f>
        <v>0.38408364661654137</v>
      </c>
      <c r="S192" s="101">
        <f t="shared" ref="R192:AB192" si="68">S191/R191-1</f>
        <v>-0.13971550522339404</v>
      </c>
      <c r="T192" s="101">
        <f t="shared" si="68"/>
        <v>0.30825172183686167</v>
      </c>
      <c r="U192" s="101">
        <f t="shared" si="68"/>
        <v>0.16546539797249116</v>
      </c>
      <c r="V192" s="101">
        <f t="shared" si="68"/>
        <v>0.16827331078973895</v>
      </c>
      <c r="W192" s="101">
        <f t="shared" si="68"/>
        <v>0.1772163344775266</v>
      </c>
      <c r="X192" s="101">
        <f t="shared" si="68"/>
        <v>0.18340923065958248</v>
      </c>
      <c r="Y192" s="101">
        <f t="shared" si="68"/>
        <v>0.1908834314935004</v>
      </c>
      <c r="Z192" s="101">
        <f t="shared" si="68"/>
        <v>0.19820440763797653</v>
      </c>
      <c r="AA192" s="101">
        <f t="shared" si="68"/>
        <v>0.20404571667063132</v>
      </c>
      <c r="AB192" s="101">
        <f t="shared" si="68"/>
        <v>0.20953828895473681</v>
      </c>
      <c r="AC192" s="1"/>
      <c r="AD192" s="1"/>
      <c r="AE192" s="119">
        <v>0.13571258736234104</v>
      </c>
      <c r="AF192" s="120" t="e">
        <f t="shared" si="35"/>
        <v>#N/A</v>
      </c>
      <c r="AG192" s="119">
        <v>0.1930293828814289</v>
      </c>
      <c r="AH192" s="120">
        <f t="shared" si="35"/>
        <v>-0.33274488810482294</v>
      </c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80"/>
      <c r="B193" s="164" t="s">
        <v>327</v>
      </c>
      <c r="C193" s="115" t="s">
        <v>6</v>
      </c>
      <c r="D193" s="72"/>
      <c r="E193" s="72"/>
      <c r="F193" s="72"/>
      <c r="G193" s="72"/>
      <c r="H193" s="72"/>
      <c r="I193" s="72"/>
      <c r="J193" s="72"/>
      <c r="K193" s="168">
        <v>1.1299999999999999</v>
      </c>
      <c r="L193" s="168">
        <v>1.07</v>
      </c>
      <c r="M193" s="168">
        <v>1.1599999999999999</v>
      </c>
      <c r="N193" s="168">
        <v>0.99</v>
      </c>
      <c r="O193" s="168">
        <v>1.07</v>
      </c>
      <c r="P193" s="168">
        <v>1.1499999999999999</v>
      </c>
      <c r="Q193" s="168">
        <f>Q185/Q182</f>
        <v>1.1079703429101018</v>
      </c>
      <c r="R193" s="168">
        <f>R185/R182</f>
        <v>1.2889323425889714</v>
      </c>
      <c r="S193" s="168">
        <f t="shared" ref="R193:AB193" si="69">S185/S182</f>
        <v>0.99963137022483117</v>
      </c>
      <c r="T193" s="168">
        <f t="shared" si="69"/>
        <v>1.0995737646054649</v>
      </c>
      <c r="U193" s="168">
        <f t="shared" si="69"/>
        <v>1.0737330739641144</v>
      </c>
      <c r="V193" s="168">
        <f t="shared" si="69"/>
        <v>1.0506805338852041</v>
      </c>
      <c r="W193" s="168">
        <f t="shared" si="69"/>
        <v>1.0360443573926574</v>
      </c>
      <c r="X193" s="168">
        <f t="shared" si="69"/>
        <v>1.022166265983889</v>
      </c>
      <c r="Y193" s="168">
        <f t="shared" si="69"/>
        <v>1.0104265735773716</v>
      </c>
      <c r="Z193" s="168">
        <f t="shared" si="69"/>
        <v>1.0009649201165383</v>
      </c>
      <c r="AA193" s="168">
        <f t="shared" si="69"/>
        <v>0.99298054515907197</v>
      </c>
      <c r="AB193" s="168">
        <f t="shared" si="69"/>
        <v>0.98640623793056958</v>
      </c>
      <c r="AC193" s="1"/>
      <c r="AD193" s="1"/>
      <c r="AE193" s="169">
        <v>1.079918000673298</v>
      </c>
      <c r="AF193" s="170" t="e">
        <f t="shared" si="35"/>
        <v>#N/A</v>
      </c>
      <c r="AG193" s="169">
        <v>1.0870517456534414</v>
      </c>
      <c r="AH193" s="170">
        <f t="shared" si="35"/>
        <v>-8.7420375428610253E-2</v>
      </c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80"/>
      <c r="B194" s="92" t="s">
        <v>322</v>
      </c>
      <c r="C194" s="93" t="s">
        <v>6</v>
      </c>
      <c r="D194" s="2"/>
      <c r="E194" s="2"/>
      <c r="F194" s="2"/>
      <c r="G194" s="2"/>
      <c r="H194" s="2"/>
      <c r="I194" s="2"/>
      <c r="J194" s="2"/>
      <c r="K194" s="66">
        <v>1</v>
      </c>
      <c r="L194" s="66">
        <v>0.1</v>
      </c>
      <c r="M194" s="66">
        <v>1</v>
      </c>
      <c r="N194" s="66">
        <v>1</v>
      </c>
      <c r="O194" s="66">
        <v>1</v>
      </c>
      <c r="P194" s="66">
        <v>1</v>
      </c>
      <c r="Q194" s="66">
        <f>(Q187+Q186)/Q69</f>
        <v>0.75862068965517249</v>
      </c>
      <c r="R194" s="66">
        <f>(R187+R186)/R69</f>
        <v>0.93417683386052097</v>
      </c>
      <c r="S194" s="108">
        <v>1</v>
      </c>
      <c r="T194" s="108">
        <v>1</v>
      </c>
      <c r="U194" s="108">
        <v>1</v>
      </c>
      <c r="V194" s="108">
        <v>1</v>
      </c>
      <c r="W194" s="108">
        <v>1</v>
      </c>
      <c r="X194" s="108">
        <v>1</v>
      </c>
      <c r="Y194" s="108">
        <v>1</v>
      </c>
      <c r="Z194" s="108">
        <v>1</v>
      </c>
      <c r="AA194" s="108">
        <v>1</v>
      </c>
      <c r="AB194" s="108">
        <v>1</v>
      </c>
      <c r="AC194" s="1"/>
      <c r="AD194" s="1"/>
      <c r="AE194" s="102">
        <v>1</v>
      </c>
      <c r="AF194" s="103" t="e">
        <f t="shared" si="35"/>
        <v>#N/A</v>
      </c>
      <c r="AG194" s="102">
        <v>1</v>
      </c>
      <c r="AH194" s="103">
        <f t="shared" si="35"/>
        <v>0</v>
      </c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80"/>
      <c r="B195" s="92" t="s">
        <v>328</v>
      </c>
      <c r="C195" s="93" t="s">
        <v>6</v>
      </c>
      <c r="D195" s="2"/>
      <c r="E195" s="2"/>
      <c r="F195" s="2"/>
      <c r="G195" s="2"/>
      <c r="H195" s="2"/>
      <c r="I195" s="2"/>
      <c r="J195" s="2"/>
      <c r="K195" s="66">
        <v>-57.96</v>
      </c>
      <c r="L195" s="66">
        <v>0.64</v>
      </c>
      <c r="M195" s="66">
        <v>0.7</v>
      </c>
      <c r="N195" s="66">
        <v>0.31</v>
      </c>
      <c r="O195" s="66">
        <v>0.78</v>
      </c>
      <c r="P195" s="66">
        <v>0.61</v>
      </c>
      <c r="Q195" s="66">
        <f>Q189/Q85</f>
        <v>0.87965616045845274</v>
      </c>
      <c r="R195" s="66">
        <f>R189/R85</f>
        <v>0.93959135327213505</v>
      </c>
      <c r="S195" s="108">
        <v>1</v>
      </c>
      <c r="T195" s="108">
        <v>1</v>
      </c>
      <c r="U195" s="108">
        <v>1</v>
      </c>
      <c r="V195" s="108">
        <v>1</v>
      </c>
      <c r="W195" s="108">
        <v>1</v>
      </c>
      <c r="X195" s="108">
        <v>1</v>
      </c>
      <c r="Y195" s="108">
        <v>1</v>
      </c>
      <c r="Z195" s="108">
        <v>1</v>
      </c>
      <c r="AA195" s="108">
        <v>1</v>
      </c>
      <c r="AB195" s="108">
        <v>1</v>
      </c>
      <c r="AC195" s="1"/>
      <c r="AD195" s="1"/>
      <c r="AE195" s="102">
        <v>1</v>
      </c>
      <c r="AF195" s="103" t="e">
        <f t="shared" si="35"/>
        <v>#N/A</v>
      </c>
      <c r="AG195" s="102">
        <v>1</v>
      </c>
      <c r="AH195" s="103">
        <f t="shared" si="35"/>
        <v>0</v>
      </c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284"/>
      <c r="B196" s="285"/>
      <c r="C196" s="13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74"/>
      <c r="AF196" s="75" t="str">
        <f t="shared" si="35"/>
        <v/>
      </c>
      <c r="AG196" s="74"/>
      <c r="AH196" s="75" t="str">
        <f t="shared" si="35"/>
        <v/>
      </c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80"/>
      <c r="B197" s="90" t="s">
        <v>329</v>
      </c>
      <c r="C197" s="13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74"/>
      <c r="AF197" s="75" t="str">
        <f t="shared" si="35"/>
        <v/>
      </c>
      <c r="AG197" s="74"/>
      <c r="AH197" s="75" t="str">
        <f t="shared" si="35"/>
        <v/>
      </c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80"/>
      <c r="B198" s="92" t="s">
        <v>330</v>
      </c>
      <c r="C198" s="93" t="s">
        <v>75</v>
      </c>
      <c r="D198" s="51"/>
      <c r="E198" s="51"/>
      <c r="F198" s="51"/>
      <c r="G198" s="51"/>
      <c r="H198" s="51"/>
      <c r="I198" s="51"/>
      <c r="J198" s="51"/>
      <c r="K198" s="51">
        <v>-3.4</v>
      </c>
      <c r="L198" s="51">
        <v>-2.4</v>
      </c>
      <c r="M198" s="51">
        <v>-2</v>
      </c>
      <c r="N198" s="51">
        <v>-1.7</v>
      </c>
      <c r="O198" s="51">
        <v>-3.8</v>
      </c>
      <c r="P198" s="51">
        <v>-7.8</v>
      </c>
      <c r="Q198" s="51">
        <v>-6.3</v>
      </c>
      <c r="R198" s="51">
        <v>-2.6720000000000002</v>
      </c>
      <c r="S198" s="252">
        <f t="shared" ref="S198:AB198" si="70">-S205*S$27</f>
        <v>-3.0424536140612783</v>
      </c>
      <c r="T198" s="252">
        <f t="shared" si="70"/>
        <v>-3.4964119446723334</v>
      </c>
      <c r="U198" s="252">
        <f t="shared" si="70"/>
        <v>-4.1032872506761633</v>
      </c>
      <c r="V198" s="252">
        <f t="shared" si="70"/>
        <v>-4.8706510752612955</v>
      </c>
      <c r="W198" s="252">
        <f t="shared" si="70"/>
        <v>-5.7968496637622016</v>
      </c>
      <c r="X198" s="252">
        <f t="shared" si="70"/>
        <v>-6.9282081794421639</v>
      </c>
      <c r="Y198" s="252">
        <f t="shared" si="70"/>
        <v>-8.3107723634095603</v>
      </c>
      <c r="Z198" s="252">
        <f t="shared" si="70"/>
        <v>-10.001445033152333</v>
      </c>
      <c r="AA198" s="252">
        <f t="shared" si="70"/>
        <v>-12.0706633449775</v>
      </c>
      <c r="AB198" s="252">
        <f t="shared" si="70"/>
        <v>-14.605766328115681</v>
      </c>
      <c r="AC198" s="1"/>
      <c r="AD198" s="1"/>
      <c r="AE198" s="88">
        <v>-7.3953633828781742</v>
      </c>
      <c r="AF198" s="89" t="e">
        <f t="shared" si="35"/>
        <v>#N/A</v>
      </c>
      <c r="AG198" s="88">
        <v>-8.5835942835701236</v>
      </c>
      <c r="AH198" s="89">
        <f t="shared" si="35"/>
        <v>5.5411406695088452</v>
      </c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80"/>
      <c r="B199" s="92" t="s">
        <v>331</v>
      </c>
      <c r="C199" s="93" t="s">
        <v>75</v>
      </c>
      <c r="D199" s="51"/>
      <c r="E199" s="51"/>
      <c r="F199" s="51"/>
      <c r="G199" s="51"/>
      <c r="H199" s="51"/>
      <c r="I199" s="51"/>
      <c r="J199" s="51"/>
      <c r="K199" s="51">
        <v>-3.3</v>
      </c>
      <c r="L199" s="51">
        <v>-35.9</v>
      </c>
      <c r="M199" s="51">
        <v>-42.9</v>
      </c>
      <c r="N199" s="51">
        <v>-51.3</v>
      </c>
      <c r="O199" s="51">
        <v>-63.5</v>
      </c>
      <c r="P199" s="51">
        <v>-82.4</v>
      </c>
      <c r="Q199" s="51">
        <v>-86.3</v>
      </c>
      <c r="R199" s="51">
        <v>-103.717</v>
      </c>
      <c r="S199" s="273">
        <f t="shared" ref="S199:AB199" si="71">R199-(S45-R45)</f>
        <v>-115.39776121717443</v>
      </c>
      <c r="T199" s="273">
        <f t="shared" si="71"/>
        <v>-129.77864396837685</v>
      </c>
      <c r="U199" s="273">
        <f t="shared" si="71"/>
        <v>-149.02860451386044</v>
      </c>
      <c r="V199" s="273">
        <f t="shared" si="71"/>
        <v>-173.25626327499711</v>
      </c>
      <c r="W199" s="273">
        <f t="shared" si="71"/>
        <v>-202.52605747574464</v>
      </c>
      <c r="X199" s="273">
        <f t="shared" si="71"/>
        <v>-238.27906672000239</v>
      </c>
      <c r="Y199" s="273">
        <f t="shared" si="71"/>
        <v>-281.97021404471604</v>
      </c>
      <c r="Z199" s="273">
        <f t="shared" si="71"/>
        <v>-335.39744058251642</v>
      </c>
      <c r="AA199" s="273">
        <f t="shared" si="71"/>
        <v>-400.78628155780052</v>
      </c>
      <c r="AB199" s="273">
        <f t="shared" si="71"/>
        <v>-480.89624609045524</v>
      </c>
      <c r="AC199" s="1"/>
      <c r="AD199" s="1"/>
      <c r="AE199" s="88">
        <v>-99.012546098964222</v>
      </c>
      <c r="AF199" s="89" t="e">
        <f t="shared" ref="AF199:AH262" si="72">IF(ISBLANK(AE199),"",INDEX($A199:$AB199,1,MATCH(AE$3,$A$3:$AB$3,0))-AE199)</f>
        <v>#N/A</v>
      </c>
      <c r="AG199" s="88">
        <v>-112.25792201722646</v>
      </c>
      <c r="AH199" s="89">
        <f t="shared" si="72"/>
        <v>-3.1398391999479713</v>
      </c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80" t="s">
        <v>332</v>
      </c>
      <c r="B200" s="92" t="s">
        <v>333</v>
      </c>
      <c r="C200" s="93" t="s">
        <v>75</v>
      </c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271">
        <v>0</v>
      </c>
      <c r="T200" s="271">
        <v>0</v>
      </c>
      <c r="U200" s="271">
        <v>0</v>
      </c>
      <c r="V200" s="271">
        <v>0</v>
      </c>
      <c r="W200" s="271">
        <v>0</v>
      </c>
      <c r="X200" s="271">
        <v>0</v>
      </c>
      <c r="Y200" s="271">
        <v>0</v>
      </c>
      <c r="Z200" s="271">
        <v>0</v>
      </c>
      <c r="AA200" s="271">
        <v>0</v>
      </c>
      <c r="AB200" s="271">
        <v>0</v>
      </c>
      <c r="AC200" s="1"/>
      <c r="AD200" s="1"/>
      <c r="AE200" s="95">
        <v>0</v>
      </c>
      <c r="AF200" s="96" t="e">
        <f t="shared" si="72"/>
        <v>#N/A</v>
      </c>
      <c r="AG200" s="95">
        <v>0</v>
      </c>
      <c r="AH200" s="96">
        <f t="shared" si="72"/>
        <v>0</v>
      </c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80"/>
      <c r="B201" s="92" t="s">
        <v>334</v>
      </c>
      <c r="C201" s="93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271">
        <v>0</v>
      </c>
      <c r="T201" s="271">
        <v>0</v>
      </c>
      <c r="U201" s="271">
        <v>0</v>
      </c>
      <c r="V201" s="271">
        <v>0</v>
      </c>
      <c r="W201" s="271">
        <v>0</v>
      </c>
      <c r="X201" s="271">
        <v>0</v>
      </c>
      <c r="Y201" s="271">
        <v>0</v>
      </c>
      <c r="Z201" s="271">
        <v>0</v>
      </c>
      <c r="AA201" s="271">
        <v>0</v>
      </c>
      <c r="AB201" s="271">
        <v>0</v>
      </c>
      <c r="AC201" s="1"/>
      <c r="AD201" s="1"/>
      <c r="AE201" s="95">
        <v>0</v>
      </c>
      <c r="AF201" s="96" t="e">
        <f t="shared" si="72"/>
        <v>#N/A</v>
      </c>
      <c r="AG201" s="95">
        <v>0</v>
      </c>
      <c r="AH201" s="96">
        <f t="shared" si="72"/>
        <v>0</v>
      </c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80"/>
      <c r="B202" s="92" t="s">
        <v>335</v>
      </c>
      <c r="C202" s="93" t="s">
        <v>75</v>
      </c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271">
        <v>0</v>
      </c>
      <c r="T202" s="271">
        <v>0</v>
      </c>
      <c r="U202" s="271">
        <v>0</v>
      </c>
      <c r="V202" s="271">
        <v>0</v>
      </c>
      <c r="W202" s="271">
        <v>0</v>
      </c>
      <c r="X202" s="271">
        <v>0</v>
      </c>
      <c r="Y202" s="271">
        <v>0</v>
      </c>
      <c r="Z202" s="271">
        <v>0</v>
      </c>
      <c r="AA202" s="271">
        <v>0</v>
      </c>
      <c r="AB202" s="271">
        <v>0</v>
      </c>
      <c r="AC202" s="1"/>
      <c r="AD202" s="1"/>
      <c r="AE202" s="95">
        <v>0</v>
      </c>
      <c r="AF202" s="96" t="e">
        <f t="shared" si="72"/>
        <v>#N/A</v>
      </c>
      <c r="AG202" s="95">
        <v>0</v>
      </c>
      <c r="AH202" s="96">
        <f t="shared" si="72"/>
        <v>0</v>
      </c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80"/>
      <c r="B203" s="92" t="s">
        <v>186</v>
      </c>
      <c r="C203" s="93" t="s">
        <v>75</v>
      </c>
      <c r="D203" s="49"/>
      <c r="E203" s="49"/>
      <c r="F203" s="49"/>
      <c r="G203" s="49"/>
      <c r="H203" s="49"/>
      <c r="I203" s="49"/>
      <c r="J203" s="49"/>
      <c r="K203" s="49">
        <v>-2.2999999999999998</v>
      </c>
      <c r="L203" s="49">
        <v>-4.0999999999999996</v>
      </c>
      <c r="M203" s="49">
        <v>-0.2</v>
      </c>
      <c r="N203" s="49">
        <v>-11.6</v>
      </c>
      <c r="O203" s="49">
        <v>0</v>
      </c>
      <c r="P203" s="49">
        <v>-25</v>
      </c>
      <c r="Q203" s="49">
        <f>Q204-SUM(Q198:Q202)</f>
        <v>-198.50000000000003</v>
      </c>
      <c r="R203" s="49">
        <f>R204-SUM(R198:R202)</f>
        <v>-44.054999999999993</v>
      </c>
      <c r="S203" s="271">
        <v>0</v>
      </c>
      <c r="T203" s="271">
        <v>0</v>
      </c>
      <c r="U203" s="271">
        <v>0</v>
      </c>
      <c r="V203" s="271">
        <v>0</v>
      </c>
      <c r="W203" s="271">
        <v>0</v>
      </c>
      <c r="X203" s="271">
        <v>0</v>
      </c>
      <c r="Y203" s="271">
        <v>0</v>
      </c>
      <c r="Z203" s="271">
        <v>0</v>
      </c>
      <c r="AA203" s="271">
        <v>0</v>
      </c>
      <c r="AB203" s="271">
        <v>0</v>
      </c>
      <c r="AC203" s="1"/>
      <c r="AD203" s="1"/>
      <c r="AE203" s="95">
        <v>0</v>
      </c>
      <c r="AF203" s="96" t="e">
        <f t="shared" si="72"/>
        <v>#N/A</v>
      </c>
      <c r="AG203" s="95">
        <v>0</v>
      </c>
      <c r="AH203" s="96">
        <f t="shared" si="72"/>
        <v>0</v>
      </c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80"/>
      <c r="B204" s="97" t="s">
        <v>336</v>
      </c>
      <c r="C204" s="5" t="s">
        <v>75</v>
      </c>
      <c r="D204" s="114"/>
      <c r="E204" s="114"/>
      <c r="F204" s="114"/>
      <c r="G204" s="114"/>
      <c r="H204" s="114"/>
      <c r="I204" s="114"/>
      <c r="J204" s="114"/>
      <c r="K204" s="114">
        <v>-8.9</v>
      </c>
      <c r="L204" s="114">
        <v>-42.3</v>
      </c>
      <c r="M204" s="114">
        <v>-45.1</v>
      </c>
      <c r="N204" s="114">
        <v>-64.5</v>
      </c>
      <c r="O204" s="114">
        <v>-67.3</v>
      </c>
      <c r="P204" s="114">
        <v>-115.1</v>
      </c>
      <c r="Q204" s="114">
        <v>-291.10000000000002</v>
      </c>
      <c r="R204" s="114">
        <v>-150.44399999999999</v>
      </c>
      <c r="S204" s="272">
        <f t="shared" ref="S204:AB204" si="73">SUM(S198:S203)</f>
        <v>-118.44021483123571</v>
      </c>
      <c r="T204" s="272">
        <f t="shared" si="73"/>
        <v>-133.27505591304919</v>
      </c>
      <c r="U204" s="272">
        <f t="shared" si="73"/>
        <v>-153.13189176453662</v>
      </c>
      <c r="V204" s="272">
        <f t="shared" si="73"/>
        <v>-178.1269143502584</v>
      </c>
      <c r="W204" s="272">
        <f t="shared" si="73"/>
        <v>-208.32290713950684</v>
      </c>
      <c r="X204" s="272">
        <f t="shared" si="73"/>
        <v>-245.20727489944454</v>
      </c>
      <c r="Y204" s="272">
        <f t="shared" si="73"/>
        <v>-290.28098640812561</v>
      </c>
      <c r="Z204" s="272">
        <f t="shared" si="73"/>
        <v>-345.39888561566875</v>
      </c>
      <c r="AA204" s="272">
        <f t="shared" si="73"/>
        <v>-412.85694490277803</v>
      </c>
      <c r="AB204" s="272">
        <f t="shared" si="73"/>
        <v>-495.50201241857093</v>
      </c>
      <c r="AC204" s="1"/>
      <c r="AD204" s="1"/>
      <c r="AE204" s="145">
        <v>-106.4079094818424</v>
      </c>
      <c r="AF204" s="146" t="e">
        <f t="shared" si="72"/>
        <v>#N/A</v>
      </c>
      <c r="AG204" s="145">
        <v>-120.84151630079658</v>
      </c>
      <c r="AH204" s="146">
        <f t="shared" si="72"/>
        <v>2.4013014695608774</v>
      </c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80"/>
      <c r="B205" s="92" t="s">
        <v>337</v>
      </c>
      <c r="C205" s="93" t="s">
        <v>6</v>
      </c>
      <c r="D205" s="2"/>
      <c r="E205" s="2"/>
      <c r="F205" s="2"/>
      <c r="G205" s="2"/>
      <c r="H205" s="2"/>
      <c r="I205" s="2"/>
      <c r="J205" s="2"/>
      <c r="K205" s="2"/>
      <c r="L205" s="2"/>
      <c r="M205" s="101">
        <v>7.0000000000000001E-3</v>
      </c>
      <c r="N205" s="101">
        <v>5.0000000000000001E-3</v>
      </c>
      <c r="O205" s="101">
        <v>0.01</v>
      </c>
      <c r="P205" s="101">
        <v>1.7999999999999999E-2</v>
      </c>
      <c r="Q205" s="253">
        <f>-SUM(Q198)/Q$27</f>
        <v>1.2223515715948778E-2</v>
      </c>
      <c r="R205" s="253">
        <f>-SUM(R198)/R$27</f>
        <v>4.3801268138511677E-3</v>
      </c>
      <c r="S205" s="163">
        <f t="shared" ref="S205:AB205" si="74">R205</f>
        <v>4.3801268138511677E-3</v>
      </c>
      <c r="T205" s="163">
        <f t="shared" si="74"/>
        <v>4.3801268138511677E-3</v>
      </c>
      <c r="U205" s="163">
        <f t="shared" si="74"/>
        <v>4.3801268138511677E-3</v>
      </c>
      <c r="V205" s="163">
        <f t="shared" si="74"/>
        <v>4.3801268138511677E-3</v>
      </c>
      <c r="W205" s="163">
        <f t="shared" si="74"/>
        <v>4.3801268138511677E-3</v>
      </c>
      <c r="X205" s="163">
        <f t="shared" si="74"/>
        <v>4.3801268138511677E-3</v>
      </c>
      <c r="Y205" s="163">
        <f t="shared" si="74"/>
        <v>4.3801268138511677E-3</v>
      </c>
      <c r="Z205" s="163">
        <f t="shared" si="74"/>
        <v>4.3801268138511677E-3</v>
      </c>
      <c r="AA205" s="163">
        <f t="shared" si="74"/>
        <v>4.3801268138511677E-3</v>
      </c>
      <c r="AB205" s="163">
        <f t="shared" si="74"/>
        <v>4.3801268138511677E-3</v>
      </c>
      <c r="AC205" s="1"/>
      <c r="AD205" s="1"/>
      <c r="AE205" s="119">
        <v>1.2223515715948778E-2</v>
      </c>
      <c r="AF205" s="120" t="e">
        <f t="shared" si="72"/>
        <v>#N/A</v>
      </c>
      <c r="AG205" s="119">
        <v>1.2223515715948778E-2</v>
      </c>
      <c r="AH205" s="120">
        <f t="shared" si="72"/>
        <v>-7.8433889020976116E-3</v>
      </c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80"/>
      <c r="B206" s="92" t="s">
        <v>338</v>
      </c>
      <c r="C206" s="93" t="s">
        <v>6</v>
      </c>
      <c r="D206" s="2"/>
      <c r="E206" s="2"/>
      <c r="F206" s="2"/>
      <c r="G206" s="2"/>
      <c r="H206" s="2"/>
      <c r="I206" s="2"/>
      <c r="J206" s="2"/>
      <c r="K206" s="2"/>
      <c r="L206" s="2"/>
      <c r="M206" s="101">
        <v>0.14399999999999999</v>
      </c>
      <c r="N206" s="101">
        <v>0.16400000000000001</v>
      </c>
      <c r="O206" s="101">
        <v>0.17199999999999999</v>
      </c>
      <c r="P206" s="101">
        <v>0.188</v>
      </c>
      <c r="Q206" s="253">
        <f>-SUM(Q199)/Q$27</f>
        <v>0.16744276290259993</v>
      </c>
      <c r="R206" s="253">
        <f>-SUM(R199)/R$27</f>
        <v>0.17002006465277003</v>
      </c>
      <c r="S206" s="253">
        <f t="shared" ref="S206:AB206" si="75">-SUM(S199)/S$27</f>
        <v>0.16613460459337001</v>
      </c>
      <c r="T206" s="253">
        <f t="shared" si="75"/>
        <v>0.16258007560502244</v>
      </c>
      <c r="U206" s="253">
        <f t="shared" si="75"/>
        <v>0.15908322931922814</v>
      </c>
      <c r="V206" s="253">
        <f t="shared" si="75"/>
        <v>0.15580758972716197</v>
      </c>
      <c r="W206" s="253">
        <f t="shared" si="75"/>
        <v>0.15302963959864771</v>
      </c>
      <c r="X206" s="253">
        <f t="shared" si="75"/>
        <v>0.15064393307588925</v>
      </c>
      <c r="Y206" s="253">
        <f t="shared" si="75"/>
        <v>0.1486101701789265</v>
      </c>
      <c r="Z206" s="253">
        <f t="shared" si="75"/>
        <v>0.1468871066053839</v>
      </c>
      <c r="AA206" s="253">
        <f t="shared" si="75"/>
        <v>0.14543481897417609</v>
      </c>
      <c r="AB206" s="253">
        <f t="shared" si="75"/>
        <v>0.14421609211469028</v>
      </c>
      <c r="AC206" s="1"/>
      <c r="AD206" s="1"/>
      <c r="AE206" s="119">
        <v>0.16365408305950846</v>
      </c>
      <c r="AF206" s="120" t="e">
        <f t="shared" si="72"/>
        <v>#N/A</v>
      </c>
      <c r="AG206" s="119">
        <v>0.15986152521721875</v>
      </c>
      <c r="AH206" s="120">
        <f t="shared" si="72"/>
        <v>6.2730793761512638E-3</v>
      </c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284"/>
      <c r="B207" s="285"/>
      <c r="C207" s="13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74"/>
      <c r="AF207" s="75" t="str">
        <f t="shared" si="72"/>
        <v/>
      </c>
      <c r="AG207" s="74"/>
      <c r="AH207" s="75" t="str">
        <f t="shared" si="72"/>
        <v/>
      </c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80"/>
      <c r="B208" s="90" t="s">
        <v>339</v>
      </c>
      <c r="C208" s="13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74"/>
      <c r="AF208" s="75" t="str">
        <f t="shared" si="72"/>
        <v/>
      </c>
      <c r="AG208" s="74"/>
      <c r="AH208" s="75" t="str">
        <f t="shared" si="72"/>
        <v/>
      </c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80"/>
      <c r="B209" s="92" t="s">
        <v>340</v>
      </c>
      <c r="C209" s="93" t="s">
        <v>75</v>
      </c>
      <c r="D209" s="51"/>
      <c r="E209" s="51"/>
      <c r="F209" s="51"/>
      <c r="G209" s="51"/>
      <c r="H209" s="51"/>
      <c r="I209" s="51"/>
      <c r="J209" s="51"/>
      <c r="K209" s="51">
        <v>-33</v>
      </c>
      <c r="L209" s="51">
        <v>-36</v>
      </c>
      <c r="M209" s="51">
        <v>-39</v>
      </c>
      <c r="N209" s="51">
        <v>-43</v>
      </c>
      <c r="O209" s="51">
        <v>-46</v>
      </c>
      <c r="P209" s="51">
        <v>-56.6</v>
      </c>
      <c r="Q209" s="51">
        <v>-64.8</v>
      </c>
      <c r="R209" s="51">
        <v>-78.412999999999997</v>
      </c>
      <c r="S209" s="252">
        <f t="shared" ref="S209:AB209" si="76">S214*S110</f>
        <v>-100.24499748099912</v>
      </c>
      <c r="T209" s="252">
        <f t="shared" si="76"/>
        <v>-120.25104152298562</v>
      </c>
      <c r="U209" s="252">
        <f t="shared" si="76"/>
        <v>-147.25783204059445</v>
      </c>
      <c r="V209" s="252">
        <f t="shared" si="76"/>
        <v>-179.07653255268258</v>
      </c>
      <c r="W209" s="252">
        <f t="shared" si="76"/>
        <v>-216.21862293041457</v>
      </c>
      <c r="X209" s="252">
        <f t="shared" si="76"/>
        <v>-262.00040767625165</v>
      </c>
      <c r="Y209" s="252">
        <f t="shared" si="76"/>
        <v>-318.55284394144275</v>
      </c>
      <c r="Z209" s="252">
        <f t="shared" si="76"/>
        <v>-388.54722792959899</v>
      </c>
      <c r="AA209" s="252">
        <f t="shared" si="76"/>
        <v>-475.3746736984549</v>
      </c>
      <c r="AB209" s="252">
        <f t="shared" si="76"/>
        <v>-752.40878529395991</v>
      </c>
      <c r="AC209" s="1"/>
      <c r="AD209" s="1"/>
      <c r="AE209" s="88">
        <v>-87.382708505413675</v>
      </c>
      <c r="AF209" s="89" t="e">
        <f t="shared" si="72"/>
        <v>#N/A</v>
      </c>
      <c r="AG209" s="88">
        <v>-105.91107902390351</v>
      </c>
      <c r="AH209" s="89">
        <f t="shared" si="72"/>
        <v>5.6660815429043936</v>
      </c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80"/>
      <c r="B210" s="92" t="s">
        <v>341</v>
      </c>
      <c r="C210" s="93" t="s">
        <v>75</v>
      </c>
      <c r="D210" s="51"/>
      <c r="E210" s="51"/>
      <c r="F210" s="51"/>
      <c r="G210" s="51"/>
      <c r="H210" s="51"/>
      <c r="I210" s="51"/>
      <c r="J210" s="51"/>
      <c r="K210" s="51">
        <v>1</v>
      </c>
      <c r="L210" s="51">
        <v>2</v>
      </c>
      <c r="M210" s="51">
        <v>5</v>
      </c>
      <c r="N210" s="51">
        <v>11</v>
      </c>
      <c r="O210" s="51">
        <v>5.9</v>
      </c>
      <c r="P210" s="51">
        <v>8.1</v>
      </c>
      <c r="Q210" s="51">
        <v>7.8</v>
      </c>
      <c r="R210" s="51">
        <f>12.488-30.379</f>
        <v>-17.891000000000002</v>
      </c>
      <c r="S210" s="271">
        <v>0</v>
      </c>
      <c r="T210" s="271">
        <v>0</v>
      </c>
      <c r="U210" s="271">
        <v>0</v>
      </c>
      <c r="V210" s="271">
        <v>-80</v>
      </c>
      <c r="W210" s="271">
        <v>-92</v>
      </c>
      <c r="X210" s="271">
        <v>-106</v>
      </c>
      <c r="Y210" s="271">
        <v>-122</v>
      </c>
      <c r="Z210" s="271">
        <v>-140</v>
      </c>
      <c r="AA210" s="271">
        <v>-161</v>
      </c>
      <c r="AB210" s="271">
        <v>-185</v>
      </c>
      <c r="AC210" s="1"/>
      <c r="AD210" s="1"/>
      <c r="AE210" s="95">
        <v>0</v>
      </c>
      <c r="AF210" s="96" t="e">
        <f t="shared" si="72"/>
        <v>#N/A</v>
      </c>
      <c r="AG210" s="95">
        <v>0</v>
      </c>
      <c r="AH210" s="96">
        <f t="shared" si="72"/>
        <v>0</v>
      </c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80"/>
      <c r="B211" s="92" t="s">
        <v>342</v>
      </c>
      <c r="C211" s="93" t="s">
        <v>75</v>
      </c>
      <c r="D211" s="51"/>
      <c r="E211" s="51"/>
      <c r="F211" s="51"/>
      <c r="G211" s="51"/>
      <c r="H211" s="51"/>
      <c r="I211" s="51"/>
      <c r="J211" s="51"/>
      <c r="K211" s="51">
        <v>0</v>
      </c>
      <c r="L211" s="51"/>
      <c r="M211" s="51">
        <v>-5</v>
      </c>
      <c r="N211" s="51">
        <v>-1</v>
      </c>
      <c r="O211" s="51">
        <v>-3.7</v>
      </c>
      <c r="P211" s="51">
        <v>-7.8</v>
      </c>
      <c r="Q211" s="51">
        <v>-7.7</v>
      </c>
      <c r="R211" s="51">
        <v>-7.15</v>
      </c>
      <c r="S211" s="271">
        <f t="shared" ref="S211:AB211" si="77">R211</f>
        <v>-7.15</v>
      </c>
      <c r="T211" s="271">
        <f t="shared" si="77"/>
        <v>-7.15</v>
      </c>
      <c r="U211" s="271">
        <f t="shared" si="77"/>
        <v>-7.15</v>
      </c>
      <c r="V211" s="271">
        <f t="shared" si="77"/>
        <v>-7.15</v>
      </c>
      <c r="W211" s="271">
        <f t="shared" si="77"/>
        <v>-7.15</v>
      </c>
      <c r="X211" s="271">
        <f t="shared" si="77"/>
        <v>-7.15</v>
      </c>
      <c r="Y211" s="271">
        <f t="shared" si="77"/>
        <v>-7.15</v>
      </c>
      <c r="Z211" s="271">
        <f t="shared" si="77"/>
        <v>-7.15</v>
      </c>
      <c r="AA211" s="271">
        <f t="shared" si="77"/>
        <v>-7.15</v>
      </c>
      <c r="AB211" s="271">
        <f t="shared" si="77"/>
        <v>-7.15</v>
      </c>
      <c r="AC211" s="1"/>
      <c r="AD211" s="1"/>
      <c r="AE211" s="95">
        <v>-7.7</v>
      </c>
      <c r="AF211" s="96" t="e">
        <f t="shared" si="72"/>
        <v>#N/A</v>
      </c>
      <c r="AG211" s="95">
        <v>-7.7</v>
      </c>
      <c r="AH211" s="96">
        <f t="shared" si="72"/>
        <v>0.54999999999999982</v>
      </c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80"/>
      <c r="B212" s="92" t="s">
        <v>343</v>
      </c>
      <c r="C212" s="93" t="s">
        <v>75</v>
      </c>
      <c r="D212" s="2"/>
      <c r="E212" s="2"/>
      <c r="F212" s="2"/>
      <c r="G212" s="2"/>
      <c r="H212" s="2"/>
      <c r="I212" s="2"/>
      <c r="J212" s="2"/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f>Q213-SUM(Q209:Q211)</f>
        <v>0</v>
      </c>
      <c r="R212" s="2">
        <f>R213-SUM(R209:R211)</f>
        <v>0</v>
      </c>
      <c r="S212" s="271">
        <v>0</v>
      </c>
      <c r="T212" s="271">
        <v>0</v>
      </c>
      <c r="U212" s="271">
        <v>0</v>
      </c>
      <c r="V212" s="271">
        <v>0</v>
      </c>
      <c r="W212" s="271">
        <v>0</v>
      </c>
      <c r="X212" s="271">
        <v>0</v>
      </c>
      <c r="Y212" s="271">
        <v>0</v>
      </c>
      <c r="Z212" s="271">
        <v>0</v>
      </c>
      <c r="AA212" s="271">
        <v>0</v>
      </c>
      <c r="AB212" s="271">
        <v>0</v>
      </c>
      <c r="AC212" s="1"/>
      <c r="AD212" s="1"/>
      <c r="AE212" s="95">
        <v>0</v>
      </c>
      <c r="AF212" s="96" t="e">
        <f t="shared" si="72"/>
        <v>#N/A</v>
      </c>
      <c r="AG212" s="95">
        <v>0</v>
      </c>
      <c r="AH212" s="96">
        <f t="shared" si="72"/>
        <v>0</v>
      </c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80"/>
      <c r="B213" s="97" t="s">
        <v>344</v>
      </c>
      <c r="C213" s="5" t="s">
        <v>75</v>
      </c>
      <c r="D213" s="114"/>
      <c r="E213" s="114"/>
      <c r="F213" s="114"/>
      <c r="G213" s="114"/>
      <c r="H213" s="114"/>
      <c r="I213" s="114"/>
      <c r="J213" s="114"/>
      <c r="K213" s="114">
        <v>-32</v>
      </c>
      <c r="L213" s="114">
        <v>-34</v>
      </c>
      <c r="M213" s="114">
        <v>-38.299999999999997</v>
      </c>
      <c r="N213" s="114">
        <v>-32.9</v>
      </c>
      <c r="O213" s="114">
        <v>-43.9</v>
      </c>
      <c r="P213" s="114">
        <v>-56.2</v>
      </c>
      <c r="Q213" s="114">
        <v>-64.7</v>
      </c>
      <c r="R213" s="114">
        <v>-103.45399999999999</v>
      </c>
      <c r="S213" s="272">
        <f t="shared" ref="S213:AB213" si="78">SUM(S209:S212)</f>
        <v>-107.39499748099912</v>
      </c>
      <c r="T213" s="272">
        <f t="shared" si="78"/>
        <v>-127.40104152298562</v>
      </c>
      <c r="U213" s="272">
        <f t="shared" si="78"/>
        <v>-154.40783204059446</v>
      </c>
      <c r="V213" s="272">
        <f t="shared" si="78"/>
        <v>-266.22653255268256</v>
      </c>
      <c r="W213" s="272">
        <f t="shared" si="78"/>
        <v>-315.36862293041452</v>
      </c>
      <c r="X213" s="272">
        <f t="shared" si="78"/>
        <v>-375.15040767625163</v>
      </c>
      <c r="Y213" s="272">
        <f t="shared" si="78"/>
        <v>-447.70284394144272</v>
      </c>
      <c r="Z213" s="272">
        <f t="shared" si="78"/>
        <v>-535.69722792959897</v>
      </c>
      <c r="AA213" s="272">
        <f t="shared" si="78"/>
        <v>-643.52467369845488</v>
      </c>
      <c r="AB213" s="272">
        <f t="shared" si="78"/>
        <v>-944.55878529395989</v>
      </c>
      <c r="AC213" s="1"/>
      <c r="AD213" s="1"/>
      <c r="AE213" s="145">
        <v>-95.082708505413677</v>
      </c>
      <c r="AF213" s="146" t="e">
        <f t="shared" si="72"/>
        <v>#N/A</v>
      </c>
      <c r="AG213" s="145">
        <v>-113.61107902390351</v>
      </c>
      <c r="AH213" s="146">
        <f t="shared" si="72"/>
        <v>6.2160815429043907</v>
      </c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80"/>
      <c r="B214" s="92" t="s">
        <v>345</v>
      </c>
      <c r="C214" s="93" t="s">
        <v>6</v>
      </c>
      <c r="D214" s="2"/>
      <c r="E214" s="2"/>
      <c r="F214" s="2"/>
      <c r="G214" s="2"/>
      <c r="H214" s="2"/>
      <c r="I214" s="2"/>
      <c r="J214" s="2"/>
      <c r="K214" s="66">
        <v>-2.3199999999999998</v>
      </c>
      <c r="L214" s="66">
        <v>-1.08</v>
      </c>
      <c r="M214" s="66">
        <v>-0.99</v>
      </c>
      <c r="N214" s="66">
        <v>-0.99</v>
      </c>
      <c r="O214" s="66">
        <v>-0.93</v>
      </c>
      <c r="P214" s="66">
        <v>-0.96</v>
      </c>
      <c r="Q214" s="66">
        <f>Q209/Q110</f>
        <v>-0.9044569629228475</v>
      </c>
      <c r="R214" s="66">
        <f>R209/R110</f>
        <v>-0.65572686982448081</v>
      </c>
      <c r="S214" s="108">
        <v>-1</v>
      </c>
      <c r="T214" s="108">
        <v>-1</v>
      </c>
      <c r="U214" s="108">
        <v>-1</v>
      </c>
      <c r="V214" s="108">
        <v>-1</v>
      </c>
      <c r="W214" s="108">
        <v>-1</v>
      </c>
      <c r="X214" s="108">
        <v>-1</v>
      </c>
      <c r="Y214" s="108">
        <v>-1</v>
      </c>
      <c r="Z214" s="108">
        <v>-1</v>
      </c>
      <c r="AA214" s="108">
        <v>-1</v>
      </c>
      <c r="AB214" s="108">
        <v>-1</v>
      </c>
      <c r="AC214" s="1"/>
      <c r="AD214" s="1"/>
      <c r="AE214" s="102">
        <v>-1</v>
      </c>
      <c r="AF214" s="103" t="e">
        <f t="shared" si="72"/>
        <v>#N/A</v>
      </c>
      <c r="AG214" s="102">
        <v>-1</v>
      </c>
      <c r="AH214" s="103">
        <f t="shared" si="72"/>
        <v>0</v>
      </c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80"/>
      <c r="B215" s="92" t="s">
        <v>346</v>
      </c>
      <c r="C215" s="93" t="s">
        <v>6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108">
        <v>0</v>
      </c>
      <c r="T215" s="108">
        <v>0</v>
      </c>
      <c r="U215" s="108">
        <v>0</v>
      </c>
      <c r="V215" s="108">
        <v>0</v>
      </c>
      <c r="W215" s="108">
        <v>0</v>
      </c>
      <c r="X215" s="108">
        <v>0</v>
      </c>
      <c r="Y215" s="108">
        <v>0</v>
      </c>
      <c r="Z215" s="108">
        <v>0</v>
      </c>
      <c r="AA215" s="108">
        <v>0</v>
      </c>
      <c r="AB215" s="108">
        <v>0</v>
      </c>
      <c r="AC215" s="1"/>
      <c r="AD215" s="1"/>
      <c r="AE215" s="102">
        <v>0</v>
      </c>
      <c r="AF215" s="103" t="e">
        <f t="shared" si="72"/>
        <v>#N/A</v>
      </c>
      <c r="AG215" s="102">
        <v>0</v>
      </c>
      <c r="AH215" s="103">
        <f t="shared" si="72"/>
        <v>0</v>
      </c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284"/>
      <c r="B216" s="285"/>
      <c r="C216" s="13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74"/>
      <c r="AF216" s="75" t="str">
        <f t="shared" si="72"/>
        <v/>
      </c>
      <c r="AG216" s="74"/>
      <c r="AH216" s="75" t="str">
        <f t="shared" si="72"/>
        <v/>
      </c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80"/>
      <c r="B217" s="44" t="s">
        <v>347</v>
      </c>
      <c r="C217" s="5" t="s">
        <v>75</v>
      </c>
      <c r="D217" s="144"/>
      <c r="E217" s="144"/>
      <c r="F217" s="144"/>
      <c r="G217" s="144"/>
      <c r="H217" s="144"/>
      <c r="I217" s="144"/>
      <c r="J217" s="144"/>
      <c r="K217" s="144">
        <v>10.9</v>
      </c>
      <c r="L217" s="144">
        <v>0.8</v>
      </c>
      <c r="M217" s="144">
        <v>20.2</v>
      </c>
      <c r="N217" s="144">
        <v>17.600000000000001</v>
      </c>
      <c r="O217" s="144">
        <v>31.6</v>
      </c>
      <c r="P217" s="144">
        <v>22.3</v>
      </c>
      <c r="Q217" s="144">
        <f>Q191+Q204+Q213</f>
        <v>-143.00000000000006</v>
      </c>
      <c r="R217" s="144">
        <f>R191+R204+R213</f>
        <v>40.634999999999977</v>
      </c>
      <c r="S217" s="272">
        <f t="shared" ref="R217:AB217" si="79">S191+S204+S213</f>
        <v>27.546960787803229</v>
      </c>
      <c r="T217" s="272">
        <f t="shared" si="79"/>
        <v>70.811566804855715</v>
      </c>
      <c r="U217" s="272">
        <f t="shared" si="79"/>
        <v>78.797678722349929</v>
      </c>
      <c r="V217" s="272">
        <f t="shared" si="79"/>
        <v>6.9942294297472927</v>
      </c>
      <c r="W217" s="272">
        <f t="shared" si="79"/>
        <v>7.6423270373950345</v>
      </c>
      <c r="X217" s="272">
        <f t="shared" si="79"/>
        <v>8.4277084870615795</v>
      </c>
      <c r="Y217" s="272">
        <f t="shared" si="79"/>
        <v>10.826273832231152</v>
      </c>
      <c r="Z217" s="272">
        <f t="shared" si="79"/>
        <v>16.131453769216819</v>
      </c>
      <c r="AA217" s="272">
        <f t="shared" si="79"/>
        <v>23.921390702582698</v>
      </c>
      <c r="AB217" s="272">
        <f t="shared" si="79"/>
        <v>-133.39294428654068</v>
      </c>
      <c r="AC217" s="1"/>
      <c r="AD217" s="1"/>
      <c r="AE217" s="145">
        <v>40.189020603450047</v>
      </c>
      <c r="AF217" s="146" t="e">
        <f t="shared" si="72"/>
        <v>#N/A</v>
      </c>
      <c r="AG217" s="145">
        <v>53.878314758176842</v>
      </c>
      <c r="AH217" s="146">
        <f t="shared" si="72"/>
        <v>-26.331353970373613</v>
      </c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284"/>
      <c r="B218" s="285"/>
      <c r="C218" s="13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1"/>
      <c r="AD218" s="1"/>
      <c r="AE218" s="156"/>
      <c r="AF218" s="157" t="str">
        <f t="shared" si="72"/>
        <v/>
      </c>
      <c r="AG218" s="156"/>
      <c r="AH218" s="157" t="str">
        <f t="shared" si="72"/>
        <v/>
      </c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80" t="s">
        <v>348</v>
      </c>
      <c r="B219" s="19" t="s">
        <v>348</v>
      </c>
      <c r="C219" s="13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259">
        <f>(Q191+Q198+Q199+Q211)/Q99</f>
        <v>0.34343804377690257</v>
      </c>
      <c r="R219" s="259">
        <f>(R191+R198+R199+R211)/R99</f>
        <v>0.54869360800564548</v>
      </c>
      <c r="S219" s="259">
        <f t="shared" ref="R219:AB219" si="80">(S191+S198+S199+S211)/S99</f>
        <v>0.3896215075727989</v>
      </c>
      <c r="T219" s="259">
        <f t="shared" si="80"/>
        <v>0.58252571214927684</v>
      </c>
      <c r="U219" s="259">
        <f t="shared" si="80"/>
        <v>0.68921464301638591</v>
      </c>
      <c r="V219" s="259">
        <f t="shared" si="80"/>
        <v>0.81382138001599647</v>
      </c>
      <c r="W219" s="259">
        <f t="shared" si="80"/>
        <v>0.97286768093082066</v>
      </c>
      <c r="X219" s="259">
        <f t="shared" si="80"/>
        <v>1.1687773346269854</v>
      </c>
      <c r="Y219" s="259">
        <f t="shared" si="80"/>
        <v>1.414626795078582</v>
      </c>
      <c r="Z219" s="259">
        <f t="shared" si="80"/>
        <v>1.7256326248219993</v>
      </c>
      <c r="AA219" s="259">
        <f t="shared" si="80"/>
        <v>2.1185063667897768</v>
      </c>
      <c r="AB219" s="259">
        <f t="shared" si="80"/>
        <v>2.6178355777925293</v>
      </c>
      <c r="AC219" s="1"/>
      <c r="AD219" s="1"/>
      <c r="AE219" s="156">
        <v>0.38895005673607036</v>
      </c>
      <c r="AF219" s="157" t="e">
        <f t="shared" si="72"/>
        <v>#N/A</v>
      </c>
      <c r="AG219" s="156">
        <v>0.48717763889777238</v>
      </c>
      <c r="AH219" s="157">
        <f t="shared" si="72"/>
        <v>-9.7556131324973483E-2</v>
      </c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284"/>
      <c r="B220" s="285"/>
      <c r="C220" s="13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1"/>
      <c r="AD220" s="1"/>
      <c r="AE220" s="156"/>
      <c r="AF220" s="157" t="str">
        <f t="shared" si="72"/>
        <v/>
      </c>
      <c r="AG220" s="156"/>
      <c r="AH220" s="157" t="str">
        <f t="shared" si="72"/>
        <v/>
      </c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80"/>
      <c r="B221" s="84" t="s">
        <v>349</v>
      </c>
      <c r="C221" s="160"/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"/>
      <c r="AD221" s="1"/>
      <c r="AE221" s="140"/>
      <c r="AF221" s="141" t="str">
        <f t="shared" si="72"/>
        <v/>
      </c>
      <c r="AG221" s="140"/>
      <c r="AH221" s="141" t="str">
        <f t="shared" si="72"/>
        <v/>
      </c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80"/>
      <c r="B222" s="90" t="s">
        <v>350</v>
      </c>
      <c r="C222" s="13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74"/>
      <c r="AF222" s="75" t="str">
        <f t="shared" si="72"/>
        <v/>
      </c>
      <c r="AG222" s="74"/>
      <c r="AH222" s="75" t="str">
        <f t="shared" si="72"/>
        <v/>
      </c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80"/>
      <c r="B223" s="92" t="s">
        <v>351</v>
      </c>
      <c r="C223" s="93" t="s">
        <v>75</v>
      </c>
      <c r="D223" s="2"/>
      <c r="E223" s="2"/>
      <c r="F223" s="2"/>
      <c r="G223" s="2"/>
      <c r="H223" s="2"/>
      <c r="I223" s="2"/>
      <c r="J223" s="2"/>
      <c r="K223" s="2">
        <v>51.9</v>
      </c>
      <c r="L223" s="2">
        <v>76.900000000000006</v>
      </c>
      <c r="M223" s="2">
        <v>103.5</v>
      </c>
      <c r="N223" s="2">
        <v>115</v>
      </c>
      <c r="O223" s="2">
        <v>142.69999999999999</v>
      </c>
      <c r="P223" s="2">
        <v>193.7</v>
      </c>
      <c r="Q223" s="2">
        <v>212.7</v>
      </c>
      <c r="R223" s="2">
        <v>212.7</v>
      </c>
      <c r="S223" s="2"/>
      <c r="T223" s="2"/>
      <c r="U223" s="2"/>
      <c r="V223" s="2"/>
      <c r="W223" s="2"/>
      <c r="X223" s="2"/>
      <c r="Y223" s="2"/>
      <c r="Z223" s="2"/>
      <c r="AA223" s="166"/>
      <c r="AB223" s="166"/>
      <c r="AC223" s="1"/>
      <c r="AD223" s="1"/>
      <c r="AE223" s="88"/>
      <c r="AF223" s="89" t="str">
        <f t="shared" si="72"/>
        <v/>
      </c>
      <c r="AG223" s="88"/>
      <c r="AH223" s="89" t="str">
        <f t="shared" si="72"/>
        <v/>
      </c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80"/>
      <c r="B224" s="92" t="s">
        <v>352</v>
      </c>
      <c r="C224" s="93" t="s">
        <v>75</v>
      </c>
      <c r="D224" s="2"/>
      <c r="E224" s="2"/>
      <c r="F224" s="2"/>
      <c r="G224" s="2"/>
      <c r="H224" s="2"/>
      <c r="I224" s="2"/>
      <c r="J224" s="2"/>
      <c r="K224" s="2">
        <v>6.7</v>
      </c>
      <c r="L224" s="2">
        <v>38.299999999999997</v>
      </c>
      <c r="M224" s="2">
        <v>44.8</v>
      </c>
      <c r="N224" s="2">
        <v>52.9</v>
      </c>
      <c r="O224" s="2">
        <v>67.3</v>
      </c>
      <c r="P224" s="2">
        <v>90.1</v>
      </c>
      <c r="Q224" s="2">
        <v>92.6</v>
      </c>
      <c r="R224" s="2">
        <v>92.6</v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1"/>
      <c r="AD224" s="1"/>
      <c r="AE224" s="88"/>
      <c r="AF224" s="89" t="str">
        <f t="shared" si="72"/>
        <v/>
      </c>
      <c r="AG224" s="88"/>
      <c r="AH224" s="89" t="str">
        <f t="shared" si="72"/>
        <v/>
      </c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80"/>
      <c r="B225" s="97" t="s">
        <v>350</v>
      </c>
      <c r="C225" s="5" t="s">
        <v>75</v>
      </c>
      <c r="D225" s="144"/>
      <c r="E225" s="144"/>
      <c r="F225" s="144"/>
      <c r="G225" s="144"/>
      <c r="H225" s="144"/>
      <c r="I225" s="144"/>
      <c r="J225" s="144"/>
      <c r="K225" s="144">
        <v>45.2</v>
      </c>
      <c r="L225" s="144">
        <v>38.6</v>
      </c>
      <c r="M225" s="144">
        <v>58.7</v>
      </c>
      <c r="N225" s="144">
        <v>62.1</v>
      </c>
      <c r="O225" s="144">
        <v>75.400000000000006</v>
      </c>
      <c r="P225" s="144">
        <v>103.5</v>
      </c>
      <c r="Q225" s="144">
        <v>120.1</v>
      </c>
      <c r="R225" s="144">
        <v>120.1</v>
      </c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"/>
      <c r="AD225" s="1"/>
      <c r="AE225" s="145"/>
      <c r="AF225" s="146" t="str">
        <f t="shared" si="72"/>
        <v/>
      </c>
      <c r="AG225" s="145"/>
      <c r="AH225" s="146" t="str">
        <f t="shared" si="72"/>
        <v/>
      </c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80"/>
      <c r="B226" s="97" t="s">
        <v>353</v>
      </c>
      <c r="C226" s="5" t="s">
        <v>75</v>
      </c>
      <c r="D226" s="144"/>
      <c r="E226" s="144"/>
      <c r="F226" s="144"/>
      <c r="G226" s="144"/>
      <c r="H226" s="144"/>
      <c r="I226" s="144"/>
      <c r="J226" s="144"/>
      <c r="K226" s="144">
        <v>0.14000000000000001</v>
      </c>
      <c r="L226" s="144">
        <v>0.12</v>
      </c>
      <c r="M226" s="144">
        <v>0.18</v>
      </c>
      <c r="N226" s="144">
        <v>0.19</v>
      </c>
      <c r="O226" s="144">
        <v>0.23</v>
      </c>
      <c r="P226" s="144">
        <v>0.32</v>
      </c>
      <c r="Q226" s="144">
        <v>0.37</v>
      </c>
      <c r="R226" s="144">
        <v>0.37</v>
      </c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"/>
      <c r="AD226" s="1"/>
      <c r="AE226" s="145"/>
      <c r="AF226" s="146" t="str">
        <f t="shared" si="72"/>
        <v/>
      </c>
      <c r="AG226" s="145"/>
      <c r="AH226" s="146" t="str">
        <f t="shared" si="72"/>
        <v/>
      </c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80"/>
      <c r="B227" s="92" t="s">
        <v>354</v>
      </c>
      <c r="C227" s="93" t="s">
        <v>6</v>
      </c>
      <c r="D227" s="2"/>
      <c r="E227" s="2"/>
      <c r="F227" s="2"/>
      <c r="G227" s="2"/>
      <c r="H227" s="2"/>
      <c r="I227" s="2"/>
      <c r="J227" s="2"/>
      <c r="K227" s="101">
        <v>4.0000000000000001E-3</v>
      </c>
      <c r="L227" s="101">
        <v>3.0000000000000001E-3</v>
      </c>
      <c r="M227" s="101">
        <v>5.0000000000000001E-3</v>
      </c>
      <c r="N227" s="101">
        <v>5.0000000000000001E-3</v>
      </c>
      <c r="O227" s="101">
        <v>6.0000000000000001E-3</v>
      </c>
      <c r="P227" s="101">
        <v>8.0000000000000002E-3</v>
      </c>
      <c r="Q227" s="101">
        <v>0.01</v>
      </c>
      <c r="R227" s="101">
        <v>0.01</v>
      </c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"/>
      <c r="AD227" s="1"/>
      <c r="AE227" s="119"/>
      <c r="AF227" s="120" t="str">
        <f t="shared" si="72"/>
        <v/>
      </c>
      <c r="AG227" s="119"/>
      <c r="AH227" s="120" t="str">
        <f t="shared" si="72"/>
        <v/>
      </c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80"/>
      <c r="B228" s="92" t="s">
        <v>355</v>
      </c>
      <c r="C228" s="93" t="s">
        <v>6</v>
      </c>
      <c r="D228" s="2"/>
      <c r="E228" s="2"/>
      <c r="F228" s="2"/>
      <c r="G228" s="2"/>
      <c r="H228" s="2"/>
      <c r="I228" s="2"/>
      <c r="J228" s="2"/>
      <c r="K228" s="101">
        <v>0.20399999999999999</v>
      </c>
      <c r="L228" s="101">
        <v>0.26900000000000002</v>
      </c>
      <c r="M228" s="101">
        <v>0.34699999999999998</v>
      </c>
      <c r="N228" s="101">
        <v>0.36899999999999999</v>
      </c>
      <c r="O228" s="101">
        <v>0.38700000000000001</v>
      </c>
      <c r="P228" s="101">
        <v>0.443</v>
      </c>
      <c r="Q228" s="101">
        <v>0.41299999999999998</v>
      </c>
      <c r="R228" s="101">
        <v>0.41299999999999998</v>
      </c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"/>
      <c r="AD228" s="1"/>
      <c r="AE228" s="119"/>
      <c r="AF228" s="120" t="str">
        <f t="shared" si="72"/>
        <v/>
      </c>
      <c r="AG228" s="119"/>
      <c r="AH228" s="120" t="str">
        <f t="shared" si="72"/>
        <v/>
      </c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80"/>
      <c r="B229" s="92" t="s">
        <v>337</v>
      </c>
      <c r="C229" s="93" t="s">
        <v>6</v>
      </c>
      <c r="D229" s="2"/>
      <c r="E229" s="2"/>
      <c r="F229" s="2"/>
      <c r="G229" s="2"/>
      <c r="H229" s="2"/>
      <c r="I229" s="2"/>
      <c r="J229" s="2"/>
      <c r="K229" s="101">
        <v>2.5999999999999999E-2</v>
      </c>
      <c r="L229" s="101">
        <v>0.13400000000000001</v>
      </c>
      <c r="M229" s="101">
        <v>0.15</v>
      </c>
      <c r="N229" s="101">
        <v>0.17</v>
      </c>
      <c r="O229" s="101">
        <v>0.182</v>
      </c>
      <c r="P229" s="101">
        <v>0.20599999999999999</v>
      </c>
      <c r="Q229" s="101">
        <v>0.18</v>
      </c>
      <c r="R229" s="101">
        <v>0.18</v>
      </c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"/>
      <c r="AD229" s="1"/>
      <c r="AE229" s="119"/>
      <c r="AF229" s="120" t="str">
        <f t="shared" si="72"/>
        <v/>
      </c>
      <c r="AG229" s="119"/>
      <c r="AH229" s="120" t="str">
        <f t="shared" si="72"/>
        <v/>
      </c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80"/>
      <c r="B230" s="92" t="s">
        <v>356</v>
      </c>
      <c r="C230" s="93" t="s">
        <v>6</v>
      </c>
      <c r="D230" s="2"/>
      <c r="E230" s="2"/>
      <c r="F230" s="2"/>
      <c r="G230" s="2"/>
      <c r="H230" s="2"/>
      <c r="I230" s="2"/>
      <c r="J230" s="2"/>
      <c r="K230" s="101">
        <v>0.17799999999999999</v>
      </c>
      <c r="L230" s="101">
        <v>0.13500000000000001</v>
      </c>
      <c r="M230" s="101">
        <v>0.19600000000000001</v>
      </c>
      <c r="N230" s="101">
        <v>0.19900000000000001</v>
      </c>
      <c r="O230" s="101">
        <v>0.20399999999999999</v>
      </c>
      <c r="P230" s="101">
        <v>0.23699999999999999</v>
      </c>
      <c r="Q230" s="101">
        <v>0.23300000000000001</v>
      </c>
      <c r="R230" s="101">
        <v>0.23300000000000001</v>
      </c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"/>
      <c r="AD230" s="1"/>
      <c r="AE230" s="119"/>
      <c r="AF230" s="120" t="str">
        <f t="shared" si="72"/>
        <v/>
      </c>
      <c r="AG230" s="119"/>
      <c r="AH230" s="120" t="str">
        <f t="shared" si="72"/>
        <v/>
      </c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80"/>
      <c r="B231" s="92" t="s">
        <v>357</v>
      </c>
      <c r="C231" s="93"/>
      <c r="D231" s="2"/>
      <c r="E231" s="2"/>
      <c r="F231" s="2"/>
      <c r="G231" s="2"/>
      <c r="H231" s="2"/>
      <c r="I231" s="2"/>
      <c r="J231" s="2"/>
      <c r="K231" s="101">
        <v>0.88600000000000001</v>
      </c>
      <c r="L231" s="101">
        <v>0.66</v>
      </c>
      <c r="M231" s="101">
        <v>0.93200000000000005</v>
      </c>
      <c r="N231" s="101">
        <v>0.85399999999999998</v>
      </c>
      <c r="O231" s="101">
        <v>0.84899999999999998</v>
      </c>
      <c r="P231" s="101">
        <v>1.006</v>
      </c>
      <c r="Q231" s="101">
        <v>1.018</v>
      </c>
      <c r="R231" s="101">
        <v>1.018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1"/>
      <c r="AD231" s="1"/>
      <c r="AE231" s="88"/>
      <c r="AF231" s="89" t="str">
        <f t="shared" si="72"/>
        <v/>
      </c>
      <c r="AG231" s="88"/>
      <c r="AH231" s="89" t="str">
        <f t="shared" si="72"/>
        <v/>
      </c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284"/>
      <c r="B232" s="285"/>
      <c r="C232" s="171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159"/>
      <c r="AC232" s="159"/>
      <c r="AD232" s="159"/>
      <c r="AE232" s="173"/>
      <c r="AF232" s="174" t="str">
        <f t="shared" si="72"/>
        <v/>
      </c>
      <c r="AG232" s="173"/>
      <c r="AH232" s="174" t="str">
        <f t="shared" si="72"/>
        <v/>
      </c>
      <c r="AI232" s="159"/>
      <c r="AJ232" s="159"/>
      <c r="AK232" s="159"/>
      <c r="AL232" s="159"/>
      <c r="AM232" s="159"/>
      <c r="AN232" s="159"/>
      <c r="AO232" s="159"/>
      <c r="AP232" s="159"/>
      <c r="AQ232" s="159"/>
      <c r="AR232" s="159"/>
    </row>
    <row r="233" spans="1:44" x14ac:dyDescent="0.25">
      <c r="A233" s="80"/>
      <c r="B233" s="90" t="s">
        <v>358</v>
      </c>
      <c r="C233" s="13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74"/>
      <c r="AF233" s="75" t="str">
        <f t="shared" si="72"/>
        <v/>
      </c>
      <c r="AG233" s="74"/>
      <c r="AH233" s="75" t="str">
        <f t="shared" si="72"/>
        <v/>
      </c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80"/>
      <c r="B234" s="92" t="s">
        <v>350</v>
      </c>
      <c r="C234" s="93" t="s">
        <v>75</v>
      </c>
      <c r="D234" s="2"/>
      <c r="E234" s="2"/>
      <c r="F234" s="2"/>
      <c r="G234" s="2"/>
      <c r="H234" s="2"/>
      <c r="I234" s="2"/>
      <c r="J234" s="2"/>
      <c r="K234" s="2">
        <v>45</v>
      </c>
      <c r="L234" s="2">
        <v>39</v>
      </c>
      <c r="M234" s="2">
        <v>59</v>
      </c>
      <c r="N234" s="2">
        <v>62</v>
      </c>
      <c r="O234" s="2">
        <v>75</v>
      </c>
      <c r="P234" s="2">
        <v>104</v>
      </c>
      <c r="Q234" s="2">
        <v>120</v>
      </c>
      <c r="R234" s="2">
        <v>120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1"/>
      <c r="AD234" s="1"/>
      <c r="AE234" s="88"/>
      <c r="AF234" s="89" t="str">
        <f t="shared" si="72"/>
        <v/>
      </c>
      <c r="AG234" s="88"/>
      <c r="AH234" s="89" t="str">
        <f t="shared" si="72"/>
        <v/>
      </c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80"/>
      <c r="B235" s="92" t="s">
        <v>55</v>
      </c>
      <c r="C235" s="93" t="s">
        <v>75</v>
      </c>
      <c r="D235" s="2"/>
      <c r="E235" s="2"/>
      <c r="F235" s="2"/>
      <c r="G235" s="2"/>
      <c r="H235" s="2"/>
      <c r="I235" s="2"/>
      <c r="J235" s="2"/>
      <c r="K235" s="2">
        <v>28</v>
      </c>
      <c r="L235" s="2">
        <v>38</v>
      </c>
      <c r="M235" s="2">
        <v>41</v>
      </c>
      <c r="N235" s="2">
        <v>45</v>
      </c>
      <c r="O235" s="2">
        <v>55</v>
      </c>
      <c r="P235" s="2">
        <v>63</v>
      </c>
      <c r="Q235" s="2">
        <v>73</v>
      </c>
      <c r="R235" s="2">
        <v>73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1"/>
      <c r="AD235" s="1"/>
      <c r="AE235" s="88"/>
      <c r="AF235" s="89" t="str">
        <f t="shared" si="72"/>
        <v/>
      </c>
      <c r="AG235" s="88"/>
      <c r="AH235" s="89" t="str">
        <f t="shared" si="72"/>
        <v/>
      </c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80"/>
      <c r="B236" s="92" t="s">
        <v>359</v>
      </c>
      <c r="C236" s="93" t="s">
        <v>75</v>
      </c>
      <c r="D236" s="2"/>
      <c r="E236" s="2"/>
      <c r="F236" s="2"/>
      <c r="G236" s="2"/>
      <c r="H236" s="2"/>
      <c r="I236" s="2"/>
      <c r="J236" s="2"/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1"/>
      <c r="AD236" s="1"/>
      <c r="AE236" s="88"/>
      <c r="AF236" s="89" t="str">
        <f t="shared" si="72"/>
        <v/>
      </c>
      <c r="AG236" s="88"/>
      <c r="AH236" s="89" t="str">
        <f t="shared" si="72"/>
        <v/>
      </c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80"/>
      <c r="B237" s="92" t="s">
        <v>360</v>
      </c>
      <c r="C237" s="93" t="s">
        <v>75</v>
      </c>
      <c r="D237" s="2"/>
      <c r="E237" s="2"/>
      <c r="F237" s="2"/>
      <c r="G237" s="2"/>
      <c r="H237" s="2"/>
      <c r="I237" s="2"/>
      <c r="J237" s="2"/>
      <c r="K237" s="2">
        <v>17</v>
      </c>
      <c r="L237" s="2">
        <v>1</v>
      </c>
      <c r="M237" s="2">
        <v>18</v>
      </c>
      <c r="N237" s="2">
        <v>17</v>
      </c>
      <c r="O237" s="2">
        <v>20</v>
      </c>
      <c r="P237" s="2">
        <v>40</v>
      </c>
      <c r="Q237" s="2">
        <v>47</v>
      </c>
      <c r="R237" s="2">
        <v>47</v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1"/>
      <c r="AD237" s="1"/>
      <c r="AE237" s="88"/>
      <c r="AF237" s="89" t="str">
        <f t="shared" si="72"/>
        <v/>
      </c>
      <c r="AG237" s="88"/>
      <c r="AH237" s="89" t="str">
        <f t="shared" si="72"/>
        <v/>
      </c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80"/>
      <c r="B238" s="92" t="s">
        <v>361</v>
      </c>
      <c r="C238" s="93" t="s">
        <v>9</v>
      </c>
      <c r="D238" s="2"/>
      <c r="E238" s="2"/>
      <c r="F238" s="2"/>
      <c r="G238" s="2"/>
      <c r="H238" s="2"/>
      <c r="I238" s="2"/>
      <c r="J238" s="2"/>
      <c r="K238" s="2">
        <v>0</v>
      </c>
      <c r="L238" s="2">
        <v>0</v>
      </c>
      <c r="M238" s="2">
        <v>-1.22</v>
      </c>
      <c r="N238" s="2">
        <v>-1.1399999999999999</v>
      </c>
      <c r="O238" s="2">
        <v>-1.1599999999999999</v>
      </c>
      <c r="P238" s="2">
        <v>-1.23</v>
      </c>
      <c r="Q238" s="2">
        <v>-1.29</v>
      </c>
      <c r="R238" s="2">
        <v>-1.29</v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1"/>
      <c r="AD238" s="1"/>
      <c r="AE238" s="88"/>
      <c r="AF238" s="89" t="str">
        <f t="shared" si="72"/>
        <v/>
      </c>
      <c r="AG238" s="88"/>
      <c r="AH238" s="89" t="str">
        <f t="shared" si="72"/>
        <v/>
      </c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284"/>
      <c r="B239" s="285"/>
      <c r="C239" s="171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  <c r="AC239" s="159"/>
      <c r="AD239" s="159"/>
      <c r="AE239" s="173"/>
      <c r="AF239" s="174" t="str">
        <f t="shared" si="72"/>
        <v/>
      </c>
      <c r="AG239" s="173"/>
      <c r="AH239" s="174" t="str">
        <f t="shared" si="72"/>
        <v/>
      </c>
      <c r="AI239" s="159"/>
      <c r="AJ239" s="159"/>
      <c r="AK239" s="159"/>
      <c r="AL239" s="159"/>
      <c r="AM239" s="159"/>
      <c r="AN239" s="159"/>
      <c r="AO239" s="159"/>
      <c r="AP239" s="159"/>
      <c r="AQ239" s="159"/>
      <c r="AR239" s="159"/>
    </row>
    <row r="240" spans="1:44" x14ac:dyDescent="0.25">
      <c r="A240" s="80"/>
      <c r="B240" s="90" t="s">
        <v>358</v>
      </c>
      <c r="C240" s="13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74"/>
      <c r="AF240" s="75" t="str">
        <f t="shared" si="72"/>
        <v/>
      </c>
      <c r="AG240" s="74"/>
      <c r="AH240" s="75" t="str">
        <f t="shared" si="72"/>
        <v/>
      </c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80"/>
      <c r="B241" s="92" t="s">
        <v>85</v>
      </c>
      <c r="C241" s="93" t="s">
        <v>75</v>
      </c>
      <c r="D241" s="2"/>
      <c r="E241" s="2"/>
      <c r="F241" s="2"/>
      <c r="G241" s="2"/>
      <c r="H241" s="2"/>
      <c r="I241" s="2"/>
      <c r="J241" s="2"/>
      <c r="K241" s="2">
        <v>51</v>
      </c>
      <c r="L241" s="2">
        <v>58</v>
      </c>
      <c r="M241" s="2">
        <v>63</v>
      </c>
      <c r="N241" s="2">
        <v>73</v>
      </c>
      <c r="O241" s="2">
        <v>89</v>
      </c>
      <c r="P241" s="2">
        <v>103</v>
      </c>
      <c r="Q241" s="2">
        <v>118</v>
      </c>
      <c r="R241" s="2">
        <v>118</v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1"/>
      <c r="AD241" s="1"/>
      <c r="AE241" s="88"/>
      <c r="AF241" s="89" t="str">
        <f t="shared" si="72"/>
        <v/>
      </c>
      <c r="AG241" s="88"/>
      <c r="AH241" s="89" t="str">
        <f t="shared" si="72"/>
        <v/>
      </c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80"/>
      <c r="B242" s="92" t="s">
        <v>350</v>
      </c>
      <c r="C242" s="93" t="s">
        <v>75</v>
      </c>
      <c r="D242" s="2"/>
      <c r="E242" s="2"/>
      <c r="F242" s="2"/>
      <c r="G242" s="2"/>
      <c r="H242" s="2"/>
      <c r="I242" s="2"/>
      <c r="J242" s="2"/>
      <c r="K242" s="2">
        <v>45</v>
      </c>
      <c r="L242" s="2">
        <v>39</v>
      </c>
      <c r="M242" s="2">
        <v>59</v>
      </c>
      <c r="N242" s="2">
        <v>62</v>
      </c>
      <c r="O242" s="2">
        <v>75</v>
      </c>
      <c r="P242" s="2">
        <v>104</v>
      </c>
      <c r="Q242" s="2">
        <v>120</v>
      </c>
      <c r="R242" s="2">
        <v>120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1"/>
      <c r="AD242" s="1"/>
      <c r="AE242" s="88"/>
      <c r="AF242" s="89" t="str">
        <f t="shared" si="72"/>
        <v/>
      </c>
      <c r="AG242" s="88"/>
      <c r="AH242" s="89" t="str">
        <f t="shared" si="72"/>
        <v/>
      </c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80"/>
      <c r="B243" s="92" t="s">
        <v>362</v>
      </c>
      <c r="C243" s="93" t="s">
        <v>75</v>
      </c>
      <c r="D243" s="2"/>
      <c r="E243" s="2"/>
      <c r="F243" s="2"/>
      <c r="G243" s="2"/>
      <c r="H243" s="2"/>
      <c r="I243" s="2"/>
      <c r="J243" s="2"/>
      <c r="K243" s="2">
        <v>28</v>
      </c>
      <c r="L243" s="2">
        <v>38</v>
      </c>
      <c r="M243" s="2">
        <v>41</v>
      </c>
      <c r="N243" s="2">
        <v>45</v>
      </c>
      <c r="O243" s="2">
        <v>55</v>
      </c>
      <c r="P243" s="2">
        <v>63</v>
      </c>
      <c r="Q243" s="2">
        <v>73</v>
      </c>
      <c r="R243" s="2">
        <v>73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1"/>
      <c r="AD243" s="1"/>
      <c r="AE243" s="88"/>
      <c r="AF243" s="89" t="str">
        <f t="shared" si="72"/>
        <v/>
      </c>
      <c r="AG243" s="88"/>
      <c r="AH243" s="89" t="str">
        <f t="shared" si="72"/>
        <v/>
      </c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80"/>
      <c r="B244" s="92" t="s">
        <v>363</v>
      </c>
      <c r="C244" s="93" t="s">
        <v>6</v>
      </c>
      <c r="D244" s="2"/>
      <c r="E244" s="2"/>
      <c r="F244" s="2"/>
      <c r="G244" s="2"/>
      <c r="H244" s="2"/>
      <c r="I244" s="2"/>
      <c r="J244" s="2"/>
      <c r="K244" s="66">
        <v>0.56000000000000005</v>
      </c>
      <c r="L244" s="66">
        <v>0.65</v>
      </c>
      <c r="M244" s="66">
        <v>0.65</v>
      </c>
      <c r="N244" s="66">
        <v>0.61</v>
      </c>
      <c r="O244" s="66">
        <v>0.62</v>
      </c>
      <c r="P244" s="66">
        <v>0.62</v>
      </c>
      <c r="Q244" s="66">
        <v>0.62</v>
      </c>
      <c r="R244" s="66">
        <v>0.62</v>
      </c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1"/>
      <c r="AD244" s="1"/>
      <c r="AE244" s="102"/>
      <c r="AF244" s="103" t="str">
        <f t="shared" si="72"/>
        <v/>
      </c>
      <c r="AG244" s="102"/>
      <c r="AH244" s="103" t="str">
        <f t="shared" si="72"/>
        <v/>
      </c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80"/>
      <c r="B245" s="92" t="s">
        <v>364</v>
      </c>
      <c r="C245" s="93" t="s">
        <v>6</v>
      </c>
      <c r="D245" s="2"/>
      <c r="E245" s="2"/>
      <c r="F245" s="2"/>
      <c r="G245" s="2"/>
      <c r="H245" s="2"/>
      <c r="I245" s="2"/>
      <c r="J245" s="2"/>
      <c r="K245" s="66">
        <v>0.63</v>
      </c>
      <c r="L245" s="66">
        <v>0.98</v>
      </c>
      <c r="M245" s="66">
        <v>0.7</v>
      </c>
      <c r="N245" s="66">
        <v>0.72</v>
      </c>
      <c r="O245" s="66">
        <v>0.73</v>
      </c>
      <c r="P245" s="66">
        <v>0.61</v>
      </c>
      <c r="Q245" s="66">
        <v>0.61</v>
      </c>
      <c r="R245" s="66">
        <v>0.61</v>
      </c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1"/>
      <c r="AD245" s="1"/>
      <c r="AE245" s="102"/>
      <c r="AF245" s="103" t="str">
        <f t="shared" si="72"/>
        <v/>
      </c>
      <c r="AG245" s="102"/>
      <c r="AH245" s="103" t="str">
        <f t="shared" si="72"/>
        <v/>
      </c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284"/>
      <c r="B246" s="285"/>
      <c r="C246" s="13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1"/>
      <c r="AD246" s="1"/>
      <c r="AE246" s="156"/>
      <c r="AF246" s="157" t="str">
        <f t="shared" si="72"/>
        <v/>
      </c>
      <c r="AG246" s="156"/>
      <c r="AH246" s="157" t="str">
        <f t="shared" si="72"/>
        <v/>
      </c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80"/>
      <c r="B247" s="84" t="s">
        <v>20</v>
      </c>
      <c r="C247" s="160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>
        <v>2</v>
      </c>
      <c r="T247" s="165">
        <v>3</v>
      </c>
      <c r="U247" s="165">
        <v>4</v>
      </c>
      <c r="V247" s="165">
        <v>5</v>
      </c>
      <c r="W247" s="165">
        <v>6</v>
      </c>
      <c r="X247" s="165">
        <v>7</v>
      </c>
      <c r="Y247" s="165">
        <v>8</v>
      </c>
      <c r="Z247" s="165">
        <v>9</v>
      </c>
      <c r="AA247" s="165">
        <v>10</v>
      </c>
      <c r="AB247" s="165">
        <v>11</v>
      </c>
      <c r="AC247" s="1"/>
      <c r="AD247" s="1"/>
      <c r="AE247" s="140">
        <v>1</v>
      </c>
      <c r="AF247" s="141" t="e">
        <f t="shared" si="72"/>
        <v>#N/A</v>
      </c>
      <c r="AG247" s="140">
        <v>2</v>
      </c>
      <c r="AH247" s="141">
        <f t="shared" si="72"/>
        <v>0</v>
      </c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80"/>
      <c r="B248" s="92" t="s">
        <v>365</v>
      </c>
      <c r="C248" s="93" t="s">
        <v>6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66">
        <f>(1+Value!$K$7)^S247</f>
        <v>1.1968360000000002</v>
      </c>
      <c r="T248" s="66">
        <f>(1+Value!$K$7)^T247</f>
        <v>1.3093385840000002</v>
      </c>
      <c r="U248" s="66">
        <f>(1+Value!$K$7)^U247</f>
        <v>1.4324164108960005</v>
      </c>
      <c r="V248" s="66">
        <f>(1+Value!$K$7)^V247</f>
        <v>1.5670635535202246</v>
      </c>
      <c r="W248" s="66">
        <f>(1+Value!$K$7)^W247</f>
        <v>1.7143675275511259</v>
      </c>
      <c r="X248" s="66">
        <f>(1+Value!$K$7)^X247</f>
        <v>1.8755180751409317</v>
      </c>
      <c r="Y248" s="66">
        <f>(1+Value!$K$7)^Y247</f>
        <v>2.0518167742041795</v>
      </c>
      <c r="Z248" s="66">
        <f>(1+Value!$K$7)^Z247</f>
        <v>2.2446875509793727</v>
      </c>
      <c r="AA248" s="66">
        <f>(1+Value!$K$7)^AA247</f>
        <v>2.4556881807714337</v>
      </c>
      <c r="AB248" s="66">
        <f>(1+Value!$K$7)^AB247</f>
        <v>2.6865228697639485</v>
      </c>
      <c r="AC248" s="1"/>
      <c r="AD248" s="1"/>
      <c r="AE248" s="102">
        <v>1.0940000000000001</v>
      </c>
      <c r="AF248" s="103" t="e">
        <f t="shared" si="72"/>
        <v>#N/A</v>
      </c>
      <c r="AG248" s="102">
        <v>1.1968360000000002</v>
      </c>
      <c r="AH248" s="103">
        <f t="shared" si="72"/>
        <v>0</v>
      </c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80"/>
      <c r="B249" s="92" t="s">
        <v>366</v>
      </c>
      <c r="C249" s="93" t="s">
        <v>238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>
        <f t="shared" ref="S249:AB249" si="81">S107</f>
        <v>0.30742455066547819</v>
      </c>
      <c r="T249" s="2">
        <f t="shared" si="81"/>
        <v>0.36877772792868507</v>
      </c>
      <c r="U249" s="2">
        <f t="shared" si="81"/>
        <v>0.45160031906462972</v>
      </c>
      <c r="V249" s="2">
        <f t="shared" si="81"/>
        <v>0.55097080965073719</v>
      </c>
      <c r="W249" s="2">
        <f t="shared" si="81"/>
        <v>0.66990526375763593</v>
      </c>
      <c r="X249" s="2">
        <f t="shared" si="81"/>
        <v>0.81834210293681797</v>
      </c>
      <c r="Y249" s="2">
        <f t="shared" si="81"/>
        <v>1.0043916128813304</v>
      </c>
      <c r="Z249" s="2">
        <f t="shared" si="81"/>
        <v>1.23851596305495</v>
      </c>
      <c r="AA249" s="2">
        <f t="shared" si="81"/>
        <v>1.5346548092021401</v>
      </c>
      <c r="AB249" s="2">
        <f t="shared" si="81"/>
        <v>2.4652166878344746</v>
      </c>
      <c r="AC249" s="1"/>
      <c r="AD249" s="1"/>
      <c r="AE249" s="88">
        <v>0.26797935630953656</v>
      </c>
      <c r="AF249" s="89" t="e">
        <f t="shared" si="72"/>
        <v>#N/A</v>
      </c>
      <c r="AG249" s="88">
        <v>0.32480090475927231</v>
      </c>
      <c r="AH249" s="89">
        <f t="shared" si="72"/>
        <v>-1.7376354093794122E-2</v>
      </c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80"/>
      <c r="B250" s="92" t="s">
        <v>367</v>
      </c>
      <c r="C250" s="93" t="s">
        <v>238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62">
        <f>AB249/(Value!K7-Value!K10)</f>
        <v>72.506373171602164</v>
      </c>
      <c r="AB250" s="2"/>
      <c r="AC250" s="1"/>
      <c r="AD250" s="1"/>
      <c r="AE250" s="88"/>
      <c r="AF250" s="89" t="str">
        <f t="shared" si="72"/>
        <v/>
      </c>
      <c r="AG250" s="88"/>
      <c r="AH250" s="89" t="str">
        <f t="shared" si="72"/>
        <v/>
      </c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80"/>
      <c r="B251" s="175" t="s">
        <v>368</v>
      </c>
      <c r="C251" s="5" t="s">
        <v>238</v>
      </c>
      <c r="D251" s="176">
        <f>SUM(R251:AB251)</f>
        <v>34.142187923032253</v>
      </c>
      <c r="E251" s="177"/>
      <c r="F251" s="177"/>
      <c r="G251" s="177"/>
      <c r="H251" s="177"/>
      <c r="I251" s="177"/>
      <c r="J251" s="177"/>
      <c r="K251" s="144"/>
      <c r="L251" s="144"/>
      <c r="M251" s="144"/>
      <c r="N251" s="144"/>
      <c r="O251" s="144"/>
      <c r="P251" s="144"/>
      <c r="Q251" s="144"/>
      <c r="R251" s="144"/>
      <c r="S251" s="265">
        <f t="shared" ref="S251:T251" si="82">S249/S248</f>
        <v>0.25686439133304656</v>
      </c>
      <c r="T251" s="265">
        <f t="shared" si="82"/>
        <v>0.28165192138619893</v>
      </c>
      <c r="U251" s="265">
        <f t="shared" ref="U251:Z251" si="83">(U249+U250)/U248</f>
        <v>0.31527167353670998</v>
      </c>
      <c r="V251" s="265">
        <f t="shared" si="83"/>
        <v>0.35159442539075447</v>
      </c>
      <c r="W251" s="265">
        <f t="shared" si="83"/>
        <v>0.39075942176445477</v>
      </c>
      <c r="X251" s="265">
        <f t="shared" si="83"/>
        <v>0.43632856104323359</v>
      </c>
      <c r="Y251" s="265">
        <f t="shared" si="83"/>
        <v>0.48951330621170847</v>
      </c>
      <c r="Z251" s="265">
        <f t="shared" si="83"/>
        <v>0.55175427979478786</v>
      </c>
      <c r="AA251" s="265">
        <f>(AA249+AA250)/AA248</f>
        <v>30.150826379571097</v>
      </c>
      <c r="AB251" s="265">
        <f>(AB249+AB250)/AB248</f>
        <v>0.91762356300025871</v>
      </c>
      <c r="AC251" s="1"/>
      <c r="AD251" s="1"/>
      <c r="AE251" s="145">
        <v>0.24495370777836978</v>
      </c>
      <c r="AF251" s="146" t="e">
        <f t="shared" si="72"/>
        <v>#N/A</v>
      </c>
      <c r="AG251" s="145">
        <v>0.27138296705586418</v>
      </c>
      <c r="AH251" s="146">
        <f t="shared" si="72"/>
        <v>-1.4518575722817617E-2</v>
      </c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80"/>
      <c r="B252" s="164" t="s">
        <v>369</v>
      </c>
      <c r="C252" s="115" t="s">
        <v>9</v>
      </c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266">
        <f>$D$251/S101</f>
        <v>68.856428240547302</v>
      </c>
      <c r="T252" s="266">
        <f t="shared" ref="T252:AA252" si="84">$D$251/T101</f>
        <v>57.400853981001625</v>
      </c>
      <c r="U252" s="266">
        <f t="shared" si="84"/>
        <v>46.873652693878114</v>
      </c>
      <c r="V252" s="266">
        <f t="shared" si="84"/>
        <v>38.419742283077724</v>
      </c>
      <c r="W252" s="266">
        <f t="shared" si="84"/>
        <v>31.598731428894091</v>
      </c>
      <c r="X252" s="266">
        <f t="shared" si="84"/>
        <v>25.867123830379697</v>
      </c>
      <c r="Y252" s="266">
        <f t="shared" si="84"/>
        <v>21.075600633058084</v>
      </c>
      <c r="Z252" s="266">
        <f t="shared" si="84"/>
        <v>17.091549195753736</v>
      </c>
      <c r="AA252" s="266">
        <f t="shared" si="84"/>
        <v>13.793431842360187</v>
      </c>
      <c r="AB252" s="72"/>
      <c r="AC252" s="1"/>
      <c r="AD252" s="1"/>
      <c r="AE252" s="156">
        <v>94.448958185701429</v>
      </c>
      <c r="AF252" s="157" t="e">
        <f t="shared" si="72"/>
        <v>#N/A</v>
      </c>
      <c r="AG252" s="156">
        <v>77.925802077027782</v>
      </c>
      <c r="AH252" s="157">
        <f t="shared" si="72"/>
        <v>-9.0693738364804801</v>
      </c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80"/>
      <c r="B253" s="164" t="s">
        <v>370</v>
      </c>
      <c r="C253" s="115" t="s">
        <v>9</v>
      </c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266">
        <f t="shared" ref="S253:AA253" si="85">($D$251*S96+S162)/S50</f>
        <v>36.333789723915714</v>
      </c>
      <c r="T253" s="266">
        <f t="shared" si="85"/>
        <v>30.688592628508051</v>
      </c>
      <c r="U253" s="266">
        <f t="shared" si="85"/>
        <v>25.373543489859173</v>
      </c>
      <c r="V253" s="266">
        <f t="shared" si="85"/>
        <v>20.929935780902451</v>
      </c>
      <c r="W253" s="266">
        <f t="shared" si="85"/>
        <v>17.191950575756199</v>
      </c>
      <c r="X253" s="266">
        <f t="shared" si="85"/>
        <v>14.037075709421192</v>
      </c>
      <c r="Y253" s="266">
        <f t="shared" si="85"/>
        <v>11.393141083244949</v>
      </c>
      <c r="Z253" s="266">
        <f t="shared" si="85"/>
        <v>9.1902931969025907</v>
      </c>
      <c r="AA253" s="266">
        <f t="shared" si="85"/>
        <v>7.3643235533368498</v>
      </c>
      <c r="AB253" s="72"/>
      <c r="AC253" s="1"/>
      <c r="AD253" s="1"/>
      <c r="AE253" s="156">
        <v>50.560109757768409</v>
      </c>
      <c r="AF253" s="157" t="e">
        <f t="shared" si="72"/>
        <v>#N/A</v>
      </c>
      <c r="AG253" s="156">
        <v>42.381231395954373</v>
      </c>
      <c r="AH253" s="157">
        <f t="shared" si="72"/>
        <v>-6.0474416720386586</v>
      </c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80"/>
      <c r="B254" s="164" t="s">
        <v>371</v>
      </c>
      <c r="C254" s="115" t="s">
        <v>6</v>
      </c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178"/>
      <c r="T254" s="178"/>
      <c r="U254" s="178"/>
      <c r="V254" s="178"/>
      <c r="W254" s="178"/>
      <c r="X254" s="178"/>
      <c r="Y254" s="178"/>
      <c r="Z254" s="178"/>
      <c r="AA254" s="178"/>
      <c r="AB254" s="72"/>
      <c r="AC254" s="1"/>
      <c r="AD254" s="1"/>
      <c r="AE254" s="179"/>
      <c r="AF254" s="180" t="str">
        <f t="shared" si="72"/>
        <v/>
      </c>
      <c r="AG254" s="179"/>
      <c r="AH254" s="180" t="str">
        <f t="shared" si="72"/>
        <v/>
      </c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80"/>
      <c r="B255" s="164" t="s">
        <v>372</v>
      </c>
      <c r="C255" s="115" t="s">
        <v>6</v>
      </c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178"/>
      <c r="T255" s="178"/>
      <c r="U255" s="178"/>
      <c r="V255" s="178"/>
      <c r="W255" s="178"/>
      <c r="X255" s="178"/>
      <c r="Y255" s="178"/>
      <c r="Z255" s="178"/>
      <c r="AA255" s="178"/>
      <c r="AB255" s="72"/>
      <c r="AC255" s="1"/>
      <c r="AD255" s="1"/>
      <c r="AE255" s="179"/>
      <c r="AF255" s="180" t="str">
        <f t="shared" si="72"/>
        <v/>
      </c>
      <c r="AG255" s="179"/>
      <c r="AH255" s="180" t="str">
        <f t="shared" si="72"/>
        <v/>
      </c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284"/>
      <c r="B256" s="285"/>
      <c r="C256" s="115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1"/>
      <c r="AD256" s="1"/>
      <c r="AE256" s="156"/>
      <c r="AF256" s="157" t="str">
        <f t="shared" si="72"/>
        <v/>
      </c>
      <c r="AG256" s="156"/>
      <c r="AH256" s="157" t="str">
        <f t="shared" si="72"/>
        <v/>
      </c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80"/>
      <c r="B257" s="92" t="s">
        <v>69</v>
      </c>
      <c r="C257" s="115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2"/>
      <c r="T257" s="2"/>
      <c r="U257" s="2"/>
      <c r="V257" s="2"/>
      <c r="W257" s="2"/>
      <c r="X257" s="2"/>
      <c r="Y257" s="2"/>
      <c r="Z257" s="181"/>
      <c r="AA257" s="181"/>
      <c r="AB257" s="181"/>
      <c r="AC257" s="1"/>
      <c r="AD257" s="1"/>
      <c r="AE257" s="88"/>
      <c r="AF257" s="89" t="str">
        <f t="shared" si="72"/>
        <v/>
      </c>
      <c r="AG257" s="88"/>
      <c r="AH257" s="89" t="str">
        <f t="shared" si="72"/>
        <v/>
      </c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80"/>
      <c r="B258" s="92" t="s">
        <v>373</v>
      </c>
      <c r="C258" s="115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1"/>
      <c r="AD258" s="1"/>
      <c r="AE258" s="88"/>
      <c r="AF258" s="89" t="str">
        <f t="shared" si="72"/>
        <v/>
      </c>
      <c r="AG258" s="88"/>
      <c r="AH258" s="89" t="str">
        <f t="shared" si="72"/>
        <v/>
      </c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80"/>
      <c r="B259" s="92" t="s">
        <v>374</v>
      </c>
      <c r="C259" s="115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1"/>
      <c r="AD259" s="1"/>
      <c r="AE259" s="88"/>
      <c r="AF259" s="89" t="str">
        <f t="shared" si="72"/>
        <v/>
      </c>
      <c r="AG259" s="88"/>
      <c r="AH259" s="89" t="str">
        <f t="shared" si="72"/>
        <v/>
      </c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80"/>
      <c r="B260" s="92" t="s">
        <v>81</v>
      </c>
      <c r="C260" s="115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1"/>
      <c r="AD260" s="1"/>
      <c r="AE260" s="88"/>
      <c r="AF260" s="89" t="str">
        <f t="shared" si="72"/>
        <v/>
      </c>
      <c r="AG260" s="88"/>
      <c r="AH260" s="89" t="str">
        <f t="shared" si="72"/>
        <v/>
      </c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80"/>
      <c r="B261" s="92" t="s">
        <v>350</v>
      </c>
      <c r="C261" s="115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1"/>
      <c r="AD261" s="1"/>
      <c r="AE261" s="88"/>
      <c r="AF261" s="89" t="str">
        <f t="shared" si="72"/>
        <v/>
      </c>
      <c r="AG261" s="88"/>
      <c r="AH261" s="89" t="str">
        <f t="shared" si="72"/>
        <v/>
      </c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80"/>
      <c r="B262" s="92" t="s">
        <v>367</v>
      </c>
      <c r="C262" s="115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2"/>
      <c r="T262" s="2"/>
      <c r="U262" s="2"/>
      <c r="V262" s="2"/>
      <c r="W262" s="2"/>
      <c r="X262" s="2"/>
      <c r="Y262" s="2"/>
      <c r="Z262" s="2"/>
      <c r="AA262" s="182"/>
      <c r="AB262" s="2"/>
      <c r="AC262" s="1"/>
      <c r="AD262" s="1"/>
      <c r="AE262" s="88"/>
      <c r="AF262" s="89" t="str">
        <f t="shared" si="72"/>
        <v/>
      </c>
      <c r="AG262" s="88"/>
      <c r="AH262" s="89" t="str">
        <f t="shared" si="72"/>
        <v/>
      </c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80"/>
      <c r="B263" s="175" t="s">
        <v>375</v>
      </c>
      <c r="C263" s="5" t="s">
        <v>75</v>
      </c>
      <c r="D263" s="176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62"/>
      <c r="AB263" s="144"/>
      <c r="AC263" s="1"/>
      <c r="AD263" s="1"/>
      <c r="AE263" s="145"/>
      <c r="AF263" s="146" t="str">
        <f t="shared" ref="AF263:AH296" si="86">IF(ISBLANK(AE263),"",INDEX($A263:$AB263,1,MATCH(AE$3,$A$3:$AB$3,0))-AE263)</f>
        <v/>
      </c>
      <c r="AG263" s="145"/>
      <c r="AH263" s="146" t="str">
        <f t="shared" si="86"/>
        <v/>
      </c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80"/>
      <c r="B264" s="19" t="s">
        <v>376</v>
      </c>
      <c r="C264" s="5" t="s">
        <v>75</v>
      </c>
      <c r="D264" s="183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184"/>
      <c r="Q264" s="184"/>
      <c r="R264" s="184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1"/>
      <c r="AD264" s="1"/>
      <c r="AE264" s="88"/>
      <c r="AF264" s="89" t="str">
        <f t="shared" si="86"/>
        <v/>
      </c>
      <c r="AG264" s="88"/>
      <c r="AH264" s="89" t="str">
        <f t="shared" si="86"/>
        <v/>
      </c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80"/>
      <c r="B265" s="19" t="s">
        <v>377</v>
      </c>
      <c r="C265" s="5" t="s">
        <v>75</v>
      </c>
      <c r="D265" s="183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1"/>
      <c r="AD265" s="1"/>
      <c r="AE265" s="156"/>
      <c r="AF265" s="157" t="str">
        <f t="shared" si="86"/>
        <v/>
      </c>
      <c r="AG265" s="156"/>
      <c r="AH265" s="157" t="str">
        <f t="shared" si="86"/>
        <v/>
      </c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284"/>
      <c r="B266" s="285"/>
      <c r="C266" s="5" t="s">
        <v>238</v>
      </c>
      <c r="D266" s="184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1"/>
      <c r="AD266" s="1"/>
      <c r="AE266" s="156"/>
      <c r="AF266" s="157" t="str">
        <f t="shared" si="86"/>
        <v/>
      </c>
      <c r="AG266" s="156"/>
      <c r="AH266" s="157" t="str">
        <f t="shared" si="86"/>
        <v/>
      </c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284"/>
      <c r="B267" s="285"/>
      <c r="C267" s="13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1"/>
      <c r="AD267" s="1"/>
      <c r="AE267" s="156"/>
      <c r="AF267" s="157" t="str">
        <f t="shared" si="86"/>
        <v/>
      </c>
      <c r="AG267" s="156"/>
      <c r="AH267" s="157" t="str">
        <f t="shared" si="86"/>
        <v/>
      </c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80"/>
      <c r="B268" s="84" t="s">
        <v>378</v>
      </c>
      <c r="C268" s="160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  <c r="AC268" s="1"/>
      <c r="AD268" s="1"/>
      <c r="AE268" s="140"/>
      <c r="AF268" s="141" t="str">
        <f t="shared" si="86"/>
        <v/>
      </c>
      <c r="AG268" s="140"/>
      <c r="AH268" s="141" t="str">
        <f t="shared" si="86"/>
        <v/>
      </c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80"/>
      <c r="B269" s="90" t="s">
        <v>378</v>
      </c>
      <c r="C269" s="13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74"/>
      <c r="AF269" s="75" t="str">
        <f t="shared" si="86"/>
        <v/>
      </c>
      <c r="AG269" s="74"/>
      <c r="AH269" s="75" t="str">
        <f t="shared" si="86"/>
        <v/>
      </c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80"/>
      <c r="B270" s="92" t="s">
        <v>379</v>
      </c>
      <c r="C270" s="93" t="s">
        <v>75</v>
      </c>
      <c r="D270" s="49"/>
      <c r="E270" s="49"/>
      <c r="F270" s="49"/>
      <c r="G270" s="49"/>
      <c r="H270" s="49"/>
      <c r="I270" s="49"/>
      <c r="J270" s="49"/>
      <c r="K270" s="49">
        <v>103</v>
      </c>
      <c r="L270" s="49">
        <v>107</v>
      </c>
      <c r="M270" s="49">
        <v>17</v>
      </c>
      <c r="N270" s="49">
        <v>47</v>
      </c>
      <c r="O270" s="49">
        <v>63</v>
      </c>
      <c r="P270" s="49">
        <v>83</v>
      </c>
      <c r="Q270" s="263">
        <f>Q174+Q162</f>
        <v>100.50000000000006</v>
      </c>
      <c r="R270" s="263">
        <f>R174+R162</f>
        <v>131.05799999999999</v>
      </c>
      <c r="S270" s="263">
        <f t="shared" ref="R270:AB270" si="87">S174+S162</f>
        <v>201.86409305159793</v>
      </c>
      <c r="T270" s="263">
        <f t="shared" si="87"/>
        <v>243.15161269746295</v>
      </c>
      <c r="U270" s="263">
        <f t="shared" si="87"/>
        <v>293.344039430051</v>
      </c>
      <c r="V270" s="263">
        <f t="shared" si="87"/>
        <v>353.85594336476095</v>
      </c>
      <c r="W270" s="263">
        <f t="shared" si="87"/>
        <v>425.50152827213367</v>
      </c>
      <c r="X270" s="263">
        <f t="shared" si="87"/>
        <v>510.88116878665846</v>
      </c>
      <c r="Y270" s="263">
        <f t="shared" si="87"/>
        <v>612.92915866786143</v>
      </c>
      <c r="Z270" s="263">
        <f t="shared" si="87"/>
        <v>735.29608803529311</v>
      </c>
      <c r="AA270" s="263">
        <f t="shared" si="87"/>
        <v>882.52278283424312</v>
      </c>
      <c r="AB270" s="263">
        <f t="shared" si="87"/>
        <v>1060.2599550509162</v>
      </c>
      <c r="AC270" s="1"/>
      <c r="AD270" s="1"/>
      <c r="AE270" s="95">
        <v>136.9540179120882</v>
      </c>
      <c r="AF270" s="96" t="e">
        <f t="shared" si="86"/>
        <v>#N/A</v>
      </c>
      <c r="AG270" s="95">
        <v>178.70596907601504</v>
      </c>
      <c r="AH270" s="96">
        <f t="shared" si="86"/>
        <v>23.158123975582896</v>
      </c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80"/>
      <c r="B271" s="92" t="s">
        <v>380</v>
      </c>
      <c r="C271" s="93" t="s">
        <v>75</v>
      </c>
      <c r="D271" s="2"/>
      <c r="E271" s="2"/>
      <c r="F271" s="2"/>
      <c r="G271" s="2"/>
      <c r="H271" s="2"/>
      <c r="I271" s="2"/>
      <c r="J271" s="2"/>
      <c r="K271" s="2">
        <v>50</v>
      </c>
      <c r="L271" s="2">
        <v>76</v>
      </c>
      <c r="M271" s="2">
        <v>84</v>
      </c>
      <c r="N271" s="2">
        <v>99</v>
      </c>
      <c r="O271" s="2">
        <v>114</v>
      </c>
      <c r="P271" s="2">
        <v>128</v>
      </c>
      <c r="Q271" s="262">
        <f>Q62</f>
        <v>147</v>
      </c>
      <c r="R271" s="262">
        <f>R62</f>
        <v>174.90299999999999</v>
      </c>
      <c r="S271" s="262">
        <f t="shared" ref="R271:AB271" si="88">S62</f>
        <v>205.74063275554769</v>
      </c>
      <c r="T271" s="262">
        <f t="shared" si="88"/>
        <v>246.26811021125852</v>
      </c>
      <c r="U271" s="262">
        <f t="shared" si="88"/>
        <v>301.49478329995424</v>
      </c>
      <c r="V271" s="262">
        <f t="shared" si="88"/>
        <v>366.69245375101946</v>
      </c>
      <c r="W271" s="262">
        <f t="shared" si="88"/>
        <v>445.9873551504611</v>
      </c>
      <c r="X271" s="262">
        <f t="shared" si="88"/>
        <v>543.79519159622532</v>
      </c>
      <c r="Y271" s="262">
        <f t="shared" si="88"/>
        <v>664.59181711794429</v>
      </c>
      <c r="Z271" s="262">
        <f t="shared" si="88"/>
        <v>813.96470098087957</v>
      </c>
      <c r="AA271" s="262">
        <f t="shared" si="88"/>
        <v>998.90191809203009</v>
      </c>
      <c r="AB271" s="262">
        <f t="shared" si="88"/>
        <v>1228.1588556461479</v>
      </c>
      <c r="AC271" s="1"/>
      <c r="AD271" s="1"/>
      <c r="AE271" s="88">
        <v>177.22574998104977</v>
      </c>
      <c r="AF271" s="89" t="e">
        <f t="shared" si="86"/>
        <v>#N/A</v>
      </c>
      <c r="AG271" s="88">
        <v>214.63942437181447</v>
      </c>
      <c r="AH271" s="89">
        <f t="shared" si="86"/>
        <v>-8.8987916162667773</v>
      </c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80"/>
      <c r="B272" s="97" t="s">
        <v>381</v>
      </c>
      <c r="C272" s="5" t="s">
        <v>6</v>
      </c>
      <c r="D272" s="144"/>
      <c r="E272" s="144"/>
      <c r="F272" s="144"/>
      <c r="G272" s="144"/>
      <c r="H272" s="144"/>
      <c r="I272" s="144"/>
      <c r="J272" s="144"/>
      <c r="K272" s="185">
        <v>0.48799999999999999</v>
      </c>
      <c r="L272" s="185">
        <v>0.70899999999999996</v>
      </c>
      <c r="M272" s="185">
        <v>4.9400000000000004</v>
      </c>
      <c r="N272" s="185">
        <v>2.0920000000000001</v>
      </c>
      <c r="O272" s="185">
        <v>1.7989999999999999</v>
      </c>
      <c r="P272" s="185">
        <v>1.5449999999999999</v>
      </c>
      <c r="Q272" s="264">
        <f>Q271/Q270</f>
        <v>1.4626865671641782</v>
      </c>
      <c r="R272" s="264">
        <f>R271/R270</f>
        <v>1.3345465366478964</v>
      </c>
      <c r="S272" s="264">
        <f t="shared" ref="R272:AB272" si="89">S271/S270</f>
        <v>1.0192037109985623</v>
      </c>
      <c r="T272" s="264">
        <f t="shared" si="89"/>
        <v>1.0128170957997027</v>
      </c>
      <c r="U272" s="264">
        <f t="shared" si="89"/>
        <v>1.0277856127083393</v>
      </c>
      <c r="V272" s="264">
        <f t="shared" si="89"/>
        <v>1.0362760909544098</v>
      </c>
      <c r="W272" s="264">
        <f t="shared" si="89"/>
        <v>1.0481451311385785</v>
      </c>
      <c r="X272" s="264">
        <f t="shared" si="89"/>
        <v>1.064425985572609</v>
      </c>
      <c r="Y272" s="264">
        <f t="shared" si="89"/>
        <v>1.0842881395337209</v>
      </c>
      <c r="Z272" s="264">
        <f t="shared" si="89"/>
        <v>1.1069890269045066</v>
      </c>
      <c r="AA272" s="264">
        <f t="shared" si="89"/>
        <v>1.1318709698168161</v>
      </c>
      <c r="AB272" s="264">
        <f t="shared" si="89"/>
        <v>1.1583563538313288</v>
      </c>
      <c r="AC272" s="1"/>
      <c r="AD272" s="1"/>
      <c r="AE272" s="186">
        <v>1.294052943337612</v>
      </c>
      <c r="AF272" s="187" t="e">
        <f t="shared" si="86"/>
        <v>#N/A</v>
      </c>
      <c r="AG272" s="186">
        <v>1.2010758537142912</v>
      </c>
      <c r="AH272" s="187">
        <f t="shared" si="86"/>
        <v>-0.18187214271572882</v>
      </c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284"/>
      <c r="B273" s="285"/>
      <c r="C273" s="13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1"/>
      <c r="AD273" s="1"/>
      <c r="AE273" s="156"/>
      <c r="AF273" s="157" t="str">
        <f t="shared" si="86"/>
        <v/>
      </c>
      <c r="AG273" s="156"/>
      <c r="AH273" s="157" t="str">
        <f t="shared" si="86"/>
        <v/>
      </c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80"/>
      <c r="B274" s="92" t="s">
        <v>382</v>
      </c>
      <c r="C274" s="93" t="s">
        <v>75</v>
      </c>
      <c r="D274" s="2"/>
      <c r="E274" s="2"/>
      <c r="F274" s="2"/>
      <c r="G274" s="2"/>
      <c r="H274" s="2"/>
      <c r="I274" s="2"/>
      <c r="J274" s="2"/>
      <c r="K274" s="2">
        <v>51</v>
      </c>
      <c r="L274" s="2">
        <v>58</v>
      </c>
      <c r="M274" s="2">
        <v>64</v>
      </c>
      <c r="N274" s="2">
        <v>74</v>
      </c>
      <c r="O274" s="2">
        <v>90</v>
      </c>
      <c r="P274" s="2">
        <v>101</v>
      </c>
      <c r="Q274" s="262">
        <f>Q271*(1+Q86)</f>
        <v>113.44669718770437</v>
      </c>
      <c r="R274" s="262">
        <f>R271*(1+R86)</f>
        <v>132.60839365780572</v>
      </c>
      <c r="S274" s="262">
        <f t="shared" ref="R274:AB274" si="90">S271*(1+S86)</f>
        <v>155.96170497900141</v>
      </c>
      <c r="T274" s="262">
        <f t="shared" si="90"/>
        <v>186.67537898479597</v>
      </c>
      <c r="U274" s="262">
        <f t="shared" si="90"/>
        <v>228.51985218009867</v>
      </c>
      <c r="V274" s="262">
        <f t="shared" si="90"/>
        <v>277.95639029323991</v>
      </c>
      <c r="W274" s="262">
        <f t="shared" si="90"/>
        <v>338.06866857657047</v>
      </c>
      <c r="X274" s="262">
        <f t="shared" si="90"/>
        <v>412.21573112331697</v>
      </c>
      <c r="Y274" s="262">
        <f t="shared" si="90"/>
        <v>503.79108985962517</v>
      </c>
      <c r="Z274" s="262">
        <f t="shared" si="90"/>
        <v>617.03107922700667</v>
      </c>
      <c r="AA274" s="262">
        <f t="shared" si="90"/>
        <v>757.23417216621499</v>
      </c>
      <c r="AB274" s="262">
        <f t="shared" si="90"/>
        <v>931.03854575915136</v>
      </c>
      <c r="AC274" s="1"/>
      <c r="AD274" s="1"/>
      <c r="AE274" s="88">
        <v>136.3047737307941</v>
      </c>
      <c r="AF274" s="89" t="e">
        <f t="shared" si="86"/>
        <v>#N/A</v>
      </c>
      <c r="AG274" s="88">
        <v>165.0577173419253</v>
      </c>
      <c r="AH274" s="89">
        <f t="shared" si="86"/>
        <v>-9.0960123629238865</v>
      </c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80"/>
      <c r="B275" s="97" t="s">
        <v>378</v>
      </c>
      <c r="C275" s="5" t="s">
        <v>6</v>
      </c>
      <c r="D275" s="144"/>
      <c r="E275" s="144"/>
      <c r="F275" s="144"/>
      <c r="G275" s="144"/>
      <c r="H275" s="144"/>
      <c r="I275" s="144"/>
      <c r="J275" s="144"/>
      <c r="K275" s="185">
        <v>0.49</v>
      </c>
      <c r="L275" s="185">
        <v>0.54300000000000004</v>
      </c>
      <c r="M275" s="185">
        <v>3.7709999999999999</v>
      </c>
      <c r="N275" s="185">
        <v>1.554</v>
      </c>
      <c r="O275" s="185">
        <v>1.423</v>
      </c>
      <c r="P275" s="185">
        <v>1.224</v>
      </c>
      <c r="Q275" s="264">
        <f>Q274/Q270</f>
        <v>1.1288228575890975</v>
      </c>
      <c r="R275" s="264">
        <f>R274/R270</f>
        <v>1.0118298284561471</v>
      </c>
      <c r="S275" s="264">
        <f t="shared" ref="R275:AB275" si="91">S274/S270</f>
        <v>0.77260746386994372</v>
      </c>
      <c r="T275" s="264">
        <f t="shared" si="91"/>
        <v>0.76773243209808961</v>
      </c>
      <c r="U275" s="264">
        <f t="shared" si="91"/>
        <v>0.77901651802470018</v>
      </c>
      <c r="V275" s="264">
        <f t="shared" si="91"/>
        <v>0.7855071972232428</v>
      </c>
      <c r="W275" s="264">
        <f t="shared" si="91"/>
        <v>0.79451810654920929</v>
      </c>
      <c r="X275" s="264">
        <f t="shared" si="91"/>
        <v>0.8068720405223162</v>
      </c>
      <c r="Y275" s="264">
        <f t="shared" si="91"/>
        <v>0.82194015855692582</v>
      </c>
      <c r="Z275" s="264">
        <f t="shared" si="91"/>
        <v>0.83916001902813075</v>
      </c>
      <c r="AA275" s="264">
        <f t="shared" si="91"/>
        <v>0.85803356796562158</v>
      </c>
      <c r="AB275" s="264">
        <f t="shared" si="91"/>
        <v>0.8781228993171214</v>
      </c>
      <c r="AC275" s="1"/>
      <c r="AD275" s="1"/>
      <c r="AE275" s="186">
        <v>0.99525940026300752</v>
      </c>
      <c r="AF275" s="187" t="e">
        <f t="shared" si="86"/>
        <v>#N/A</v>
      </c>
      <c r="AG275" s="186">
        <v>0.92362733150628973</v>
      </c>
      <c r="AH275" s="187">
        <f t="shared" si="86"/>
        <v>-0.15101986763634601</v>
      </c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80"/>
      <c r="B276" s="92" t="s">
        <v>227</v>
      </c>
      <c r="C276" s="93" t="s">
        <v>6</v>
      </c>
      <c r="D276" s="2"/>
      <c r="E276" s="2"/>
      <c r="F276" s="2"/>
      <c r="G276" s="2"/>
      <c r="H276" s="2"/>
      <c r="I276" s="2"/>
      <c r="J276" s="2"/>
      <c r="K276" s="101">
        <v>-4.0000000000000001E-3</v>
      </c>
      <c r="L276" s="101">
        <v>0.23499999999999999</v>
      </c>
      <c r="M276" s="101">
        <v>0.23699999999999999</v>
      </c>
      <c r="N276" s="101">
        <v>0.25700000000000001</v>
      </c>
      <c r="O276" s="101">
        <v>0.20899999999999999</v>
      </c>
      <c r="P276" s="101">
        <v>0.20799999999999999</v>
      </c>
      <c r="Q276" s="253">
        <f>-Q86</f>
        <v>0.22825376062786137</v>
      </c>
      <c r="R276" s="253">
        <f>-R86</f>
        <v>0.24181750079869568</v>
      </c>
      <c r="S276" s="253">
        <f t="shared" ref="R276:AB276" si="92">-S86</f>
        <v>0.24194991096236929</v>
      </c>
      <c r="T276" s="253">
        <f t="shared" si="92"/>
        <v>0.2419831425812361</v>
      </c>
      <c r="U276" s="253">
        <f t="shared" si="92"/>
        <v>0.24204376049602663</v>
      </c>
      <c r="V276" s="253">
        <f t="shared" si="92"/>
        <v>0.24199042699152579</v>
      </c>
      <c r="W276" s="253">
        <f t="shared" si="92"/>
        <v>0.24197700972370048</v>
      </c>
      <c r="X276" s="253">
        <f t="shared" si="92"/>
        <v>0.2419651047054637</v>
      </c>
      <c r="Y276" s="253">
        <f t="shared" si="92"/>
        <v>0.24195411847778142</v>
      </c>
      <c r="Z276" s="253">
        <f t="shared" si="92"/>
        <v>0.24194368811885245</v>
      </c>
      <c r="AA276" s="253">
        <f t="shared" si="92"/>
        <v>0.24193340862475946</v>
      </c>
      <c r="AB276" s="253">
        <f t="shared" si="92"/>
        <v>0.24192335423146724</v>
      </c>
      <c r="AC276" s="1"/>
      <c r="AD276" s="1"/>
      <c r="AE276" s="119">
        <v>0.23089746413617226</v>
      </c>
      <c r="AF276" s="120" t="e">
        <f t="shared" si="86"/>
        <v>#N/A</v>
      </c>
      <c r="AG276" s="119">
        <v>0.23100000000000004</v>
      </c>
      <c r="AH276" s="120">
        <f t="shared" si="86"/>
        <v>1.0949910962369247E-2</v>
      </c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284"/>
      <c r="B277" s="285"/>
      <c r="C277" s="13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1"/>
      <c r="AD277" s="1"/>
      <c r="AE277" s="156"/>
      <c r="AF277" s="157" t="str">
        <f t="shared" si="86"/>
        <v/>
      </c>
      <c r="AG277" s="156"/>
      <c r="AH277" s="157" t="str">
        <f t="shared" si="86"/>
        <v/>
      </c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80"/>
      <c r="B278" s="97" t="s">
        <v>383</v>
      </c>
      <c r="C278" s="5" t="s">
        <v>6</v>
      </c>
      <c r="D278" s="144"/>
      <c r="E278" s="144"/>
      <c r="F278" s="144"/>
      <c r="G278" s="144"/>
      <c r="H278" s="144"/>
      <c r="I278" s="144"/>
      <c r="J278" s="144"/>
      <c r="K278" s="185">
        <v>0.49</v>
      </c>
      <c r="L278" s="185">
        <v>2.1749999999999998</v>
      </c>
      <c r="M278" s="185">
        <v>-6.5000000000000002E-2</v>
      </c>
      <c r="N278" s="185">
        <v>0.32200000000000001</v>
      </c>
      <c r="O278" s="185">
        <v>1.03</v>
      </c>
      <c r="P278" s="185">
        <v>0.57999999999999996</v>
      </c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  <c r="AA278" s="185"/>
      <c r="AB278" s="185"/>
      <c r="AC278" s="1"/>
      <c r="AD278" s="1"/>
      <c r="AE278" s="186"/>
      <c r="AF278" s="187" t="str">
        <f t="shared" si="86"/>
        <v/>
      </c>
      <c r="AG278" s="186"/>
      <c r="AH278" s="187" t="str">
        <f t="shared" si="86"/>
        <v/>
      </c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284"/>
      <c r="B279" s="285"/>
      <c r="C279" s="13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1"/>
      <c r="AD279" s="1"/>
      <c r="AE279" s="156"/>
      <c r="AF279" s="157" t="str">
        <f t="shared" si="86"/>
        <v/>
      </c>
      <c r="AG279" s="156"/>
      <c r="AH279" s="157" t="str">
        <f t="shared" si="86"/>
        <v/>
      </c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80"/>
      <c r="B280" s="97" t="s">
        <v>384</v>
      </c>
      <c r="C280" s="5" t="s">
        <v>272</v>
      </c>
      <c r="D280" s="100"/>
      <c r="E280" s="100"/>
      <c r="F280" s="100"/>
      <c r="G280" s="100"/>
      <c r="H280" s="100"/>
      <c r="I280" s="100"/>
      <c r="J280" s="100"/>
      <c r="K280" s="100"/>
      <c r="L280" s="100"/>
      <c r="M280" s="188">
        <v>25</v>
      </c>
      <c r="N280" s="188">
        <v>25</v>
      </c>
      <c r="O280" s="188">
        <v>27</v>
      </c>
      <c r="P280" s="188">
        <v>28</v>
      </c>
      <c r="Q280" s="188">
        <v>28</v>
      </c>
      <c r="R280" s="188">
        <v>28</v>
      </c>
      <c r="S280" s="144">
        <v>28</v>
      </c>
      <c r="T280" s="100"/>
      <c r="U280" s="100"/>
      <c r="V280" s="100"/>
      <c r="W280" s="100"/>
      <c r="X280" s="100"/>
      <c r="Y280" s="100"/>
      <c r="Z280" s="100"/>
      <c r="AA280" s="100"/>
      <c r="AB280" s="100"/>
      <c r="AC280" s="1"/>
      <c r="AD280" s="1"/>
      <c r="AE280" s="145">
        <v>28</v>
      </c>
      <c r="AF280" s="146" t="e">
        <f t="shared" si="86"/>
        <v>#N/A</v>
      </c>
      <c r="AG280" s="145">
        <v>28</v>
      </c>
      <c r="AH280" s="146">
        <f t="shared" si="86"/>
        <v>0</v>
      </c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286"/>
      <c r="B281" s="287"/>
      <c r="C281" s="9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74"/>
      <c r="AF281" s="75" t="str">
        <f t="shared" si="86"/>
        <v/>
      </c>
      <c r="AG281" s="74"/>
      <c r="AH281" s="75" t="str">
        <f t="shared" si="86"/>
        <v/>
      </c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284"/>
      <c r="B282" s="285"/>
      <c r="C282" s="13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1"/>
      <c r="AC282" s="1"/>
      <c r="AD282" s="1"/>
      <c r="AE282" s="156"/>
      <c r="AF282" s="157" t="str">
        <f t="shared" si="86"/>
        <v/>
      </c>
      <c r="AG282" s="156"/>
      <c r="AH282" s="157" t="str">
        <f t="shared" si="86"/>
        <v/>
      </c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80"/>
      <c r="B283" s="84" t="s">
        <v>385</v>
      </c>
      <c r="C283" s="160"/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  <c r="AC283" s="1"/>
      <c r="AD283" s="1"/>
      <c r="AE283" s="140"/>
      <c r="AF283" s="141" t="str">
        <f t="shared" si="86"/>
        <v/>
      </c>
      <c r="AG283" s="140"/>
      <c r="AH283" s="141" t="str">
        <f t="shared" si="86"/>
        <v/>
      </c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80"/>
      <c r="B284" s="90" t="s">
        <v>386</v>
      </c>
      <c r="C284" s="13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50" t="s">
        <v>387</v>
      </c>
      <c r="R284" s="50" t="s">
        <v>387</v>
      </c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74"/>
      <c r="AF284" s="75" t="str">
        <f t="shared" si="86"/>
        <v/>
      </c>
      <c r="AG284" s="74"/>
      <c r="AH284" s="75" t="str">
        <f t="shared" si="86"/>
        <v/>
      </c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80"/>
      <c r="B285" s="92" t="s">
        <v>388</v>
      </c>
      <c r="C285" s="93" t="s">
        <v>6</v>
      </c>
      <c r="D285" s="141"/>
      <c r="E285" s="141"/>
      <c r="F285" s="141"/>
      <c r="G285" s="141"/>
      <c r="H285" s="141"/>
      <c r="I285" s="141"/>
      <c r="J285" s="141"/>
      <c r="K285" s="139">
        <v>0.05</v>
      </c>
      <c r="L285" s="139">
        <v>0.05</v>
      </c>
      <c r="M285" s="139">
        <v>0.05</v>
      </c>
      <c r="N285" s="139">
        <v>0.05</v>
      </c>
      <c r="O285" s="139">
        <v>0.05</v>
      </c>
      <c r="P285" s="139">
        <v>0.05</v>
      </c>
      <c r="Q285" s="139">
        <v>0.05</v>
      </c>
      <c r="R285" s="139">
        <v>0.05</v>
      </c>
      <c r="S285" s="139">
        <v>0.08</v>
      </c>
      <c r="T285" s="139">
        <v>0.08</v>
      </c>
      <c r="U285" s="141"/>
      <c r="V285" s="141"/>
      <c r="W285" s="141"/>
      <c r="X285" s="141"/>
      <c r="Y285" s="141"/>
      <c r="Z285" s="141"/>
      <c r="AA285" s="141"/>
      <c r="AB285" s="141"/>
      <c r="AC285" s="1"/>
      <c r="AD285" s="1"/>
      <c r="AE285" s="189">
        <v>0.08</v>
      </c>
      <c r="AF285" s="190" t="e">
        <f t="shared" si="86"/>
        <v>#N/A</v>
      </c>
      <c r="AG285" s="189">
        <v>0.08</v>
      </c>
      <c r="AH285" s="190">
        <f t="shared" si="86"/>
        <v>0</v>
      </c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80"/>
      <c r="B286" s="92" t="s">
        <v>389</v>
      </c>
      <c r="C286" s="93" t="s">
        <v>6</v>
      </c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"/>
      <c r="AD286" s="1"/>
      <c r="AE286" s="140"/>
      <c r="AF286" s="141" t="str">
        <f t="shared" si="86"/>
        <v/>
      </c>
      <c r="AG286" s="140"/>
      <c r="AH286" s="141" t="str">
        <f t="shared" si="86"/>
        <v/>
      </c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80"/>
      <c r="B287" s="92" t="s">
        <v>390</v>
      </c>
      <c r="C287" s="93" t="s">
        <v>6</v>
      </c>
      <c r="D287" s="141"/>
      <c r="E287" s="141"/>
      <c r="F287" s="141"/>
      <c r="G287" s="141"/>
      <c r="H287" s="141"/>
      <c r="I287" s="141"/>
      <c r="J287" s="141"/>
      <c r="K287" s="139">
        <v>0.15</v>
      </c>
      <c r="L287" s="139">
        <v>0.15</v>
      </c>
      <c r="M287" s="139">
        <v>0.15</v>
      </c>
      <c r="N287" s="139">
        <v>0.15</v>
      </c>
      <c r="O287" s="139">
        <v>0.15</v>
      </c>
      <c r="P287" s="139">
        <v>0.15</v>
      </c>
      <c r="Q287" s="139">
        <v>0.15</v>
      </c>
      <c r="R287" s="139">
        <v>0.15</v>
      </c>
      <c r="S287" s="139">
        <v>0.2</v>
      </c>
      <c r="T287" s="139">
        <v>0.2</v>
      </c>
      <c r="U287" s="141"/>
      <c r="V287" s="141"/>
      <c r="W287" s="141"/>
      <c r="X287" s="141"/>
      <c r="Y287" s="141"/>
      <c r="Z287" s="141"/>
      <c r="AA287" s="141"/>
      <c r="AB287" s="141"/>
      <c r="AC287" s="1"/>
      <c r="AD287" s="1"/>
      <c r="AE287" s="189">
        <v>0.2</v>
      </c>
      <c r="AF287" s="190" t="e">
        <f t="shared" si="86"/>
        <v>#N/A</v>
      </c>
      <c r="AG287" s="189">
        <v>0.2</v>
      </c>
      <c r="AH287" s="190">
        <f t="shared" si="86"/>
        <v>0</v>
      </c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80"/>
      <c r="B288" s="97" t="s">
        <v>391</v>
      </c>
      <c r="C288" s="5" t="s">
        <v>6</v>
      </c>
      <c r="D288" s="146"/>
      <c r="E288" s="146"/>
      <c r="F288" s="146"/>
      <c r="G288" s="146"/>
      <c r="H288" s="146"/>
      <c r="I288" s="146"/>
      <c r="J288" s="146"/>
      <c r="K288" s="144" t="e">
        <v>#REF!</v>
      </c>
      <c r="L288" s="144" t="e">
        <v>#REF!</v>
      </c>
      <c r="M288" s="144" t="e">
        <v>#REF!</v>
      </c>
      <c r="N288" s="185">
        <v>0.11799999999999999</v>
      </c>
      <c r="O288" s="185">
        <v>0.14399999999999999</v>
      </c>
      <c r="P288" s="264">
        <f>(P101/M101)^0.333-1</f>
        <v>0.17239653643781927</v>
      </c>
      <c r="Q288" s="264">
        <f t="shared" ref="Q288:S288" si="93">(Q101/N101)^0.333-1</f>
        <v>0.16967082562735447</v>
      </c>
      <c r="R288" s="264">
        <f t="shared" si="93"/>
        <v>0.15035259052812355</v>
      </c>
      <c r="S288" s="264">
        <f t="shared" si="93"/>
        <v>0.16186242046491905</v>
      </c>
      <c r="T288" s="146"/>
      <c r="U288" s="146"/>
      <c r="V288" s="146"/>
      <c r="W288" s="146"/>
      <c r="X288" s="146"/>
      <c r="Y288" s="146"/>
      <c r="Z288" s="146"/>
      <c r="AA288" s="146"/>
      <c r="AB288" s="146"/>
      <c r="AC288" s="1"/>
      <c r="AD288" s="1"/>
      <c r="AE288" s="186">
        <v>0.16391261707896132</v>
      </c>
      <c r="AF288" s="187" t="e">
        <f t="shared" si="86"/>
        <v>#N/A</v>
      </c>
      <c r="AG288" s="186">
        <v>0.18333117603570148</v>
      </c>
      <c r="AH288" s="187">
        <f t="shared" si="86"/>
        <v>-2.1468755570782427E-2</v>
      </c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80"/>
      <c r="B289" s="92" t="s">
        <v>392</v>
      </c>
      <c r="C289" s="93" t="s">
        <v>6</v>
      </c>
      <c r="D289" s="89"/>
      <c r="E289" s="89"/>
      <c r="F289" s="89"/>
      <c r="G289" s="89"/>
      <c r="H289" s="89"/>
      <c r="I289" s="89"/>
      <c r="J289" s="89"/>
      <c r="K289" s="101">
        <v>0.1</v>
      </c>
      <c r="L289" s="101">
        <v>0.1</v>
      </c>
      <c r="M289" s="101">
        <v>0.1</v>
      </c>
      <c r="N289" s="101">
        <v>0.1</v>
      </c>
      <c r="O289" s="101">
        <v>0.1</v>
      </c>
      <c r="P289" s="101">
        <f>P287-P285</f>
        <v>9.9999999999999992E-2</v>
      </c>
      <c r="Q289" s="101">
        <f t="shared" ref="Q289:S289" si="94">Q287-Q285</f>
        <v>9.9999999999999992E-2</v>
      </c>
      <c r="R289" s="101">
        <f t="shared" ref="R289" si="95">R287-R285</f>
        <v>9.9999999999999992E-2</v>
      </c>
      <c r="S289" s="101">
        <f t="shared" si="94"/>
        <v>0.12000000000000001</v>
      </c>
      <c r="T289" s="89"/>
      <c r="U289" s="89"/>
      <c r="V289" s="89"/>
      <c r="W289" s="89"/>
      <c r="X289" s="89"/>
      <c r="Y289" s="89"/>
      <c r="Z289" s="89"/>
      <c r="AA289" s="89"/>
      <c r="AB289" s="89"/>
      <c r="AC289" s="1"/>
      <c r="AD289" s="1"/>
      <c r="AE289" s="119">
        <v>0.12000000000000001</v>
      </c>
      <c r="AF289" s="120" t="e">
        <f t="shared" si="86"/>
        <v>#N/A</v>
      </c>
      <c r="AG289" s="119">
        <v>0.12000000000000001</v>
      </c>
      <c r="AH289" s="120">
        <f t="shared" si="86"/>
        <v>0</v>
      </c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284"/>
      <c r="B290" s="285"/>
      <c r="C290" s="13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1"/>
      <c r="AC290" s="1"/>
      <c r="AD290" s="1"/>
      <c r="AE290" s="156"/>
      <c r="AF290" s="157" t="str">
        <f t="shared" si="86"/>
        <v/>
      </c>
      <c r="AG290" s="156"/>
      <c r="AH290" s="157" t="str">
        <f t="shared" si="86"/>
        <v/>
      </c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47"/>
      <c r="B291" s="84" t="s">
        <v>393</v>
      </c>
      <c r="C291" s="160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1"/>
      <c r="AD291" s="1"/>
      <c r="AE291" s="88"/>
      <c r="AF291" s="89" t="str">
        <f t="shared" si="86"/>
        <v/>
      </c>
      <c r="AG291" s="88"/>
      <c r="AH291" s="89" t="str">
        <f t="shared" si="86"/>
        <v/>
      </c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47"/>
      <c r="B292" s="92" t="s">
        <v>394</v>
      </c>
      <c r="C292" s="93" t="s">
        <v>6</v>
      </c>
      <c r="D292" s="2"/>
      <c r="E292" s="2"/>
      <c r="F292" s="2"/>
      <c r="G292" s="2"/>
      <c r="H292" s="2"/>
      <c r="I292" s="2"/>
      <c r="J292" s="2"/>
      <c r="K292" s="101">
        <v>1.129</v>
      </c>
      <c r="L292" s="101">
        <v>1.071</v>
      </c>
      <c r="M292" s="101">
        <v>1.1579999999999999</v>
      </c>
      <c r="N292" s="101">
        <v>0.99299999999999999</v>
      </c>
      <c r="O292" s="101">
        <v>1.07</v>
      </c>
      <c r="P292" s="101">
        <v>1.151</v>
      </c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"/>
      <c r="AD292" s="1"/>
      <c r="AE292" s="119"/>
      <c r="AF292" s="120" t="str">
        <f t="shared" si="86"/>
        <v/>
      </c>
      <c r="AG292" s="119"/>
      <c r="AH292" s="120" t="str">
        <f t="shared" si="86"/>
        <v/>
      </c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47"/>
      <c r="B293" s="92" t="s">
        <v>395</v>
      </c>
      <c r="C293" s="93" t="s">
        <v>6</v>
      </c>
      <c r="D293" s="2"/>
      <c r="E293" s="2"/>
      <c r="F293" s="2"/>
      <c r="G293" s="2"/>
      <c r="H293" s="2"/>
      <c r="I293" s="2"/>
      <c r="J293" s="2"/>
      <c r="K293" s="101">
        <v>0</v>
      </c>
      <c r="L293" s="101">
        <v>0</v>
      </c>
      <c r="M293" s="101">
        <v>0.109</v>
      </c>
      <c r="N293" s="101">
        <v>0.13900000000000001</v>
      </c>
      <c r="O293" s="101">
        <v>4.0000000000000001E-3</v>
      </c>
      <c r="P293" s="101">
        <v>5.0999999999999997E-2</v>
      </c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"/>
      <c r="AD293" s="1"/>
      <c r="AE293" s="119"/>
      <c r="AF293" s="120" t="str">
        <f t="shared" si="86"/>
        <v/>
      </c>
      <c r="AG293" s="119"/>
      <c r="AH293" s="120" t="str">
        <f t="shared" si="86"/>
        <v/>
      </c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47"/>
      <c r="B294" s="92" t="s">
        <v>396</v>
      </c>
      <c r="C294" s="93" t="s">
        <v>6</v>
      </c>
      <c r="D294" s="2"/>
      <c r="E294" s="2"/>
      <c r="F294" s="2"/>
      <c r="G294" s="2"/>
      <c r="H294" s="2"/>
      <c r="I294" s="2"/>
      <c r="J294" s="2"/>
      <c r="K294" s="101">
        <v>-0.129</v>
      </c>
      <c r="L294" s="101">
        <v>-7.0999999999999994E-2</v>
      </c>
      <c r="M294" s="101">
        <v>-0.26600000000000001</v>
      </c>
      <c r="N294" s="101">
        <v>-0.13100000000000001</v>
      </c>
      <c r="O294" s="101">
        <v>-7.3999999999999996E-2</v>
      </c>
      <c r="P294" s="101">
        <v>-0.20200000000000001</v>
      </c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"/>
      <c r="AD294" s="1"/>
      <c r="AE294" s="119"/>
      <c r="AF294" s="120" t="str">
        <f t="shared" si="86"/>
        <v/>
      </c>
      <c r="AG294" s="119"/>
      <c r="AH294" s="120" t="str">
        <f t="shared" si="86"/>
        <v/>
      </c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47"/>
      <c r="B295" s="92" t="s">
        <v>397</v>
      </c>
      <c r="C295" s="93" t="s">
        <v>6</v>
      </c>
      <c r="D295" s="167"/>
      <c r="E295" s="167"/>
      <c r="F295" s="167"/>
      <c r="G295" s="167"/>
      <c r="H295" s="167"/>
      <c r="I295" s="167"/>
      <c r="J295" s="167"/>
      <c r="K295" s="101">
        <v>0</v>
      </c>
      <c r="L295" s="101">
        <v>0</v>
      </c>
      <c r="M295" s="101">
        <v>0</v>
      </c>
      <c r="N295" s="101">
        <v>0</v>
      </c>
      <c r="O295" s="101">
        <v>0</v>
      </c>
      <c r="P295" s="101">
        <v>0</v>
      </c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"/>
      <c r="AD295" s="1"/>
      <c r="AE295" s="119"/>
      <c r="AF295" s="120" t="str">
        <f t="shared" si="86"/>
        <v/>
      </c>
      <c r="AG295" s="119"/>
      <c r="AH295" s="120" t="str">
        <f t="shared" si="86"/>
        <v/>
      </c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47"/>
      <c r="B296" s="97" t="s">
        <v>398</v>
      </c>
      <c r="C296" s="5" t="s">
        <v>6</v>
      </c>
      <c r="D296" s="144"/>
      <c r="E296" s="144"/>
      <c r="F296" s="144"/>
      <c r="G296" s="144"/>
      <c r="H296" s="144"/>
      <c r="I296" s="144"/>
      <c r="J296" s="144"/>
      <c r="K296" s="185">
        <v>1</v>
      </c>
      <c r="L296" s="185">
        <v>1</v>
      </c>
      <c r="M296" s="185">
        <v>1</v>
      </c>
      <c r="N296" s="185">
        <v>1</v>
      </c>
      <c r="O296" s="185">
        <v>1</v>
      </c>
      <c r="P296" s="185">
        <v>1</v>
      </c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  <c r="AA296" s="185"/>
      <c r="AB296" s="185"/>
      <c r="AC296" s="1"/>
      <c r="AD296" s="1"/>
      <c r="AE296" s="186"/>
      <c r="AF296" s="187" t="str">
        <f t="shared" si="86"/>
        <v/>
      </c>
      <c r="AG296" s="186"/>
      <c r="AH296" s="187" t="str">
        <f t="shared" si="86"/>
        <v/>
      </c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</sheetData>
  <mergeCells count="48">
    <mergeCell ref="A290:B290"/>
    <mergeCell ref="A232:B232"/>
    <mergeCell ref="A239:B239"/>
    <mergeCell ref="A246:B246"/>
    <mergeCell ref="A256:B256"/>
    <mergeCell ref="A266:B266"/>
    <mergeCell ref="A267:B267"/>
    <mergeCell ref="A273:B273"/>
    <mergeCell ref="A277:B277"/>
    <mergeCell ref="A279:B279"/>
    <mergeCell ref="A281:B281"/>
    <mergeCell ref="A282:B282"/>
    <mergeCell ref="A220:B220"/>
    <mergeCell ref="A128:B128"/>
    <mergeCell ref="A132:B132"/>
    <mergeCell ref="A137:B137"/>
    <mergeCell ref="A153:B153"/>
    <mergeCell ref="A165:B165"/>
    <mergeCell ref="A168:B168"/>
    <mergeCell ref="A177:B177"/>
    <mergeCell ref="A196:B196"/>
    <mergeCell ref="A207:B207"/>
    <mergeCell ref="A216:B216"/>
    <mergeCell ref="A218:B218"/>
    <mergeCell ref="A123:B123"/>
    <mergeCell ref="A60:B60"/>
    <mergeCell ref="A65:B65"/>
    <mergeCell ref="A72:B72"/>
    <mergeCell ref="A80:B80"/>
    <mergeCell ref="A83:B83"/>
    <mergeCell ref="A87:B87"/>
    <mergeCell ref="A94:B94"/>
    <mergeCell ref="A100:B100"/>
    <mergeCell ref="A105:B105"/>
    <mergeCell ref="A114:B114"/>
    <mergeCell ref="A116:B116"/>
    <mergeCell ref="A53:B53"/>
    <mergeCell ref="A2:B2"/>
    <mergeCell ref="A3:B3"/>
    <mergeCell ref="A12:B12"/>
    <mergeCell ref="A20:B20"/>
    <mergeCell ref="A25:B25"/>
    <mergeCell ref="A29:B29"/>
    <mergeCell ref="A35:B35"/>
    <mergeCell ref="A38:B38"/>
    <mergeCell ref="A41:B41"/>
    <mergeCell ref="A43:B43"/>
    <mergeCell ref="A49:B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9061-BFA9-4E81-9FF1-488DD8515EC3}">
  <dimension ref="A1:BD356"/>
  <sheetViews>
    <sheetView workbookViewId="0">
      <pane xSplit="4" ySplit="4" topLeftCell="N38" activePane="bottomRight" state="frozen"/>
      <selection pane="topRight" activeCell="E1" sqref="E1"/>
      <selection pane="bottomLeft" activeCell="A5" sqref="A5"/>
      <selection pane="bottomRight" activeCell="AC67" sqref="AC67"/>
    </sheetView>
  </sheetViews>
  <sheetFormatPr defaultRowHeight="15" x14ac:dyDescent="0.25"/>
  <cols>
    <col min="2" max="2" width="39.42578125" customWidth="1"/>
  </cols>
  <sheetData>
    <row r="1" spans="1:56" x14ac:dyDescent="0.25">
      <c r="A1" s="191"/>
      <c r="B1" s="3" t="s">
        <v>399</v>
      </c>
      <c r="C1" s="1">
        <v>2019</v>
      </c>
      <c r="D1" s="1">
        <v>2016</v>
      </c>
      <c r="E1" s="1">
        <v>2016</v>
      </c>
      <c r="F1" s="1">
        <v>2017</v>
      </c>
      <c r="G1" s="1">
        <v>2017</v>
      </c>
      <c r="H1" s="1">
        <v>2018</v>
      </c>
      <c r="I1" s="1">
        <v>2018</v>
      </c>
      <c r="J1" s="1">
        <v>2019</v>
      </c>
      <c r="K1" s="1">
        <v>2019</v>
      </c>
      <c r="L1" s="1">
        <v>2020</v>
      </c>
      <c r="M1" s="1">
        <v>2020</v>
      </c>
      <c r="N1" s="1">
        <v>2021</v>
      </c>
      <c r="O1" s="1">
        <v>2021</v>
      </c>
      <c r="P1" s="1">
        <v>2022</v>
      </c>
      <c r="Q1" s="1">
        <v>2022</v>
      </c>
      <c r="R1" s="1">
        <v>2023</v>
      </c>
      <c r="S1" s="48">
        <v>2023</v>
      </c>
      <c r="T1" s="1">
        <v>2024</v>
      </c>
      <c r="U1" s="48">
        <v>2024</v>
      </c>
      <c r="V1" s="1">
        <v>2025</v>
      </c>
      <c r="W1" s="48">
        <f>U1+1</f>
        <v>2025</v>
      </c>
      <c r="X1" s="1">
        <v>2026</v>
      </c>
      <c r="Y1" s="1">
        <v>2026</v>
      </c>
      <c r="Z1" s="1">
        <v>2027</v>
      </c>
      <c r="AA1" s="1">
        <v>2027</v>
      </c>
      <c r="AB1" s="1">
        <v>2028</v>
      </c>
      <c r="AC1" s="1">
        <v>2028</v>
      </c>
      <c r="AD1" s="1">
        <v>2029</v>
      </c>
      <c r="AE1" s="1">
        <v>2029</v>
      </c>
      <c r="AF1" s="1">
        <v>2030</v>
      </c>
      <c r="AG1" s="1">
        <v>2030</v>
      </c>
      <c r="AH1" s="1">
        <v>2031</v>
      </c>
      <c r="AI1" s="1">
        <v>2031</v>
      </c>
      <c r="AJ1" s="1">
        <v>2032</v>
      </c>
      <c r="AK1" s="1">
        <v>2032</v>
      </c>
      <c r="AL1" s="1">
        <v>2033</v>
      </c>
      <c r="AM1" s="1">
        <v>2033</v>
      </c>
      <c r="AN1" s="1">
        <v>2034</v>
      </c>
      <c r="AO1" s="1">
        <v>2034</v>
      </c>
      <c r="AP1" s="1">
        <v>2035</v>
      </c>
      <c r="AQ1" s="1">
        <v>2035</v>
      </c>
      <c r="AR1" s="159"/>
      <c r="AS1" s="1" t="s">
        <v>125</v>
      </c>
      <c r="AT1" s="74">
        <v>2025</v>
      </c>
      <c r="AU1" s="75">
        <v>2024</v>
      </c>
      <c r="AV1" s="74">
        <v>2025</v>
      </c>
      <c r="AW1" s="75">
        <v>2024</v>
      </c>
      <c r="AX1" s="75"/>
      <c r="AY1" s="192"/>
      <c r="AZ1" s="192"/>
      <c r="BA1" s="159"/>
      <c r="BB1" s="159"/>
      <c r="BC1" s="159"/>
      <c r="BD1" s="159"/>
    </row>
    <row r="2" spans="1:56" x14ac:dyDescent="0.25">
      <c r="A2" s="290"/>
      <c r="B2" s="290"/>
      <c r="C2" s="1"/>
      <c r="D2" s="76" t="s">
        <v>126</v>
      </c>
      <c r="E2" s="76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77" t="s">
        <v>33</v>
      </c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159"/>
      <c r="AS2" s="1"/>
      <c r="AT2" s="78" t="s">
        <v>33</v>
      </c>
      <c r="AU2" s="79" t="s">
        <v>33</v>
      </c>
      <c r="AV2" s="78"/>
      <c r="AW2" s="79" t="s">
        <v>33</v>
      </c>
      <c r="AX2" s="79"/>
      <c r="AY2" s="194" t="s">
        <v>400</v>
      </c>
      <c r="AZ2" s="194"/>
      <c r="BA2" s="159"/>
      <c r="BB2" s="159"/>
      <c r="BC2" s="159"/>
      <c r="BD2" s="159"/>
    </row>
    <row r="3" spans="1:56" x14ac:dyDescent="0.25">
      <c r="A3" s="290"/>
      <c r="B3" s="291"/>
      <c r="C3" s="81" t="s">
        <v>3</v>
      </c>
      <c r="D3" s="40" t="s">
        <v>401</v>
      </c>
      <c r="E3" s="40" t="s">
        <v>402</v>
      </c>
      <c r="F3" s="40" t="s">
        <v>403</v>
      </c>
      <c r="G3" s="40" t="s">
        <v>404</v>
      </c>
      <c r="H3" s="40" t="s">
        <v>405</v>
      </c>
      <c r="I3" s="40" t="s">
        <v>406</v>
      </c>
      <c r="J3" s="40" t="s">
        <v>407</v>
      </c>
      <c r="K3" s="40" t="s">
        <v>408</v>
      </c>
      <c r="L3" s="40" t="s">
        <v>409</v>
      </c>
      <c r="M3" s="40" t="s">
        <v>410</v>
      </c>
      <c r="N3" s="40" t="s">
        <v>411</v>
      </c>
      <c r="O3" s="40" t="s">
        <v>412</v>
      </c>
      <c r="P3" s="40" t="s">
        <v>413</v>
      </c>
      <c r="Q3" s="40" t="s">
        <v>414</v>
      </c>
      <c r="R3" s="40" t="s">
        <v>415</v>
      </c>
      <c r="S3" s="40" t="s">
        <v>416</v>
      </c>
      <c r="T3" s="40" t="s">
        <v>417</v>
      </c>
      <c r="U3" s="40" t="s">
        <v>418</v>
      </c>
      <c r="V3" s="40" t="s">
        <v>419</v>
      </c>
      <c r="W3" s="40" t="str">
        <f>"2H"&amp;RIGHT(W1,2)</f>
        <v>2H25</v>
      </c>
      <c r="X3" s="43" t="s">
        <v>421</v>
      </c>
      <c r="Y3" s="43" t="s">
        <v>422</v>
      </c>
      <c r="Z3" s="43" t="s">
        <v>423</v>
      </c>
      <c r="AA3" s="43" t="s">
        <v>424</v>
      </c>
      <c r="AB3" s="43" t="s">
        <v>425</v>
      </c>
      <c r="AC3" s="43" t="s">
        <v>426</v>
      </c>
      <c r="AD3" s="43" t="s">
        <v>427</v>
      </c>
      <c r="AE3" s="43" t="s">
        <v>428</v>
      </c>
      <c r="AF3" s="43" t="s">
        <v>429</v>
      </c>
      <c r="AG3" s="43" t="s">
        <v>430</v>
      </c>
      <c r="AH3" s="43" t="s">
        <v>431</v>
      </c>
      <c r="AI3" s="43" t="s">
        <v>432</v>
      </c>
      <c r="AJ3" s="43" t="s">
        <v>433</v>
      </c>
      <c r="AK3" s="43" t="s">
        <v>434</v>
      </c>
      <c r="AL3" s="43" t="s">
        <v>435</v>
      </c>
      <c r="AM3" s="43" t="s">
        <v>436</v>
      </c>
      <c r="AN3" s="43" t="s">
        <v>437</v>
      </c>
      <c r="AO3" s="43" t="s">
        <v>438</v>
      </c>
      <c r="AP3" s="43" t="s">
        <v>439</v>
      </c>
      <c r="AQ3" s="43" t="s">
        <v>440</v>
      </c>
      <c r="AR3" s="159"/>
      <c r="AS3" s="1"/>
      <c r="AT3" s="82" t="s">
        <v>419</v>
      </c>
      <c r="AU3" s="83" t="s">
        <v>152</v>
      </c>
      <c r="AV3" s="82" t="s">
        <v>420</v>
      </c>
      <c r="AW3" s="83" t="s">
        <v>152</v>
      </c>
      <c r="AX3" s="83"/>
      <c r="AY3" s="195" t="s">
        <v>441</v>
      </c>
      <c r="AZ3" s="195" t="s">
        <v>442</v>
      </c>
      <c r="BA3" s="159"/>
      <c r="BB3" s="159"/>
      <c r="BC3" s="159"/>
      <c r="BD3" s="159"/>
    </row>
    <row r="4" spans="1:56" x14ac:dyDescent="0.25">
      <c r="A4" s="80"/>
      <c r="B4" s="84" t="s">
        <v>153</v>
      </c>
      <c r="C4" s="85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7"/>
      <c r="Q4" s="87"/>
      <c r="R4" s="87"/>
      <c r="S4" s="196"/>
      <c r="T4" s="87"/>
      <c r="U4" s="196"/>
      <c r="V4" s="87"/>
      <c r="W4" s="196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1"/>
      <c r="AS4" s="1"/>
      <c r="AT4" s="88"/>
      <c r="AU4" s="89"/>
      <c r="AV4" s="88"/>
      <c r="AW4" s="89"/>
      <c r="AX4" s="89"/>
      <c r="AY4" s="138"/>
      <c r="AZ4" s="138"/>
      <c r="BA4" s="1"/>
      <c r="BB4" s="1"/>
      <c r="BC4" s="1"/>
      <c r="BD4" s="1"/>
    </row>
    <row r="5" spans="1:56" x14ac:dyDescent="0.25">
      <c r="A5" s="288"/>
      <c r="B5" s="288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97"/>
      <c r="T5" s="159"/>
      <c r="U5" s="197"/>
      <c r="V5" s="159"/>
      <c r="W5" s="197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"/>
      <c r="AS5" s="1"/>
      <c r="AT5" s="88"/>
      <c r="AU5" s="89"/>
      <c r="AV5" s="88"/>
      <c r="AW5" s="89"/>
      <c r="AX5" s="89"/>
      <c r="AY5" s="138"/>
      <c r="AZ5" s="138"/>
      <c r="BA5" s="1"/>
      <c r="BB5" s="1"/>
      <c r="BC5" s="1"/>
      <c r="BD5" s="1"/>
    </row>
    <row r="6" spans="1:56" x14ac:dyDescent="0.25">
      <c r="A6" s="137"/>
      <c r="B6" s="90" t="s">
        <v>154</v>
      </c>
      <c r="C6" s="91"/>
      <c r="D6" s="1"/>
      <c r="E6" s="1"/>
      <c r="F6" s="2"/>
      <c r="G6" s="2"/>
      <c r="H6" s="2"/>
      <c r="I6" s="2"/>
      <c r="J6" s="1"/>
      <c r="K6" s="18"/>
      <c r="L6" s="2"/>
      <c r="M6" s="2"/>
      <c r="N6" s="2"/>
      <c r="O6" s="2"/>
      <c r="P6" s="2"/>
      <c r="Q6" s="159"/>
      <c r="R6" s="159"/>
      <c r="S6" s="197"/>
      <c r="T6" s="159"/>
      <c r="U6" s="197"/>
      <c r="V6" s="159"/>
      <c r="W6" s="197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"/>
      <c r="AS6" s="1"/>
      <c r="AT6" s="95"/>
      <c r="AU6" s="96"/>
      <c r="AV6" s="95"/>
      <c r="AW6" s="96"/>
      <c r="AX6" s="96"/>
      <c r="AY6" s="138"/>
      <c r="AZ6" s="138"/>
      <c r="BA6" s="49" t="e">
        <v>#REF!</v>
      </c>
      <c r="BB6" s="1"/>
      <c r="BC6" s="1"/>
      <c r="BD6" s="1"/>
    </row>
    <row r="7" spans="1:56" x14ac:dyDescent="0.25">
      <c r="A7" s="137" t="s">
        <v>156</v>
      </c>
      <c r="B7" s="92" t="s">
        <v>157</v>
      </c>
      <c r="C7" s="93" t="s">
        <v>75</v>
      </c>
      <c r="D7" s="51" t="s">
        <v>158</v>
      </c>
      <c r="E7" s="51"/>
      <c r="F7" s="51"/>
      <c r="G7" s="51"/>
      <c r="H7" s="51"/>
      <c r="I7" s="51"/>
      <c r="J7" s="51">
        <v>37.6</v>
      </c>
      <c r="K7" s="49">
        <v>43.9</v>
      </c>
      <c r="L7" s="51">
        <v>51.1</v>
      </c>
      <c r="M7" s="49">
        <v>55.1</v>
      </c>
      <c r="N7" s="51">
        <v>68.8</v>
      </c>
      <c r="O7" s="49">
        <v>82.2</v>
      </c>
      <c r="P7" s="51">
        <v>96.2</v>
      </c>
      <c r="Q7" s="49">
        <v>120.6</v>
      </c>
      <c r="R7" s="51">
        <v>145</v>
      </c>
      <c r="S7" s="49">
        <v>171.2</v>
      </c>
      <c r="T7" s="51">
        <v>193.9</v>
      </c>
      <c r="U7" s="49">
        <f>INDEX(Annual!$A:$AC,MATCH(Segment!$A7,Annual!$A:$A,0),MATCH(Segment!U$1,Annual!$A$1:$AC$1,0))-T7</f>
        <v>213.49999999999997</v>
      </c>
      <c r="V7" s="51">
        <v>239</v>
      </c>
      <c r="W7" s="251">
        <f>INDEX(Annual!$A:$AC,MATCH(Segment!$A7,Annual!$A:$A,0),MATCH(Segment!W$1,Annual!$A$1:$AC$1,0))-V7</f>
        <v>260.72500000000002</v>
      </c>
      <c r="X7" s="251">
        <f>V7*(1+W88)</f>
        <v>281.90004253509147</v>
      </c>
      <c r="Y7" s="251">
        <f t="shared" ref="Y7:AQ7" si="0">W7*(1+X88)</f>
        <v>305.77925944042266</v>
      </c>
      <c r="Z7" s="251">
        <f t="shared" si="0"/>
        <v>331.42831954487457</v>
      </c>
      <c r="AA7" s="251">
        <f t="shared" si="0"/>
        <v>364.24082121282532</v>
      </c>
      <c r="AB7" s="251">
        <f t="shared" si="0"/>
        <v>395.67693656475979</v>
      </c>
      <c r="AC7" s="251">
        <f t="shared" si="0"/>
        <v>442.6761143931289</v>
      </c>
      <c r="AD7" s="251">
        <f t="shared" si="0"/>
        <v>481.68012384955614</v>
      </c>
      <c r="AE7" s="251">
        <f t="shared" si="0"/>
        <v>535.79039496904295</v>
      </c>
      <c r="AF7" s="251">
        <f t="shared" si="0"/>
        <v>583.71765291386009</v>
      </c>
      <c r="AG7" s="251">
        <f t="shared" si="0"/>
        <v>648.936662588437</v>
      </c>
      <c r="AH7" s="251">
        <f t="shared" si="0"/>
        <v>707.8987525077946</v>
      </c>
      <c r="AI7" s="251">
        <f t="shared" si="0"/>
        <v>786.59171688162292</v>
      </c>
      <c r="AJ7" s="251">
        <f t="shared" si="0"/>
        <v>859.22463054886509</v>
      </c>
      <c r="AK7" s="251">
        <f t="shared" si="0"/>
        <v>954.27609448099906</v>
      </c>
      <c r="AL7" s="251">
        <f t="shared" si="0"/>
        <v>1043.8762271999785</v>
      </c>
      <c r="AM7" s="251">
        <f t="shared" si="0"/>
        <v>1158.8088464373538</v>
      </c>
      <c r="AN7" s="251">
        <f t="shared" si="0"/>
        <v>1269.5056350076329</v>
      </c>
      <c r="AO7" s="251">
        <f t="shared" si="0"/>
        <v>1408.6273708236849</v>
      </c>
      <c r="AP7" s="251">
        <f t="shared" si="0"/>
        <v>1545.6027565051581</v>
      </c>
      <c r="AQ7" s="251">
        <f t="shared" si="0"/>
        <v>1714.1895984164482</v>
      </c>
      <c r="AR7" s="1"/>
      <c r="AS7" s="1"/>
      <c r="AT7" s="95">
        <v>237.5</v>
      </c>
      <c r="AU7" s="96">
        <v>1.5</v>
      </c>
      <c r="AV7" s="95">
        <v>251.5</v>
      </c>
      <c r="AW7" s="96">
        <v>6.1</v>
      </c>
      <c r="AX7" s="96"/>
      <c r="AY7" s="138"/>
      <c r="AZ7" s="138"/>
      <c r="BA7" s="1"/>
      <c r="BB7" s="1"/>
      <c r="BC7" s="1"/>
      <c r="BD7" s="1"/>
    </row>
    <row r="8" spans="1:56" x14ac:dyDescent="0.25">
      <c r="A8" s="137" t="s">
        <v>159</v>
      </c>
      <c r="B8" s="92" t="s">
        <v>160</v>
      </c>
      <c r="C8" s="93" t="s">
        <v>75</v>
      </c>
      <c r="D8" s="51" t="s">
        <v>158</v>
      </c>
      <c r="E8" s="51"/>
      <c r="F8" s="51"/>
      <c r="G8" s="51"/>
      <c r="H8" s="51"/>
      <c r="I8" s="51"/>
      <c r="J8" s="51">
        <v>50.8</v>
      </c>
      <c r="K8" s="49">
        <v>47.9</v>
      </c>
      <c r="L8" s="51">
        <v>50.5</v>
      </c>
      <c r="M8" s="49">
        <v>50.6</v>
      </c>
      <c r="N8" s="51">
        <v>41.4</v>
      </c>
      <c r="O8" s="49">
        <v>36.6</v>
      </c>
      <c r="P8" s="51">
        <v>39.1</v>
      </c>
      <c r="Q8" s="49">
        <v>30.1</v>
      </c>
      <c r="R8" s="51">
        <v>21.3</v>
      </c>
      <c r="S8" s="49">
        <v>15.7</v>
      </c>
      <c r="T8" s="51">
        <v>10.4</v>
      </c>
      <c r="U8" s="49">
        <f>INDEX(Annual!$A:$AC,MATCH(Segment!$A8,Annual!$A:$A,0),MATCH(Segment!U$1,Annual!$A$1:$AC$1,0))-T8</f>
        <v>7.4</v>
      </c>
      <c r="V8" s="51">
        <v>4.0999999999999996</v>
      </c>
      <c r="W8" s="251">
        <f>INDEX(Annual!$A:$AC,MATCH(Segment!$A8,Annual!$A:$A,0),MATCH(Segment!W$1,Annual!$A$1:$AC$1,0))-V8</f>
        <v>3.1110000000000007</v>
      </c>
      <c r="X8" s="271">
        <f t="shared" ref="X8:AQ8" si="1">V8</f>
        <v>4.0999999999999996</v>
      </c>
      <c r="Y8" s="271">
        <f t="shared" si="1"/>
        <v>3.1110000000000007</v>
      </c>
      <c r="Z8" s="271">
        <f t="shared" si="1"/>
        <v>4.0999999999999996</v>
      </c>
      <c r="AA8" s="271">
        <f t="shared" si="1"/>
        <v>3.1110000000000007</v>
      </c>
      <c r="AB8" s="271">
        <f t="shared" si="1"/>
        <v>4.0999999999999996</v>
      </c>
      <c r="AC8" s="271">
        <f t="shared" si="1"/>
        <v>3.1110000000000007</v>
      </c>
      <c r="AD8" s="271">
        <f t="shared" si="1"/>
        <v>4.0999999999999996</v>
      </c>
      <c r="AE8" s="271">
        <f t="shared" si="1"/>
        <v>3.1110000000000007</v>
      </c>
      <c r="AF8" s="271">
        <f t="shared" si="1"/>
        <v>4.0999999999999996</v>
      </c>
      <c r="AG8" s="271">
        <f t="shared" si="1"/>
        <v>3.1110000000000007</v>
      </c>
      <c r="AH8" s="271">
        <f t="shared" si="1"/>
        <v>4.0999999999999996</v>
      </c>
      <c r="AI8" s="271">
        <f t="shared" si="1"/>
        <v>3.1110000000000007</v>
      </c>
      <c r="AJ8" s="271">
        <f t="shared" si="1"/>
        <v>4.0999999999999996</v>
      </c>
      <c r="AK8" s="271">
        <f t="shared" si="1"/>
        <v>3.1110000000000007</v>
      </c>
      <c r="AL8" s="271">
        <f t="shared" si="1"/>
        <v>4.0999999999999996</v>
      </c>
      <c r="AM8" s="271">
        <f t="shared" si="1"/>
        <v>3.1110000000000007</v>
      </c>
      <c r="AN8" s="271">
        <f t="shared" si="1"/>
        <v>4.0999999999999996</v>
      </c>
      <c r="AO8" s="271">
        <f t="shared" si="1"/>
        <v>3.1110000000000007</v>
      </c>
      <c r="AP8" s="271">
        <f t="shared" si="1"/>
        <v>4.0999999999999996</v>
      </c>
      <c r="AQ8" s="271">
        <f t="shared" si="1"/>
        <v>3.1110000000000007</v>
      </c>
      <c r="AR8" s="1"/>
      <c r="AS8" s="1"/>
      <c r="AT8" s="95">
        <v>7.4</v>
      </c>
      <c r="AU8" s="96">
        <v>-3.3</v>
      </c>
      <c r="AV8" s="95">
        <v>7.4</v>
      </c>
      <c r="AW8" s="96">
        <v>-3.3</v>
      </c>
      <c r="AX8" s="96"/>
      <c r="AY8" s="138"/>
      <c r="AZ8" s="138"/>
      <c r="BA8" s="1"/>
      <c r="BB8" s="1"/>
      <c r="BC8" s="1"/>
      <c r="BD8" s="1"/>
    </row>
    <row r="9" spans="1:56" x14ac:dyDescent="0.25">
      <c r="A9" s="137" t="s">
        <v>161</v>
      </c>
      <c r="B9" s="92" t="s">
        <v>162</v>
      </c>
      <c r="C9" s="93" t="s">
        <v>75</v>
      </c>
      <c r="D9" s="51" t="s">
        <v>158</v>
      </c>
      <c r="E9" s="51"/>
      <c r="F9" s="51"/>
      <c r="G9" s="51"/>
      <c r="H9" s="51"/>
      <c r="I9" s="51"/>
      <c r="J9" s="51">
        <v>29.2</v>
      </c>
      <c r="K9" s="49">
        <v>32.4</v>
      </c>
      <c r="L9" s="51">
        <v>30.2</v>
      </c>
      <c r="M9" s="49">
        <v>32.299999999999997</v>
      </c>
      <c r="N9" s="51">
        <v>30.4</v>
      </c>
      <c r="O9" s="49">
        <v>34.200000000000003</v>
      </c>
      <c r="P9" s="51">
        <v>34.1</v>
      </c>
      <c r="Q9" s="49">
        <v>38.5</v>
      </c>
      <c r="R9" s="51">
        <v>33.700000000000003</v>
      </c>
      <c r="S9" s="49">
        <v>39.4</v>
      </c>
      <c r="T9" s="51">
        <v>36.299999999999997</v>
      </c>
      <c r="U9" s="49">
        <f>INDEX(Annual!$A:$AC,MATCH(Segment!$A9,Annual!$A:$A,0),MATCH(Segment!U$1,Annual!$A$1:$AC$1,0))-T9</f>
        <v>44.2</v>
      </c>
      <c r="V9" s="51">
        <v>42.6</v>
      </c>
      <c r="W9" s="251">
        <f>INDEX(Annual!$A:$AC,MATCH(Segment!$A9,Annual!$A:$A,0),MATCH(Segment!W$1,Annual!$A$1:$AC$1,0))-V9</f>
        <v>48.966000000000001</v>
      </c>
      <c r="X9" s="271">
        <f>V9*0.95</f>
        <v>40.47</v>
      </c>
      <c r="Y9" s="271">
        <f t="shared" ref="Y9:AQ9" si="2">W9*0.95</f>
        <v>46.517699999999998</v>
      </c>
      <c r="Z9" s="271">
        <f t="shared" si="2"/>
        <v>38.4465</v>
      </c>
      <c r="AA9" s="271">
        <f t="shared" si="2"/>
        <v>44.191814999999998</v>
      </c>
      <c r="AB9" s="271">
        <f t="shared" si="2"/>
        <v>36.524175</v>
      </c>
      <c r="AC9" s="271">
        <f t="shared" si="2"/>
        <v>41.982224249999994</v>
      </c>
      <c r="AD9" s="271">
        <f t="shared" si="2"/>
        <v>34.69796625</v>
      </c>
      <c r="AE9" s="271">
        <f t="shared" si="2"/>
        <v>39.883113037499996</v>
      </c>
      <c r="AF9" s="271">
        <f t="shared" si="2"/>
        <v>32.9630679375</v>
      </c>
      <c r="AG9" s="271">
        <f t="shared" si="2"/>
        <v>37.888957385624991</v>
      </c>
      <c r="AH9" s="271">
        <f t="shared" si="2"/>
        <v>31.314914540624997</v>
      </c>
      <c r="AI9" s="271">
        <f t="shared" si="2"/>
        <v>35.99450951634374</v>
      </c>
      <c r="AJ9" s="271">
        <f t="shared" si="2"/>
        <v>29.749168813593744</v>
      </c>
      <c r="AK9" s="271">
        <f t="shared" si="2"/>
        <v>34.19478404052655</v>
      </c>
      <c r="AL9" s="271">
        <f t="shared" si="2"/>
        <v>28.261710372914056</v>
      </c>
      <c r="AM9" s="271">
        <f t="shared" si="2"/>
        <v>32.485044838500222</v>
      </c>
      <c r="AN9" s="271">
        <f t="shared" si="2"/>
        <v>26.848624854268351</v>
      </c>
      <c r="AO9" s="271">
        <f t="shared" si="2"/>
        <v>30.860792596575209</v>
      </c>
      <c r="AP9" s="271">
        <f t="shared" si="2"/>
        <v>25.506193611554931</v>
      </c>
      <c r="AQ9" s="271">
        <f t="shared" si="2"/>
        <v>29.317752966746447</v>
      </c>
      <c r="AR9" s="1"/>
      <c r="AS9" s="1"/>
      <c r="AT9" s="95">
        <v>31.9</v>
      </c>
      <c r="AU9" s="96">
        <v>10.7</v>
      </c>
      <c r="AV9" s="95">
        <v>39</v>
      </c>
      <c r="AW9" s="96">
        <v>7.5</v>
      </c>
      <c r="AX9" s="96"/>
      <c r="AY9" s="138"/>
      <c r="AZ9" s="138"/>
      <c r="BA9" s="1"/>
      <c r="BB9" s="1"/>
      <c r="BC9" s="1"/>
      <c r="BD9" s="1"/>
    </row>
    <row r="10" spans="1:56" x14ac:dyDescent="0.25">
      <c r="A10" s="137" t="s">
        <v>163</v>
      </c>
      <c r="B10" s="92" t="s">
        <v>164</v>
      </c>
      <c r="C10" s="93" t="s">
        <v>75</v>
      </c>
      <c r="D10" s="51" t="s">
        <v>158</v>
      </c>
      <c r="E10" s="51"/>
      <c r="F10" s="51"/>
      <c r="G10" s="51"/>
      <c r="H10" s="51"/>
      <c r="I10" s="51"/>
      <c r="J10" s="51">
        <v>11</v>
      </c>
      <c r="K10" s="49">
        <v>32.200000000000003</v>
      </c>
      <c r="L10" s="51">
        <v>6.2</v>
      </c>
      <c r="M10" s="49">
        <v>22.3</v>
      </c>
      <c r="N10" s="51">
        <v>3.8</v>
      </c>
      <c r="O10" s="49">
        <v>14</v>
      </c>
      <c r="P10" s="51">
        <v>2.5</v>
      </c>
      <c r="Q10" s="49">
        <v>7.1</v>
      </c>
      <c r="R10" s="51">
        <v>1</v>
      </c>
      <c r="S10" s="49">
        <v>2</v>
      </c>
      <c r="T10" s="51">
        <v>0.3</v>
      </c>
      <c r="U10" s="49">
        <f>INDEX(Annual!$A:$AC,MATCH(Segment!$A10,Annual!$A:$A,0),MATCH(Segment!U$1,Annual!$A$1:$AC$1,0))-T10</f>
        <v>0.5</v>
      </c>
      <c r="V10" s="51">
        <v>0</v>
      </c>
      <c r="W10" s="251">
        <f>INDEX(Annual!$A:$AC,MATCH(Segment!$A10,Annual!$A:$A,0),MATCH(Segment!W$1,Annual!$A$1:$AC$1,0))-V10</f>
        <v>0</v>
      </c>
      <c r="X10" s="271">
        <v>0.6</v>
      </c>
      <c r="Y10" s="271">
        <v>0.6</v>
      </c>
      <c r="Z10" s="271">
        <v>0.6</v>
      </c>
      <c r="AA10" s="271">
        <v>0.6</v>
      </c>
      <c r="AB10" s="271">
        <v>0.6</v>
      </c>
      <c r="AC10" s="271">
        <v>0.6</v>
      </c>
      <c r="AD10" s="271">
        <v>0.6</v>
      </c>
      <c r="AE10" s="271">
        <v>0.6</v>
      </c>
      <c r="AF10" s="271">
        <v>0.6</v>
      </c>
      <c r="AG10" s="271">
        <v>0.6</v>
      </c>
      <c r="AH10" s="271">
        <v>0.6</v>
      </c>
      <c r="AI10" s="271">
        <v>0.6</v>
      </c>
      <c r="AJ10" s="271">
        <v>0.6</v>
      </c>
      <c r="AK10" s="271">
        <v>0.6</v>
      </c>
      <c r="AL10" s="271">
        <v>0.6</v>
      </c>
      <c r="AM10" s="271">
        <v>0.6</v>
      </c>
      <c r="AN10" s="271">
        <v>0.6</v>
      </c>
      <c r="AO10" s="271">
        <v>0.6</v>
      </c>
      <c r="AP10" s="271">
        <v>0.6</v>
      </c>
      <c r="AQ10" s="271">
        <v>0.6</v>
      </c>
      <c r="AR10" s="1"/>
      <c r="AS10" s="1"/>
      <c r="AT10" s="95">
        <v>0.3</v>
      </c>
      <c r="AU10" s="96">
        <v>-0.3</v>
      </c>
      <c r="AV10" s="95">
        <v>0.6</v>
      </c>
      <c r="AW10" s="96">
        <v>0</v>
      </c>
      <c r="AX10" s="117"/>
      <c r="AY10" s="138"/>
      <c r="AZ10" s="138"/>
      <c r="BA10" s="1"/>
      <c r="BB10" s="1"/>
      <c r="BC10" s="1"/>
      <c r="BD10" s="1"/>
    </row>
    <row r="11" spans="1:56" x14ac:dyDescent="0.25">
      <c r="A11" s="137" t="s">
        <v>165</v>
      </c>
      <c r="B11" s="97" t="s">
        <v>166</v>
      </c>
      <c r="C11" s="5" t="s">
        <v>75</v>
      </c>
      <c r="D11" s="98"/>
      <c r="E11" s="98"/>
      <c r="F11" s="98"/>
      <c r="G11" s="98"/>
      <c r="H11" s="98"/>
      <c r="I11" s="98"/>
      <c r="J11" s="98">
        <v>128.5</v>
      </c>
      <c r="K11" s="98">
        <v>156.5</v>
      </c>
      <c r="L11" s="98">
        <v>138</v>
      </c>
      <c r="M11" s="98">
        <v>160.30000000000001</v>
      </c>
      <c r="N11" s="98">
        <v>144.30000000000001</v>
      </c>
      <c r="O11" s="98">
        <v>167</v>
      </c>
      <c r="P11" s="98">
        <v>172</v>
      </c>
      <c r="Q11" s="98">
        <v>196.2</v>
      </c>
      <c r="R11" s="98">
        <v>201</v>
      </c>
      <c r="S11" s="98">
        <v>228.4</v>
      </c>
      <c r="T11" s="98">
        <v>240.8</v>
      </c>
      <c r="U11" s="98">
        <f>INDEX(Annual!$A:$AC,MATCH(Segment!$A11,Annual!$A:$A,0),MATCH(Segment!U$1,Annual!$A$1:$AC$1,0))-T11</f>
        <v>265.7</v>
      </c>
      <c r="V11" s="98">
        <f>SUM(V7:V10)</f>
        <v>285.7</v>
      </c>
      <c r="W11" s="267">
        <f>INDEX(Annual!$A:$AC,MATCH(Segment!$A11,Annual!$A:$A,0),MATCH(Segment!W$1,Annual!$A$1:$AC$1,0))-V11</f>
        <v>312.80200000000008</v>
      </c>
      <c r="X11" s="267">
        <f t="shared" ref="X11" si="3">SUM(X7:X10)</f>
        <v>327.07004253509149</v>
      </c>
      <c r="Y11" s="267">
        <f t="shared" ref="Y11" si="4">SUM(Y7:Y10)</f>
        <v>356.00795944042267</v>
      </c>
      <c r="Z11" s="267">
        <f t="shared" ref="Z11" si="5">SUM(Z7:Z10)</f>
        <v>374.57481954487463</v>
      </c>
      <c r="AA11" s="267">
        <f t="shared" ref="AA11" si="6">SUM(AA7:AA10)</f>
        <v>412.14363621282536</v>
      </c>
      <c r="AB11" s="267">
        <f t="shared" ref="AB11" si="7">SUM(AB7:AB10)</f>
        <v>436.90111156475984</v>
      </c>
      <c r="AC11" s="267">
        <f t="shared" ref="AC11" si="8">SUM(AC7:AC10)</f>
        <v>488.36933864312891</v>
      </c>
      <c r="AD11" s="267">
        <f t="shared" ref="AD11" si="9">SUM(AD7:AD10)</f>
        <v>521.07809009955622</v>
      </c>
      <c r="AE11" s="267">
        <f t="shared" ref="AE11" si="10">SUM(AE7:AE10)</f>
        <v>579.384508006543</v>
      </c>
      <c r="AF11" s="267">
        <f t="shared" ref="AF11" si="11">SUM(AF7:AF10)</f>
        <v>621.38072085136014</v>
      </c>
      <c r="AG11" s="267">
        <f t="shared" ref="AG11" si="12">SUM(AG7:AG10)</f>
        <v>690.53661997406198</v>
      </c>
      <c r="AH11" s="267">
        <f t="shared" ref="AH11" si="13">SUM(AH7:AH10)</f>
        <v>743.9136670484196</v>
      </c>
      <c r="AI11" s="267">
        <f t="shared" ref="AI11" si="14">SUM(AI7:AI10)</f>
        <v>826.29722639796671</v>
      </c>
      <c r="AJ11" s="267">
        <f t="shared" ref="AJ11" si="15">SUM(AJ7:AJ10)</f>
        <v>893.67379936245891</v>
      </c>
      <c r="AK11" s="267">
        <f t="shared" ref="AK11" si="16">SUM(AK7:AK10)</f>
        <v>992.18187852152562</v>
      </c>
      <c r="AL11" s="267">
        <f t="shared" ref="AL11" si="17">SUM(AL7:AL10)</f>
        <v>1076.8379375728923</v>
      </c>
      <c r="AM11" s="267">
        <f t="shared" ref="AM11" si="18">SUM(AM7:AM10)</f>
        <v>1195.0048912758541</v>
      </c>
      <c r="AN11" s="267">
        <f t="shared" ref="AN11" si="19">SUM(AN7:AN10)</f>
        <v>1301.0542598619011</v>
      </c>
      <c r="AO11" s="267">
        <f t="shared" ref="AO11" si="20">SUM(AO7:AO10)</f>
        <v>1443.1991634202602</v>
      </c>
      <c r="AP11" s="267">
        <f t="shared" ref="AP11" si="21">SUM(AP7:AP10)</f>
        <v>1575.8089501167128</v>
      </c>
      <c r="AQ11" s="267">
        <f t="shared" ref="AQ11" si="22">SUM(AQ7:AQ10)</f>
        <v>1747.2183513831947</v>
      </c>
      <c r="AR11" s="1"/>
      <c r="AS11" s="1"/>
      <c r="AT11" s="99">
        <v>277.10000000000002</v>
      </c>
      <c r="AU11" s="100">
        <v>8.6</v>
      </c>
      <c r="AV11" s="99">
        <v>298.39999999999998</v>
      </c>
      <c r="AW11" s="100">
        <v>10.3</v>
      </c>
      <c r="AX11" s="89"/>
      <c r="AY11" s="138"/>
      <c r="AZ11" s="138"/>
      <c r="BA11" s="1"/>
      <c r="BB11" s="1"/>
      <c r="BC11" s="1"/>
      <c r="BD11" s="1"/>
    </row>
    <row r="12" spans="1:56" x14ac:dyDescent="0.25">
      <c r="A12" s="137"/>
      <c r="B12" s="92" t="s">
        <v>167</v>
      </c>
      <c r="C12" s="93" t="s">
        <v>168</v>
      </c>
      <c r="D12" s="2"/>
      <c r="E12" s="2"/>
      <c r="F12" s="2"/>
      <c r="G12" s="2"/>
      <c r="H12" s="2"/>
      <c r="I12" s="2"/>
      <c r="J12" s="2" t="e">
        <v>#DIV/0!</v>
      </c>
      <c r="K12" s="2" t="e">
        <v>#DIV/0!</v>
      </c>
      <c r="L12" s="101">
        <v>7.3999999999999996E-2</v>
      </c>
      <c r="M12" s="101">
        <v>2.4E-2</v>
      </c>
      <c r="N12" s="101">
        <v>4.5999999999999999E-2</v>
      </c>
      <c r="O12" s="101">
        <v>4.2000000000000003E-2</v>
      </c>
      <c r="P12" s="101">
        <v>0.192</v>
      </c>
      <c r="Q12" s="101">
        <v>0.17499999999999999</v>
      </c>
      <c r="R12" s="101">
        <v>0.16900000000000001</v>
      </c>
      <c r="S12" s="101">
        <v>0.16400000000000001</v>
      </c>
      <c r="T12" s="101">
        <v>0.19800000000000001</v>
      </c>
      <c r="U12" s="253">
        <f>U11/S11-1</f>
        <v>0.16330998248686512</v>
      </c>
      <c r="V12" s="253">
        <f>V11/T11-1</f>
        <v>0.18646179401993335</v>
      </c>
      <c r="W12" s="253">
        <f>W11/U11-1</f>
        <v>0.17727512231840459</v>
      </c>
      <c r="X12" s="253">
        <f t="shared" ref="W12:AQ12" si="23">X11/V11-1</f>
        <v>0.14480238899226983</v>
      </c>
      <c r="Y12" s="253">
        <f t="shared" si="23"/>
        <v>0.13812558564338651</v>
      </c>
      <c r="Z12" s="253">
        <f t="shared" si="23"/>
        <v>0.14524343667056061</v>
      </c>
      <c r="AA12" s="253">
        <f t="shared" si="23"/>
        <v>0.15768095988819297</v>
      </c>
      <c r="AB12" s="253">
        <f t="shared" si="23"/>
        <v>0.16639210317344477</v>
      </c>
      <c r="AC12" s="253">
        <f t="shared" si="23"/>
        <v>0.1849493616612381</v>
      </c>
      <c r="AD12" s="253">
        <f t="shared" si="23"/>
        <v>0.19266826361076728</v>
      </c>
      <c r="AE12" s="253">
        <f t="shared" si="23"/>
        <v>0.18636544549722966</v>
      </c>
      <c r="AF12" s="253">
        <f t="shared" si="23"/>
        <v>0.19249059336315644</v>
      </c>
      <c r="AG12" s="253">
        <f t="shared" si="23"/>
        <v>0.19184515711328576</v>
      </c>
      <c r="AH12" s="253">
        <f t="shared" si="23"/>
        <v>0.19719463782071611</v>
      </c>
      <c r="AI12" s="253">
        <f t="shared" si="23"/>
        <v>0.19660160300985074</v>
      </c>
      <c r="AJ12" s="253">
        <f t="shared" si="23"/>
        <v>0.20131386066374257</v>
      </c>
      <c r="AK12" s="253">
        <f t="shared" si="23"/>
        <v>0.20075663674521937</v>
      </c>
      <c r="AL12" s="253">
        <f t="shared" si="23"/>
        <v>0.2049563703681383</v>
      </c>
      <c r="AM12" s="253">
        <f t="shared" si="23"/>
        <v>0.20442120254862939</v>
      </c>
      <c r="AN12" s="253">
        <f t="shared" si="23"/>
        <v>0.20821733193610781</v>
      </c>
      <c r="AO12" s="253">
        <f t="shared" si="23"/>
        <v>0.20769310147293196</v>
      </c>
      <c r="AP12" s="253">
        <f t="shared" si="23"/>
        <v>0.21117850248918546</v>
      </c>
      <c r="AQ12" s="253">
        <f t="shared" si="23"/>
        <v>0.2106564330611409</v>
      </c>
      <c r="AR12" s="1"/>
      <c r="AS12" s="1"/>
      <c r="AT12" s="198">
        <v>0.151</v>
      </c>
      <c r="AU12" s="199">
        <v>3.5999999999999997E-2</v>
      </c>
      <c r="AV12" s="198">
        <v>0.123</v>
      </c>
      <c r="AW12" s="199">
        <v>3.9E-2</v>
      </c>
      <c r="AX12" s="117"/>
      <c r="AY12" s="138"/>
      <c r="AZ12" s="138"/>
      <c r="BA12" s="1"/>
      <c r="BB12" s="1"/>
      <c r="BC12" s="1"/>
      <c r="BD12" s="1"/>
    </row>
    <row r="13" spans="1:56" x14ac:dyDescent="0.25">
      <c r="A13" s="288"/>
      <c r="B13" s="289"/>
      <c r="C13" s="115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1"/>
      <c r="AS13" s="1"/>
      <c r="AT13" s="116"/>
      <c r="AU13" s="117"/>
      <c r="AV13" s="116"/>
      <c r="AW13" s="117"/>
      <c r="AX13" s="96"/>
      <c r="AY13" s="138"/>
      <c r="AZ13" s="138"/>
      <c r="BA13" s="1"/>
      <c r="BB13" s="1"/>
      <c r="BC13" s="1"/>
      <c r="BD13" s="1"/>
    </row>
    <row r="14" spans="1:56" x14ac:dyDescent="0.25">
      <c r="A14" s="137" t="s">
        <v>176</v>
      </c>
      <c r="B14" s="92" t="s">
        <v>177</v>
      </c>
      <c r="C14" s="93" t="s">
        <v>75</v>
      </c>
      <c r="D14" s="49"/>
      <c r="E14" s="51"/>
      <c r="F14" s="51"/>
      <c r="G14" s="51"/>
      <c r="H14" s="51"/>
      <c r="I14" s="51"/>
      <c r="J14" s="51">
        <v>0.3</v>
      </c>
      <c r="K14" s="49">
        <v>0.3</v>
      </c>
      <c r="L14" s="51">
        <v>0.2</v>
      </c>
      <c r="M14" s="49">
        <v>0.2</v>
      </c>
      <c r="N14" s="51">
        <v>0.2</v>
      </c>
      <c r="O14" s="49">
        <v>0.3</v>
      </c>
      <c r="P14" s="51">
        <v>0.4</v>
      </c>
      <c r="Q14" s="49">
        <v>0.4</v>
      </c>
      <c r="R14" s="51">
        <v>7.7</v>
      </c>
      <c r="S14" s="49">
        <v>0.1</v>
      </c>
      <c r="T14" s="51">
        <v>3.9</v>
      </c>
      <c r="U14" s="49">
        <f>INDEX(Annual!$A:$AC,MATCH(Segment!$A14,Annual!$A:$A,0),MATCH(Segment!U$1,Annual!$A$1:$AC$1,0))-T14</f>
        <v>5</v>
      </c>
      <c r="V14" s="51">
        <v>5.6</v>
      </c>
      <c r="W14" s="251">
        <f>INDEX(Annual!$A:$AC,MATCH(Segment!$A14,Annual!$A:$A,0),MATCH(Segment!W$1,Annual!$A$1:$AC$1,0))-V14</f>
        <v>5.9260000000000002</v>
      </c>
      <c r="X14" s="271">
        <f t="shared" ref="X14:AQ14" si="24">V14</f>
        <v>5.6</v>
      </c>
      <c r="Y14" s="271">
        <f t="shared" si="24"/>
        <v>5.9260000000000002</v>
      </c>
      <c r="Z14" s="271">
        <f t="shared" si="24"/>
        <v>5.6</v>
      </c>
      <c r="AA14" s="271">
        <f t="shared" si="24"/>
        <v>5.9260000000000002</v>
      </c>
      <c r="AB14" s="271">
        <f t="shared" si="24"/>
        <v>5.6</v>
      </c>
      <c r="AC14" s="271">
        <f t="shared" si="24"/>
        <v>5.9260000000000002</v>
      </c>
      <c r="AD14" s="271">
        <f t="shared" si="24"/>
        <v>5.6</v>
      </c>
      <c r="AE14" s="271">
        <f t="shared" si="24"/>
        <v>5.9260000000000002</v>
      </c>
      <c r="AF14" s="271">
        <f t="shared" si="24"/>
        <v>5.6</v>
      </c>
      <c r="AG14" s="271">
        <f t="shared" si="24"/>
        <v>5.9260000000000002</v>
      </c>
      <c r="AH14" s="271">
        <f t="shared" si="24"/>
        <v>5.6</v>
      </c>
      <c r="AI14" s="271">
        <f t="shared" si="24"/>
        <v>5.9260000000000002</v>
      </c>
      <c r="AJ14" s="271">
        <f t="shared" si="24"/>
        <v>5.6</v>
      </c>
      <c r="AK14" s="271">
        <f t="shared" si="24"/>
        <v>5.9260000000000002</v>
      </c>
      <c r="AL14" s="271">
        <f t="shared" si="24"/>
        <v>5.6</v>
      </c>
      <c r="AM14" s="271">
        <f t="shared" si="24"/>
        <v>5.9260000000000002</v>
      </c>
      <c r="AN14" s="271">
        <f t="shared" si="24"/>
        <v>5.6</v>
      </c>
      <c r="AO14" s="271">
        <f t="shared" si="24"/>
        <v>5.9260000000000002</v>
      </c>
      <c r="AP14" s="271">
        <f t="shared" si="24"/>
        <v>5.6</v>
      </c>
      <c r="AQ14" s="271">
        <f t="shared" si="24"/>
        <v>5.9260000000000002</v>
      </c>
      <c r="AR14" s="1"/>
      <c r="AS14" s="1"/>
      <c r="AT14" s="95">
        <v>3.9</v>
      </c>
      <c r="AU14" s="96">
        <v>1.7</v>
      </c>
      <c r="AV14" s="95">
        <v>4.9000000000000004</v>
      </c>
      <c r="AW14" s="96">
        <v>0</v>
      </c>
      <c r="AX14" s="117"/>
      <c r="AY14" s="138"/>
      <c r="AZ14" s="138"/>
      <c r="BA14" s="1"/>
      <c r="BB14" s="1"/>
      <c r="BC14" s="1"/>
      <c r="BD14" s="1"/>
    </row>
    <row r="15" spans="1:56" x14ac:dyDescent="0.25">
      <c r="A15" s="137"/>
      <c r="B15" s="97" t="s">
        <v>178</v>
      </c>
      <c r="C15" s="5" t="s">
        <v>75</v>
      </c>
      <c r="D15" s="98" t="s">
        <v>179</v>
      </c>
      <c r="E15" s="114"/>
      <c r="F15" s="98"/>
      <c r="G15" s="114"/>
      <c r="H15" s="114"/>
      <c r="I15" s="114"/>
      <c r="J15" s="98">
        <v>128.80000000000001</v>
      </c>
      <c r="K15" s="98">
        <v>156.80000000000001</v>
      </c>
      <c r="L15" s="98">
        <v>138.19999999999999</v>
      </c>
      <c r="M15" s="98">
        <v>160.5</v>
      </c>
      <c r="N15" s="98">
        <v>144.5</v>
      </c>
      <c r="O15" s="98">
        <v>167.3</v>
      </c>
      <c r="P15" s="98">
        <v>172.4</v>
      </c>
      <c r="Q15" s="98">
        <v>196.6</v>
      </c>
      <c r="R15" s="98">
        <v>208.7</v>
      </c>
      <c r="S15" s="98">
        <v>228.5</v>
      </c>
      <c r="T15" s="98">
        <v>244.7</v>
      </c>
      <c r="U15" s="98">
        <f>U11+U14</f>
        <v>270.7</v>
      </c>
      <c r="V15" s="98">
        <f>V11+V14</f>
        <v>291.3</v>
      </c>
      <c r="W15" s="267">
        <f>W11+W14</f>
        <v>318.72800000000007</v>
      </c>
      <c r="X15" s="267">
        <f t="shared" ref="W15:AQ15" si="25">X11+X14</f>
        <v>332.67004253509151</v>
      </c>
      <c r="Y15" s="267">
        <f t="shared" si="25"/>
        <v>361.93395944042265</v>
      </c>
      <c r="Z15" s="267">
        <f t="shared" si="25"/>
        <v>380.17481954487465</v>
      </c>
      <c r="AA15" s="267">
        <f t="shared" si="25"/>
        <v>418.06963621282534</v>
      </c>
      <c r="AB15" s="267">
        <f t="shared" si="25"/>
        <v>442.50111156475987</v>
      </c>
      <c r="AC15" s="267">
        <f t="shared" si="25"/>
        <v>494.2953386431289</v>
      </c>
      <c r="AD15" s="267">
        <f t="shared" si="25"/>
        <v>526.67809009955624</v>
      </c>
      <c r="AE15" s="267">
        <f t="shared" si="25"/>
        <v>585.31050800654305</v>
      </c>
      <c r="AF15" s="267">
        <f t="shared" si="25"/>
        <v>626.98072085136016</v>
      </c>
      <c r="AG15" s="267">
        <f t="shared" si="25"/>
        <v>696.46261997406202</v>
      </c>
      <c r="AH15" s="267">
        <f t="shared" si="25"/>
        <v>749.51366704841962</v>
      </c>
      <c r="AI15" s="267">
        <f t="shared" si="25"/>
        <v>832.22322639796676</v>
      </c>
      <c r="AJ15" s="267">
        <f t="shared" si="25"/>
        <v>899.27379936245893</v>
      </c>
      <c r="AK15" s="267">
        <f t="shared" si="25"/>
        <v>998.10787852152566</v>
      </c>
      <c r="AL15" s="267">
        <f t="shared" si="25"/>
        <v>1082.4379375728922</v>
      </c>
      <c r="AM15" s="267">
        <f t="shared" si="25"/>
        <v>1200.930891275854</v>
      </c>
      <c r="AN15" s="267">
        <f t="shared" si="25"/>
        <v>1306.654259861901</v>
      </c>
      <c r="AO15" s="267">
        <f t="shared" si="25"/>
        <v>1449.1251634202602</v>
      </c>
      <c r="AP15" s="267">
        <f t="shared" si="25"/>
        <v>1581.4089501167127</v>
      </c>
      <c r="AQ15" s="267">
        <f t="shared" si="25"/>
        <v>1753.1443513831946</v>
      </c>
      <c r="AR15" s="1"/>
      <c r="AS15" s="1"/>
      <c r="AT15" s="99">
        <v>281</v>
      </c>
      <c r="AU15" s="100">
        <v>10.199999999999999</v>
      </c>
      <c r="AV15" s="99">
        <v>303.39999999999998</v>
      </c>
      <c r="AW15" s="100">
        <v>10.3</v>
      </c>
      <c r="AX15" s="89"/>
      <c r="AY15" s="138"/>
      <c r="AZ15" s="138"/>
      <c r="BA15" s="1"/>
      <c r="BB15" s="1"/>
      <c r="BC15" s="1"/>
      <c r="BD15" s="1"/>
    </row>
    <row r="16" spans="1:56" x14ac:dyDescent="0.25">
      <c r="A16" s="137"/>
      <c r="B16" s="92" t="s">
        <v>167</v>
      </c>
      <c r="C16" s="93" t="s">
        <v>168</v>
      </c>
      <c r="D16" s="2"/>
      <c r="E16" s="2"/>
      <c r="F16" s="2"/>
      <c r="G16" s="2"/>
      <c r="H16" s="2"/>
      <c r="I16" s="2"/>
      <c r="J16" s="2" t="e">
        <v>#DIV/0!</v>
      </c>
      <c r="K16" s="2" t="e">
        <v>#DIV/0!</v>
      </c>
      <c r="L16" s="101">
        <v>7.1999999999999995E-2</v>
      </c>
      <c r="M16" s="101">
        <v>2.4E-2</v>
      </c>
      <c r="N16" s="101">
        <v>4.5999999999999999E-2</v>
      </c>
      <c r="O16" s="101">
        <v>4.2000000000000003E-2</v>
      </c>
      <c r="P16" s="101">
        <v>0.193</v>
      </c>
      <c r="Q16" s="101">
        <v>0.17599999999999999</v>
      </c>
      <c r="R16" s="101">
        <v>0.21099999999999999</v>
      </c>
      <c r="S16" s="101">
        <v>0.16200000000000001</v>
      </c>
      <c r="T16" s="101">
        <v>0.17299999999999999</v>
      </c>
      <c r="U16" s="253">
        <f>U15/S15-1</f>
        <v>0.18468271334792119</v>
      </c>
      <c r="V16" s="253">
        <f>V15/T15-1</f>
        <v>0.19043727012668588</v>
      </c>
      <c r="W16" s="253">
        <f>W15/U15-1</f>
        <v>0.17742149981529387</v>
      </c>
      <c r="X16" s="253">
        <f t="shared" ref="X16" si="26">X15/V15-1</f>
        <v>0.14201868360827841</v>
      </c>
      <c r="Y16" s="253">
        <f t="shared" ref="Y16" si="27">Y15/W15-1</f>
        <v>0.13555746417140191</v>
      </c>
      <c r="Z16" s="253">
        <f t="shared" ref="Z16" si="28">Z15/X15-1</f>
        <v>0.14279848178626464</v>
      </c>
      <c r="AA16" s="253">
        <f t="shared" ref="AA16" si="29">AA15/Y15-1</f>
        <v>0.15509922544762778</v>
      </c>
      <c r="AB16" s="253">
        <f t="shared" ref="AB16" si="30">AB15/Z15-1</f>
        <v>0.16394113659210507</v>
      </c>
      <c r="AC16" s="253">
        <f t="shared" ref="AC16" si="31">AC15/AA15-1</f>
        <v>0.18232776510825</v>
      </c>
      <c r="AD16" s="253">
        <f t="shared" ref="AD16" si="32">AD15/AB15-1</f>
        <v>0.19022998210588016</v>
      </c>
      <c r="AE16" s="253">
        <f t="shared" ref="AE16" si="33">AE15/AC15-1</f>
        <v>0.18413115044389539</v>
      </c>
      <c r="AF16" s="253">
        <f t="shared" ref="AF16" si="34">AF15/AD15-1</f>
        <v>0.19044390233291097</v>
      </c>
      <c r="AG16" s="253">
        <f t="shared" ref="AG16" si="35">AG15/AE15-1</f>
        <v>0.18990281303180789</v>
      </c>
      <c r="AH16" s="253">
        <f t="shared" ref="AH16" si="36">AH15/AF15-1</f>
        <v>0.19543335563918984</v>
      </c>
      <c r="AI16" s="253">
        <f t="shared" ref="AI16" si="37">AI15/AG15-1</f>
        <v>0.19492877654935858</v>
      </c>
      <c r="AJ16" s="253">
        <f t="shared" ref="AJ16" si="38">AJ15/AH15-1</f>
        <v>0.1998097418340532</v>
      </c>
      <c r="AK16" s="253">
        <f t="shared" ref="AK16" si="39">AK15/AI15-1</f>
        <v>0.19932711183938201</v>
      </c>
      <c r="AL16" s="253">
        <f t="shared" ref="AL16" si="40">AL15/AJ15-1</f>
        <v>0.20368005644141718</v>
      </c>
      <c r="AM16" s="253">
        <f t="shared" ref="AM16" si="41">AM15/AK15-1</f>
        <v>0.20320750604109583</v>
      </c>
      <c r="AN16" s="253">
        <f t="shared" ref="AN16" si="42">AN15/AL15-1</f>
        <v>0.20714011815934708</v>
      </c>
      <c r="AO16" s="253">
        <f t="shared" ref="AO16" si="43">AO15/AM15-1</f>
        <v>0.20666823873664164</v>
      </c>
      <c r="AP16" s="253">
        <f t="shared" ref="AP16" si="44">AP15/AN15-1</f>
        <v>0.2102734431706903</v>
      </c>
      <c r="AQ16" s="253">
        <f t="shared" ref="AQ16" si="45">AQ15/AO15-1</f>
        <v>0.20979498226735704</v>
      </c>
      <c r="AR16" s="1"/>
      <c r="AS16" s="1"/>
      <c r="AT16" s="198">
        <v>0.14799999999999999</v>
      </c>
      <c r="AU16" s="199">
        <v>4.2000000000000003E-2</v>
      </c>
      <c r="AV16" s="198">
        <v>0.121</v>
      </c>
      <c r="AW16" s="199">
        <v>3.7999999999999999E-2</v>
      </c>
      <c r="AX16" s="89"/>
      <c r="AY16" s="138"/>
      <c r="AZ16" s="138"/>
      <c r="BA16" s="1"/>
      <c r="BB16" s="1"/>
      <c r="BC16" s="1"/>
      <c r="BD16" s="1"/>
    </row>
    <row r="17" spans="1:56" x14ac:dyDescent="0.25">
      <c r="A17" s="288"/>
      <c r="B17" s="289"/>
      <c r="C17" s="93"/>
      <c r="D17" s="2"/>
      <c r="E17" s="2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49"/>
      <c r="R17" s="51"/>
      <c r="S17" s="49"/>
      <c r="T17" s="51"/>
      <c r="U17" s="49"/>
      <c r="V17" s="51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1"/>
      <c r="AS17" s="1"/>
      <c r="AT17" s="95"/>
      <c r="AU17" s="96"/>
      <c r="AV17" s="95"/>
      <c r="AW17" s="96"/>
      <c r="AX17" s="89"/>
      <c r="AY17" s="138"/>
      <c r="AZ17" s="138"/>
      <c r="BA17" s="1"/>
      <c r="BB17" s="1"/>
      <c r="BC17" s="1"/>
      <c r="BD17" s="1"/>
    </row>
    <row r="18" spans="1:56" x14ac:dyDescent="0.25">
      <c r="A18" s="137"/>
      <c r="B18" s="90" t="s">
        <v>180</v>
      </c>
      <c r="C18" s="9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49"/>
      <c r="R18" s="2"/>
      <c r="S18" s="49"/>
      <c r="T18" s="2"/>
      <c r="U18" s="49"/>
      <c r="V18" s="2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1"/>
      <c r="AS18" s="1"/>
      <c r="AT18" s="95"/>
      <c r="AU18" s="96"/>
      <c r="AV18" s="95"/>
      <c r="AW18" s="96"/>
      <c r="AX18" s="96"/>
      <c r="AY18" s="138"/>
      <c r="AZ18" s="138"/>
      <c r="BA18" s="1"/>
      <c r="BB18" s="1"/>
      <c r="BC18" s="1"/>
      <c r="BD18" s="1"/>
    </row>
    <row r="19" spans="1:56" x14ac:dyDescent="0.25">
      <c r="A19" s="137" t="s">
        <v>181</v>
      </c>
      <c r="B19" s="92" t="s">
        <v>182</v>
      </c>
      <c r="C19" s="93" t="s">
        <v>75</v>
      </c>
      <c r="D19" s="51" t="s">
        <v>158</v>
      </c>
      <c r="E19" s="51"/>
      <c r="F19" s="51"/>
      <c r="G19" s="51"/>
      <c r="H19" s="51"/>
      <c r="I19" s="51"/>
      <c r="J19" s="51">
        <v>-9.8000000000000007</v>
      </c>
      <c r="K19" s="49">
        <v>-9.9</v>
      </c>
      <c r="L19" s="51">
        <v>-7.1</v>
      </c>
      <c r="M19" s="49">
        <v>-12</v>
      </c>
      <c r="N19" s="51">
        <v>-8.6999999999999993</v>
      </c>
      <c r="O19" s="49">
        <v>-10.7</v>
      </c>
      <c r="P19" s="51">
        <v>-10.3</v>
      </c>
      <c r="Q19" s="49">
        <v>-10.4</v>
      </c>
      <c r="R19" s="51">
        <v>-11.5</v>
      </c>
      <c r="S19" s="49">
        <v>-9.5</v>
      </c>
      <c r="T19" s="51">
        <v>-11.2</v>
      </c>
      <c r="U19" s="49">
        <f>INDEX(Annual!$A:$AC,MATCH(Segment!$A19,Annual!$A:$A,0),MATCH(Segment!U$1,Annual!$A$1:$AC$1,0))-T19</f>
        <v>-12</v>
      </c>
      <c r="V19" s="51">
        <v>-13.2</v>
      </c>
      <c r="W19" s="251">
        <f>INDEX(Annual!$A:$AC,MATCH(Segment!$A19,Annual!$A:$A,0),MATCH(Segment!W$1,Annual!$A$1:$AC$1,0))-V19</f>
        <v>-9.8300000000000018</v>
      </c>
      <c r="X19" s="251">
        <f t="shared" ref="X19:AQ21" si="46">X$22/V$22*V19</f>
        <v>-15.074646623629279</v>
      </c>
      <c r="Y19" s="251">
        <f t="shared" si="46"/>
        <v>-11.162529872804916</v>
      </c>
      <c r="Z19" s="251">
        <f t="shared" si="46"/>
        <v>-17.227283274947968</v>
      </c>
      <c r="AA19" s="251">
        <f t="shared" si="46"/>
        <v>-12.893829610112968</v>
      </c>
      <c r="AB19" s="251">
        <f t="shared" si="46"/>
        <v>-20.051543675437106</v>
      </c>
      <c r="AC19" s="251">
        <f t="shared" si="46"/>
        <v>-15.244732746611438</v>
      </c>
      <c r="AD19" s="251">
        <f t="shared" si="46"/>
        <v>-23.865948470010778</v>
      </c>
      <c r="AE19" s="251">
        <f t="shared" si="46"/>
        <v>-18.051762925454735</v>
      </c>
      <c r="AF19" s="251">
        <f t="shared" si="46"/>
        <v>-28.411072829515813</v>
      </c>
      <c r="AG19" s="251">
        <f t="shared" si="46"/>
        <v>-21.47984348518187</v>
      </c>
      <c r="AH19" s="251">
        <f t="shared" si="46"/>
        <v>-33.963544129897478</v>
      </c>
      <c r="AI19" s="251">
        <f t="shared" si="46"/>
        <v>-25.666883096220097</v>
      </c>
      <c r="AJ19" s="251">
        <f t="shared" si="46"/>
        <v>-40.749791114261782</v>
      </c>
      <c r="AK19" s="251">
        <f t="shared" si="46"/>
        <v>-30.782988773708706</v>
      </c>
      <c r="AL19" s="251">
        <f t="shared" si="46"/>
        <v>-49.049710868390584</v>
      </c>
      <c r="AM19" s="251">
        <f t="shared" si="46"/>
        <v>-37.038323150905079</v>
      </c>
      <c r="AN19" s="251">
        <f t="shared" si="46"/>
        <v>-59.209873773350807</v>
      </c>
      <c r="AO19" s="251">
        <f t="shared" si="46"/>
        <v>-44.692968162261224</v>
      </c>
      <c r="AP19" s="251">
        <f t="shared" si="46"/>
        <v>-71.660137801375228</v>
      </c>
      <c r="AQ19" s="251">
        <f t="shared" si="46"/>
        <v>-54.069328625338379</v>
      </c>
      <c r="AR19" s="1"/>
      <c r="AS19" s="1"/>
      <c r="AT19" s="95">
        <v>-12.9</v>
      </c>
      <c r="AU19" s="96">
        <v>-0.3</v>
      </c>
      <c r="AV19" s="95">
        <v>-13.4</v>
      </c>
      <c r="AW19" s="96">
        <v>-0.5</v>
      </c>
      <c r="AX19" s="96"/>
      <c r="AY19" s="138"/>
      <c r="AZ19" s="138"/>
      <c r="BA19" s="1"/>
      <c r="BB19" s="1"/>
      <c r="BC19" s="1"/>
      <c r="BD19" s="1"/>
    </row>
    <row r="20" spans="1:56" x14ac:dyDescent="0.25">
      <c r="A20" s="137" t="s">
        <v>183</v>
      </c>
      <c r="B20" s="92" t="s">
        <v>184</v>
      </c>
      <c r="C20" s="93" t="s">
        <v>75</v>
      </c>
      <c r="D20" s="49" t="s">
        <v>158</v>
      </c>
      <c r="E20" s="51"/>
      <c r="F20" s="51"/>
      <c r="G20" s="51"/>
      <c r="H20" s="51"/>
      <c r="I20" s="51"/>
      <c r="J20" s="51">
        <v>-7.9</v>
      </c>
      <c r="K20" s="49">
        <v>-9.1</v>
      </c>
      <c r="L20" s="51">
        <v>-10.3</v>
      </c>
      <c r="M20" s="49">
        <v>-9.1999999999999993</v>
      </c>
      <c r="N20" s="51">
        <v>-13.1</v>
      </c>
      <c r="O20" s="49">
        <v>-8.8000000000000007</v>
      </c>
      <c r="P20" s="51">
        <v>-12.3</v>
      </c>
      <c r="Q20" s="49">
        <v>-14.1</v>
      </c>
      <c r="R20" s="51">
        <v>-17.399999999999999</v>
      </c>
      <c r="S20" s="49">
        <v>-17.5</v>
      </c>
      <c r="T20" s="51">
        <v>-22.6</v>
      </c>
      <c r="U20" s="49">
        <f>INDEX(Annual!$A:$AC,MATCH(Segment!$A20,Annual!$A:$A,0),MATCH(Segment!U$1,Annual!$A$1:$AC$1,0))-T20</f>
        <v>-15.399999999999999</v>
      </c>
      <c r="V20" s="51">
        <v>-27.5</v>
      </c>
      <c r="W20" s="251">
        <f>INDEX(Annual!$A:$AC,MATCH(Segment!$A20,Annual!$A:$A,0),MATCH(Segment!W$1,Annual!$A$1:$AC$1,0))-V20</f>
        <v>-31.409999999999997</v>
      </c>
      <c r="X20" s="251">
        <f t="shared" si="46"/>
        <v>-31.40551379922767</v>
      </c>
      <c r="Y20" s="251">
        <f t="shared" si="46"/>
        <v>-35.667859949623832</v>
      </c>
      <c r="Z20" s="251">
        <f t="shared" si="46"/>
        <v>-35.89017348947494</v>
      </c>
      <c r="AA20" s="251">
        <f t="shared" si="46"/>
        <v>-41.199917401184962</v>
      </c>
      <c r="AB20" s="251">
        <f t="shared" si="46"/>
        <v>-41.774049323827306</v>
      </c>
      <c r="AC20" s="251">
        <f t="shared" si="46"/>
        <v>-48.711806263587498</v>
      </c>
      <c r="AD20" s="251">
        <f t="shared" si="46"/>
        <v>-49.720725979189119</v>
      </c>
      <c r="AE20" s="251">
        <f t="shared" si="46"/>
        <v>-57.681167191102034</v>
      </c>
      <c r="AF20" s="251">
        <f t="shared" si="46"/>
        <v>-59.189735061491277</v>
      </c>
      <c r="AG20" s="251">
        <f t="shared" si="46"/>
        <v>-68.634983099650285</v>
      </c>
      <c r="AH20" s="251">
        <f t="shared" si="46"/>
        <v>-70.757383603953073</v>
      </c>
      <c r="AI20" s="251">
        <f t="shared" si="46"/>
        <v>-82.013916383751067</v>
      </c>
      <c r="AJ20" s="251">
        <f t="shared" si="46"/>
        <v>-84.895398154712041</v>
      </c>
      <c r="AK20" s="251">
        <f t="shared" si="46"/>
        <v>-98.361513467160734</v>
      </c>
      <c r="AL20" s="251">
        <f t="shared" si="46"/>
        <v>-102.18689764248037</v>
      </c>
      <c r="AM20" s="251">
        <f t="shared" si="46"/>
        <v>-118.34931130925006</v>
      </c>
      <c r="AN20" s="251">
        <f t="shared" si="46"/>
        <v>-123.35390369448085</v>
      </c>
      <c r="AO20" s="251">
        <f t="shared" si="46"/>
        <v>-142.80835503322731</v>
      </c>
      <c r="AP20" s="251">
        <f t="shared" si="46"/>
        <v>-149.29195375286508</v>
      </c>
      <c r="AQ20" s="251">
        <f t="shared" si="46"/>
        <v>-172.76883134505371</v>
      </c>
      <c r="AR20" s="1"/>
      <c r="AS20" s="1"/>
      <c r="AT20" s="95">
        <v>-25.9</v>
      </c>
      <c r="AU20" s="96">
        <v>-1.6</v>
      </c>
      <c r="AV20" s="95">
        <v>-17.3</v>
      </c>
      <c r="AW20" s="96">
        <v>-0.6</v>
      </c>
      <c r="AX20" s="96"/>
      <c r="AY20" s="138"/>
      <c r="AZ20" s="138"/>
      <c r="BA20" s="1"/>
      <c r="BB20" s="1"/>
      <c r="BC20" s="1"/>
      <c r="BD20" s="1"/>
    </row>
    <row r="21" spans="1:56" x14ac:dyDescent="0.25">
      <c r="A21" s="137" t="s">
        <v>185</v>
      </c>
      <c r="B21" s="92" t="s">
        <v>186</v>
      </c>
      <c r="C21" s="93" t="s">
        <v>75</v>
      </c>
      <c r="D21" s="49"/>
      <c r="E21" s="51"/>
      <c r="F21" s="51"/>
      <c r="G21" s="49"/>
      <c r="H21" s="49"/>
      <c r="I21" s="49"/>
      <c r="J21" s="51">
        <v>0</v>
      </c>
      <c r="K21" s="49">
        <v>0</v>
      </c>
      <c r="L21" s="51">
        <v>0</v>
      </c>
      <c r="M21" s="49">
        <v>0</v>
      </c>
      <c r="N21" s="51">
        <v>0</v>
      </c>
      <c r="O21" s="49">
        <v>0</v>
      </c>
      <c r="P21" s="51">
        <v>0</v>
      </c>
      <c r="Q21" s="49">
        <v>0</v>
      </c>
      <c r="R21" s="51">
        <v>0</v>
      </c>
      <c r="S21" s="49">
        <v>0</v>
      </c>
      <c r="T21" s="51">
        <v>0</v>
      </c>
      <c r="U21" s="49">
        <f>INDEX(Annual!$A:$AC,MATCH(Segment!$A21,Annual!$A:$A,0),MATCH(Segment!U$1,Annual!$A$1:$AC$1,0))-T21</f>
        <v>0</v>
      </c>
      <c r="V21" s="51">
        <v>0</v>
      </c>
      <c r="W21" s="251">
        <f>INDEX(Annual!$A:$AC,MATCH(Segment!$A21,Annual!$A:$A,0),MATCH(Segment!W$1,Annual!$A$1:$AC$1,0))-V21</f>
        <v>0</v>
      </c>
      <c r="X21" s="251">
        <f t="shared" si="46"/>
        <v>0</v>
      </c>
      <c r="Y21" s="251">
        <f t="shared" si="46"/>
        <v>0</v>
      </c>
      <c r="Z21" s="251">
        <f t="shared" si="46"/>
        <v>0</v>
      </c>
      <c r="AA21" s="251">
        <f t="shared" si="46"/>
        <v>0</v>
      </c>
      <c r="AB21" s="251">
        <f t="shared" si="46"/>
        <v>0</v>
      </c>
      <c r="AC21" s="251">
        <f t="shared" si="46"/>
        <v>0</v>
      </c>
      <c r="AD21" s="251">
        <f t="shared" si="46"/>
        <v>0</v>
      </c>
      <c r="AE21" s="251">
        <f t="shared" si="46"/>
        <v>0</v>
      </c>
      <c r="AF21" s="251">
        <f t="shared" si="46"/>
        <v>0</v>
      </c>
      <c r="AG21" s="251">
        <f t="shared" si="46"/>
        <v>0</v>
      </c>
      <c r="AH21" s="251">
        <f t="shared" si="46"/>
        <v>0</v>
      </c>
      <c r="AI21" s="251">
        <f t="shared" si="46"/>
        <v>0</v>
      </c>
      <c r="AJ21" s="251">
        <f t="shared" si="46"/>
        <v>0</v>
      </c>
      <c r="AK21" s="251">
        <f t="shared" si="46"/>
        <v>0</v>
      </c>
      <c r="AL21" s="251">
        <f t="shared" si="46"/>
        <v>0</v>
      </c>
      <c r="AM21" s="251">
        <f t="shared" si="46"/>
        <v>0</v>
      </c>
      <c r="AN21" s="251">
        <f t="shared" si="46"/>
        <v>0</v>
      </c>
      <c r="AO21" s="251">
        <f t="shared" si="46"/>
        <v>0</v>
      </c>
      <c r="AP21" s="251">
        <f t="shared" si="46"/>
        <v>0</v>
      </c>
      <c r="AQ21" s="251">
        <f t="shared" si="46"/>
        <v>0</v>
      </c>
      <c r="AR21" s="1"/>
      <c r="AS21" s="1"/>
      <c r="AT21" s="95">
        <v>0</v>
      </c>
      <c r="AU21" s="96">
        <v>0</v>
      </c>
      <c r="AV21" s="95">
        <v>0</v>
      </c>
      <c r="AW21" s="96">
        <v>0</v>
      </c>
      <c r="AX21" s="117"/>
      <c r="AY21" s="138"/>
      <c r="AZ21" s="138"/>
      <c r="BA21" s="1"/>
      <c r="BB21" s="1"/>
      <c r="BC21" s="1"/>
      <c r="BD21" s="1"/>
    </row>
    <row r="22" spans="1:56" x14ac:dyDescent="0.25">
      <c r="A22" s="137"/>
      <c r="B22" s="97" t="s">
        <v>180</v>
      </c>
      <c r="C22" s="5" t="s">
        <v>75</v>
      </c>
      <c r="D22" s="98"/>
      <c r="E22" s="98"/>
      <c r="F22" s="98"/>
      <c r="G22" s="98"/>
      <c r="H22" s="98"/>
      <c r="I22" s="98"/>
      <c r="J22" s="98">
        <v>-17.600000000000001</v>
      </c>
      <c r="K22" s="98">
        <v>-19</v>
      </c>
      <c r="L22" s="98">
        <v>-17.5</v>
      </c>
      <c r="M22" s="98">
        <v>-21.2</v>
      </c>
      <c r="N22" s="98">
        <v>-21.8</v>
      </c>
      <c r="O22" s="98">
        <v>-19.5</v>
      </c>
      <c r="P22" s="98">
        <v>-22.6</v>
      </c>
      <c r="Q22" s="98">
        <v>-24.4</v>
      </c>
      <c r="R22" s="98">
        <v>-29</v>
      </c>
      <c r="S22" s="98">
        <v>-26.9</v>
      </c>
      <c r="T22" s="98">
        <v>-33.799999999999997</v>
      </c>
      <c r="U22" s="98">
        <f>SUM(U19:U21)</f>
        <v>-27.4</v>
      </c>
      <c r="V22" s="98">
        <f>SUM(V19:V21)</f>
        <v>-40.700000000000003</v>
      </c>
      <c r="W22" s="267">
        <f>SUM(W19:W21)</f>
        <v>-41.239999999999995</v>
      </c>
      <c r="X22" s="267">
        <f t="shared" ref="X22:AQ22" si="47">X24-X15</f>
        <v>-46.480160422856954</v>
      </c>
      <c r="Y22" s="267">
        <f t="shared" si="47"/>
        <v>-46.830389822428742</v>
      </c>
      <c r="Z22" s="267">
        <f t="shared" si="47"/>
        <v>-53.117456764422911</v>
      </c>
      <c r="AA22" s="267">
        <f t="shared" si="47"/>
        <v>-54.093747011297921</v>
      </c>
      <c r="AB22" s="267">
        <f t="shared" si="47"/>
        <v>-61.825592999264416</v>
      </c>
      <c r="AC22" s="267">
        <f t="shared" si="47"/>
        <v>-63.956539010198924</v>
      </c>
      <c r="AD22" s="267">
        <f t="shared" si="47"/>
        <v>-73.586674449199904</v>
      </c>
      <c r="AE22" s="267">
        <f t="shared" si="47"/>
        <v>-75.732930116556759</v>
      </c>
      <c r="AF22" s="267">
        <f t="shared" si="47"/>
        <v>-87.600807891007094</v>
      </c>
      <c r="AG22" s="267">
        <f t="shared" si="47"/>
        <v>-90.114826584832144</v>
      </c>
      <c r="AH22" s="267">
        <f t="shared" si="47"/>
        <v>-104.72092773385054</v>
      </c>
      <c r="AI22" s="267">
        <f t="shared" si="47"/>
        <v>-107.68079947997114</v>
      </c>
      <c r="AJ22" s="267">
        <f t="shared" si="47"/>
        <v>-125.64518926897381</v>
      </c>
      <c r="AK22" s="267">
        <f t="shared" si="47"/>
        <v>-129.14450224086943</v>
      </c>
      <c r="AL22" s="267">
        <f t="shared" si="47"/>
        <v>-151.23660851087095</v>
      </c>
      <c r="AM22" s="267">
        <f t="shared" si="47"/>
        <v>-155.38763446015514</v>
      </c>
      <c r="AN22" s="267">
        <f t="shared" si="47"/>
        <v>-182.56377746783164</v>
      </c>
      <c r="AO22" s="267">
        <f t="shared" si="47"/>
        <v>-187.50132319548857</v>
      </c>
      <c r="AP22" s="267">
        <f t="shared" si="47"/>
        <v>-220.95209155424027</v>
      </c>
      <c r="AQ22" s="267">
        <f t="shared" si="47"/>
        <v>-226.8381599703921</v>
      </c>
      <c r="AR22" s="1"/>
      <c r="AS22" s="1"/>
      <c r="AT22" s="99">
        <v>-38.799999999999997</v>
      </c>
      <c r="AU22" s="100">
        <v>-1.9</v>
      </c>
      <c r="AV22" s="99">
        <v>-30.7</v>
      </c>
      <c r="AW22" s="100">
        <v>-1</v>
      </c>
      <c r="AX22" s="117"/>
      <c r="AY22" s="138"/>
      <c r="AZ22" s="138"/>
      <c r="BA22" s="1"/>
      <c r="BB22" s="1"/>
      <c r="BC22" s="1"/>
      <c r="BD22" s="1"/>
    </row>
    <row r="23" spans="1:56" x14ac:dyDescent="0.25">
      <c r="A23" s="288"/>
      <c r="B23" s="289"/>
      <c r="C23" s="11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1"/>
      <c r="AS23" s="1"/>
      <c r="AT23" s="116"/>
      <c r="AU23" s="117"/>
      <c r="AV23" s="116"/>
      <c r="AW23" s="117"/>
      <c r="AX23" s="117"/>
      <c r="AY23" s="138"/>
      <c r="AZ23" s="138"/>
      <c r="BA23" s="1"/>
      <c r="BB23" s="1"/>
      <c r="BC23" s="1"/>
      <c r="BD23" s="1"/>
    </row>
    <row r="24" spans="1:56" x14ac:dyDescent="0.25">
      <c r="A24" s="137" t="s">
        <v>187</v>
      </c>
      <c r="B24" s="97" t="s">
        <v>188</v>
      </c>
      <c r="C24" s="5" t="s">
        <v>75</v>
      </c>
      <c r="D24" s="118" t="s">
        <v>179</v>
      </c>
      <c r="E24" s="98"/>
      <c r="F24" s="98"/>
      <c r="G24" s="98"/>
      <c r="H24" s="98"/>
      <c r="I24" s="98"/>
      <c r="J24" s="98">
        <v>111.2</v>
      </c>
      <c r="K24" s="98">
        <v>137.80000000000001</v>
      </c>
      <c r="L24" s="98">
        <v>120.7</v>
      </c>
      <c r="M24" s="98">
        <v>139.4</v>
      </c>
      <c r="N24" s="98">
        <v>122.7</v>
      </c>
      <c r="O24" s="98">
        <v>147.69999999999999</v>
      </c>
      <c r="P24" s="98">
        <v>149.69999999999999</v>
      </c>
      <c r="Q24" s="98">
        <v>172.2</v>
      </c>
      <c r="R24" s="98">
        <v>179.8</v>
      </c>
      <c r="S24" s="98">
        <v>201.6</v>
      </c>
      <c r="T24" s="98">
        <v>210.9</v>
      </c>
      <c r="U24" s="98">
        <f>INDEX(Annual!$A:$AC,MATCH(Segment!$A24,Annual!$A:$A,0),MATCH(Segment!U$1,Annual!$A$1:$AC$1,0))-T24</f>
        <v>243.29999999999998</v>
      </c>
      <c r="V24" s="98">
        <f>V15+V22</f>
        <v>250.60000000000002</v>
      </c>
      <c r="W24" s="267">
        <f>INDEX(Annual!$A:$AC,MATCH(Segment!$A24,Annual!$A:$A,0),MATCH(Segment!W$1,Annual!$A$1:$AC$1,0))-V24</f>
        <v>277.48799999999994</v>
      </c>
      <c r="X24" s="267">
        <f t="shared" ref="X24:AQ24" si="48">X15*X25</f>
        <v>286.18988211223456</v>
      </c>
      <c r="Y24" s="267">
        <f t="shared" si="48"/>
        <v>315.10356961799391</v>
      </c>
      <c r="Z24" s="267">
        <f t="shared" si="48"/>
        <v>327.05736278045174</v>
      </c>
      <c r="AA24" s="267">
        <f t="shared" si="48"/>
        <v>363.97588920152742</v>
      </c>
      <c r="AB24" s="267">
        <f t="shared" si="48"/>
        <v>380.67551856549545</v>
      </c>
      <c r="AC24" s="267">
        <f t="shared" si="48"/>
        <v>430.33879963292998</v>
      </c>
      <c r="AD24" s="267">
        <f t="shared" si="48"/>
        <v>453.09141565035634</v>
      </c>
      <c r="AE24" s="267">
        <f t="shared" si="48"/>
        <v>509.57757788998629</v>
      </c>
      <c r="AF24" s="267">
        <f t="shared" si="48"/>
        <v>539.37991296035307</v>
      </c>
      <c r="AG24" s="267">
        <f t="shared" si="48"/>
        <v>606.34779338922988</v>
      </c>
      <c r="AH24" s="267">
        <f t="shared" si="48"/>
        <v>644.79273931456908</v>
      </c>
      <c r="AI24" s="267">
        <f t="shared" si="48"/>
        <v>724.54242691799561</v>
      </c>
      <c r="AJ24" s="267">
        <f t="shared" si="48"/>
        <v>773.62861009348512</v>
      </c>
      <c r="AK24" s="267">
        <f t="shared" si="48"/>
        <v>868.96337628065623</v>
      </c>
      <c r="AL24" s="267">
        <f t="shared" si="48"/>
        <v>931.20132906202127</v>
      </c>
      <c r="AM24" s="267">
        <f t="shared" si="48"/>
        <v>1045.5432568156989</v>
      </c>
      <c r="AN24" s="267">
        <f t="shared" si="48"/>
        <v>1124.0904823940693</v>
      </c>
      <c r="AO24" s="267">
        <f t="shared" si="48"/>
        <v>1261.6238402247716</v>
      </c>
      <c r="AP24" s="267">
        <f t="shared" si="48"/>
        <v>1360.4568585624725</v>
      </c>
      <c r="AQ24" s="267">
        <f t="shared" si="48"/>
        <v>1526.3061914128025</v>
      </c>
      <c r="AR24" s="1"/>
      <c r="AS24" s="1"/>
      <c r="AT24" s="99">
        <v>242.2</v>
      </c>
      <c r="AU24" s="100">
        <v>8.4</v>
      </c>
      <c r="AV24" s="99">
        <v>272.7</v>
      </c>
      <c r="AW24" s="100">
        <v>9.1999999999999993</v>
      </c>
      <c r="AX24" s="89"/>
      <c r="AY24" s="138"/>
      <c r="AZ24" s="138"/>
      <c r="BA24" s="1"/>
      <c r="BB24" s="1"/>
      <c r="BC24" s="1"/>
      <c r="BD24" s="1"/>
    </row>
    <row r="25" spans="1:56" x14ac:dyDescent="0.25">
      <c r="A25" s="137"/>
      <c r="B25" s="107" t="s">
        <v>189</v>
      </c>
      <c r="C25" s="93" t="s">
        <v>6</v>
      </c>
      <c r="D25" s="2" t="e">
        <v>#VALUE!</v>
      </c>
      <c r="E25" s="2"/>
      <c r="F25" s="2"/>
      <c r="G25" s="2"/>
      <c r="H25" s="2"/>
      <c r="I25" s="2"/>
      <c r="J25" s="101">
        <v>0.86299999999999999</v>
      </c>
      <c r="K25" s="101">
        <v>0.879</v>
      </c>
      <c r="L25" s="101">
        <v>0.874</v>
      </c>
      <c r="M25" s="101">
        <v>0.86799999999999999</v>
      </c>
      <c r="N25" s="101">
        <v>0.84899999999999998</v>
      </c>
      <c r="O25" s="101">
        <v>0.88300000000000001</v>
      </c>
      <c r="P25" s="101">
        <v>0.86899999999999999</v>
      </c>
      <c r="Q25" s="101">
        <v>0.876</v>
      </c>
      <c r="R25" s="101">
        <v>0.86099999999999999</v>
      </c>
      <c r="S25" s="101">
        <v>0.88200000000000001</v>
      </c>
      <c r="T25" s="101">
        <v>0.86199999999999999</v>
      </c>
      <c r="U25" s="253">
        <f>U24/U15</f>
        <v>0.89878093830809014</v>
      </c>
      <c r="V25" s="253">
        <f>V24/V15</f>
        <v>0.86028149673875731</v>
      </c>
      <c r="W25" s="253">
        <f>W24/W15</f>
        <v>0.87061067744283493</v>
      </c>
      <c r="X25" s="163">
        <f t="shared" ref="X25:AQ25" si="49">V25</f>
        <v>0.86028149673875731</v>
      </c>
      <c r="Y25" s="163">
        <f t="shared" si="49"/>
        <v>0.87061067744283493</v>
      </c>
      <c r="Z25" s="163">
        <f t="shared" si="49"/>
        <v>0.86028149673875731</v>
      </c>
      <c r="AA25" s="163">
        <f t="shared" si="49"/>
        <v>0.87061067744283493</v>
      </c>
      <c r="AB25" s="163">
        <f t="shared" si="49"/>
        <v>0.86028149673875731</v>
      </c>
      <c r="AC25" s="163">
        <f t="shared" si="49"/>
        <v>0.87061067744283493</v>
      </c>
      <c r="AD25" s="163">
        <f t="shared" si="49"/>
        <v>0.86028149673875731</v>
      </c>
      <c r="AE25" s="163">
        <f t="shared" si="49"/>
        <v>0.87061067744283493</v>
      </c>
      <c r="AF25" s="163">
        <f t="shared" si="49"/>
        <v>0.86028149673875731</v>
      </c>
      <c r="AG25" s="163">
        <f t="shared" si="49"/>
        <v>0.87061067744283493</v>
      </c>
      <c r="AH25" s="163">
        <f t="shared" si="49"/>
        <v>0.86028149673875731</v>
      </c>
      <c r="AI25" s="163">
        <f t="shared" si="49"/>
        <v>0.87061067744283493</v>
      </c>
      <c r="AJ25" s="163">
        <f t="shared" si="49"/>
        <v>0.86028149673875731</v>
      </c>
      <c r="AK25" s="163">
        <f t="shared" si="49"/>
        <v>0.87061067744283493</v>
      </c>
      <c r="AL25" s="163">
        <f t="shared" si="49"/>
        <v>0.86028149673875731</v>
      </c>
      <c r="AM25" s="163">
        <f t="shared" si="49"/>
        <v>0.87061067744283493</v>
      </c>
      <c r="AN25" s="163">
        <f t="shared" si="49"/>
        <v>0.86028149673875731</v>
      </c>
      <c r="AO25" s="163">
        <f t="shared" si="49"/>
        <v>0.87061067744283493</v>
      </c>
      <c r="AP25" s="163">
        <f t="shared" si="49"/>
        <v>0.86028149673875731</v>
      </c>
      <c r="AQ25" s="163">
        <f t="shared" si="49"/>
        <v>0.87061067744283493</v>
      </c>
      <c r="AR25" s="1"/>
      <c r="AS25" s="1"/>
      <c r="AT25" s="198">
        <v>0.86199999999999999</v>
      </c>
      <c r="AU25" s="199">
        <v>-2E-3</v>
      </c>
      <c r="AV25" s="198">
        <v>0.89900000000000002</v>
      </c>
      <c r="AW25" s="199">
        <v>0</v>
      </c>
      <c r="AX25" s="89"/>
      <c r="AY25" s="138"/>
      <c r="AZ25" s="138"/>
      <c r="BA25" s="1"/>
      <c r="BB25" s="1"/>
      <c r="BC25" s="1"/>
      <c r="BD25" s="1"/>
    </row>
    <row r="26" spans="1:56" x14ac:dyDescent="0.25">
      <c r="A26" s="288"/>
      <c r="B26" s="289"/>
      <c r="C26" s="9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25"/>
      <c r="P26" s="2"/>
      <c r="Q26" s="125"/>
      <c r="R26" s="2"/>
      <c r="S26" s="125"/>
      <c r="T26" s="2"/>
      <c r="U26" s="125"/>
      <c r="V26" s="2"/>
      <c r="W26" s="125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1"/>
      <c r="AS26" s="1"/>
      <c r="AT26" s="95"/>
      <c r="AU26" s="96"/>
      <c r="AV26" s="95"/>
      <c r="AW26" s="96"/>
      <c r="AX26" s="117"/>
      <c r="AY26" s="138"/>
      <c r="AZ26" s="138"/>
      <c r="BA26" s="1"/>
      <c r="BB26" s="1"/>
      <c r="BC26" s="1"/>
      <c r="BD26" s="1"/>
    </row>
    <row r="27" spans="1:56" x14ac:dyDescent="0.25">
      <c r="A27" s="137" t="s">
        <v>190</v>
      </c>
      <c r="B27" s="97" t="s">
        <v>191</v>
      </c>
      <c r="C27" s="5" t="s">
        <v>75</v>
      </c>
      <c r="D27" s="118" t="s">
        <v>179</v>
      </c>
      <c r="E27" s="114"/>
      <c r="F27" s="98"/>
      <c r="G27" s="98"/>
      <c r="H27" s="98"/>
      <c r="I27" s="98"/>
      <c r="J27" s="98">
        <v>-70.599999999999994</v>
      </c>
      <c r="K27" s="98">
        <v>-68.400000000000006</v>
      </c>
      <c r="L27" s="98">
        <v>-71.400000000000006</v>
      </c>
      <c r="M27" s="98">
        <v>-55.4</v>
      </c>
      <c r="N27" s="98">
        <v>-56</v>
      </c>
      <c r="O27" s="98">
        <v>-54.3</v>
      </c>
      <c r="P27" s="98">
        <v>-69.2</v>
      </c>
      <c r="Q27" s="98">
        <v>-58.8</v>
      </c>
      <c r="R27" s="98">
        <v>-78.400000000000006</v>
      </c>
      <c r="S27" s="98">
        <v>-70.2</v>
      </c>
      <c r="T27" s="98">
        <v>-90.3</v>
      </c>
      <c r="U27" s="98">
        <f>INDEX(Annual!$A:$AC,MATCH(Segment!$A27,Annual!$A:$A,0),MATCH(Segment!U$1,Annual!$A$1:$AC$1,0))-T27</f>
        <v>-89.799999999999969</v>
      </c>
      <c r="V27" s="98">
        <f>V30-V24</f>
        <v>-101.50000000000003</v>
      </c>
      <c r="W27" s="267">
        <f>INDEX(Annual!$A:$AC,MATCH(Segment!$A27,Annual!$A:$A,0),MATCH(Segment!W$1,Annual!$A$1:$AC$1,0))-V27</f>
        <v>-101.58799999999997</v>
      </c>
      <c r="X27" s="267">
        <f t="shared" ref="X27:AQ27" si="50">X28*X15</f>
        <v>-112.58819596088937</v>
      </c>
      <c r="Y27" s="267">
        <f t="shared" si="50"/>
        <v>-111.7396720758401</v>
      </c>
      <c r="Z27" s="267">
        <f t="shared" si="50"/>
        <v>-124.86387121571006</v>
      </c>
      <c r="AA27" s="267">
        <f t="shared" si="50"/>
        <v>-124.88971230444658</v>
      </c>
      <c r="AB27" s="267">
        <f t="shared" si="50"/>
        <v>-140.90918506645622</v>
      </c>
      <c r="AC27" s="267">
        <f t="shared" si="50"/>
        <v>-142.71762104749735</v>
      </c>
      <c r="AD27" s="267">
        <f t="shared" si="50"/>
        <v>-165.08094636970455</v>
      </c>
      <c r="AE27" s="267">
        <f t="shared" si="50"/>
        <v>-166.0698282595562</v>
      </c>
      <c r="AF27" s="267">
        <f t="shared" si="50"/>
        <v>-193.38470239290427</v>
      </c>
      <c r="AG27" s="267">
        <f t="shared" si="50"/>
        <v>-194.12464270588481</v>
      </c>
      <c r="AH27" s="267">
        <f t="shared" si="50"/>
        <v>-227.4309553755935</v>
      </c>
      <c r="AI27" s="267">
        <f t="shared" si="50"/>
        <v>-227.80400567463445</v>
      </c>
      <c r="AJ27" s="267">
        <f t="shared" si="50"/>
        <v>-268.37750685745067</v>
      </c>
      <c r="AK27" s="267">
        <f t="shared" si="50"/>
        <v>-268.22098079859393</v>
      </c>
      <c r="AL27" s="267">
        <f t="shared" si="50"/>
        <v>-317.62846291391855</v>
      </c>
      <c r="AM27" s="267">
        <f t="shared" si="50"/>
        <v>-316.72084291819357</v>
      </c>
      <c r="AN27" s="267">
        <f t="shared" si="50"/>
        <v>-376.8887889533699</v>
      </c>
      <c r="AO27" s="267">
        <f t="shared" si="50"/>
        <v>-374.93135587817994</v>
      </c>
      <c r="AP27" s="267">
        <f t="shared" si="50"/>
        <v>-448.23144754844299</v>
      </c>
      <c r="AQ27" s="267">
        <f t="shared" si="50"/>
        <v>-444.82435127920286</v>
      </c>
      <c r="AR27" s="1"/>
      <c r="AS27" s="1"/>
      <c r="AT27" s="99">
        <v>-100.9</v>
      </c>
      <c r="AU27" s="100">
        <v>-0.6</v>
      </c>
      <c r="AV27" s="99">
        <v>-97.7</v>
      </c>
      <c r="AW27" s="100">
        <v>-11.1</v>
      </c>
      <c r="AX27" s="117"/>
      <c r="AY27" s="138"/>
      <c r="AZ27" s="138"/>
      <c r="BA27" s="1"/>
      <c r="BB27" s="1"/>
      <c r="BC27" s="1"/>
      <c r="BD27" s="1"/>
    </row>
    <row r="28" spans="1:56" x14ac:dyDescent="0.25">
      <c r="A28" s="137"/>
      <c r="B28" s="107" t="s">
        <v>192</v>
      </c>
      <c r="C28" s="115"/>
      <c r="D28" s="51"/>
      <c r="E28" s="121"/>
      <c r="F28" s="2"/>
      <c r="G28" s="67"/>
      <c r="H28" s="67"/>
      <c r="I28" s="67"/>
      <c r="J28" s="101">
        <v>-0.54800000000000004</v>
      </c>
      <c r="K28" s="101">
        <v>-0.436</v>
      </c>
      <c r="L28" s="101">
        <v>-0.51700000000000002</v>
      </c>
      <c r="M28" s="101">
        <v>-0.34499999999999997</v>
      </c>
      <c r="N28" s="101">
        <v>-0.38800000000000001</v>
      </c>
      <c r="O28" s="101">
        <v>-0.32500000000000001</v>
      </c>
      <c r="P28" s="101">
        <v>-0.40100000000000002</v>
      </c>
      <c r="Q28" s="101">
        <v>-0.29899999999999999</v>
      </c>
      <c r="R28" s="101">
        <v>-0.376</v>
      </c>
      <c r="S28" s="101">
        <v>-0.307</v>
      </c>
      <c r="T28" s="101">
        <v>-0.36899999999999999</v>
      </c>
      <c r="U28" s="101">
        <f>U27/U15</f>
        <v>-0.33173254525304757</v>
      </c>
      <c r="V28" s="101">
        <f>V27/V15</f>
        <v>-0.34843803638860288</v>
      </c>
      <c r="W28" s="101">
        <f>W27/W15</f>
        <v>-0.31872944956200883</v>
      </c>
      <c r="X28" s="275">
        <f>V28+1%</f>
        <v>-0.33843803638860287</v>
      </c>
      <c r="Y28" s="275">
        <f t="shared" ref="Y28:AC28" si="51">W28+1%</f>
        <v>-0.30872944956200882</v>
      </c>
      <c r="Z28" s="275">
        <f t="shared" si="51"/>
        <v>-0.32843803638860286</v>
      </c>
      <c r="AA28" s="275">
        <f t="shared" si="51"/>
        <v>-0.29872944956200881</v>
      </c>
      <c r="AB28" s="275">
        <f t="shared" si="51"/>
        <v>-0.31843803638860285</v>
      </c>
      <c r="AC28" s="275">
        <f t="shared" si="51"/>
        <v>-0.2887294495620088</v>
      </c>
      <c r="AD28" s="275">
        <f>AB28+0.5%</f>
        <v>-0.31343803638860285</v>
      </c>
      <c r="AE28" s="275">
        <f>AC28+0.5%</f>
        <v>-0.2837294495620088</v>
      </c>
      <c r="AF28" s="275">
        <f t="shared" ref="AF28:AQ28" si="52">AD28+0.5%</f>
        <v>-0.30843803638860284</v>
      </c>
      <c r="AG28" s="275">
        <f t="shared" si="52"/>
        <v>-0.27872944956200879</v>
      </c>
      <c r="AH28" s="275">
        <f t="shared" si="52"/>
        <v>-0.30343803638860284</v>
      </c>
      <c r="AI28" s="275">
        <f t="shared" si="52"/>
        <v>-0.27372944956200879</v>
      </c>
      <c r="AJ28" s="275">
        <f t="shared" si="52"/>
        <v>-0.29843803638860283</v>
      </c>
      <c r="AK28" s="275">
        <f t="shared" si="52"/>
        <v>-0.26872944956200878</v>
      </c>
      <c r="AL28" s="275">
        <f t="shared" si="52"/>
        <v>-0.29343803638860283</v>
      </c>
      <c r="AM28" s="275">
        <f t="shared" si="52"/>
        <v>-0.26372944956200878</v>
      </c>
      <c r="AN28" s="275">
        <f t="shared" si="52"/>
        <v>-0.28843803638860283</v>
      </c>
      <c r="AO28" s="275">
        <f t="shared" si="52"/>
        <v>-0.25872944956200877</v>
      </c>
      <c r="AP28" s="275">
        <f t="shared" si="52"/>
        <v>-0.28343803638860282</v>
      </c>
      <c r="AQ28" s="275">
        <f t="shared" si="52"/>
        <v>-0.25372944956200877</v>
      </c>
      <c r="AR28" s="1"/>
      <c r="AS28" s="1"/>
      <c r="AT28" s="198">
        <v>-0.35899999999999999</v>
      </c>
      <c r="AU28" s="199">
        <v>0.01</v>
      </c>
      <c r="AV28" s="198">
        <v>-0.32200000000000001</v>
      </c>
      <c r="AW28" s="199">
        <v>-2.5000000000000001E-2</v>
      </c>
      <c r="AX28" s="96"/>
      <c r="AY28" s="138"/>
      <c r="AZ28" s="138"/>
      <c r="BA28" s="1"/>
      <c r="BB28" s="1"/>
      <c r="BC28" s="1"/>
      <c r="BD28" s="1"/>
    </row>
    <row r="29" spans="1:56" x14ac:dyDescent="0.25">
      <c r="A29" s="288"/>
      <c r="B29" s="289"/>
      <c r="C29" s="93"/>
      <c r="D29" s="49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49"/>
      <c r="R29" s="51"/>
      <c r="S29" s="49"/>
      <c r="T29" s="51"/>
      <c r="U29" s="49"/>
      <c r="V29" s="13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1"/>
      <c r="AS29" s="1"/>
      <c r="AT29" s="95"/>
      <c r="AU29" s="96"/>
      <c r="AV29" s="95"/>
      <c r="AW29" s="96"/>
      <c r="AX29" s="117"/>
      <c r="AY29" s="138"/>
      <c r="AZ29" s="138"/>
      <c r="BA29" s="1"/>
      <c r="BB29" s="1"/>
      <c r="BC29" s="1"/>
      <c r="BD29" s="1"/>
    </row>
    <row r="30" spans="1:56" x14ac:dyDescent="0.25">
      <c r="A30" s="137" t="s">
        <v>193</v>
      </c>
      <c r="B30" s="97" t="s">
        <v>194</v>
      </c>
      <c r="C30" s="5" t="s">
        <v>75</v>
      </c>
      <c r="D30" s="118" t="s">
        <v>179</v>
      </c>
      <c r="E30" s="114"/>
      <c r="F30" s="98"/>
      <c r="G30" s="114"/>
      <c r="H30" s="114"/>
      <c r="I30" s="114"/>
      <c r="J30" s="98">
        <v>40.6</v>
      </c>
      <c r="K30" s="98">
        <v>69.3</v>
      </c>
      <c r="L30" s="98">
        <v>49.3</v>
      </c>
      <c r="M30" s="98">
        <v>83.9</v>
      </c>
      <c r="N30" s="98">
        <v>66.7</v>
      </c>
      <c r="O30" s="98">
        <v>93.4</v>
      </c>
      <c r="P30" s="98">
        <v>80.599999999999994</v>
      </c>
      <c r="Q30" s="98">
        <v>113.4</v>
      </c>
      <c r="R30" s="98">
        <v>101.3</v>
      </c>
      <c r="S30" s="98">
        <v>131.4</v>
      </c>
      <c r="T30" s="98">
        <v>120.7</v>
      </c>
      <c r="U30" s="98">
        <f>INDEX(Annual!$A:$AC,MATCH(Segment!$A30,Annual!$A:$A,0),MATCH(Segment!U$1,Annual!$A$1:$AC$1,0))-T30</f>
        <v>153.40000000000003</v>
      </c>
      <c r="V30" s="98">
        <f>V38-V34</f>
        <v>149.1</v>
      </c>
      <c r="W30" s="267">
        <f>INDEX(Annual!$A:$AC,MATCH(Segment!$A30,Annual!$A:$A,0),MATCH(Segment!W$1,Annual!$A$1:$AC$1,0))-V30</f>
        <v>175.9</v>
      </c>
      <c r="X30" s="267">
        <f t="shared" ref="W30:AQ30" si="53">X38-X34</f>
        <v>173.60168615134518</v>
      </c>
      <c r="Y30" s="267">
        <f t="shared" si="53"/>
        <v>203.36389754215381</v>
      </c>
      <c r="Z30" s="267">
        <f t="shared" si="53"/>
        <v>202.19349156474169</v>
      </c>
      <c r="AA30" s="267">
        <f t="shared" si="53"/>
        <v>239.08617689708086</v>
      </c>
      <c r="AB30" s="267">
        <f t="shared" si="53"/>
        <v>239.76633349903923</v>
      </c>
      <c r="AC30" s="267">
        <f t="shared" si="53"/>
        <v>287.62117858543263</v>
      </c>
      <c r="AD30" s="267">
        <f t="shared" si="53"/>
        <v>288.01046928065182</v>
      </c>
      <c r="AE30" s="267">
        <f t="shared" si="53"/>
        <v>343.50774963043011</v>
      </c>
      <c r="AF30" s="267">
        <f t="shared" si="53"/>
        <v>345.99521056744879</v>
      </c>
      <c r="AG30" s="267">
        <f t="shared" si="53"/>
        <v>412.22315068334507</v>
      </c>
      <c r="AH30" s="267">
        <f t="shared" si="53"/>
        <v>417.36178393897558</v>
      </c>
      <c r="AI30" s="267">
        <f t="shared" si="53"/>
        <v>496.73842124336113</v>
      </c>
      <c r="AJ30" s="267">
        <f t="shared" si="53"/>
        <v>505.25110323603445</v>
      </c>
      <c r="AK30" s="267">
        <f t="shared" si="53"/>
        <v>600.74239548206231</v>
      </c>
      <c r="AL30" s="267">
        <f t="shared" si="53"/>
        <v>613.57286614810278</v>
      </c>
      <c r="AM30" s="267">
        <f t="shared" si="53"/>
        <v>728.82241389750538</v>
      </c>
      <c r="AN30" s="267">
        <f t="shared" si="53"/>
        <v>747.2016934406995</v>
      </c>
      <c r="AO30" s="267">
        <f t="shared" si="53"/>
        <v>886.69248434659164</v>
      </c>
      <c r="AP30" s="267">
        <f t="shared" si="53"/>
        <v>912.22541101402953</v>
      </c>
      <c r="AQ30" s="267">
        <f t="shared" si="53"/>
        <v>1081.4818401335997</v>
      </c>
      <c r="AR30" s="1"/>
      <c r="AS30" s="1"/>
      <c r="AT30" s="99">
        <v>141.4</v>
      </c>
      <c r="AU30" s="100">
        <v>7.7</v>
      </c>
      <c r="AV30" s="99">
        <v>175</v>
      </c>
      <c r="AW30" s="100">
        <v>-1.9</v>
      </c>
      <c r="AX30" s="96"/>
      <c r="AY30" s="138"/>
      <c r="AZ30" s="138"/>
      <c r="BA30" s="1"/>
      <c r="BB30" s="1"/>
      <c r="BC30" s="1"/>
      <c r="BD30" s="1"/>
    </row>
    <row r="31" spans="1:56" x14ac:dyDescent="0.25">
      <c r="A31" s="288"/>
      <c r="B31" s="289"/>
      <c r="C31" s="93"/>
      <c r="D31" s="49"/>
      <c r="E31" s="51"/>
      <c r="F31" s="49"/>
      <c r="G31" s="51"/>
      <c r="H31" s="51"/>
      <c r="I31" s="51"/>
      <c r="J31" s="51"/>
      <c r="K31" s="51"/>
      <c r="L31" s="51"/>
      <c r="M31" s="51"/>
      <c r="N31" s="51"/>
      <c r="O31" s="51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1"/>
      <c r="AS31" s="1"/>
      <c r="AT31" s="95"/>
      <c r="AU31" s="96"/>
      <c r="AV31" s="95"/>
      <c r="AW31" s="96"/>
      <c r="AX31" s="96"/>
      <c r="AY31" s="138"/>
      <c r="AZ31" s="138"/>
      <c r="BA31" s="1"/>
      <c r="BB31" s="1"/>
      <c r="BC31" s="1"/>
      <c r="BD31" s="1"/>
    </row>
    <row r="32" spans="1:56" x14ac:dyDescent="0.25">
      <c r="A32" s="137" t="s">
        <v>195</v>
      </c>
      <c r="B32" s="92" t="s">
        <v>196</v>
      </c>
      <c r="C32" s="93" t="s">
        <v>75</v>
      </c>
      <c r="D32" s="51" t="s">
        <v>179</v>
      </c>
      <c r="E32" s="51"/>
      <c r="F32" s="51"/>
      <c r="G32" s="51"/>
      <c r="H32" s="51"/>
      <c r="I32" s="51"/>
      <c r="J32" s="51">
        <v>-27.8</v>
      </c>
      <c r="K32" s="49">
        <v>-32.299999999999997</v>
      </c>
      <c r="L32" s="51">
        <v>-30.5</v>
      </c>
      <c r="M32" s="49">
        <v>-37.6</v>
      </c>
      <c r="N32" s="51">
        <v>-34.6</v>
      </c>
      <c r="O32" s="49">
        <v>-42.4</v>
      </c>
      <c r="P32" s="51">
        <v>-41.5</v>
      </c>
      <c r="Q32" s="49">
        <v>-50.7</v>
      </c>
      <c r="R32" s="51">
        <v>-49.4</v>
      </c>
      <c r="S32" s="49">
        <v>-62.6</v>
      </c>
      <c r="T32" s="51">
        <v>-59.9</v>
      </c>
      <c r="U32" s="49">
        <f>INDEX(Annual!$A:$AC,MATCH(Segment!$A32,Annual!$A:$A,0),MATCH(Segment!U$1,Annual!$A$1:$AC$1,0))-T32</f>
        <v>-68.099999999999994</v>
      </c>
      <c r="V32" s="51">
        <v>-68.8</v>
      </c>
      <c r="W32" s="49">
        <f>INDEX(Annual!$A:$AC,MATCH(Segment!$A32,Annual!$A:$A,0),MATCH(Segment!W$1,Annual!$A$1:$AC$1,0))-V32</f>
        <v>-84.899999999999991</v>
      </c>
      <c r="X32" s="251">
        <f t="shared" ref="X32:AQ32" si="54">-X35*X$15</f>
        <v>-78.570885432249554</v>
      </c>
      <c r="Y32" s="251">
        <f t="shared" si="54"/>
        <v>-96.408828708152001</v>
      </c>
      <c r="Z32" s="251">
        <f t="shared" si="54"/>
        <v>-89.790688584577325</v>
      </c>
      <c r="AA32" s="251">
        <f t="shared" si="54"/>
        <v>-111.3617633670994</v>
      </c>
      <c r="AB32" s="251">
        <f t="shared" si="54"/>
        <v>-104.51107612652069</v>
      </c>
      <c r="AC32" s="251">
        <f t="shared" si="54"/>
        <v>-131.66610480033643</v>
      </c>
      <c r="AD32" s="251">
        <f t="shared" si="54"/>
        <v>-124.392216267935</v>
      </c>
      <c r="AE32" s="251">
        <f t="shared" si="54"/>
        <v>-155.90993615168887</v>
      </c>
      <c r="AF32" s="251">
        <f t="shared" si="54"/>
        <v>-148.08195535383993</v>
      </c>
      <c r="AG32" s="251">
        <f t="shared" si="54"/>
        <v>-185.51767160650411</v>
      </c>
      <c r="AH32" s="251">
        <f t="shared" si="54"/>
        <v>-177.02210879825358</v>
      </c>
      <c r="AI32" s="251">
        <f t="shared" si="54"/>
        <v>-221.68040436104562</v>
      </c>
      <c r="AJ32" s="251">
        <f t="shared" si="54"/>
        <v>-212.39285065615232</v>
      </c>
      <c r="AK32" s="251">
        <f t="shared" si="54"/>
        <v>-265.86731911371919</v>
      </c>
      <c r="AL32" s="251">
        <f t="shared" si="54"/>
        <v>-255.65303846555091</v>
      </c>
      <c r="AM32" s="251">
        <f t="shared" si="54"/>
        <v>-319.89355396865028</v>
      </c>
      <c r="AN32" s="251">
        <f t="shared" si="54"/>
        <v>-308.60903906110121</v>
      </c>
      <c r="AO32" s="251">
        <f t="shared" si="54"/>
        <v>-386.00539135055607</v>
      </c>
      <c r="AP32" s="251">
        <f t="shared" si="54"/>
        <v>-373.50132429807701</v>
      </c>
      <c r="AQ32" s="251">
        <f t="shared" si="54"/>
        <v>-466.98738558405023</v>
      </c>
      <c r="AR32" s="1"/>
      <c r="AS32" s="1"/>
      <c r="AT32" s="95">
        <v>-70.2</v>
      </c>
      <c r="AU32" s="96">
        <v>1.4</v>
      </c>
      <c r="AV32" s="95">
        <v>-77.8</v>
      </c>
      <c r="AW32" s="96">
        <v>-1.1000000000000001</v>
      </c>
      <c r="AX32" s="96"/>
      <c r="AY32" s="138"/>
      <c r="AZ32" s="138"/>
      <c r="BA32" s="1"/>
      <c r="BB32" s="1"/>
      <c r="BC32" s="1"/>
      <c r="BD32" s="1"/>
    </row>
    <row r="33" spans="1:56" x14ac:dyDescent="0.25">
      <c r="A33" s="137" t="s">
        <v>197</v>
      </c>
      <c r="B33" s="122" t="s">
        <v>198</v>
      </c>
      <c r="C33" s="110" t="s">
        <v>75</v>
      </c>
      <c r="D33" s="123" t="s">
        <v>158</v>
      </c>
      <c r="E33" s="111"/>
      <c r="F33" s="123"/>
      <c r="G33" s="123"/>
      <c r="H33" s="123"/>
      <c r="I33" s="123"/>
      <c r="J33" s="123">
        <v>14</v>
      </c>
      <c r="K33" s="124">
        <v>18.100000000000001</v>
      </c>
      <c r="L33" s="123">
        <v>16</v>
      </c>
      <c r="M33" s="124">
        <v>21.1</v>
      </c>
      <c r="N33" s="123">
        <v>17.7</v>
      </c>
      <c r="O33" s="124">
        <v>24.2</v>
      </c>
      <c r="P33" s="123">
        <v>22.1</v>
      </c>
      <c r="Q33" s="124">
        <v>28</v>
      </c>
      <c r="R33" s="123">
        <v>25.7</v>
      </c>
      <c r="S33" s="124">
        <v>34.9</v>
      </c>
      <c r="T33" s="123">
        <v>30.6</v>
      </c>
      <c r="U33" s="124">
        <f>INDEX(Annual!$A:$AC,MATCH(Segment!$A33,Annual!$A:$A,0),MATCH(Segment!U$1,Annual!$A$1:$AC$1,0))-T33</f>
        <v>39.1</v>
      </c>
      <c r="V33" s="123">
        <v>37.1</v>
      </c>
      <c r="W33" s="124">
        <f>INDEX(Annual!$A:$AC,MATCH(Segment!$A33,Annual!$A:$A,0),MATCH(Segment!W$1,Annual!$A$1:$AC$1,0))-V33</f>
        <v>47.300000000000004</v>
      </c>
      <c r="X33" s="276">
        <f t="shared" ref="X33:AQ33" si="55">-X36*X32</f>
        <v>42.368893161867135</v>
      </c>
      <c r="Y33" s="276">
        <f t="shared" si="55"/>
        <v>53.711868055307306</v>
      </c>
      <c r="Z33" s="276">
        <f t="shared" si="55"/>
        <v>48.419106780346212</v>
      </c>
      <c r="AA33" s="276">
        <f t="shared" si="55"/>
        <v>62.04253718803065</v>
      </c>
      <c r="AB33" s="276">
        <f t="shared" si="55"/>
        <v>56.356990178690673</v>
      </c>
      <c r="AC33" s="276">
        <f t="shared" si="55"/>
        <v>73.354614335169771</v>
      </c>
      <c r="AD33" s="276">
        <f t="shared" si="55"/>
        <v>67.077779411924254</v>
      </c>
      <c r="AE33" s="276">
        <f t="shared" si="55"/>
        <v>86.861483863072849</v>
      </c>
      <c r="AF33" s="276">
        <f t="shared" si="55"/>
        <v>79.852333482957292</v>
      </c>
      <c r="AG33" s="276">
        <f t="shared" si="55"/>
        <v>103.35672399278734</v>
      </c>
      <c r="AH33" s="276">
        <f t="shared" si="55"/>
        <v>95.45814297115129</v>
      </c>
      <c r="AI33" s="276">
        <f t="shared" si="55"/>
        <v>123.50392374885111</v>
      </c>
      <c r="AJ33" s="276">
        <f t="shared" si="55"/>
        <v>114.53160987417517</v>
      </c>
      <c r="AK33" s="276">
        <f t="shared" si="55"/>
        <v>148.12160417054088</v>
      </c>
      <c r="AL33" s="276">
        <f t="shared" si="55"/>
        <v>137.85941463767355</v>
      </c>
      <c r="AM33" s="276">
        <f t="shared" si="55"/>
        <v>178.22102594484286</v>
      </c>
      <c r="AN33" s="276">
        <f t="shared" si="55"/>
        <v>166.41563007509967</v>
      </c>
      <c r="AO33" s="276">
        <f t="shared" si="55"/>
        <v>215.05365148270087</v>
      </c>
      <c r="AP33" s="276">
        <f t="shared" si="55"/>
        <v>201.40841760841073</v>
      </c>
      <c r="AQ33" s="276">
        <f t="shared" si="55"/>
        <v>260.1708284820445</v>
      </c>
      <c r="AR33" s="1"/>
      <c r="AS33" s="1"/>
      <c r="AT33" s="200">
        <v>35.799999999999997</v>
      </c>
      <c r="AU33" s="201">
        <v>1.3</v>
      </c>
      <c r="AV33" s="200">
        <v>44.8</v>
      </c>
      <c r="AW33" s="201">
        <v>0.6</v>
      </c>
      <c r="AX33" s="96"/>
      <c r="AY33" s="138"/>
      <c r="AZ33" s="138"/>
      <c r="BA33" s="1"/>
      <c r="BB33" s="1"/>
      <c r="BC33" s="1"/>
      <c r="BD33" s="1"/>
    </row>
    <row r="34" spans="1:56" x14ac:dyDescent="0.25">
      <c r="A34" s="137"/>
      <c r="B34" s="92" t="s">
        <v>199</v>
      </c>
      <c r="C34" s="93"/>
      <c r="D34" s="2"/>
      <c r="E34" s="2"/>
      <c r="F34" s="49"/>
      <c r="G34" s="49"/>
      <c r="H34" s="49"/>
      <c r="I34" s="49"/>
      <c r="J34" s="49">
        <v>-13.8</v>
      </c>
      <c r="K34" s="49">
        <v>-14.2</v>
      </c>
      <c r="L34" s="49">
        <v>-14.5</v>
      </c>
      <c r="M34" s="49">
        <v>-16.5</v>
      </c>
      <c r="N34" s="49">
        <v>-17</v>
      </c>
      <c r="O34" s="49">
        <v>-18.2</v>
      </c>
      <c r="P34" s="49">
        <v>-19.399999999999999</v>
      </c>
      <c r="Q34" s="49">
        <v>-22.7</v>
      </c>
      <c r="R34" s="49">
        <v>-23.7</v>
      </c>
      <c r="S34" s="49">
        <v>-27.7</v>
      </c>
      <c r="T34" s="49">
        <v>-29.4</v>
      </c>
      <c r="U34" s="49">
        <f>SUM(U32:U33)</f>
        <v>-28.999999999999993</v>
      </c>
      <c r="V34" s="49">
        <f>SUM(V32:V33)</f>
        <v>-31.699999999999996</v>
      </c>
      <c r="W34" s="49">
        <f>SUM(W32:W33)</f>
        <v>-37.599999999999987</v>
      </c>
      <c r="X34" s="263">
        <f t="shared" ref="X34:AQ34" si="56">SUM(X32:X33)</f>
        <v>-36.201992270382419</v>
      </c>
      <c r="Y34" s="263">
        <f t="shared" si="56"/>
        <v>-42.696960652844695</v>
      </c>
      <c r="Z34" s="263">
        <f t="shared" si="56"/>
        <v>-41.371581804231113</v>
      </c>
      <c r="AA34" s="263">
        <f t="shared" si="56"/>
        <v>-49.31922617906875</v>
      </c>
      <c r="AB34" s="263">
        <f t="shared" si="56"/>
        <v>-48.154085947830019</v>
      </c>
      <c r="AC34" s="263">
        <f t="shared" si="56"/>
        <v>-58.311490465166656</v>
      </c>
      <c r="AD34" s="263">
        <f t="shared" si="56"/>
        <v>-57.314436856010744</v>
      </c>
      <c r="AE34" s="263">
        <f t="shared" si="56"/>
        <v>-69.048452288616019</v>
      </c>
      <c r="AF34" s="263">
        <f t="shared" si="56"/>
        <v>-68.229621870882639</v>
      </c>
      <c r="AG34" s="263">
        <f t="shared" si="56"/>
        <v>-82.160947613716772</v>
      </c>
      <c r="AH34" s="263">
        <f t="shared" si="56"/>
        <v>-81.563965827102294</v>
      </c>
      <c r="AI34" s="263">
        <f t="shared" si="56"/>
        <v>-98.17648061219451</v>
      </c>
      <c r="AJ34" s="263">
        <f t="shared" si="56"/>
        <v>-97.861240781977145</v>
      </c>
      <c r="AK34" s="263">
        <f t="shared" si="56"/>
        <v>-117.74571494317831</v>
      </c>
      <c r="AL34" s="263">
        <f t="shared" si="56"/>
        <v>-117.79362382787735</v>
      </c>
      <c r="AM34" s="263">
        <f t="shared" si="56"/>
        <v>-141.67252802380742</v>
      </c>
      <c r="AN34" s="263">
        <f t="shared" si="56"/>
        <v>-142.19340898600154</v>
      </c>
      <c r="AO34" s="263">
        <f t="shared" si="56"/>
        <v>-170.9517398678552</v>
      </c>
      <c r="AP34" s="263">
        <f t="shared" si="56"/>
        <v>-172.09290668966628</v>
      </c>
      <c r="AQ34" s="263">
        <f t="shared" si="56"/>
        <v>-206.81655710200573</v>
      </c>
      <c r="AR34" s="1"/>
      <c r="AS34" s="1"/>
      <c r="AT34" s="95">
        <v>-34.4</v>
      </c>
      <c r="AU34" s="96">
        <v>2.7</v>
      </c>
      <c r="AV34" s="95">
        <v>-33</v>
      </c>
      <c r="AW34" s="96">
        <v>-0.5</v>
      </c>
      <c r="AX34" s="96"/>
      <c r="AY34" s="138"/>
      <c r="AZ34" s="138"/>
      <c r="BA34" s="1"/>
      <c r="BB34" s="1"/>
      <c r="BC34" s="1"/>
      <c r="BD34" s="1"/>
    </row>
    <row r="35" spans="1:56" x14ac:dyDescent="0.25">
      <c r="A35" s="137"/>
      <c r="B35" s="92" t="s">
        <v>200</v>
      </c>
      <c r="C35" s="93"/>
      <c r="D35" s="2"/>
      <c r="E35" s="2"/>
      <c r="F35" s="49"/>
      <c r="G35" s="49"/>
      <c r="H35" s="49"/>
      <c r="I35" s="49"/>
      <c r="J35" s="126">
        <v>0.22</v>
      </c>
      <c r="K35" s="126">
        <v>0.21</v>
      </c>
      <c r="L35" s="126">
        <v>0.22</v>
      </c>
      <c r="M35" s="126">
        <v>0.23</v>
      </c>
      <c r="N35" s="126">
        <v>0.24</v>
      </c>
      <c r="O35" s="126">
        <v>0.25</v>
      </c>
      <c r="P35" s="126">
        <v>0.24</v>
      </c>
      <c r="Q35" s="126">
        <v>0.26</v>
      </c>
      <c r="R35" s="126">
        <v>0.24</v>
      </c>
      <c r="S35" s="126">
        <v>0.27</v>
      </c>
      <c r="T35" s="126">
        <v>0.24</v>
      </c>
      <c r="U35" s="126">
        <f>-U32/U$15</f>
        <v>0.25157000369412635</v>
      </c>
      <c r="V35" s="126">
        <f>-V32/V$15</f>
        <v>0.23618262959148642</v>
      </c>
      <c r="W35" s="126">
        <f>-W32/W$15</f>
        <v>0.26637132602093311</v>
      </c>
      <c r="X35" s="133">
        <f t="shared" ref="X35:AQ36" si="57">V35</f>
        <v>0.23618262959148642</v>
      </c>
      <c r="Y35" s="133">
        <f t="shared" si="57"/>
        <v>0.26637132602093311</v>
      </c>
      <c r="Z35" s="133">
        <f t="shared" si="57"/>
        <v>0.23618262959148642</v>
      </c>
      <c r="AA35" s="133">
        <f t="shared" si="57"/>
        <v>0.26637132602093311</v>
      </c>
      <c r="AB35" s="133">
        <f t="shared" si="57"/>
        <v>0.23618262959148642</v>
      </c>
      <c r="AC35" s="133">
        <f t="shared" si="57"/>
        <v>0.26637132602093311</v>
      </c>
      <c r="AD35" s="133">
        <f t="shared" si="57"/>
        <v>0.23618262959148642</v>
      </c>
      <c r="AE35" s="133">
        <f t="shared" si="57"/>
        <v>0.26637132602093311</v>
      </c>
      <c r="AF35" s="133">
        <f t="shared" si="57"/>
        <v>0.23618262959148642</v>
      </c>
      <c r="AG35" s="133">
        <f t="shared" si="57"/>
        <v>0.26637132602093311</v>
      </c>
      <c r="AH35" s="133">
        <f t="shared" si="57"/>
        <v>0.23618262959148642</v>
      </c>
      <c r="AI35" s="133">
        <f t="shared" si="57"/>
        <v>0.26637132602093311</v>
      </c>
      <c r="AJ35" s="133">
        <f t="shared" si="57"/>
        <v>0.23618262959148642</v>
      </c>
      <c r="AK35" s="133">
        <f t="shared" si="57"/>
        <v>0.26637132602093311</v>
      </c>
      <c r="AL35" s="133">
        <f t="shared" si="57"/>
        <v>0.23618262959148642</v>
      </c>
      <c r="AM35" s="133">
        <f t="shared" si="57"/>
        <v>0.26637132602093311</v>
      </c>
      <c r="AN35" s="133">
        <f t="shared" si="57"/>
        <v>0.23618262959148642</v>
      </c>
      <c r="AO35" s="133">
        <f t="shared" si="57"/>
        <v>0.26637132602093311</v>
      </c>
      <c r="AP35" s="133">
        <f t="shared" si="57"/>
        <v>0.23618262959148642</v>
      </c>
      <c r="AQ35" s="133">
        <f t="shared" si="57"/>
        <v>0.26637132602093311</v>
      </c>
      <c r="AR35" s="1"/>
      <c r="AS35" s="1"/>
      <c r="AT35" s="134">
        <v>0.25</v>
      </c>
      <c r="AU35" s="135">
        <v>-0.01</v>
      </c>
      <c r="AV35" s="134">
        <v>0.26</v>
      </c>
      <c r="AW35" s="135">
        <v>-0.01</v>
      </c>
      <c r="AX35" s="96"/>
      <c r="AY35" s="138"/>
      <c r="AZ35" s="138"/>
      <c r="BA35" s="1"/>
      <c r="BB35" s="1"/>
      <c r="BC35" s="1"/>
      <c r="BD35" s="1"/>
    </row>
    <row r="36" spans="1:56" x14ac:dyDescent="0.25">
      <c r="A36" s="137"/>
      <c r="B36" s="92" t="s">
        <v>201</v>
      </c>
      <c r="C36" s="93" t="s">
        <v>6</v>
      </c>
      <c r="D36" s="2"/>
      <c r="E36" s="2"/>
      <c r="F36" s="49"/>
      <c r="G36" s="49"/>
      <c r="H36" s="49"/>
      <c r="I36" s="49"/>
      <c r="J36" s="126">
        <v>0.5</v>
      </c>
      <c r="K36" s="126">
        <v>0.56000000000000005</v>
      </c>
      <c r="L36" s="126">
        <v>0.52</v>
      </c>
      <c r="M36" s="126">
        <v>0.56000000000000005</v>
      </c>
      <c r="N36" s="126">
        <v>0.51</v>
      </c>
      <c r="O36" s="126">
        <v>0.56999999999999995</v>
      </c>
      <c r="P36" s="126">
        <v>0.53</v>
      </c>
      <c r="Q36" s="126">
        <v>0.55000000000000004</v>
      </c>
      <c r="R36" s="126">
        <v>0.52</v>
      </c>
      <c r="S36" s="126">
        <v>0.56000000000000005</v>
      </c>
      <c r="T36" s="126">
        <v>0.51</v>
      </c>
      <c r="U36" s="126">
        <f>-U33/U32</f>
        <v>0.57415565345080766</v>
      </c>
      <c r="V36" s="126">
        <f>-V33/V32</f>
        <v>0.5392441860465117</v>
      </c>
      <c r="W36" s="126">
        <f>-W33/W32</f>
        <v>0.55712603062426391</v>
      </c>
      <c r="X36" s="133">
        <f t="shared" si="57"/>
        <v>0.5392441860465117</v>
      </c>
      <c r="Y36" s="133">
        <f t="shared" si="57"/>
        <v>0.55712603062426391</v>
      </c>
      <c r="Z36" s="133">
        <f t="shared" si="57"/>
        <v>0.5392441860465117</v>
      </c>
      <c r="AA36" s="133">
        <f t="shared" si="57"/>
        <v>0.55712603062426391</v>
      </c>
      <c r="AB36" s="133">
        <f t="shared" si="57"/>
        <v>0.5392441860465117</v>
      </c>
      <c r="AC36" s="133">
        <f t="shared" si="57"/>
        <v>0.55712603062426391</v>
      </c>
      <c r="AD36" s="133">
        <f t="shared" si="57"/>
        <v>0.5392441860465117</v>
      </c>
      <c r="AE36" s="133">
        <f t="shared" si="57"/>
        <v>0.55712603062426391</v>
      </c>
      <c r="AF36" s="133">
        <f t="shared" si="57"/>
        <v>0.5392441860465117</v>
      </c>
      <c r="AG36" s="133">
        <f t="shared" si="57"/>
        <v>0.55712603062426391</v>
      </c>
      <c r="AH36" s="133">
        <f t="shared" si="57"/>
        <v>0.5392441860465117</v>
      </c>
      <c r="AI36" s="133">
        <f t="shared" si="57"/>
        <v>0.55712603062426391</v>
      </c>
      <c r="AJ36" s="133">
        <f t="shared" si="57"/>
        <v>0.5392441860465117</v>
      </c>
      <c r="AK36" s="133">
        <f t="shared" si="57"/>
        <v>0.55712603062426391</v>
      </c>
      <c r="AL36" s="133">
        <f t="shared" si="57"/>
        <v>0.5392441860465117</v>
      </c>
      <c r="AM36" s="133">
        <f t="shared" si="57"/>
        <v>0.55712603062426391</v>
      </c>
      <c r="AN36" s="133">
        <f t="shared" si="57"/>
        <v>0.5392441860465117</v>
      </c>
      <c r="AO36" s="133">
        <f t="shared" si="57"/>
        <v>0.55712603062426391</v>
      </c>
      <c r="AP36" s="133">
        <f t="shared" si="57"/>
        <v>0.5392441860465117</v>
      </c>
      <c r="AQ36" s="133">
        <f t="shared" si="57"/>
        <v>0.55712603062426391</v>
      </c>
      <c r="AR36" s="1"/>
      <c r="AS36" s="1"/>
      <c r="AT36" s="134">
        <v>0.51</v>
      </c>
      <c r="AU36" s="135">
        <v>0.03</v>
      </c>
      <c r="AV36" s="134">
        <v>0.57999999999999996</v>
      </c>
      <c r="AW36" s="135">
        <v>0</v>
      </c>
      <c r="AX36" s="96"/>
      <c r="AY36" s="138"/>
      <c r="AZ36" s="138"/>
      <c r="BA36" s="1"/>
      <c r="BB36" s="1"/>
      <c r="BC36" s="1"/>
      <c r="BD36" s="1"/>
    </row>
    <row r="37" spans="1:56" x14ac:dyDescent="0.25">
      <c r="A37" s="288"/>
      <c r="B37" s="289"/>
      <c r="C37" s="93"/>
      <c r="D37" s="2"/>
      <c r="E37" s="2"/>
      <c r="F37" s="51"/>
      <c r="G37" s="51"/>
      <c r="H37" s="51"/>
      <c r="I37" s="51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1"/>
      <c r="AS37" s="1"/>
      <c r="AT37" s="95"/>
      <c r="AU37" s="96"/>
      <c r="AV37" s="95"/>
      <c r="AW37" s="96"/>
      <c r="AX37" s="117"/>
      <c r="AY37" s="138"/>
      <c r="AZ37" s="138"/>
      <c r="BA37" s="1"/>
      <c r="BB37" s="1"/>
      <c r="BC37" s="1"/>
      <c r="BD37" s="1"/>
    </row>
    <row r="38" spans="1:56" x14ac:dyDescent="0.25">
      <c r="A38" s="137" t="s">
        <v>40</v>
      </c>
      <c r="B38" s="97" t="s">
        <v>69</v>
      </c>
      <c r="C38" s="5" t="s">
        <v>75</v>
      </c>
      <c r="D38" s="118" t="s">
        <v>179</v>
      </c>
      <c r="E38" s="114"/>
      <c r="F38" s="114"/>
      <c r="G38" s="114"/>
      <c r="H38" s="114"/>
      <c r="I38" s="114"/>
      <c r="J38" s="114">
        <v>26.8</v>
      </c>
      <c r="K38" s="98">
        <v>55.1</v>
      </c>
      <c r="L38" s="114">
        <v>34.799999999999997</v>
      </c>
      <c r="M38" s="98">
        <v>67.400000000000006</v>
      </c>
      <c r="N38" s="114">
        <v>49.7</v>
      </c>
      <c r="O38" s="98">
        <v>75.3</v>
      </c>
      <c r="P38" s="114">
        <v>61.2</v>
      </c>
      <c r="Q38" s="98">
        <v>90.7</v>
      </c>
      <c r="R38" s="114">
        <v>77.599999999999994</v>
      </c>
      <c r="S38" s="98">
        <v>103.7</v>
      </c>
      <c r="T38" s="114">
        <v>91.3</v>
      </c>
      <c r="U38" s="98">
        <f>INDEX(Annual!$A:$AC,MATCH(Segment!$A38,Annual!$A:$A,0),MATCH(Segment!U$1,Annual!$A$1:$AC$1,0))-T38</f>
        <v>124.50000000000001</v>
      </c>
      <c r="V38" s="114">
        <v>117.4</v>
      </c>
      <c r="W38" s="267">
        <f>INDEX(Annual!$A:$AC,MATCH(Segment!$A38,Annual!$A:$A,0),MATCH(Segment!W$1,Annual!$A$1:$AC$1,0))-V38</f>
        <v>138.29999999999998</v>
      </c>
      <c r="X38" s="267">
        <f t="shared" ref="X38:AQ38" si="58">X24+X27+X34</f>
        <v>137.39969388096276</v>
      </c>
      <c r="Y38" s="267">
        <f t="shared" si="58"/>
        <v>160.66693688930911</v>
      </c>
      <c r="Z38" s="267">
        <f t="shared" si="58"/>
        <v>160.82190976051058</v>
      </c>
      <c r="AA38" s="267">
        <f t="shared" si="58"/>
        <v>189.76695071801211</v>
      </c>
      <c r="AB38" s="267">
        <f t="shared" si="58"/>
        <v>191.61224755120921</v>
      </c>
      <c r="AC38" s="267">
        <f t="shared" si="58"/>
        <v>229.30968812026597</v>
      </c>
      <c r="AD38" s="267">
        <f t="shared" si="58"/>
        <v>230.69603242464109</v>
      </c>
      <c r="AE38" s="267">
        <f t="shared" si="58"/>
        <v>274.45929734181408</v>
      </c>
      <c r="AF38" s="267">
        <f t="shared" si="58"/>
        <v>277.76558869656617</v>
      </c>
      <c r="AG38" s="267">
        <f t="shared" si="58"/>
        <v>330.06220306962831</v>
      </c>
      <c r="AH38" s="267">
        <f t="shared" si="58"/>
        <v>335.79781811187331</v>
      </c>
      <c r="AI38" s="267">
        <f t="shared" si="58"/>
        <v>398.56194063116664</v>
      </c>
      <c r="AJ38" s="267">
        <f t="shared" si="58"/>
        <v>407.38986245405732</v>
      </c>
      <c r="AK38" s="267">
        <f t="shared" si="58"/>
        <v>482.99668053888399</v>
      </c>
      <c r="AL38" s="267">
        <f t="shared" si="58"/>
        <v>495.77924232022542</v>
      </c>
      <c r="AM38" s="267">
        <f t="shared" si="58"/>
        <v>587.14988587369794</v>
      </c>
      <c r="AN38" s="267">
        <f t="shared" si="58"/>
        <v>605.00828445469801</v>
      </c>
      <c r="AO38" s="267">
        <f t="shared" si="58"/>
        <v>715.74074447873647</v>
      </c>
      <c r="AP38" s="267">
        <f t="shared" si="58"/>
        <v>740.13250432436325</v>
      </c>
      <c r="AQ38" s="267">
        <f t="shared" si="58"/>
        <v>874.66528303159396</v>
      </c>
      <c r="AR38" s="1"/>
      <c r="AS38" s="1"/>
      <c r="AT38" s="99">
        <v>107</v>
      </c>
      <c r="AU38" s="100">
        <v>10.4</v>
      </c>
      <c r="AV38" s="99">
        <v>142</v>
      </c>
      <c r="AW38" s="100">
        <v>-2.4</v>
      </c>
      <c r="AX38" s="89"/>
      <c r="AY38" s="138"/>
      <c r="AZ38" s="138"/>
      <c r="BA38" s="1"/>
      <c r="BB38" s="1"/>
      <c r="BC38" s="1"/>
      <c r="BD38" s="1"/>
    </row>
    <row r="39" spans="1:56" x14ac:dyDescent="0.25">
      <c r="A39" s="137"/>
      <c r="B39" s="92" t="s">
        <v>167</v>
      </c>
      <c r="C39" s="93" t="s">
        <v>168</v>
      </c>
      <c r="D39" s="89"/>
      <c r="E39" s="2"/>
      <c r="F39" s="2"/>
      <c r="G39" s="2"/>
      <c r="H39" s="2"/>
      <c r="I39" s="2"/>
      <c r="J39" s="2"/>
      <c r="K39" s="2"/>
      <c r="L39" s="66">
        <v>0.3</v>
      </c>
      <c r="M39" s="66">
        <v>0.22</v>
      </c>
      <c r="N39" s="66">
        <v>0.43</v>
      </c>
      <c r="O39" s="66">
        <v>0.12</v>
      </c>
      <c r="P39" s="66">
        <v>0.23</v>
      </c>
      <c r="Q39" s="66">
        <v>0.21</v>
      </c>
      <c r="R39" s="66">
        <v>0.27</v>
      </c>
      <c r="S39" s="66">
        <v>0.14000000000000001</v>
      </c>
      <c r="T39" s="66">
        <v>0.18</v>
      </c>
      <c r="U39" s="253">
        <f>U38/S38-1</f>
        <v>0.20057859209257489</v>
      </c>
      <c r="V39" s="253">
        <f>V38/T38-1</f>
        <v>0.28587075575027399</v>
      </c>
      <c r="W39" s="253">
        <f>W38/U38-1</f>
        <v>0.11084337349397555</v>
      </c>
      <c r="X39" s="253">
        <f t="shared" ref="W39:AQ39" si="59">X38/V38-1</f>
        <v>0.17035514379014272</v>
      </c>
      <c r="Y39" s="253">
        <f t="shared" si="59"/>
        <v>0.16172767092775953</v>
      </c>
      <c r="Z39" s="253">
        <f t="shared" si="59"/>
        <v>0.17046774427197664</v>
      </c>
      <c r="AA39" s="253">
        <f t="shared" si="59"/>
        <v>0.18112011339801248</v>
      </c>
      <c r="AB39" s="253">
        <f t="shared" si="59"/>
        <v>0.1914561133899626</v>
      </c>
      <c r="AC39" s="253">
        <f t="shared" si="59"/>
        <v>0.20837525845590021</v>
      </c>
      <c r="AD39" s="253">
        <f t="shared" si="59"/>
        <v>0.20397331262964591</v>
      </c>
      <c r="AE39" s="253">
        <f t="shared" si="59"/>
        <v>0.19689359656652838</v>
      </c>
      <c r="AF39" s="253">
        <f t="shared" si="59"/>
        <v>0.20403279491727178</v>
      </c>
      <c r="AG39" s="253">
        <f t="shared" si="59"/>
        <v>0.20259071660657169</v>
      </c>
      <c r="AH39" s="253">
        <f t="shared" si="59"/>
        <v>0.20892519367725604</v>
      </c>
      <c r="AI39" s="253">
        <f t="shared" si="59"/>
        <v>0.2075358430152876</v>
      </c>
      <c r="AJ39" s="253">
        <f t="shared" si="59"/>
        <v>0.21319984967362893</v>
      </c>
      <c r="AK39" s="253">
        <f t="shared" si="59"/>
        <v>0.21184847648525018</v>
      </c>
      <c r="AL39" s="253">
        <f t="shared" si="59"/>
        <v>0.21696509415753096</v>
      </c>
      <c r="AM39" s="253">
        <f t="shared" si="59"/>
        <v>0.21563958828580199</v>
      </c>
      <c r="AN39" s="253">
        <f t="shared" si="59"/>
        <v>0.22031790121604411</v>
      </c>
      <c r="AO39" s="253">
        <f t="shared" si="59"/>
        <v>0.21900857293651899</v>
      </c>
      <c r="AP39" s="253">
        <f t="shared" si="59"/>
        <v>0.22334275966395145</v>
      </c>
      <c r="AQ39" s="253">
        <f t="shared" si="59"/>
        <v>0.22204204494268365</v>
      </c>
      <c r="AR39" s="1"/>
      <c r="AS39" s="1"/>
      <c r="AT39" s="134">
        <v>0.17</v>
      </c>
      <c r="AU39" s="135">
        <v>0.11</v>
      </c>
      <c r="AV39" s="134">
        <v>0.14000000000000001</v>
      </c>
      <c r="AW39" s="135">
        <v>-0.02</v>
      </c>
      <c r="AX39" s="89"/>
      <c r="AY39" s="138"/>
      <c r="AZ39" s="138"/>
      <c r="BA39" s="1"/>
      <c r="BB39" s="1"/>
      <c r="BC39" s="1"/>
      <c r="BD39" s="1"/>
    </row>
    <row r="40" spans="1:56" x14ac:dyDescent="0.25">
      <c r="A40" s="137"/>
      <c r="B40" s="92" t="s">
        <v>107</v>
      </c>
      <c r="C40" s="93" t="s">
        <v>6</v>
      </c>
      <c r="D40" s="2"/>
      <c r="E40" s="2"/>
      <c r="F40" s="2"/>
      <c r="G40" s="2"/>
      <c r="H40" s="2"/>
      <c r="I40" s="2"/>
      <c r="J40" s="101">
        <v>0.20799999999999999</v>
      </c>
      <c r="K40" s="101">
        <v>0.35199999999999998</v>
      </c>
      <c r="L40" s="101">
        <v>0.252</v>
      </c>
      <c r="M40" s="101">
        <v>0.42</v>
      </c>
      <c r="N40" s="101">
        <v>0.34399999999999997</v>
      </c>
      <c r="O40" s="101">
        <v>0.45</v>
      </c>
      <c r="P40" s="101">
        <v>0.35499999999999998</v>
      </c>
      <c r="Q40" s="101">
        <v>0.46100000000000002</v>
      </c>
      <c r="R40" s="101">
        <v>0.372</v>
      </c>
      <c r="S40" s="101">
        <v>0.45400000000000001</v>
      </c>
      <c r="T40" s="101">
        <v>0.373</v>
      </c>
      <c r="U40" s="256">
        <f>U38/U$15</f>
        <v>0.45991872922053939</v>
      </c>
      <c r="V40" s="256">
        <f>V38/V$15</f>
        <v>0.40302094061105392</v>
      </c>
      <c r="W40" s="256">
        <f>W38/W$15</f>
        <v>0.43391230139805714</v>
      </c>
      <c r="X40" s="256">
        <f t="shared" ref="W40:AQ40" si="60">X38/X$15</f>
        <v>0.41302094061105377</v>
      </c>
      <c r="Y40" s="256">
        <f t="shared" si="60"/>
        <v>0.44391230139805721</v>
      </c>
      <c r="Z40" s="256">
        <f t="shared" si="60"/>
        <v>0.42302094061105394</v>
      </c>
      <c r="AA40" s="256">
        <f t="shared" si="60"/>
        <v>0.45391230139805722</v>
      </c>
      <c r="AB40" s="256">
        <f t="shared" si="60"/>
        <v>0.43302094061105389</v>
      </c>
      <c r="AC40" s="256">
        <f t="shared" si="60"/>
        <v>0.46391230139805723</v>
      </c>
      <c r="AD40" s="256">
        <f t="shared" si="60"/>
        <v>0.43802094061105401</v>
      </c>
      <c r="AE40" s="256">
        <f t="shared" si="60"/>
        <v>0.46891230139805717</v>
      </c>
      <c r="AF40" s="256">
        <f t="shared" si="60"/>
        <v>0.44302094061105385</v>
      </c>
      <c r="AG40" s="256">
        <f t="shared" si="60"/>
        <v>0.47391230139805729</v>
      </c>
      <c r="AH40" s="256">
        <f t="shared" si="60"/>
        <v>0.44802094061105402</v>
      </c>
      <c r="AI40" s="256">
        <f t="shared" si="60"/>
        <v>0.47891230139805718</v>
      </c>
      <c r="AJ40" s="256">
        <f t="shared" si="60"/>
        <v>0.45302094061105391</v>
      </c>
      <c r="AK40" s="256">
        <f t="shared" si="60"/>
        <v>0.48391230139805719</v>
      </c>
      <c r="AL40" s="256">
        <f t="shared" si="60"/>
        <v>0.45802094061105397</v>
      </c>
      <c r="AM40" s="256">
        <f t="shared" si="60"/>
        <v>0.4889123013980573</v>
      </c>
      <c r="AN40" s="256">
        <f t="shared" si="60"/>
        <v>0.46302094061105403</v>
      </c>
      <c r="AO40" s="256">
        <f t="shared" si="60"/>
        <v>0.49391230139805725</v>
      </c>
      <c r="AP40" s="256">
        <f t="shared" si="60"/>
        <v>0.46802094061105398</v>
      </c>
      <c r="AQ40" s="256">
        <f t="shared" si="60"/>
        <v>0.49891230139805726</v>
      </c>
      <c r="AR40" s="1"/>
      <c r="AS40" s="1"/>
      <c r="AT40" s="198">
        <v>0.38100000000000001</v>
      </c>
      <c r="AU40" s="199">
        <v>2.1999999999999999E-2</v>
      </c>
      <c r="AV40" s="198">
        <v>0.46800000000000003</v>
      </c>
      <c r="AW40" s="199">
        <v>-2.3E-2</v>
      </c>
      <c r="AX40" s="89"/>
      <c r="AY40" s="138"/>
      <c r="AZ40" s="138"/>
      <c r="BA40" s="1"/>
      <c r="BB40" s="1"/>
      <c r="BC40" s="1"/>
      <c r="BD40" s="1"/>
    </row>
    <row r="41" spans="1:56" x14ac:dyDescent="0.25">
      <c r="A41" s="137"/>
      <c r="B41" s="92" t="s">
        <v>443</v>
      </c>
      <c r="C41" s="93" t="s">
        <v>168</v>
      </c>
      <c r="D41" s="2"/>
      <c r="E41" s="2"/>
      <c r="F41" s="2"/>
      <c r="G41" s="2"/>
      <c r="H41" s="2"/>
      <c r="I41" s="2"/>
      <c r="J41" s="2"/>
      <c r="K41" s="2"/>
      <c r="L41" s="101">
        <v>4.3999999999999997E-2</v>
      </c>
      <c r="M41" s="101">
        <v>6.8000000000000005E-2</v>
      </c>
      <c r="N41" s="101">
        <v>9.1999999999999998E-2</v>
      </c>
      <c r="O41" s="101">
        <v>0.03</v>
      </c>
      <c r="P41" s="101">
        <v>1.0999999999999999E-2</v>
      </c>
      <c r="Q41" s="101">
        <v>1.0999999999999999E-2</v>
      </c>
      <c r="R41" s="101">
        <v>1.7000000000000001E-2</v>
      </c>
      <c r="S41" s="101">
        <v>-8.0000000000000002E-3</v>
      </c>
      <c r="T41" s="101">
        <v>1E-3</v>
      </c>
      <c r="U41" s="101">
        <f>U40-S40</f>
        <v>5.918729220539376E-3</v>
      </c>
      <c r="V41" s="101">
        <f>V40-T40</f>
        <v>3.0020940611053926E-2</v>
      </c>
      <c r="W41" s="101">
        <f>W40-U40</f>
        <v>-2.6006427822482248E-2</v>
      </c>
      <c r="X41" s="101">
        <f t="shared" ref="W41:AQ41" si="61">X40-V40</f>
        <v>9.9999999999998423E-3</v>
      </c>
      <c r="Y41" s="101">
        <f t="shared" si="61"/>
        <v>1.0000000000000064E-2</v>
      </c>
      <c r="Z41" s="101">
        <f t="shared" si="61"/>
        <v>1.0000000000000175E-2</v>
      </c>
      <c r="AA41" s="101">
        <f t="shared" si="61"/>
        <v>1.0000000000000009E-2</v>
      </c>
      <c r="AB41" s="101">
        <f t="shared" si="61"/>
        <v>9.9999999999999534E-3</v>
      </c>
      <c r="AC41" s="101">
        <f t="shared" si="61"/>
        <v>1.0000000000000009E-2</v>
      </c>
      <c r="AD41" s="101">
        <f t="shared" si="61"/>
        <v>5.0000000000001155E-3</v>
      </c>
      <c r="AE41" s="101">
        <f t="shared" si="61"/>
        <v>4.9999999999999489E-3</v>
      </c>
      <c r="AF41" s="101">
        <f t="shared" si="61"/>
        <v>4.9999999999998379E-3</v>
      </c>
      <c r="AG41" s="101">
        <f t="shared" si="61"/>
        <v>5.0000000000001155E-3</v>
      </c>
      <c r="AH41" s="101">
        <f t="shared" si="61"/>
        <v>5.000000000000171E-3</v>
      </c>
      <c r="AI41" s="101">
        <f t="shared" si="61"/>
        <v>4.9999999999998934E-3</v>
      </c>
      <c r="AJ41" s="101">
        <f t="shared" si="61"/>
        <v>4.9999999999998934E-3</v>
      </c>
      <c r="AK41" s="101">
        <f t="shared" si="61"/>
        <v>5.0000000000000044E-3</v>
      </c>
      <c r="AL41" s="101">
        <f t="shared" si="61"/>
        <v>5.00000000000006E-3</v>
      </c>
      <c r="AM41" s="101">
        <f t="shared" si="61"/>
        <v>5.0000000000001155E-3</v>
      </c>
      <c r="AN41" s="101">
        <f t="shared" si="61"/>
        <v>5.00000000000006E-3</v>
      </c>
      <c r="AO41" s="101">
        <f t="shared" si="61"/>
        <v>4.9999999999999489E-3</v>
      </c>
      <c r="AP41" s="101">
        <f t="shared" si="61"/>
        <v>4.9999999999999489E-3</v>
      </c>
      <c r="AQ41" s="101">
        <f t="shared" si="61"/>
        <v>5.0000000000000044E-3</v>
      </c>
      <c r="AR41" s="1"/>
      <c r="AS41" s="1"/>
      <c r="AT41" s="198">
        <v>8.0000000000000002E-3</v>
      </c>
      <c r="AU41" s="199">
        <v>2.1999999999999999E-2</v>
      </c>
      <c r="AV41" s="198">
        <v>8.0000000000000002E-3</v>
      </c>
      <c r="AW41" s="199">
        <v>-2.3E-2</v>
      </c>
      <c r="AX41" s="75"/>
      <c r="AY41" s="138"/>
      <c r="AZ41" s="138"/>
      <c r="BA41" s="1"/>
      <c r="BB41" s="1"/>
      <c r="BC41" s="1"/>
      <c r="BD41" s="1"/>
    </row>
    <row r="42" spans="1:56" x14ac:dyDescent="0.25">
      <c r="A42" s="288"/>
      <c r="B42" s="289"/>
      <c r="C42" s="93"/>
      <c r="D42" s="89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1"/>
      <c r="AS42" s="1"/>
      <c r="AT42" s="95"/>
      <c r="AU42" s="96"/>
      <c r="AV42" s="95"/>
      <c r="AW42" s="96"/>
      <c r="AX42" s="96"/>
      <c r="AY42" s="138"/>
      <c r="AZ42" s="138"/>
      <c r="BA42" s="1"/>
      <c r="BB42" s="1"/>
      <c r="BC42" s="1"/>
      <c r="BD42" s="1"/>
    </row>
    <row r="43" spans="1:56" x14ac:dyDescent="0.25">
      <c r="A43" s="137"/>
      <c r="B43" s="90" t="s">
        <v>202</v>
      </c>
      <c r="C43" s="9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48"/>
      <c r="R43" s="1"/>
      <c r="S43" s="48"/>
      <c r="T43" s="1"/>
      <c r="U43" s="48"/>
      <c r="V43" s="1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1"/>
      <c r="AS43" s="1"/>
      <c r="AT43" s="202"/>
      <c r="AU43" s="203"/>
      <c r="AV43" s="202"/>
      <c r="AW43" s="203"/>
      <c r="AX43" s="96"/>
      <c r="AY43" s="138"/>
      <c r="AZ43" s="138"/>
      <c r="BA43" s="1"/>
      <c r="BB43" s="1"/>
      <c r="BC43" s="1"/>
      <c r="BD43" s="1"/>
    </row>
    <row r="44" spans="1:56" x14ac:dyDescent="0.25">
      <c r="A44" s="137" t="s">
        <v>203</v>
      </c>
      <c r="B44" s="92" t="s">
        <v>204</v>
      </c>
      <c r="C44" s="93"/>
      <c r="D44" s="2" t="s">
        <v>158</v>
      </c>
      <c r="E44" s="2"/>
      <c r="F44" s="51"/>
      <c r="G44" s="51"/>
      <c r="H44" s="51"/>
      <c r="I44" s="51"/>
      <c r="J44" s="51">
        <v>-1.8</v>
      </c>
      <c r="K44" s="49">
        <v>-1.9</v>
      </c>
      <c r="L44" s="51">
        <v>-1.9</v>
      </c>
      <c r="M44" s="49">
        <v>-2</v>
      </c>
      <c r="N44" s="51">
        <v>-1.8</v>
      </c>
      <c r="O44" s="49">
        <v>-1.5</v>
      </c>
      <c r="P44" s="51">
        <v>-1.3</v>
      </c>
      <c r="Q44" s="49">
        <v>-1.3</v>
      </c>
      <c r="R44" s="51">
        <v>-1.4</v>
      </c>
      <c r="S44" s="49">
        <v>-1.6</v>
      </c>
      <c r="T44" s="51">
        <v>-1.9</v>
      </c>
      <c r="U44" s="49">
        <f>INDEX(Annual!$A:$AC,MATCH(Segment!$A44,Annual!$A:$A,0),MATCH(Segment!U$1,Annual!$A$1:$AC$1,0))-T44</f>
        <v>-2.3000000000000003</v>
      </c>
      <c r="V44" s="51">
        <v>-2.2999999999999998</v>
      </c>
      <c r="W44" s="251">
        <f>INDEX(Annual!$A:$AC,MATCH(Segment!$A44,Annual!$A:$A,0),MATCH(Segment!W$1,Annual!$A$1:$AC$1,0))-V44</f>
        <v>-2.3959999999999999</v>
      </c>
      <c r="X44" s="271">
        <f t="shared" ref="X44:AQ44" si="62">X15/V15*V44</f>
        <v>-2.6266429722990403</v>
      </c>
      <c r="Y44" s="271">
        <f t="shared" si="62"/>
        <v>-2.720795684154679</v>
      </c>
      <c r="Z44" s="271">
        <f t="shared" si="62"/>
        <v>-3.0017236009379049</v>
      </c>
      <c r="AA44" s="271">
        <f t="shared" si="62"/>
        <v>-3.1427889873683181</v>
      </c>
      <c r="AB44" s="271">
        <f t="shared" si="62"/>
        <v>-3.4938295798110115</v>
      </c>
      <c r="AC44" s="271">
        <f t="shared" si="62"/>
        <v>-3.7158066796420037</v>
      </c>
      <c r="AD44" s="271">
        <f t="shared" si="62"/>
        <v>-4.1584607182594553</v>
      </c>
      <c r="AE44" s="271">
        <f t="shared" si="62"/>
        <v>-4.4000024383915965</v>
      </c>
      <c r="AF44" s="271">
        <f t="shared" si="62"/>
        <v>-4.9504142051429056</v>
      </c>
      <c r="AG44" s="271">
        <f t="shared" si="62"/>
        <v>-5.2355752787889749</v>
      </c>
      <c r="AH44" s="271">
        <f t="shared" si="62"/>
        <v>-5.9178902650578964</v>
      </c>
      <c r="AI44" s="271">
        <f t="shared" si="62"/>
        <v>-6.2561395624153766</v>
      </c>
      <c r="AJ44" s="271">
        <f t="shared" si="62"/>
        <v>-7.1003423911213712</v>
      </c>
      <c r="AK44" s="271">
        <f t="shared" si="62"/>
        <v>-7.5031577926557285</v>
      </c>
      <c r="AL44" s="271">
        <f t="shared" si="62"/>
        <v>-8.5465405300983583</v>
      </c>
      <c r="AM44" s="271">
        <f t="shared" si="62"/>
        <v>-9.0278557751341122</v>
      </c>
      <c r="AN44" s="271">
        <f t="shared" si="62"/>
        <v>-10.316871945356581</v>
      </c>
      <c r="AO44" s="271">
        <f t="shared" si="62"/>
        <v>-10.893626827749499</v>
      </c>
      <c r="AP44" s="271">
        <f t="shared" si="62"/>
        <v>-12.486236132057808</v>
      </c>
      <c r="AQ44" s="271">
        <f t="shared" si="62"/>
        <v>-13.17905507490441</v>
      </c>
      <c r="AR44" s="1"/>
      <c r="AS44" s="1"/>
      <c r="AT44" s="95">
        <v>-2.2000000000000002</v>
      </c>
      <c r="AU44" s="96">
        <v>-0.1</v>
      </c>
      <c r="AV44" s="95">
        <v>-2.5</v>
      </c>
      <c r="AW44" s="96">
        <v>-0.1</v>
      </c>
      <c r="AX44" s="96"/>
      <c r="AY44" s="138"/>
      <c r="AZ44" s="138"/>
      <c r="BA44" s="1"/>
      <c r="BB44" s="1"/>
      <c r="BC44" s="1"/>
      <c r="BD44" s="1"/>
    </row>
    <row r="45" spans="1:56" x14ac:dyDescent="0.25">
      <c r="A45" s="137" t="s">
        <v>205</v>
      </c>
      <c r="B45" s="92" t="s">
        <v>206</v>
      </c>
      <c r="C45" s="93"/>
      <c r="D45" s="2" t="s">
        <v>158</v>
      </c>
      <c r="E45" s="2"/>
      <c r="F45" s="51"/>
      <c r="G45" s="51"/>
      <c r="H45" s="51"/>
      <c r="I45" s="51"/>
      <c r="J45" s="51">
        <v>0</v>
      </c>
      <c r="K45" s="49">
        <v>-0.6</v>
      </c>
      <c r="L45" s="51">
        <v>-2.2000000000000002</v>
      </c>
      <c r="M45" s="49">
        <v>-3.9</v>
      </c>
      <c r="N45" s="51">
        <v>-5.7</v>
      </c>
      <c r="O45" s="49">
        <v>-7.8</v>
      </c>
      <c r="P45" s="51">
        <v>-10.7</v>
      </c>
      <c r="Q45" s="49">
        <v>-12.7</v>
      </c>
      <c r="R45" s="51">
        <v>-16.100000000000001</v>
      </c>
      <c r="S45" s="49">
        <v>-18</v>
      </c>
      <c r="T45" s="51">
        <v>-21.4</v>
      </c>
      <c r="U45" s="49">
        <f>INDEX(Annual!$A:$AC,MATCH(Segment!$A45,Annual!$A:$A,0),MATCH(Segment!U$1,Annual!$A$1:$AC$1,0))-T45</f>
        <v>-23.9</v>
      </c>
      <c r="V45" s="51">
        <v>-25.3</v>
      </c>
      <c r="W45" s="251">
        <f>INDEX(Annual!$A:$AC,MATCH(Segment!$A45,Annual!$A:$A,0),MATCH(Segment!W$1,Annual!$A$1:$AC$1,0))-V45</f>
        <v>-27.843</v>
      </c>
      <c r="X45" s="271">
        <f t="shared" ref="X45:AQ45" si="63">W45-(W33+W45)/5/2</f>
        <v>-29.788699999999999</v>
      </c>
      <c r="Y45" s="271">
        <f t="shared" si="63"/>
        <v>-31.046719316186714</v>
      </c>
      <c r="Z45" s="271">
        <f t="shared" si="63"/>
        <v>-33.313234190098775</v>
      </c>
      <c r="AA45" s="271">
        <f t="shared" si="63"/>
        <v>-34.823821449123521</v>
      </c>
      <c r="AB45" s="271">
        <f t="shared" si="63"/>
        <v>-37.545693023014238</v>
      </c>
      <c r="AC45" s="271">
        <f t="shared" si="63"/>
        <v>-39.426822738581883</v>
      </c>
      <c r="AD45" s="271">
        <f t="shared" si="63"/>
        <v>-42.81960189824067</v>
      </c>
      <c r="AE45" s="271">
        <f t="shared" si="63"/>
        <v>-45.245419649609026</v>
      </c>
      <c r="AF45" s="271">
        <f t="shared" si="63"/>
        <v>-49.407026070955411</v>
      </c>
      <c r="AG45" s="271">
        <f t="shared" si="63"/>
        <v>-52.451556812155602</v>
      </c>
      <c r="AH45" s="271">
        <f t="shared" si="63"/>
        <v>-57.542073530218772</v>
      </c>
      <c r="AI45" s="271">
        <f t="shared" si="63"/>
        <v>-61.333680474312025</v>
      </c>
      <c r="AJ45" s="271">
        <f t="shared" si="63"/>
        <v>-67.550704801765932</v>
      </c>
      <c r="AK45" s="271">
        <f t="shared" si="63"/>
        <v>-72.248795309006852</v>
      </c>
      <c r="AL45" s="271">
        <f t="shared" si="63"/>
        <v>-79.83607619516026</v>
      </c>
      <c r="AM45" s="271">
        <f t="shared" si="63"/>
        <v>-85.638410039411582</v>
      </c>
      <c r="AN45" s="271">
        <f t="shared" si="63"/>
        <v>-94.89667162995471</v>
      </c>
      <c r="AO45" s="271">
        <f t="shared" si="63"/>
        <v>-102.04856747446921</v>
      </c>
      <c r="AP45" s="271">
        <f t="shared" si="63"/>
        <v>-113.34907587529237</v>
      </c>
      <c r="AQ45" s="271">
        <f t="shared" si="63"/>
        <v>-122.15501004860421</v>
      </c>
      <c r="AR45" s="1"/>
      <c r="AS45" s="1"/>
      <c r="AT45" s="95">
        <v>-25.4</v>
      </c>
      <c r="AU45" s="96">
        <v>0.1</v>
      </c>
      <c r="AV45" s="95">
        <v>-26.4</v>
      </c>
      <c r="AW45" s="96">
        <v>0</v>
      </c>
      <c r="AX45" s="117"/>
      <c r="AY45" s="138"/>
      <c r="AZ45" s="138"/>
      <c r="BA45" s="1"/>
      <c r="BB45" s="1"/>
      <c r="BC45" s="1"/>
      <c r="BD45" s="1"/>
    </row>
    <row r="46" spans="1:56" x14ac:dyDescent="0.25">
      <c r="A46" s="137" t="s">
        <v>207</v>
      </c>
      <c r="B46" s="92" t="s">
        <v>208</v>
      </c>
      <c r="C46" s="93"/>
      <c r="D46" s="2"/>
      <c r="E46" s="2"/>
      <c r="F46" s="49"/>
      <c r="G46" s="49"/>
      <c r="H46" s="49"/>
      <c r="I46" s="49"/>
      <c r="J46" s="49">
        <v>-0.9</v>
      </c>
      <c r="K46" s="49">
        <v>-0.9</v>
      </c>
      <c r="L46" s="49">
        <v>-4.3</v>
      </c>
      <c r="M46" s="49">
        <v>-4.3</v>
      </c>
      <c r="N46" s="49">
        <v>-4.3</v>
      </c>
      <c r="O46" s="49">
        <v>-4.8</v>
      </c>
      <c r="P46" s="49">
        <v>-5.9</v>
      </c>
      <c r="Q46" s="49">
        <v>-6.2</v>
      </c>
      <c r="R46" s="49">
        <v>-8</v>
      </c>
      <c r="S46" s="49">
        <v>-8.5</v>
      </c>
      <c r="T46" s="49">
        <v>-9.1999999999999993</v>
      </c>
      <c r="U46" s="49">
        <f>INDEX(Annual!$A:$AC,MATCH(Segment!$A46,Annual!$A:$A,0),MATCH(Segment!U$1,Annual!$A$1:$AC$1,0))-T46</f>
        <v>-10.100000000000001</v>
      </c>
      <c r="V46" s="49">
        <f>V47-V45-V44</f>
        <v>-11.299999999999997</v>
      </c>
      <c r="W46" s="251">
        <f>INDEX(Annual!$A:$AC,MATCH(Segment!$A46,Annual!$A:$A,0),MATCH(Segment!W$1,Annual!$A$1:$AC$1,0))-V46</f>
        <v>-11.658000000000001</v>
      </c>
      <c r="X46" s="271">
        <f t="shared" ref="X46:AQ46" si="64">X15/V15*V46</f>
        <v>-12.904811124773543</v>
      </c>
      <c r="Y46" s="271">
        <f t="shared" si="64"/>
        <v>-13.238328917310206</v>
      </c>
      <c r="Z46" s="271">
        <f t="shared" si="64"/>
        <v>-14.747598561129703</v>
      </c>
      <c r="AA46" s="271">
        <f t="shared" si="64"/>
        <v>-15.291583478605951</v>
      </c>
      <c r="AB46" s="271">
        <f t="shared" si="64"/>
        <v>-17.165336631245399</v>
      </c>
      <c r="AC46" s="271">
        <f t="shared" si="64"/>
        <v>-18.079663719226414</v>
      </c>
      <c r="AD46" s="271">
        <f t="shared" si="64"/>
        <v>-20.430698311448619</v>
      </c>
      <c r="AE46" s="271">
        <f t="shared" si="64"/>
        <v>-21.40869299948633</v>
      </c>
      <c r="AF46" s="271">
        <f t="shared" si="64"/>
        <v>-24.321600225267311</v>
      </c>
      <c r="AG46" s="271">
        <f t="shared" si="64"/>
        <v>-25.474264023423157</v>
      </c>
      <c r="AH46" s="271">
        <f t="shared" si="64"/>
        <v>-29.074852171806178</v>
      </c>
      <c r="AI46" s="271">
        <f t="shared" si="64"/>
        <v>-30.439931143004372</v>
      </c>
      <c r="AJ46" s="271">
        <f t="shared" si="64"/>
        <v>-34.88429087811803</v>
      </c>
      <c r="AK46" s="271">
        <f t="shared" si="64"/>
        <v>-36.507434702329093</v>
      </c>
      <c r="AL46" s="271">
        <f t="shared" si="64"/>
        <v>-41.989525213091923</v>
      </c>
      <c r="AM46" s="271">
        <f t="shared" si="64"/>
        <v>-43.926019460147543</v>
      </c>
      <c r="AN46" s="271">
        <f t="shared" si="64"/>
        <v>-50.687240427186666</v>
      </c>
      <c r="AO46" s="271">
        <f t="shared" si="64"/>
        <v>-53.004132536687685</v>
      </c>
      <c r="AP46" s="271">
        <f t="shared" si="64"/>
        <v>-61.345420996631816</v>
      </c>
      <c r="AQ46" s="271">
        <f t="shared" si="64"/>
        <v>-64.12413358231872</v>
      </c>
      <c r="AR46" s="1"/>
      <c r="AS46" s="1"/>
      <c r="AT46" s="95">
        <v>-10.6</v>
      </c>
      <c r="AU46" s="96">
        <v>-0.7</v>
      </c>
      <c r="AV46" s="95">
        <v>-11.3</v>
      </c>
      <c r="AW46" s="96">
        <v>-0.4</v>
      </c>
      <c r="AX46" s="89"/>
      <c r="AY46" s="138"/>
      <c r="AZ46" s="138"/>
      <c r="BA46" s="1"/>
      <c r="BB46" s="1"/>
      <c r="BC46" s="1"/>
      <c r="BD46" s="1"/>
    </row>
    <row r="47" spans="1:56" x14ac:dyDescent="0.25">
      <c r="A47" s="137" t="s">
        <v>209</v>
      </c>
      <c r="B47" s="97" t="s">
        <v>202</v>
      </c>
      <c r="C47" s="5" t="s">
        <v>75</v>
      </c>
      <c r="D47" s="118" t="s">
        <v>158</v>
      </c>
      <c r="E47" s="114"/>
      <c r="F47" s="114"/>
      <c r="G47" s="114"/>
      <c r="H47" s="114"/>
      <c r="I47" s="114"/>
      <c r="J47" s="114">
        <v>-2.7</v>
      </c>
      <c r="K47" s="98">
        <v>-3.4</v>
      </c>
      <c r="L47" s="114">
        <v>-8.4</v>
      </c>
      <c r="M47" s="98">
        <v>-10.199999999999999</v>
      </c>
      <c r="N47" s="114">
        <v>-11.8</v>
      </c>
      <c r="O47" s="98">
        <v>-14</v>
      </c>
      <c r="P47" s="114">
        <v>-17.899999999999999</v>
      </c>
      <c r="Q47" s="98">
        <v>-20.2</v>
      </c>
      <c r="R47" s="114">
        <v>-25.5</v>
      </c>
      <c r="S47" s="98">
        <v>-28</v>
      </c>
      <c r="T47" s="114">
        <v>-32.6</v>
      </c>
      <c r="U47" s="98">
        <f>INDEX(Annual!$A:$AC,MATCH(Segment!$A47,Annual!$A:$A,0),MATCH(Segment!U$1,Annual!$A$1:$AC$1,0))-T47</f>
        <v>-36.199999999999996</v>
      </c>
      <c r="V47" s="114">
        <v>-38.9</v>
      </c>
      <c r="W47" s="267">
        <f>INDEX(Annual!$A:$AC,MATCH(Segment!$A47,Annual!$A:$A,0),MATCH(Segment!W$1,Annual!$A$1:$AC$1,0))-V47</f>
        <v>-41.896999999999998</v>
      </c>
      <c r="X47" s="267">
        <f t="shared" ref="X47:AQ47" si="65">SUM(X44:X46)</f>
        <v>-45.320154097072582</v>
      </c>
      <c r="Y47" s="267">
        <f t="shared" si="65"/>
        <v>-47.005843917651596</v>
      </c>
      <c r="Z47" s="267">
        <f t="shared" si="65"/>
        <v>-51.062556352166382</v>
      </c>
      <c r="AA47" s="267">
        <f t="shared" si="65"/>
        <v>-53.258193915097792</v>
      </c>
      <c r="AB47" s="267">
        <f t="shared" si="65"/>
        <v>-58.204859234070653</v>
      </c>
      <c r="AC47" s="267">
        <f t="shared" si="65"/>
        <v>-61.222293137450308</v>
      </c>
      <c r="AD47" s="267">
        <f t="shared" si="65"/>
        <v>-67.408760927948748</v>
      </c>
      <c r="AE47" s="267">
        <f t="shared" si="65"/>
        <v>-71.054115087486949</v>
      </c>
      <c r="AF47" s="267">
        <f t="shared" si="65"/>
        <v>-78.67904050136562</v>
      </c>
      <c r="AG47" s="267">
        <f t="shared" si="65"/>
        <v>-83.161396114367733</v>
      </c>
      <c r="AH47" s="267">
        <f t="shared" si="65"/>
        <v>-92.534815967082849</v>
      </c>
      <c r="AI47" s="267">
        <f t="shared" si="65"/>
        <v>-98.029751179731775</v>
      </c>
      <c r="AJ47" s="267">
        <f t="shared" si="65"/>
        <v>-109.53533807100533</v>
      </c>
      <c r="AK47" s="267">
        <f t="shared" si="65"/>
        <v>-116.25938780399167</v>
      </c>
      <c r="AL47" s="267">
        <f t="shared" si="65"/>
        <v>-130.37214193835052</v>
      </c>
      <c r="AM47" s="267">
        <f t="shared" si="65"/>
        <v>-138.59228527469324</v>
      </c>
      <c r="AN47" s="267">
        <f t="shared" si="65"/>
        <v>-155.90078400249797</v>
      </c>
      <c r="AO47" s="267">
        <f t="shared" si="65"/>
        <v>-165.9463268389064</v>
      </c>
      <c r="AP47" s="267">
        <f t="shared" si="65"/>
        <v>-187.180733003982</v>
      </c>
      <c r="AQ47" s="267">
        <f t="shared" si="65"/>
        <v>-199.45819870582733</v>
      </c>
      <c r="AR47" s="1"/>
      <c r="AS47" s="1"/>
      <c r="AT47" s="99">
        <v>-38.200000000000003</v>
      </c>
      <c r="AU47" s="100">
        <v>-0.6</v>
      </c>
      <c r="AV47" s="99">
        <v>-40.200000000000003</v>
      </c>
      <c r="AW47" s="100">
        <v>-0.5</v>
      </c>
      <c r="AX47" s="75"/>
      <c r="AY47" s="138"/>
      <c r="AZ47" s="138"/>
      <c r="BA47" s="1"/>
      <c r="BB47" s="1"/>
      <c r="BC47" s="1"/>
      <c r="BD47" s="1"/>
    </row>
    <row r="48" spans="1:56" x14ac:dyDescent="0.25">
      <c r="A48" s="137"/>
      <c r="B48" s="92" t="s">
        <v>210</v>
      </c>
      <c r="C48" s="93" t="s">
        <v>6</v>
      </c>
      <c r="D48" s="2"/>
      <c r="E48" s="2"/>
      <c r="F48" s="2"/>
      <c r="G48" s="2"/>
      <c r="H48" s="2"/>
      <c r="I48" s="2"/>
      <c r="J48" s="101">
        <v>-2.1000000000000001E-2</v>
      </c>
      <c r="K48" s="101">
        <v>-2.1999999999999999E-2</v>
      </c>
      <c r="L48" s="101">
        <v>-6.0999999999999999E-2</v>
      </c>
      <c r="M48" s="101">
        <v>-6.4000000000000001E-2</v>
      </c>
      <c r="N48" s="101">
        <v>-8.2000000000000003E-2</v>
      </c>
      <c r="O48" s="101">
        <v>-8.4000000000000005E-2</v>
      </c>
      <c r="P48" s="101">
        <v>-0.104</v>
      </c>
      <c r="Q48" s="101">
        <v>-0.10299999999999999</v>
      </c>
      <c r="R48" s="101">
        <v>-0.122</v>
      </c>
      <c r="S48" s="101">
        <v>-0.123</v>
      </c>
      <c r="T48" s="101">
        <v>-0.13300000000000001</v>
      </c>
      <c r="U48" s="256">
        <f>U47/U$15</f>
        <v>-0.13372737347617286</v>
      </c>
      <c r="V48" s="256">
        <f>V47/V$15</f>
        <v>-0.13353930655681426</v>
      </c>
      <c r="W48" s="256">
        <f>W47/W$15</f>
        <v>-0.13145064129916414</v>
      </c>
      <c r="X48" s="256">
        <f t="shared" ref="W48:AQ48" si="66">X47/X$15</f>
        <v>-0.13623154568326365</v>
      </c>
      <c r="Y48" s="256">
        <f t="shared" si="66"/>
        <v>-0.12987409081570073</v>
      </c>
      <c r="Z48" s="256">
        <f t="shared" si="66"/>
        <v>-0.13431335724258592</v>
      </c>
      <c r="AA48" s="256">
        <f t="shared" si="66"/>
        <v>-0.12739072465905132</v>
      </c>
      <c r="AB48" s="256">
        <f t="shared" si="66"/>
        <v>-0.13153607462871286</v>
      </c>
      <c r="AC48" s="256">
        <f t="shared" si="66"/>
        <v>-0.12385771896111597</v>
      </c>
      <c r="AD48" s="256">
        <f t="shared" si="66"/>
        <v>-0.12798854213815253</v>
      </c>
      <c r="AE48" s="256">
        <f t="shared" si="66"/>
        <v>-0.1213955910846088</v>
      </c>
      <c r="AF48" s="256">
        <f t="shared" si="66"/>
        <v>-0.12548877163962791</v>
      </c>
      <c r="AG48" s="256">
        <f t="shared" si="66"/>
        <v>-0.11940539769020894</v>
      </c>
      <c r="AH48" s="256">
        <f t="shared" si="66"/>
        <v>-0.12345981138874279</v>
      </c>
      <c r="AI48" s="256">
        <f t="shared" si="66"/>
        <v>-0.11779261629602035</v>
      </c>
      <c r="AJ48" s="256">
        <f t="shared" si="66"/>
        <v>-0.12180421374297852</v>
      </c>
      <c r="AK48" s="256">
        <f t="shared" si="66"/>
        <v>-0.11647978170075568</v>
      </c>
      <c r="AL48" s="256">
        <f t="shared" si="66"/>
        <v>-0.12044306413601764</v>
      </c>
      <c r="AM48" s="256">
        <f t="shared" si="66"/>
        <v>-0.11540404721162141</v>
      </c>
      <c r="AN48" s="256">
        <f t="shared" si="66"/>
        <v>-0.11931295736867301</v>
      </c>
      <c r="AO48" s="256">
        <f t="shared" si="66"/>
        <v>-0.11451483352013285</v>
      </c>
      <c r="AP48" s="256">
        <f t="shared" si="66"/>
        <v>-0.11836326902675459</v>
      </c>
      <c r="AQ48" s="256">
        <f t="shared" si="66"/>
        <v>-0.11377169173117943</v>
      </c>
      <c r="AR48" s="1"/>
      <c r="AS48" s="1"/>
      <c r="AT48" s="198">
        <v>-0.13600000000000001</v>
      </c>
      <c r="AU48" s="199">
        <v>3.0000000000000001E-3</v>
      </c>
      <c r="AV48" s="198">
        <v>-0.13300000000000001</v>
      </c>
      <c r="AW48" s="199">
        <v>3.0000000000000001E-3</v>
      </c>
      <c r="AX48" s="96"/>
      <c r="AY48" s="138"/>
      <c r="AZ48" s="138"/>
      <c r="BA48" s="1"/>
      <c r="BB48" s="1"/>
      <c r="BC48" s="1"/>
      <c r="BD48" s="1"/>
    </row>
    <row r="49" spans="1:56" x14ac:dyDescent="0.25">
      <c r="A49" s="288"/>
      <c r="B49" s="289"/>
      <c r="C49" s="9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48"/>
      <c r="R49" s="1"/>
      <c r="S49" s="48"/>
      <c r="T49" s="1"/>
      <c r="U49" s="48"/>
      <c r="V49" s="1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1"/>
      <c r="AS49" s="1"/>
      <c r="AT49" s="202"/>
      <c r="AU49" s="203"/>
      <c r="AV49" s="202"/>
      <c r="AW49" s="203"/>
      <c r="AX49" s="117"/>
      <c r="AY49" s="138"/>
      <c r="AZ49" s="138"/>
      <c r="BA49" s="1"/>
      <c r="BB49" s="1"/>
      <c r="BC49" s="1"/>
      <c r="BD49" s="1"/>
    </row>
    <row r="50" spans="1:56" x14ac:dyDescent="0.25">
      <c r="A50" s="137"/>
      <c r="B50" s="90" t="s">
        <v>54</v>
      </c>
      <c r="C50" s="91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1"/>
      <c r="AS50" s="2"/>
      <c r="AT50" s="95"/>
      <c r="AU50" s="96"/>
      <c r="AV50" s="95"/>
      <c r="AW50" s="96"/>
      <c r="AX50" s="89"/>
      <c r="AY50" s="138"/>
      <c r="AZ50" s="138"/>
      <c r="BA50" s="1"/>
      <c r="BB50" s="1"/>
      <c r="BC50" s="1"/>
      <c r="BD50" s="1"/>
    </row>
    <row r="51" spans="1:56" x14ac:dyDescent="0.25">
      <c r="A51" s="137" t="s">
        <v>54</v>
      </c>
      <c r="B51" s="97" t="s">
        <v>54</v>
      </c>
      <c r="C51" s="5" t="s">
        <v>75</v>
      </c>
      <c r="D51" s="98"/>
      <c r="E51" s="114"/>
      <c r="F51" s="98"/>
      <c r="G51" s="114"/>
      <c r="H51" s="114"/>
      <c r="I51" s="114"/>
      <c r="J51" s="98">
        <v>24</v>
      </c>
      <c r="K51" s="98">
        <v>51.7</v>
      </c>
      <c r="L51" s="98">
        <v>26.4</v>
      </c>
      <c r="M51" s="98">
        <v>57.2</v>
      </c>
      <c r="N51" s="98">
        <v>37.9</v>
      </c>
      <c r="O51" s="98">
        <v>61.2</v>
      </c>
      <c r="P51" s="98">
        <v>43.3</v>
      </c>
      <c r="Q51" s="98">
        <v>70.5</v>
      </c>
      <c r="R51" s="98">
        <v>52.2</v>
      </c>
      <c r="S51" s="98">
        <v>75.7</v>
      </c>
      <c r="T51" s="98">
        <v>58.7</v>
      </c>
      <c r="U51" s="98">
        <f>INDEX(Annual!$A:$AC,MATCH(Segment!$A51,Annual!$A:$A,0),MATCH(Segment!U$1,Annual!$A$1:$AC$1,0))-T51</f>
        <v>88.3</v>
      </c>
      <c r="V51" s="267">
        <f>V38+V47</f>
        <v>78.5</v>
      </c>
      <c r="W51" s="267">
        <f>INDEX(Annual!$A:$AC,MATCH(Segment!$A51,Annual!$A:$A,0),MATCH(Segment!W$1,Annual!$A$1:$AC$1,0))-V51</f>
        <v>96.402999999999992</v>
      </c>
      <c r="X51" s="267">
        <f t="shared" ref="W51:AQ51" si="67">X38+X47</f>
        <v>92.079539783890169</v>
      </c>
      <c r="Y51" s="267">
        <f t="shared" si="67"/>
        <v>113.66109297165752</v>
      </c>
      <c r="Z51" s="267">
        <f t="shared" si="67"/>
        <v>109.7593534083442</v>
      </c>
      <c r="AA51" s="267">
        <f t="shared" si="67"/>
        <v>136.50875680291432</v>
      </c>
      <c r="AB51" s="267">
        <f t="shared" si="67"/>
        <v>133.40738831713855</v>
      </c>
      <c r="AC51" s="267">
        <f t="shared" si="67"/>
        <v>168.08739498281568</v>
      </c>
      <c r="AD51" s="267">
        <f t="shared" si="67"/>
        <v>163.28727149669234</v>
      </c>
      <c r="AE51" s="267">
        <f t="shared" si="67"/>
        <v>203.40518225432714</v>
      </c>
      <c r="AF51" s="267">
        <f t="shared" si="67"/>
        <v>199.08654819520055</v>
      </c>
      <c r="AG51" s="267">
        <f t="shared" si="67"/>
        <v>246.90080695526058</v>
      </c>
      <c r="AH51" s="267">
        <f t="shared" si="67"/>
        <v>243.26300214479045</v>
      </c>
      <c r="AI51" s="267">
        <f t="shared" si="67"/>
        <v>300.53218945143487</v>
      </c>
      <c r="AJ51" s="267">
        <f t="shared" si="67"/>
        <v>297.85452438305197</v>
      </c>
      <c r="AK51" s="267">
        <f t="shared" si="67"/>
        <v>366.73729273489232</v>
      </c>
      <c r="AL51" s="267">
        <f t="shared" si="67"/>
        <v>365.4071003818749</v>
      </c>
      <c r="AM51" s="267">
        <f t="shared" si="67"/>
        <v>448.55760059900467</v>
      </c>
      <c r="AN51" s="267">
        <f t="shared" si="67"/>
        <v>449.10750045220004</v>
      </c>
      <c r="AO51" s="267">
        <f t="shared" si="67"/>
        <v>549.79441763983004</v>
      </c>
      <c r="AP51" s="267">
        <f t="shared" si="67"/>
        <v>552.95177132038123</v>
      </c>
      <c r="AQ51" s="267">
        <f t="shared" si="67"/>
        <v>675.20708432576657</v>
      </c>
      <c r="AR51" s="1"/>
      <c r="AS51" s="1"/>
      <c r="AT51" s="99">
        <v>68.7</v>
      </c>
      <c r="AU51" s="100">
        <v>9.8000000000000007</v>
      </c>
      <c r="AV51" s="99">
        <v>101.8</v>
      </c>
      <c r="AW51" s="100">
        <v>-2.8</v>
      </c>
      <c r="AX51" s="89"/>
      <c r="AY51" s="138"/>
      <c r="AZ51" s="138"/>
      <c r="BA51" s="1"/>
      <c r="BB51" s="1"/>
      <c r="BC51" s="1"/>
      <c r="BD51" s="1"/>
    </row>
    <row r="52" spans="1:56" x14ac:dyDescent="0.25">
      <c r="A52" s="137"/>
      <c r="B52" s="92" t="s">
        <v>211</v>
      </c>
      <c r="C52" s="93" t="s">
        <v>168</v>
      </c>
      <c r="D52" s="89"/>
      <c r="E52" s="2"/>
      <c r="F52" s="2"/>
      <c r="G52" s="2"/>
      <c r="H52" s="2"/>
      <c r="I52" s="2"/>
      <c r="J52" s="2" t="e">
        <v>#DIV/0!</v>
      </c>
      <c r="K52" s="2" t="e">
        <v>#DIV/0!</v>
      </c>
      <c r="L52" s="66">
        <v>0.1</v>
      </c>
      <c r="M52" s="66">
        <v>0.1</v>
      </c>
      <c r="N52" s="66">
        <v>0.43</v>
      </c>
      <c r="O52" s="66">
        <v>7.0000000000000007E-2</v>
      </c>
      <c r="P52" s="66">
        <v>0.14000000000000001</v>
      </c>
      <c r="Q52" s="66">
        <v>0.15</v>
      </c>
      <c r="R52" s="66">
        <v>0.21</v>
      </c>
      <c r="S52" s="66">
        <v>7.0000000000000007E-2</v>
      </c>
      <c r="T52" s="66">
        <v>0.12</v>
      </c>
      <c r="U52" s="253">
        <f>U51/S51-1</f>
        <v>0.16644649933949784</v>
      </c>
      <c r="V52" s="253">
        <f>V51/T51-1</f>
        <v>0.33730834752981265</v>
      </c>
      <c r="W52" s="253">
        <f>W51/U51-1</f>
        <v>9.1766704416760936E-2</v>
      </c>
      <c r="X52" s="253">
        <f t="shared" ref="W52:AQ52" si="68">X51/V51-1</f>
        <v>0.17298776794764548</v>
      </c>
      <c r="Y52" s="253">
        <f t="shared" si="68"/>
        <v>0.17902028953100557</v>
      </c>
      <c r="Z52" s="253">
        <f t="shared" si="68"/>
        <v>0.19200588606272784</v>
      </c>
      <c r="AA52" s="253">
        <f t="shared" si="68"/>
        <v>0.20101569705082878</v>
      </c>
      <c r="AB52" s="253">
        <f t="shared" si="68"/>
        <v>0.21545348231795036</v>
      </c>
      <c r="AC52" s="253">
        <f t="shared" si="68"/>
        <v>0.23133049424436036</v>
      </c>
      <c r="AD52" s="253">
        <f t="shared" si="68"/>
        <v>0.22397472551162423</v>
      </c>
      <c r="AE52" s="253">
        <f t="shared" si="68"/>
        <v>0.21011562036000475</v>
      </c>
      <c r="AF52" s="253">
        <f t="shared" si="68"/>
        <v>0.2192410735409549</v>
      </c>
      <c r="AG52" s="253">
        <f t="shared" si="68"/>
        <v>0.21383734779455521</v>
      </c>
      <c r="AH52" s="253">
        <f t="shared" si="68"/>
        <v>0.22189572500034371</v>
      </c>
      <c r="AI52" s="253">
        <f t="shared" si="68"/>
        <v>0.21721833621180719</v>
      </c>
      <c r="AJ52" s="253">
        <f t="shared" si="68"/>
        <v>0.22441358429741221</v>
      </c>
      <c r="AK52" s="253">
        <f t="shared" si="68"/>
        <v>0.22029288577806727</v>
      </c>
      <c r="AL52" s="253">
        <f t="shared" si="68"/>
        <v>0.22679721296409716</v>
      </c>
      <c r="AM52" s="253">
        <f t="shared" si="68"/>
        <v>0.22310332078297468</v>
      </c>
      <c r="AN52" s="253">
        <f t="shared" si="68"/>
        <v>0.22906068322934225</v>
      </c>
      <c r="AO52" s="253">
        <f t="shared" si="68"/>
        <v>0.22569412915004339</v>
      </c>
      <c r="AP52" s="253">
        <f t="shared" si="68"/>
        <v>0.23122363969344062</v>
      </c>
      <c r="AQ52" s="253">
        <f t="shared" si="68"/>
        <v>0.22810829404982114</v>
      </c>
      <c r="AR52" s="1"/>
      <c r="AS52" s="128"/>
      <c r="AT52" s="134">
        <v>0.17</v>
      </c>
      <c r="AU52" s="135">
        <v>0.17</v>
      </c>
      <c r="AV52" s="134">
        <v>0.15</v>
      </c>
      <c r="AW52" s="135">
        <v>-0.03</v>
      </c>
      <c r="AX52" s="131"/>
      <c r="AY52" s="138"/>
      <c r="AZ52" s="138"/>
      <c r="BA52" s="1"/>
      <c r="BB52" s="1"/>
      <c r="BC52" s="1"/>
      <c r="BD52" s="1"/>
    </row>
    <row r="53" spans="1:56" x14ac:dyDescent="0.25">
      <c r="A53" s="137"/>
      <c r="B53" s="92" t="s">
        <v>212</v>
      </c>
      <c r="C53" s="93" t="s">
        <v>6</v>
      </c>
      <c r="D53" s="2"/>
      <c r="E53" s="2"/>
      <c r="F53" s="2"/>
      <c r="G53" s="2"/>
      <c r="H53" s="2"/>
      <c r="I53" s="2"/>
      <c r="J53" s="101">
        <v>0.187</v>
      </c>
      <c r="K53" s="101">
        <v>0.33</v>
      </c>
      <c r="L53" s="101">
        <v>0.191</v>
      </c>
      <c r="M53" s="101">
        <v>0.35599999999999998</v>
      </c>
      <c r="N53" s="101">
        <v>0.26200000000000001</v>
      </c>
      <c r="O53" s="101">
        <v>0.36599999999999999</v>
      </c>
      <c r="P53" s="101">
        <v>0.251</v>
      </c>
      <c r="Q53" s="101">
        <v>0.35799999999999998</v>
      </c>
      <c r="R53" s="101">
        <v>0.25</v>
      </c>
      <c r="S53" s="101">
        <v>0.33100000000000002</v>
      </c>
      <c r="T53" s="101">
        <v>0.24</v>
      </c>
      <c r="U53" s="256">
        <f>U51/U$15</f>
        <v>0.32619135574436647</v>
      </c>
      <c r="V53" s="256">
        <f>V51/V$15</f>
        <v>0.26948163405423958</v>
      </c>
      <c r="W53" s="256">
        <f>W51/W$15</f>
        <v>0.30246166009889303</v>
      </c>
      <c r="X53" s="256">
        <f t="shared" ref="W53:AQ53" si="69">X51/X$15</f>
        <v>0.27678939492779009</v>
      </c>
      <c r="Y53" s="256">
        <f t="shared" si="69"/>
        <v>0.31403821058235648</v>
      </c>
      <c r="Z53" s="256">
        <f t="shared" si="69"/>
        <v>0.28870758336846808</v>
      </c>
      <c r="AA53" s="256">
        <f t="shared" si="69"/>
        <v>0.32652157673900589</v>
      </c>
      <c r="AB53" s="256">
        <f t="shared" si="69"/>
        <v>0.30148486598234103</v>
      </c>
      <c r="AC53" s="256">
        <f t="shared" si="69"/>
        <v>0.34005458243694126</v>
      </c>
      <c r="AD53" s="256">
        <f t="shared" si="69"/>
        <v>0.31003239847290148</v>
      </c>
      <c r="AE53" s="256">
        <f t="shared" si="69"/>
        <v>0.34751671031344838</v>
      </c>
      <c r="AF53" s="256">
        <f t="shared" si="69"/>
        <v>0.31753216897142594</v>
      </c>
      <c r="AG53" s="256">
        <f t="shared" si="69"/>
        <v>0.35450690370784832</v>
      </c>
      <c r="AH53" s="256">
        <f t="shared" si="69"/>
        <v>0.32456112922231117</v>
      </c>
      <c r="AI53" s="256">
        <f t="shared" si="69"/>
        <v>0.36111968510203685</v>
      </c>
      <c r="AJ53" s="256">
        <f t="shared" si="69"/>
        <v>0.33121672686807535</v>
      </c>
      <c r="AK53" s="256">
        <f t="shared" si="69"/>
        <v>0.36743251969730151</v>
      </c>
      <c r="AL53" s="256">
        <f t="shared" si="69"/>
        <v>0.33757787647503634</v>
      </c>
      <c r="AM53" s="256">
        <f t="shared" si="69"/>
        <v>0.37350825418643585</v>
      </c>
      <c r="AN53" s="256">
        <f t="shared" si="69"/>
        <v>0.343707983242381</v>
      </c>
      <c r="AO53" s="256">
        <f t="shared" si="69"/>
        <v>0.37939746787792439</v>
      </c>
      <c r="AP53" s="256">
        <f t="shared" si="69"/>
        <v>0.34965767158429939</v>
      </c>
      <c r="AQ53" s="256">
        <f t="shared" si="69"/>
        <v>0.3851406096668778</v>
      </c>
      <c r="AR53" s="1"/>
      <c r="AS53" s="1"/>
      <c r="AT53" s="198">
        <v>0.245</v>
      </c>
      <c r="AU53" s="199">
        <v>2.5000000000000001E-2</v>
      </c>
      <c r="AV53" s="198">
        <v>0.33600000000000002</v>
      </c>
      <c r="AW53" s="199">
        <v>-0.02</v>
      </c>
      <c r="AX53" s="89"/>
      <c r="AY53" s="138"/>
      <c r="AZ53" s="138"/>
      <c r="BA53" s="1"/>
      <c r="BB53" s="1"/>
      <c r="BC53" s="1"/>
      <c r="BD53" s="1"/>
    </row>
    <row r="54" spans="1:56" x14ac:dyDescent="0.25">
      <c r="A54" s="288"/>
      <c r="B54" s="289"/>
      <c r="C54" s="93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204"/>
      <c r="R54" s="128"/>
      <c r="S54" s="204"/>
      <c r="T54" s="128"/>
      <c r="U54" s="204"/>
      <c r="V54" s="128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4"/>
      <c r="AM54" s="204"/>
      <c r="AN54" s="204"/>
      <c r="AO54" s="204"/>
      <c r="AP54" s="204"/>
      <c r="AQ54" s="204"/>
      <c r="AR54" s="1"/>
      <c r="AS54" s="1"/>
      <c r="AT54" s="205"/>
      <c r="AU54" s="206"/>
      <c r="AV54" s="205"/>
      <c r="AW54" s="206"/>
      <c r="AX54" s="96"/>
      <c r="AY54" s="138"/>
      <c r="AZ54" s="138"/>
      <c r="BA54" s="1"/>
      <c r="BB54" s="1"/>
      <c r="BC54" s="1"/>
      <c r="BD54" s="1"/>
    </row>
    <row r="55" spans="1:56" x14ac:dyDescent="0.25">
      <c r="A55" s="137"/>
      <c r="B55" s="90" t="s">
        <v>213</v>
      </c>
      <c r="C55" s="132"/>
      <c r="D55" s="2"/>
      <c r="E55" s="2"/>
      <c r="F55" s="51"/>
      <c r="G55" s="2"/>
      <c r="H55" s="2"/>
      <c r="I55" s="2"/>
      <c r="J55" s="2"/>
      <c r="K55" s="2"/>
      <c r="L55" s="2"/>
      <c r="M55" s="2"/>
      <c r="N55" s="2"/>
      <c r="O55" s="2"/>
      <c r="P55" s="51"/>
      <c r="Q55" s="49"/>
      <c r="R55" s="51"/>
      <c r="S55" s="49"/>
      <c r="T55" s="51"/>
      <c r="U55" s="49"/>
      <c r="V55" s="51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1"/>
      <c r="AS55" s="1"/>
      <c r="AT55" s="95"/>
      <c r="AU55" s="96"/>
      <c r="AV55" s="95"/>
      <c r="AW55" s="96"/>
      <c r="AX55" s="96"/>
      <c r="AY55" s="138"/>
      <c r="AZ55" s="138"/>
      <c r="BA55" s="1"/>
      <c r="BB55" s="1"/>
      <c r="BC55" s="1"/>
      <c r="BD55" s="1"/>
    </row>
    <row r="56" spans="1:56" x14ac:dyDescent="0.25">
      <c r="A56" s="137" t="s">
        <v>214</v>
      </c>
      <c r="B56" s="92" t="s">
        <v>214</v>
      </c>
      <c r="C56" s="93" t="s">
        <v>75</v>
      </c>
      <c r="D56" s="51" t="s">
        <v>158</v>
      </c>
      <c r="E56" s="51"/>
      <c r="F56" s="51"/>
      <c r="G56" s="51"/>
      <c r="H56" s="51"/>
      <c r="I56" s="51"/>
      <c r="J56" s="51">
        <v>0.4</v>
      </c>
      <c r="K56" s="49">
        <v>0.2</v>
      </c>
      <c r="L56" s="51">
        <v>0.2</v>
      </c>
      <c r="M56" s="49">
        <v>0.1</v>
      </c>
      <c r="N56" s="51">
        <v>0.1</v>
      </c>
      <c r="O56" s="49">
        <v>0.1</v>
      </c>
      <c r="P56" s="51">
        <v>0.1</v>
      </c>
      <c r="Q56" s="49">
        <v>0.3</v>
      </c>
      <c r="R56" s="51">
        <v>1.6</v>
      </c>
      <c r="S56" s="49">
        <v>2.5</v>
      </c>
      <c r="T56" s="51">
        <v>3.8</v>
      </c>
      <c r="U56" s="49">
        <f>INDEX(Annual!$A:$AC,MATCH(Segment!$A56,Annual!$A:$A,0),MATCH(Segment!U$1,Annual!$A$1:$AC$1,0))-T56</f>
        <v>4.6000000000000005</v>
      </c>
      <c r="V56" s="51">
        <v>5.2</v>
      </c>
      <c r="W56" s="251">
        <f>INDEX(Annual!$A:$AC,MATCH(Segment!$A56,Annual!$A:$A,0),MATCH(Segment!W$1,Annual!$A$1:$AC$1,0))-V56</f>
        <v>4.95</v>
      </c>
      <c r="X56" s="251">
        <f>INDEX(Annual!$A:$AC,MATCH(Segment!$A56,Annual!$A:$A,0),MATCH(Segment!X$1,Annual!$A$1:$AC$1,0))*0.5</f>
        <v>5.4222527789337516</v>
      </c>
      <c r="Y56" s="251">
        <f>INDEX(Annual!$A:$AC,MATCH(Segment!$A56,Annual!$A:$A,0),MATCH(Segment!Y$1,Annual!$A$1:$AC$1,0))-X56</f>
        <v>5.4222527789337516</v>
      </c>
      <c r="Z56" s="251">
        <f>INDEX(Annual!$A:$AC,MATCH(Segment!$A56,Annual!$A:$A,0),MATCH(Segment!Z$1,Annual!$A$1:$AC$1,0))*0.5</f>
        <v>5.8895476024477729</v>
      </c>
      <c r="AA56" s="251">
        <f>INDEX(Annual!$A:$AC,MATCH(Segment!$A56,Annual!$A:$A,0),MATCH(Segment!AA$1,Annual!$A$1:$AC$1,0))-Z56</f>
        <v>5.8895476024477729</v>
      </c>
      <c r="AB56" s="251">
        <f>INDEX(Annual!$A:$AC,MATCH(Segment!$A56,Annual!$A:$A,0),MATCH(Segment!AB$1,Annual!$A$1:$AC$1,0))*0.5</f>
        <v>7.0907646393369141</v>
      </c>
      <c r="AC56" s="251">
        <f>INDEX(Annual!$A:$AC,MATCH(Segment!$A56,Annual!$A:$A,0),MATCH(Segment!AC$1,Annual!$A$1:$AC$1,0))-AB56</f>
        <v>7.0907646393369141</v>
      </c>
      <c r="AD56" s="251">
        <f>INDEX(Annual!$A:$AC,MATCH(Segment!$A56,Annual!$A:$A,0),MATCH(Segment!AD$1,Annual!$A$1:$AC$1,0))*0.5</f>
        <v>8.4274546522757756</v>
      </c>
      <c r="AE56" s="251">
        <f>INDEX(Annual!$A:$AC,MATCH(Segment!$A56,Annual!$A:$A,0),MATCH(Segment!AE$1,Annual!$A$1:$AC$1,0))-AD56</f>
        <v>8.4274546522757756</v>
      </c>
      <c r="AF56" s="251">
        <f>INDEX(Annual!$A:$AC,MATCH(Segment!$A56,Annual!$A:$A,0),MATCH(Segment!AF$1,Annual!$A$1:$AC$1,0))*0.5</f>
        <v>8.5461017593801447</v>
      </c>
      <c r="AG56" s="251">
        <f>INDEX(Annual!$A:$AC,MATCH(Segment!$A56,Annual!$A:$A,0),MATCH(Segment!AG$1,Annual!$A$1:$AC$1,0))-AF56</f>
        <v>8.5461017593801447</v>
      </c>
      <c r="AH56" s="251">
        <f>INDEX(Annual!$A:$AC,MATCH(Segment!$A56,Annual!$A:$A,0),MATCH(Segment!AH$1,Annual!$A$1:$AC$1,0))*0.5</f>
        <v>8.6757429162280957</v>
      </c>
      <c r="AI56" s="251">
        <f>INDEX(Annual!$A:$AC,MATCH(Segment!$A56,Annual!$A:$A,0),MATCH(Segment!AI$1,Annual!$A$1:$AC$1,0))-AH56</f>
        <v>8.6757429162280957</v>
      </c>
      <c r="AJ56" s="251">
        <f>INDEX(Annual!$A:$AC,MATCH(Segment!$A56,Annual!$A:$A,0),MATCH(Segment!AJ$1,Annual!$A$1:$AC$1,0))*0.5</f>
        <v>8.8187069470126733</v>
      </c>
      <c r="AK56" s="251">
        <f>INDEX(Annual!$A:$AC,MATCH(Segment!$A56,Annual!$A:$A,0),MATCH(Segment!AK$1,Annual!$A$1:$AC$1,0))-AJ56</f>
        <v>8.8187069470126733</v>
      </c>
      <c r="AL56" s="251">
        <f>INDEX(Annual!$A:$AC,MATCH(Segment!$A56,Annual!$A:$A,0),MATCH(Segment!AL$1,Annual!$A$1:$AC$1,0))*0.5</f>
        <v>9.0023592111850217</v>
      </c>
      <c r="AM56" s="251">
        <f>INDEX(Annual!$A:$AC,MATCH(Segment!$A56,Annual!$A:$A,0),MATCH(Segment!AM$1,Annual!$A$1:$AC$1,0))-AL56</f>
        <v>9.0023592111850217</v>
      </c>
      <c r="AN56" s="251">
        <f>INDEX(Annual!$A:$AC,MATCH(Segment!$A56,Annual!$A:$A,0),MATCH(Segment!AN$1,Annual!$A$1:$AC$1,0))*0.5</f>
        <v>9.2760062715695693</v>
      </c>
      <c r="AO56" s="251">
        <f>INDEX(Annual!$A:$AC,MATCH(Segment!$A56,Annual!$A:$A,0),MATCH(Segment!AO$1,Annual!$A$1:$AC$1,0))-AN56</f>
        <v>9.2760062715695693</v>
      </c>
      <c r="AP56" s="251">
        <f>INDEX(Annual!$A:$AC,MATCH(Segment!$A56,Annual!$A:$A,0),MATCH(Segment!AP$1,Annual!$A$1:$AC$1,0))*0.5</f>
        <v>9.6817984797438612</v>
      </c>
      <c r="AQ56" s="251">
        <f>INDEX(Annual!$A:$AC,MATCH(Segment!$A56,Annual!$A:$A,0),MATCH(Segment!AQ$1,Annual!$A$1:$AC$1,0))-AP56</f>
        <v>9.6817984797438612</v>
      </c>
      <c r="AR56" s="1"/>
      <c r="AS56" s="1"/>
      <c r="AT56" s="95">
        <v>5.6</v>
      </c>
      <c r="AU56" s="96">
        <v>-0.3</v>
      </c>
      <c r="AV56" s="95">
        <v>5.6</v>
      </c>
      <c r="AW56" s="96">
        <v>0.3</v>
      </c>
      <c r="AX56" s="117"/>
      <c r="AY56" s="138"/>
      <c r="AZ56" s="138"/>
      <c r="BA56" s="1"/>
      <c r="BB56" s="1"/>
      <c r="BC56" s="1"/>
      <c r="BD56" s="1"/>
    </row>
    <row r="57" spans="1:56" x14ac:dyDescent="0.25">
      <c r="A57" s="137" t="s">
        <v>215</v>
      </c>
      <c r="B57" s="92" t="s">
        <v>215</v>
      </c>
      <c r="C57" s="93" t="s">
        <v>75</v>
      </c>
      <c r="D57" s="51"/>
      <c r="E57" s="51"/>
      <c r="F57" s="49"/>
      <c r="G57" s="49"/>
      <c r="H57" s="49"/>
      <c r="I57" s="49"/>
      <c r="J57" s="49">
        <v>0</v>
      </c>
      <c r="K57" s="49">
        <v>0</v>
      </c>
      <c r="L57" s="49">
        <v>-0.7</v>
      </c>
      <c r="M57" s="49">
        <v>-0.8</v>
      </c>
      <c r="N57" s="49">
        <v>-0.7</v>
      </c>
      <c r="O57" s="49">
        <v>-0.8</v>
      </c>
      <c r="P57" s="49">
        <v>-0.8</v>
      </c>
      <c r="Q57" s="49">
        <v>-1</v>
      </c>
      <c r="R57" s="49">
        <v>-1</v>
      </c>
      <c r="S57" s="49">
        <v>-1.1000000000000001</v>
      </c>
      <c r="T57" s="49">
        <v>-1</v>
      </c>
      <c r="U57" s="49">
        <f>INDEX(Annual!$A:$AC,MATCH(Segment!$A57,Annual!$A:$A,0),MATCH(Segment!U$1,Annual!$A$1:$AC$1,0))-T57</f>
        <v>-1.6000000000000005</v>
      </c>
      <c r="V57" s="49">
        <v>-1.9</v>
      </c>
      <c r="W57" s="251">
        <f>INDEX(Annual!$A:$AC,MATCH(Segment!$A57,Annual!$A:$A,0),MATCH(Segment!W$1,Annual!$A$1:$AC$1,0))-V57</f>
        <v>-1.6110000000000002</v>
      </c>
      <c r="X57" s="251">
        <f>INDEX(Annual!$A:$AC,MATCH(Segment!$A57,Annual!$A:$A,0),MATCH(Segment!X$1,Annual!$A$1:$AC$1,0))*0.5</f>
        <v>-1.7555000000000001</v>
      </c>
      <c r="Y57" s="251">
        <f>INDEX(Annual!$A:$AC,MATCH(Segment!$A57,Annual!$A:$A,0),MATCH(Segment!Y$1,Annual!$A$1:$AC$1,0))-X57</f>
        <v>-1.7555000000000001</v>
      </c>
      <c r="Z57" s="251">
        <f>INDEX(Annual!$A:$AC,MATCH(Segment!$A57,Annual!$A:$A,0),MATCH(Segment!Z$1,Annual!$A$1:$AC$1,0))*0.5</f>
        <v>-1.7555000000000001</v>
      </c>
      <c r="AA57" s="251">
        <f>INDEX(Annual!$A:$AC,MATCH(Segment!$A57,Annual!$A:$A,0),MATCH(Segment!AA$1,Annual!$A$1:$AC$1,0))-Z57</f>
        <v>-1.7555000000000001</v>
      </c>
      <c r="AB57" s="251">
        <f>INDEX(Annual!$A:$AC,MATCH(Segment!$A57,Annual!$A:$A,0),MATCH(Segment!AB$1,Annual!$A$1:$AC$1,0))*0.5</f>
        <v>-1.7555000000000001</v>
      </c>
      <c r="AC57" s="251">
        <f>INDEX(Annual!$A:$AC,MATCH(Segment!$A57,Annual!$A:$A,0),MATCH(Segment!AC$1,Annual!$A$1:$AC$1,0))-AB57</f>
        <v>-1.7555000000000001</v>
      </c>
      <c r="AD57" s="251">
        <f>INDEX(Annual!$A:$AC,MATCH(Segment!$A57,Annual!$A:$A,0),MATCH(Segment!AD$1,Annual!$A$1:$AC$1,0))*0.5</f>
        <v>-1.7555000000000001</v>
      </c>
      <c r="AE57" s="251">
        <f>INDEX(Annual!$A:$AC,MATCH(Segment!$A57,Annual!$A:$A,0),MATCH(Segment!AE$1,Annual!$A$1:$AC$1,0))-AD57</f>
        <v>-1.7555000000000001</v>
      </c>
      <c r="AF57" s="251">
        <f>INDEX(Annual!$A:$AC,MATCH(Segment!$A57,Annual!$A:$A,0),MATCH(Segment!AF$1,Annual!$A$1:$AC$1,0))*0.5</f>
        <v>-1.7555000000000001</v>
      </c>
      <c r="AG57" s="251">
        <f>INDEX(Annual!$A:$AC,MATCH(Segment!$A57,Annual!$A:$A,0),MATCH(Segment!AG$1,Annual!$A$1:$AC$1,0))-AF57</f>
        <v>-1.7555000000000001</v>
      </c>
      <c r="AH57" s="251">
        <f>INDEX(Annual!$A:$AC,MATCH(Segment!$A57,Annual!$A:$A,0),MATCH(Segment!AH$1,Annual!$A$1:$AC$1,0))*0.5</f>
        <v>-1.7555000000000001</v>
      </c>
      <c r="AI57" s="251">
        <f>INDEX(Annual!$A:$AC,MATCH(Segment!$A57,Annual!$A:$A,0),MATCH(Segment!AI$1,Annual!$A$1:$AC$1,0))-AH57</f>
        <v>-1.7555000000000001</v>
      </c>
      <c r="AJ57" s="251">
        <f>INDEX(Annual!$A:$AC,MATCH(Segment!$A57,Annual!$A:$A,0),MATCH(Segment!AJ$1,Annual!$A$1:$AC$1,0))*0.5</f>
        <v>-1.7555000000000001</v>
      </c>
      <c r="AK57" s="251">
        <f>INDEX(Annual!$A:$AC,MATCH(Segment!$A57,Annual!$A:$A,0),MATCH(Segment!AK$1,Annual!$A$1:$AC$1,0))-AJ57</f>
        <v>-1.7555000000000001</v>
      </c>
      <c r="AL57" s="251">
        <f>INDEX(Annual!$A:$AC,MATCH(Segment!$A57,Annual!$A:$A,0),MATCH(Segment!AL$1,Annual!$A$1:$AC$1,0))*0.5</f>
        <v>-1.7555000000000001</v>
      </c>
      <c r="AM57" s="251">
        <f>INDEX(Annual!$A:$AC,MATCH(Segment!$A57,Annual!$A:$A,0),MATCH(Segment!AM$1,Annual!$A$1:$AC$1,0))-AL57</f>
        <v>-1.7555000000000001</v>
      </c>
      <c r="AN57" s="251">
        <f>INDEX(Annual!$A:$AC,MATCH(Segment!$A57,Annual!$A:$A,0),MATCH(Segment!AN$1,Annual!$A$1:$AC$1,0))*0.5</f>
        <v>-1.7555000000000001</v>
      </c>
      <c r="AO57" s="251">
        <f>INDEX(Annual!$A:$AC,MATCH(Segment!$A57,Annual!$A:$A,0),MATCH(Segment!AO$1,Annual!$A$1:$AC$1,0))-AN57</f>
        <v>-1.7555000000000001</v>
      </c>
      <c r="AP57" s="251">
        <f>INDEX(Annual!$A:$AC,MATCH(Segment!$A57,Annual!$A:$A,0),MATCH(Segment!AP$1,Annual!$A$1:$AC$1,0))*0.5</f>
        <v>-1.7555000000000001</v>
      </c>
      <c r="AQ57" s="251">
        <f>INDEX(Annual!$A:$AC,MATCH(Segment!$A57,Annual!$A:$A,0),MATCH(Segment!AQ$1,Annual!$A$1:$AC$1,0))-AP57</f>
        <v>-1.7555000000000001</v>
      </c>
      <c r="AR57" s="1"/>
      <c r="AS57" s="1"/>
      <c r="AT57" s="95">
        <v>-1</v>
      </c>
      <c r="AU57" s="96">
        <v>-0.9</v>
      </c>
      <c r="AV57" s="95">
        <v>-1</v>
      </c>
      <c r="AW57" s="96">
        <v>-1.1000000000000001</v>
      </c>
      <c r="AX57" s="96"/>
      <c r="AY57" s="138"/>
      <c r="AZ57" s="138"/>
      <c r="BA57" s="1"/>
      <c r="BB57" s="1"/>
      <c r="BC57" s="1"/>
      <c r="BD57" s="1"/>
    </row>
    <row r="58" spans="1:56" x14ac:dyDescent="0.25">
      <c r="A58" s="137" t="s">
        <v>78</v>
      </c>
      <c r="B58" s="97" t="s">
        <v>78</v>
      </c>
      <c r="C58" s="5" t="s">
        <v>75</v>
      </c>
      <c r="D58" s="118" t="s">
        <v>179</v>
      </c>
      <c r="E58" s="114"/>
      <c r="F58" s="114"/>
      <c r="G58" s="114"/>
      <c r="H58" s="114"/>
      <c r="I58" s="114"/>
      <c r="J58" s="114">
        <v>0.4</v>
      </c>
      <c r="K58" s="98">
        <v>0.2</v>
      </c>
      <c r="L58" s="114">
        <v>-0.5</v>
      </c>
      <c r="M58" s="98">
        <v>-0.6</v>
      </c>
      <c r="N58" s="114">
        <v>-0.6</v>
      </c>
      <c r="O58" s="98">
        <v>-0.7</v>
      </c>
      <c r="P58" s="114">
        <v>-0.7</v>
      </c>
      <c r="Q58" s="98">
        <v>-0.7</v>
      </c>
      <c r="R58" s="114">
        <v>0.6</v>
      </c>
      <c r="S58" s="98">
        <v>1.4</v>
      </c>
      <c r="T58" s="114">
        <v>2.9</v>
      </c>
      <c r="U58" s="98">
        <f>INDEX(Annual!$A:$AC,MATCH(Segment!$A58,Annual!$A:$A,0),MATCH(Segment!U$1,Annual!$A$1:$AC$1,0))-T58</f>
        <v>2.9</v>
      </c>
      <c r="V58" s="114">
        <v>3.4</v>
      </c>
      <c r="W58" s="267">
        <f>INDEX(Annual!$A:$AC,MATCH(Segment!$A58,Annual!$A:$A,0),MATCH(Segment!W$1,Annual!$A$1:$AC$1,0))-V58</f>
        <v>3.2390000000000003</v>
      </c>
      <c r="X58" s="267">
        <f>INDEX(Annual!$A:$AC,MATCH(Segment!$A58,Annual!$A:$A,0),MATCH(Segment!X$1,Annual!$A$1:$AC$1,0))*0.5</f>
        <v>4.4000000000000004</v>
      </c>
      <c r="Y58" s="267">
        <f>INDEX(Annual!$A:$AC,MATCH(Segment!$A58,Annual!$A:$A,0),MATCH(Segment!Y$1,Annual!$A$1:$AC$1,0))-X58</f>
        <v>4.4000000000000004</v>
      </c>
      <c r="Z58" s="267">
        <f>INDEX(Annual!$A:$AC,MATCH(Segment!$A58,Annual!$A:$A,0),MATCH(Segment!Z$1,Annual!$A$1:$AC$1,0))*0.5</f>
        <v>5.55</v>
      </c>
      <c r="AA58" s="267">
        <f>INDEX(Annual!$A:$AC,MATCH(Segment!$A58,Annual!$A:$A,0),MATCH(Segment!AA$1,Annual!$A$1:$AC$1,0))-Z58</f>
        <v>5.55</v>
      </c>
      <c r="AB58" s="267">
        <f>INDEX(Annual!$A:$AC,MATCH(Segment!$A58,Annual!$A:$A,0),MATCH(Segment!AB$1,Annual!$A$1:$AC$1,0))*0.5</f>
        <v>6.85</v>
      </c>
      <c r="AC58" s="267">
        <f>INDEX(Annual!$A:$AC,MATCH(Segment!$A58,Annual!$A:$A,0),MATCH(Segment!AC$1,Annual!$A$1:$AC$1,0))-AB58</f>
        <v>6.85</v>
      </c>
      <c r="AD58" s="267">
        <f>INDEX(Annual!$A:$AC,MATCH(Segment!$A58,Annual!$A:$A,0),MATCH(Segment!AD$1,Annual!$A$1:$AC$1,0))*0.5</f>
        <v>8.3000000000000007</v>
      </c>
      <c r="AE58" s="267">
        <f>INDEX(Annual!$A:$AC,MATCH(Segment!$A58,Annual!$A:$A,0),MATCH(Segment!AE$1,Annual!$A$1:$AC$1,0))-AD58</f>
        <v>8.3000000000000007</v>
      </c>
      <c r="AF58" s="267">
        <f>INDEX(Annual!$A:$AC,MATCH(Segment!$A58,Annual!$A:$A,0),MATCH(Segment!AF$1,Annual!$A$1:$AC$1,0))*0.5</f>
        <v>8.4</v>
      </c>
      <c r="AG58" s="267">
        <f>INDEX(Annual!$A:$AC,MATCH(Segment!$A58,Annual!$A:$A,0),MATCH(Segment!AG$1,Annual!$A$1:$AC$1,0))-AF58</f>
        <v>8.4</v>
      </c>
      <c r="AH58" s="267">
        <f>INDEX(Annual!$A:$AC,MATCH(Segment!$A58,Annual!$A:$A,0),MATCH(Segment!AH$1,Annual!$A$1:$AC$1,0))*0.5</f>
        <v>8.5</v>
      </c>
      <c r="AI58" s="267">
        <f>INDEX(Annual!$A:$AC,MATCH(Segment!$A58,Annual!$A:$A,0),MATCH(Segment!AI$1,Annual!$A$1:$AC$1,0))-AH58</f>
        <v>8.5</v>
      </c>
      <c r="AJ58" s="267">
        <f>INDEX(Annual!$A:$AC,MATCH(Segment!$A58,Annual!$A:$A,0),MATCH(Segment!AJ$1,Annual!$A$1:$AC$1,0))*0.5</f>
        <v>8.65</v>
      </c>
      <c r="AK58" s="267">
        <f>INDEX(Annual!$A:$AC,MATCH(Segment!$A58,Annual!$A:$A,0),MATCH(Segment!AK$1,Annual!$A$1:$AC$1,0))-AJ58</f>
        <v>8.65</v>
      </c>
      <c r="AL58" s="267">
        <f>INDEX(Annual!$A:$AC,MATCH(Segment!$A58,Annual!$A:$A,0),MATCH(Segment!AL$1,Annual!$A$1:$AC$1,0))*0.5</f>
        <v>8.9</v>
      </c>
      <c r="AM58" s="267">
        <f>INDEX(Annual!$A:$AC,MATCH(Segment!$A58,Annual!$A:$A,0),MATCH(Segment!AM$1,Annual!$A$1:$AC$1,0))-AL58</f>
        <v>8.9</v>
      </c>
      <c r="AN58" s="267">
        <f>INDEX(Annual!$A:$AC,MATCH(Segment!$A58,Annual!$A:$A,0),MATCH(Segment!AN$1,Annual!$A$1:$AC$1,0))*0.5</f>
        <v>9.4</v>
      </c>
      <c r="AO58" s="267">
        <f>INDEX(Annual!$A:$AC,MATCH(Segment!$A58,Annual!$A:$A,0),MATCH(Segment!AO$1,Annual!$A$1:$AC$1,0))-AN58</f>
        <v>9.4</v>
      </c>
      <c r="AP58" s="267">
        <f>INDEX(Annual!$A:$AC,MATCH(Segment!$A58,Annual!$A:$A,0),MATCH(Segment!AP$1,Annual!$A$1:$AC$1,0))*0.5</f>
        <v>10.15</v>
      </c>
      <c r="AQ58" s="267">
        <f>INDEX(Annual!$A:$AC,MATCH(Segment!$A58,Annual!$A:$A,0),MATCH(Segment!AQ$1,Annual!$A$1:$AC$1,0))-AP58</f>
        <v>10.15</v>
      </c>
      <c r="AR58" s="1"/>
      <c r="AS58" s="128"/>
      <c r="AT58" s="99">
        <v>4.5999999999999996</v>
      </c>
      <c r="AU58" s="100">
        <v>-1.2</v>
      </c>
      <c r="AV58" s="99">
        <v>4.5999999999999996</v>
      </c>
      <c r="AW58" s="100">
        <v>-0.8</v>
      </c>
      <c r="AX58" s="131"/>
      <c r="AY58" s="138"/>
      <c r="AZ58" s="138"/>
      <c r="BA58" s="1"/>
      <c r="BB58" s="1"/>
      <c r="BC58" s="1"/>
      <c r="BD58" s="1"/>
    </row>
    <row r="59" spans="1:56" x14ac:dyDescent="0.25">
      <c r="A59" s="137"/>
      <c r="B59" s="107" t="s">
        <v>216</v>
      </c>
      <c r="C59" s="115"/>
      <c r="D59" s="51"/>
      <c r="E59" s="121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1"/>
      <c r="AS59" s="1"/>
      <c r="AT59" s="95"/>
      <c r="AU59" s="96"/>
      <c r="AV59" s="95"/>
      <c r="AW59" s="96"/>
      <c r="AX59" s="89"/>
      <c r="AY59" s="138"/>
      <c r="AZ59" s="138"/>
      <c r="BA59" s="1"/>
      <c r="BB59" s="1"/>
      <c r="BC59" s="1"/>
      <c r="BD59" s="1"/>
    </row>
    <row r="60" spans="1:56" x14ac:dyDescent="0.25">
      <c r="A60" s="288"/>
      <c r="B60" s="289"/>
      <c r="C60" s="93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204"/>
      <c r="R60" s="128"/>
      <c r="S60" s="204"/>
      <c r="T60" s="128"/>
      <c r="U60" s="204"/>
      <c r="V60" s="128"/>
      <c r="W60" s="204"/>
      <c r="X60" s="204"/>
      <c r="Y60" s="204"/>
      <c r="Z60" s="204"/>
      <c r="AA60" s="204"/>
      <c r="AB60" s="204"/>
      <c r="AC60" s="204"/>
      <c r="AD60" s="204"/>
      <c r="AE60" s="204"/>
      <c r="AF60" s="204"/>
      <c r="AG60" s="204"/>
      <c r="AH60" s="204"/>
      <c r="AI60" s="204"/>
      <c r="AJ60" s="204"/>
      <c r="AK60" s="204"/>
      <c r="AL60" s="204"/>
      <c r="AM60" s="204"/>
      <c r="AN60" s="204"/>
      <c r="AO60" s="204"/>
      <c r="AP60" s="204"/>
      <c r="AQ60" s="204"/>
      <c r="AR60" s="1"/>
      <c r="AS60" s="1"/>
      <c r="AT60" s="205"/>
      <c r="AU60" s="206"/>
      <c r="AV60" s="205"/>
      <c r="AW60" s="206"/>
      <c r="AX60" s="117"/>
      <c r="AY60" s="138"/>
      <c r="AZ60" s="138"/>
      <c r="BA60" s="1"/>
      <c r="BB60" s="1"/>
      <c r="BC60" s="1"/>
      <c r="BD60" s="1"/>
    </row>
    <row r="61" spans="1:56" x14ac:dyDescent="0.25">
      <c r="A61" s="137"/>
      <c r="B61" s="90" t="s">
        <v>46</v>
      </c>
      <c r="C61" s="13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49"/>
      <c r="R61" s="2"/>
      <c r="S61" s="49"/>
      <c r="T61" s="2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1"/>
      <c r="AS61" s="2"/>
      <c r="AT61" s="95"/>
      <c r="AU61" s="96"/>
      <c r="AV61" s="95"/>
      <c r="AW61" s="96"/>
      <c r="AX61" s="2"/>
      <c r="AY61" s="138"/>
      <c r="AZ61" s="138"/>
      <c r="BA61" s="1"/>
      <c r="BB61" s="1"/>
      <c r="BC61" s="1"/>
      <c r="BD61" s="1"/>
    </row>
    <row r="62" spans="1:56" x14ac:dyDescent="0.25">
      <c r="A62" s="80" t="s">
        <v>217</v>
      </c>
      <c r="B62" s="92" t="s">
        <v>218</v>
      </c>
      <c r="C62" s="132"/>
      <c r="D62" s="2"/>
      <c r="E62" s="2"/>
      <c r="F62" s="2"/>
      <c r="G62" s="2"/>
      <c r="H62" s="2"/>
      <c r="I62" s="2"/>
      <c r="J62" s="2"/>
      <c r="K62" s="2"/>
      <c r="L62" s="2"/>
      <c r="M62" s="2"/>
      <c r="N62" s="51"/>
      <c r="O62" s="51"/>
      <c r="P62" s="51">
        <v>29.6</v>
      </c>
      <c r="Q62" s="49">
        <v>47.9</v>
      </c>
      <c r="R62" s="51">
        <v>37.200000000000003</v>
      </c>
      <c r="S62" s="49">
        <v>60.5</v>
      </c>
      <c r="T62" s="51">
        <v>47</v>
      </c>
      <c r="U62" s="49">
        <f>INDEX(Annual!$A:$AC,MATCH(Segment!$A62,Annual!$A:$A,0),MATCH(Segment!U$1,Annual!$A$1:$AC$1,0))-T62</f>
        <v>85</v>
      </c>
      <c r="V62" s="51">
        <v>68.599999999999994</v>
      </c>
      <c r="W62" s="251">
        <f>INDEX(Annual!$A:$AC,MATCH(Segment!$A62,Annual!$A:$A,0),MATCH(Segment!W$1,Annual!$A$1:$AC$1,0))-V62</f>
        <v>93.570999999999998</v>
      </c>
      <c r="X62" s="2"/>
      <c r="Y62" s="2"/>
      <c r="Z62" s="2"/>
      <c r="AA62" s="2"/>
      <c r="AB62" s="2"/>
      <c r="AC62" s="1"/>
      <c r="AD62" s="1"/>
      <c r="AE62" s="88"/>
      <c r="AF62" s="89"/>
      <c r="AG62" s="88"/>
      <c r="AH62" s="89"/>
      <c r="AI62" s="1"/>
      <c r="AJ62" s="2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80" t="s">
        <v>219</v>
      </c>
      <c r="B63" s="92" t="s">
        <v>220</v>
      </c>
      <c r="C63" s="132"/>
      <c r="D63" s="2"/>
      <c r="E63" s="2"/>
      <c r="F63" s="2"/>
      <c r="G63" s="2"/>
      <c r="H63" s="2"/>
      <c r="I63" s="2"/>
      <c r="J63" s="2"/>
      <c r="K63" s="2"/>
      <c r="L63" s="2"/>
      <c r="M63" s="2"/>
      <c r="N63" s="51"/>
      <c r="O63" s="51"/>
      <c r="P63" s="51">
        <v>6.7</v>
      </c>
      <c r="Q63" s="49">
        <v>10.1</v>
      </c>
      <c r="R63" s="51">
        <v>5</v>
      </c>
      <c r="S63" s="49">
        <v>8.8000000000000007</v>
      </c>
      <c r="T63" s="51">
        <v>6.1</v>
      </c>
      <c r="U63" s="49">
        <f>INDEX(Annual!$A:$AC,MATCH(Segment!$A63,Annual!$A:$A,0),MATCH(Segment!U$1,Annual!$A$1:$AC$1,0))-T63</f>
        <v>0.60000000000000053</v>
      </c>
      <c r="V63" s="51">
        <v>5.9</v>
      </c>
      <c r="W63" s="251">
        <f>INDEX(Annual!$A:$AC,MATCH(Segment!$A63,Annual!$A:$A,0),MATCH(Segment!W$1,Annual!$A$1:$AC$1,0))-V63</f>
        <v>2.8819999999999997</v>
      </c>
      <c r="X63" s="2"/>
      <c r="Y63" s="2"/>
      <c r="Z63" s="2"/>
      <c r="AA63" s="2"/>
      <c r="AB63" s="2"/>
      <c r="AC63" s="1"/>
      <c r="AD63" s="1"/>
      <c r="AE63" s="88"/>
      <c r="AF63" s="89"/>
      <c r="AG63" s="88"/>
      <c r="AH63" s="89"/>
      <c r="AI63" s="1"/>
      <c r="AJ63" s="2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80" t="s">
        <v>221</v>
      </c>
      <c r="B64" s="92" t="s">
        <v>222</v>
      </c>
      <c r="C64" s="132"/>
      <c r="D64" s="2"/>
      <c r="E64" s="2"/>
      <c r="F64" s="2"/>
      <c r="G64" s="2"/>
      <c r="H64" s="2"/>
      <c r="I64" s="2"/>
      <c r="J64" s="2"/>
      <c r="K64" s="2"/>
      <c r="L64" s="2"/>
      <c r="M64" s="2"/>
      <c r="N64" s="51"/>
      <c r="O64" s="51"/>
      <c r="P64" s="51">
        <v>6.2</v>
      </c>
      <c r="Q64" s="49">
        <v>11.8</v>
      </c>
      <c r="R64" s="51">
        <v>10.5</v>
      </c>
      <c r="S64" s="49">
        <v>7.7</v>
      </c>
      <c r="T64" s="51">
        <v>8.5</v>
      </c>
      <c r="U64" s="49">
        <f>INDEX(Annual!$A:$AC,MATCH(Segment!$A64,Annual!$A:$A,0),MATCH(Segment!U$1,Annual!$A$1:$AC$1,0))-T64</f>
        <v>5.6999999999999993</v>
      </c>
      <c r="V64" s="51">
        <v>7.4</v>
      </c>
      <c r="W64" s="251">
        <f>INDEX(Annual!$A:$AC,MATCH(Segment!$A64,Annual!$A:$A,0),MATCH(Segment!W$1,Annual!$A$1:$AC$1,0))-V64</f>
        <v>3.1929999999999996</v>
      </c>
      <c r="X64" s="2"/>
      <c r="Y64" s="2"/>
      <c r="Z64" s="2"/>
      <c r="AA64" s="2"/>
      <c r="AB64" s="2"/>
      <c r="AC64" s="1"/>
      <c r="AD64" s="1"/>
      <c r="AE64" s="88"/>
      <c r="AF64" s="89"/>
      <c r="AG64" s="88"/>
      <c r="AH64" s="89"/>
      <c r="AI64" s="1"/>
      <c r="AJ64" s="2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137" t="s">
        <v>46</v>
      </c>
      <c r="B65" s="97" t="s">
        <v>46</v>
      </c>
      <c r="C65" s="5" t="s">
        <v>75</v>
      </c>
      <c r="D65" s="98"/>
      <c r="E65" s="114"/>
      <c r="F65" s="98"/>
      <c r="G65" s="114"/>
      <c r="H65" s="114"/>
      <c r="I65" s="114"/>
      <c r="J65" s="98">
        <v>24.5</v>
      </c>
      <c r="K65" s="98">
        <v>51.9</v>
      </c>
      <c r="L65" s="98">
        <v>25.9</v>
      </c>
      <c r="M65" s="98">
        <v>56.5</v>
      </c>
      <c r="N65" s="98">
        <v>37.299999999999997</v>
      </c>
      <c r="O65" s="98">
        <v>60.6</v>
      </c>
      <c r="P65" s="98">
        <v>42.6</v>
      </c>
      <c r="Q65" s="98">
        <v>69.8</v>
      </c>
      <c r="R65" s="98">
        <v>52.7</v>
      </c>
      <c r="S65" s="98">
        <v>77.099999999999994</v>
      </c>
      <c r="T65" s="98">
        <v>61.5</v>
      </c>
      <c r="U65" s="98">
        <f>INDEX(Annual!$A:$AC,MATCH(Segment!$A65,Annual!$A:$A,0),MATCH(Segment!U$1,Annual!$A$1:$AC$1,0))-T65</f>
        <v>91.399999999999977</v>
      </c>
      <c r="V65" s="98">
        <f>SUM(V62:V64)</f>
        <v>81.900000000000006</v>
      </c>
      <c r="W65" s="267">
        <f>INDEX(Annual!$A:$AC,MATCH(Segment!$A65,Annual!$A:$A,0),MATCH(Segment!W$1,Annual!$A$1:$AC$1,0))-V65</f>
        <v>99.645999999999987</v>
      </c>
      <c r="X65" s="267">
        <f t="shared" ref="X65:AQ65" si="70">X51+X58</f>
        <v>96.479539783890175</v>
      </c>
      <c r="Y65" s="267">
        <f t="shared" si="70"/>
        <v>118.06109297165753</v>
      </c>
      <c r="Z65" s="267">
        <f t="shared" si="70"/>
        <v>115.30935340834419</v>
      </c>
      <c r="AA65" s="267">
        <f t="shared" si="70"/>
        <v>142.05875680291433</v>
      </c>
      <c r="AB65" s="267">
        <f t="shared" si="70"/>
        <v>140.25738831713855</v>
      </c>
      <c r="AC65" s="267">
        <f t="shared" si="70"/>
        <v>174.93739498281568</v>
      </c>
      <c r="AD65" s="267">
        <f t="shared" si="70"/>
        <v>171.58727149669235</v>
      </c>
      <c r="AE65" s="267">
        <f t="shared" si="70"/>
        <v>211.70518225432716</v>
      </c>
      <c r="AF65" s="267">
        <f t="shared" si="70"/>
        <v>207.48654819520056</v>
      </c>
      <c r="AG65" s="267">
        <f t="shared" si="70"/>
        <v>255.30080695526058</v>
      </c>
      <c r="AH65" s="267">
        <f t="shared" si="70"/>
        <v>251.76300214479045</v>
      </c>
      <c r="AI65" s="267">
        <f t="shared" si="70"/>
        <v>309.03218945143487</v>
      </c>
      <c r="AJ65" s="267">
        <f t="shared" si="70"/>
        <v>306.50452438305194</v>
      </c>
      <c r="AK65" s="267">
        <f t="shared" si="70"/>
        <v>375.3872927348923</v>
      </c>
      <c r="AL65" s="267">
        <f t="shared" si="70"/>
        <v>374.30710038187487</v>
      </c>
      <c r="AM65" s="267">
        <f t="shared" si="70"/>
        <v>457.45760059900465</v>
      </c>
      <c r="AN65" s="267">
        <f t="shared" si="70"/>
        <v>458.50750045220002</v>
      </c>
      <c r="AO65" s="267">
        <f t="shared" si="70"/>
        <v>559.19441763983002</v>
      </c>
      <c r="AP65" s="267">
        <f t="shared" si="70"/>
        <v>563.1017713203812</v>
      </c>
      <c r="AQ65" s="267">
        <f t="shared" si="70"/>
        <v>685.35708432576655</v>
      </c>
      <c r="AR65" s="1"/>
      <c r="AS65" s="1"/>
      <c r="AT65" s="99">
        <v>73.3</v>
      </c>
      <c r="AU65" s="100">
        <v>8.6</v>
      </c>
      <c r="AV65" s="99">
        <v>106.4</v>
      </c>
      <c r="AW65" s="100">
        <v>-3.6</v>
      </c>
      <c r="AX65" s="89"/>
      <c r="AY65" s="138"/>
      <c r="AZ65" s="138"/>
      <c r="BA65" s="1"/>
      <c r="BB65" s="1"/>
      <c r="BC65" s="1"/>
      <c r="BD65" s="1"/>
    </row>
    <row r="66" spans="1:56" x14ac:dyDescent="0.25">
      <c r="A66" s="137"/>
      <c r="B66" s="92" t="s">
        <v>167</v>
      </c>
      <c r="C66" s="93" t="s">
        <v>168</v>
      </c>
      <c r="D66" s="2"/>
      <c r="E66" s="2"/>
      <c r="F66" s="2"/>
      <c r="G66" s="2"/>
      <c r="H66" s="2"/>
      <c r="I66" s="2"/>
      <c r="J66" s="2" t="e">
        <v>#DIV/0!</v>
      </c>
      <c r="K66" s="2" t="e">
        <v>#DIV/0!</v>
      </c>
      <c r="L66" s="101">
        <v>0.06</v>
      </c>
      <c r="M66" s="101">
        <v>8.8999999999999996E-2</v>
      </c>
      <c r="N66" s="101">
        <v>0.438</v>
      </c>
      <c r="O66" s="101">
        <v>7.0999999999999994E-2</v>
      </c>
      <c r="P66" s="101">
        <v>0.14199999999999999</v>
      </c>
      <c r="Q66" s="101">
        <v>0.152</v>
      </c>
      <c r="R66" s="101">
        <v>0.23899999999999999</v>
      </c>
      <c r="S66" s="101">
        <v>0.105</v>
      </c>
      <c r="T66" s="101">
        <v>0.16600000000000001</v>
      </c>
      <c r="U66" s="253">
        <f>U65/S65-1</f>
        <v>0.18547341115434479</v>
      </c>
      <c r="V66" s="253">
        <f>V65/T65-1</f>
        <v>0.3317073170731708</v>
      </c>
      <c r="W66" s="253">
        <f>W65/U65-1</f>
        <v>9.0218818380744192E-2</v>
      </c>
      <c r="X66" s="253">
        <f t="shared" ref="X66:AQ66" si="71">X65/V65-1</f>
        <v>0.17801635877765776</v>
      </c>
      <c r="Y66" s="253">
        <f t="shared" si="71"/>
        <v>0.18480513991186354</v>
      </c>
      <c r="Z66" s="253">
        <f t="shared" si="71"/>
        <v>0.19516898263229643</v>
      </c>
      <c r="AA66" s="253">
        <f t="shared" si="71"/>
        <v>0.20326479475349113</v>
      </c>
      <c r="AB66" s="253">
        <f t="shared" si="71"/>
        <v>0.21635742610095177</v>
      </c>
      <c r="AC66" s="253">
        <f t="shared" si="71"/>
        <v>0.23144393854942447</v>
      </c>
      <c r="AD66" s="253">
        <f t="shared" si="71"/>
        <v>0.22337420905566296</v>
      </c>
      <c r="AE66" s="253">
        <f t="shared" si="71"/>
        <v>0.21017683083209993</v>
      </c>
      <c r="AF66" s="253">
        <f t="shared" si="71"/>
        <v>0.2092187630549287</v>
      </c>
      <c r="AG66" s="253">
        <f t="shared" si="71"/>
        <v>0.20592611024779184</v>
      </c>
      <c r="AH66" s="253">
        <f t="shared" si="71"/>
        <v>0.21339433488447268</v>
      </c>
      <c r="AI66" s="253">
        <f t="shared" si="71"/>
        <v>0.21046303432010016</v>
      </c>
      <c r="AJ66" s="253">
        <f t="shared" si="71"/>
        <v>0.21743275132530915</v>
      </c>
      <c r="AK66" s="253">
        <f t="shared" si="71"/>
        <v>0.214719066648833</v>
      </c>
      <c r="AL66" s="253">
        <f t="shared" si="71"/>
        <v>0.22121231696432364</v>
      </c>
      <c r="AM66" s="253">
        <f t="shared" si="71"/>
        <v>0.21862835917057111</v>
      </c>
      <c r="AN66" s="253">
        <f t="shared" si="71"/>
        <v>0.2249500476598556</v>
      </c>
      <c r="AO66" s="253">
        <f t="shared" si="71"/>
        <v>0.22239616722426092</v>
      </c>
      <c r="AP66" s="253">
        <f t="shared" si="71"/>
        <v>0.22811899645049594</v>
      </c>
      <c r="AQ66" s="253">
        <f t="shared" si="71"/>
        <v>0.22561503245763137</v>
      </c>
      <c r="AR66" s="1"/>
      <c r="AS66" s="1"/>
      <c r="AT66" s="198">
        <v>0.151</v>
      </c>
      <c r="AU66" s="199">
        <v>0.18</v>
      </c>
      <c r="AV66" s="198">
        <v>0.123</v>
      </c>
      <c r="AW66" s="199">
        <v>2E-3</v>
      </c>
      <c r="AX66" s="117"/>
      <c r="AY66" s="138"/>
      <c r="AZ66" s="138"/>
      <c r="BA66" s="1"/>
      <c r="BB66" s="1"/>
      <c r="BC66" s="1"/>
      <c r="BD66" s="1"/>
    </row>
    <row r="67" spans="1:56" x14ac:dyDescent="0.25">
      <c r="A67" s="137"/>
      <c r="B67" s="92" t="s">
        <v>223</v>
      </c>
      <c r="C67" s="93" t="s">
        <v>6</v>
      </c>
      <c r="D67" s="2"/>
      <c r="E67" s="2"/>
      <c r="F67" s="2"/>
      <c r="G67" s="2"/>
      <c r="H67" s="2"/>
      <c r="I67" s="2"/>
      <c r="J67" s="101">
        <v>0.19</v>
      </c>
      <c r="K67" s="101">
        <v>0.33100000000000002</v>
      </c>
      <c r="L67" s="101">
        <v>0.188</v>
      </c>
      <c r="M67" s="101">
        <v>0.35199999999999998</v>
      </c>
      <c r="N67" s="101">
        <v>0.25800000000000001</v>
      </c>
      <c r="O67" s="101">
        <v>0.36199999999999999</v>
      </c>
      <c r="P67" s="101">
        <v>0.247</v>
      </c>
      <c r="Q67" s="101">
        <v>0.35499999999999998</v>
      </c>
      <c r="R67" s="101">
        <v>0.253</v>
      </c>
      <c r="S67" s="101">
        <v>0.33700000000000002</v>
      </c>
      <c r="T67" s="101">
        <v>0.251</v>
      </c>
      <c r="U67" s="256">
        <f>U65/U$15</f>
        <v>0.33764314739564089</v>
      </c>
      <c r="V67" s="256">
        <f>V65/V$15</f>
        <v>0.28115345005149334</v>
      </c>
      <c r="W67" s="256">
        <f>W65/W$15</f>
        <v>0.31263648000803185</v>
      </c>
      <c r="X67" s="256">
        <f t="shared" ref="X67:AQ67" si="72">X65/X$15</f>
        <v>0.29001571361422807</v>
      </c>
      <c r="Y67" s="256">
        <f t="shared" si="72"/>
        <v>0.32619512453097504</v>
      </c>
      <c r="Z67" s="256">
        <f t="shared" si="72"/>
        <v>0.30330613044384819</v>
      </c>
      <c r="AA67" s="256">
        <f t="shared" si="72"/>
        <v>0.33979687711785161</v>
      </c>
      <c r="AB67" s="256">
        <f t="shared" si="72"/>
        <v>0.31696505308464507</v>
      </c>
      <c r="AC67" s="256">
        <f t="shared" si="72"/>
        <v>0.35391269410516712</v>
      </c>
      <c r="AD67" s="256">
        <f t="shared" si="72"/>
        <v>0.32579155032679974</v>
      </c>
      <c r="AE67" s="256">
        <f t="shared" si="72"/>
        <v>0.36169721773038893</v>
      </c>
      <c r="AF67" s="256">
        <f t="shared" si="72"/>
        <v>0.33092971010888528</v>
      </c>
      <c r="AG67" s="256">
        <f t="shared" si="72"/>
        <v>0.36656785250695667</v>
      </c>
      <c r="AH67" s="256">
        <f t="shared" si="72"/>
        <v>0.33590181635543975</v>
      </c>
      <c r="AI67" s="256">
        <f t="shared" si="72"/>
        <v>0.37133329093564205</v>
      </c>
      <c r="AJ67" s="256">
        <f t="shared" si="72"/>
        <v>0.34083559934732743</v>
      </c>
      <c r="AK67" s="256">
        <f t="shared" si="72"/>
        <v>0.37609891757486663</v>
      </c>
      <c r="AL67" s="256">
        <f t="shared" si="72"/>
        <v>0.3458000568800913</v>
      </c>
      <c r="AM67" s="256">
        <f t="shared" si="72"/>
        <v>0.38091917188757413</v>
      </c>
      <c r="AN67" s="256">
        <f t="shared" si="72"/>
        <v>0.35090192909994355</v>
      </c>
      <c r="AO67" s="256">
        <f t="shared" si="72"/>
        <v>0.3858841401387344</v>
      </c>
      <c r="AP67" s="256">
        <f t="shared" si="72"/>
        <v>0.35607599873443402</v>
      </c>
      <c r="AQ67" s="256">
        <f t="shared" si="72"/>
        <v>0.39093020707908849</v>
      </c>
      <c r="AR67" s="1"/>
      <c r="AS67" s="1"/>
      <c r="AT67" s="198">
        <v>0.26100000000000001</v>
      </c>
      <c r="AU67" s="199">
        <v>0.02</v>
      </c>
      <c r="AV67" s="198">
        <v>0.35099999999999998</v>
      </c>
      <c r="AW67" s="199">
        <v>-2.3E-2</v>
      </c>
      <c r="AX67" s="96"/>
      <c r="AY67" s="138"/>
      <c r="AZ67" s="138"/>
      <c r="BA67" s="1"/>
      <c r="BB67" s="1"/>
      <c r="BC67" s="1"/>
      <c r="BD67" s="1"/>
    </row>
    <row r="68" spans="1:56" x14ac:dyDescent="0.25">
      <c r="A68" s="288"/>
      <c r="B68" s="289"/>
      <c r="C68" s="93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1"/>
      <c r="AS68" s="1"/>
      <c r="AT68" s="95"/>
      <c r="AU68" s="96"/>
      <c r="AV68" s="95"/>
      <c r="AW68" s="96"/>
      <c r="AX68" s="89"/>
      <c r="AY68" s="138"/>
      <c r="AZ68" s="138"/>
      <c r="BA68" s="1"/>
      <c r="BB68" s="1"/>
      <c r="BC68" s="1"/>
      <c r="BD68" s="1"/>
    </row>
    <row r="69" spans="1:56" x14ac:dyDescent="0.25">
      <c r="A69" s="137"/>
      <c r="B69" s="90" t="s">
        <v>81</v>
      </c>
      <c r="C69" s="13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49"/>
      <c r="R69" s="2"/>
      <c r="S69" s="49"/>
      <c r="T69" s="2"/>
      <c r="U69" s="49"/>
      <c r="V69" s="2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1"/>
      <c r="AS69" s="1"/>
      <c r="AT69" s="95"/>
      <c r="AU69" s="96"/>
      <c r="AV69" s="95"/>
      <c r="AW69" s="96"/>
      <c r="AX69" s="117"/>
      <c r="AY69" s="138"/>
      <c r="AZ69" s="138"/>
      <c r="BA69" s="1"/>
      <c r="BB69" s="1"/>
      <c r="BC69" s="1"/>
      <c r="BD69" s="1"/>
    </row>
    <row r="70" spans="1:56" x14ac:dyDescent="0.25">
      <c r="A70" s="137" t="s">
        <v>226</v>
      </c>
      <c r="B70" s="97" t="s">
        <v>226</v>
      </c>
      <c r="C70" s="5" t="s">
        <v>75</v>
      </c>
      <c r="D70" s="118" t="s">
        <v>158</v>
      </c>
      <c r="E70" s="98"/>
      <c r="F70" s="114"/>
      <c r="G70" s="98"/>
      <c r="H70" s="98"/>
      <c r="I70" s="98"/>
      <c r="J70" s="114">
        <v>-6.6</v>
      </c>
      <c r="K70" s="98">
        <v>-11.4</v>
      </c>
      <c r="L70" s="114">
        <v>-6.9</v>
      </c>
      <c r="M70" s="98">
        <v>-12.6</v>
      </c>
      <c r="N70" s="114">
        <v>-9.1</v>
      </c>
      <c r="O70" s="98">
        <v>-16.100000000000001</v>
      </c>
      <c r="P70" s="114">
        <v>-9.4</v>
      </c>
      <c r="Q70" s="98">
        <v>-14.1</v>
      </c>
      <c r="R70" s="114">
        <v>-11.5</v>
      </c>
      <c r="S70" s="98">
        <v>-15.5</v>
      </c>
      <c r="T70" s="114">
        <v>-13.5</v>
      </c>
      <c r="U70" s="98">
        <f>INDEX(Annual!$A:$AC,MATCH(Segment!$A70,Annual!$A:$A,0),MATCH(Segment!U$1,Annual!$A$1:$AC$1,0))-T70</f>
        <v>-21.4</v>
      </c>
      <c r="V70" s="114">
        <v>-18.899999999999999</v>
      </c>
      <c r="W70" s="267">
        <f>INDEX(Annual!$A:$AC,MATCH(Segment!$A70,Annual!$A:$A,0),MATCH(Segment!W$1,Annual!$A$1:$AC$1,0))-V70</f>
        <v>-25.001000000000005</v>
      </c>
      <c r="X70" s="255">
        <f t="shared" ref="X70:AQ70" si="73">-X65*X71</f>
        <v>-22.286773690078633</v>
      </c>
      <c r="Y70" s="255">
        <f t="shared" si="73"/>
        <v>-29.621313302936503</v>
      </c>
      <c r="Z70" s="255">
        <f t="shared" si="73"/>
        <v>-26.636460637327509</v>
      </c>
      <c r="AA70" s="255">
        <f t="shared" si="73"/>
        <v>-35.642283471786747</v>
      </c>
      <c r="AB70" s="255">
        <f t="shared" si="73"/>
        <v>-32.399456701259005</v>
      </c>
      <c r="AC70" s="255">
        <f t="shared" si="73"/>
        <v>-43.891473937392128</v>
      </c>
      <c r="AD70" s="255">
        <f t="shared" si="73"/>
        <v>-39.636659715735938</v>
      </c>
      <c r="AE70" s="255">
        <f t="shared" si="73"/>
        <v>-53.116444830102914</v>
      </c>
      <c r="AF70" s="255">
        <f t="shared" si="73"/>
        <v>-47.929392633091332</v>
      </c>
      <c r="AG70" s="255">
        <f t="shared" si="73"/>
        <v>-64.05450770415743</v>
      </c>
      <c r="AH70" s="255">
        <f t="shared" si="73"/>
        <v>-58.157253495446597</v>
      </c>
      <c r="AI70" s="255">
        <f t="shared" si="73"/>
        <v>-77.535613757454641</v>
      </c>
      <c r="AJ70" s="255">
        <f t="shared" si="73"/>
        <v>-70.802545132485008</v>
      </c>
      <c r="AK70" s="255">
        <f t="shared" si="73"/>
        <v>-94.183988375499723</v>
      </c>
      <c r="AL70" s="255">
        <f t="shared" si="73"/>
        <v>-86.464940188213106</v>
      </c>
      <c r="AM70" s="255">
        <f t="shared" si="73"/>
        <v>-114.77527921417537</v>
      </c>
      <c r="AN70" s="255">
        <f t="shared" si="73"/>
        <v>-105.91523260445821</v>
      </c>
      <c r="AO70" s="255">
        <f t="shared" si="73"/>
        <v>-140.30086140350235</v>
      </c>
      <c r="AP70" s="255">
        <f t="shared" si="73"/>
        <v>-130.07650917500806</v>
      </c>
      <c r="AQ70" s="255">
        <f t="shared" si="73"/>
        <v>-171.95484480288715</v>
      </c>
      <c r="AR70" s="1"/>
      <c r="AS70" s="1"/>
      <c r="AT70" s="99">
        <v>-16.7</v>
      </c>
      <c r="AU70" s="100">
        <v>-2.2000000000000002</v>
      </c>
      <c r="AV70" s="99">
        <v>-24.3</v>
      </c>
      <c r="AW70" s="100">
        <v>0.5</v>
      </c>
      <c r="AX70" s="89"/>
      <c r="AY70" s="138"/>
      <c r="AZ70" s="138"/>
      <c r="BA70" s="1"/>
      <c r="BB70" s="1"/>
      <c r="BC70" s="1"/>
      <c r="BD70" s="1"/>
    </row>
    <row r="71" spans="1:56" x14ac:dyDescent="0.25">
      <c r="A71" s="137" t="s">
        <v>227</v>
      </c>
      <c r="B71" s="92" t="s">
        <v>227</v>
      </c>
      <c r="C71" s="93" t="s">
        <v>6</v>
      </c>
      <c r="D71" s="2"/>
      <c r="E71" s="2"/>
      <c r="F71" s="2"/>
      <c r="G71" s="2"/>
      <c r="H71" s="2"/>
      <c r="I71" s="2"/>
      <c r="J71" s="101">
        <v>0.26800000000000002</v>
      </c>
      <c r="K71" s="101">
        <v>0.219</v>
      </c>
      <c r="L71" s="101">
        <v>0.26600000000000001</v>
      </c>
      <c r="M71" s="101">
        <v>0.224</v>
      </c>
      <c r="N71" s="101">
        <v>0.24399999999999999</v>
      </c>
      <c r="O71" s="101">
        <v>0.26500000000000001</v>
      </c>
      <c r="P71" s="101">
        <v>0.22</v>
      </c>
      <c r="Q71" s="101">
        <v>0.20200000000000001</v>
      </c>
      <c r="R71" s="101">
        <v>0.217</v>
      </c>
      <c r="S71" s="101">
        <v>0.20100000000000001</v>
      </c>
      <c r="T71" s="101">
        <v>0.22</v>
      </c>
      <c r="U71" s="101">
        <f>-U70/U65</f>
        <v>0.23413566739606131</v>
      </c>
      <c r="V71" s="101">
        <f>-V70/V65</f>
        <v>0.23076923076923073</v>
      </c>
      <c r="W71" s="101">
        <f>-W70/W65</f>
        <v>0.25089817955562699</v>
      </c>
      <c r="X71" s="163">
        <v>0.23100000000000001</v>
      </c>
      <c r="Y71" s="163">
        <f t="shared" ref="Y71:AQ71" si="74">W71</f>
        <v>0.25089817955562699</v>
      </c>
      <c r="Z71" s="163">
        <f t="shared" si="74"/>
        <v>0.23100000000000001</v>
      </c>
      <c r="AA71" s="163">
        <f t="shared" si="74"/>
        <v>0.25089817955562699</v>
      </c>
      <c r="AB71" s="163">
        <f t="shared" si="74"/>
        <v>0.23100000000000001</v>
      </c>
      <c r="AC71" s="163">
        <f t="shared" si="74"/>
        <v>0.25089817955562699</v>
      </c>
      <c r="AD71" s="163">
        <f t="shared" si="74"/>
        <v>0.23100000000000001</v>
      </c>
      <c r="AE71" s="163">
        <f t="shared" si="74"/>
        <v>0.25089817955562699</v>
      </c>
      <c r="AF71" s="163">
        <f t="shared" si="74"/>
        <v>0.23100000000000001</v>
      </c>
      <c r="AG71" s="163">
        <f t="shared" si="74"/>
        <v>0.25089817955562699</v>
      </c>
      <c r="AH71" s="163">
        <f t="shared" si="74"/>
        <v>0.23100000000000001</v>
      </c>
      <c r="AI71" s="163">
        <f t="shared" si="74"/>
        <v>0.25089817955562699</v>
      </c>
      <c r="AJ71" s="163">
        <f t="shared" si="74"/>
        <v>0.23100000000000001</v>
      </c>
      <c r="AK71" s="163">
        <f t="shared" si="74"/>
        <v>0.25089817955562699</v>
      </c>
      <c r="AL71" s="163">
        <f t="shared" si="74"/>
        <v>0.23100000000000001</v>
      </c>
      <c r="AM71" s="163">
        <f t="shared" si="74"/>
        <v>0.25089817955562699</v>
      </c>
      <c r="AN71" s="163">
        <f t="shared" si="74"/>
        <v>0.23100000000000001</v>
      </c>
      <c r="AO71" s="163">
        <f t="shared" si="74"/>
        <v>0.25089817955562699</v>
      </c>
      <c r="AP71" s="163">
        <f t="shared" si="74"/>
        <v>0.23100000000000001</v>
      </c>
      <c r="AQ71" s="163">
        <f t="shared" si="74"/>
        <v>0.25089817955562699</v>
      </c>
      <c r="AR71" s="1"/>
      <c r="AS71" s="1"/>
      <c r="AT71" s="198">
        <v>0.22800000000000001</v>
      </c>
      <c r="AU71" s="199">
        <v>3.0000000000000001E-3</v>
      </c>
      <c r="AV71" s="198">
        <v>0.22800000000000001</v>
      </c>
      <c r="AW71" s="199">
        <v>3.0000000000000001E-3</v>
      </c>
      <c r="AX71" s="141"/>
      <c r="AY71" s="138"/>
      <c r="AZ71" s="138"/>
      <c r="BA71" s="1"/>
      <c r="BB71" s="1"/>
      <c r="BC71" s="1"/>
      <c r="BD71" s="1"/>
    </row>
    <row r="72" spans="1:56" x14ac:dyDescent="0.25">
      <c r="A72" s="288"/>
      <c r="B72" s="289"/>
      <c r="C72" s="93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49"/>
      <c r="R72" s="51"/>
      <c r="S72" s="49"/>
      <c r="T72" s="51"/>
      <c r="U72" s="49"/>
      <c r="V72" s="51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1"/>
      <c r="AS72" s="1"/>
      <c r="AT72" s="95"/>
      <c r="AU72" s="96"/>
      <c r="AV72" s="95"/>
      <c r="AW72" s="96"/>
      <c r="AX72" s="141"/>
      <c r="AY72" s="138"/>
      <c r="AZ72" s="138"/>
      <c r="BA72" s="1"/>
      <c r="BB72" s="1"/>
      <c r="BC72" s="1"/>
      <c r="BD72" s="1"/>
    </row>
    <row r="73" spans="1:56" x14ac:dyDescent="0.25">
      <c r="A73" s="137"/>
      <c r="B73" s="90" t="s">
        <v>85</v>
      </c>
      <c r="C73" s="93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49"/>
      <c r="R73" s="51"/>
      <c r="S73" s="49"/>
      <c r="T73" s="51"/>
      <c r="U73" s="49"/>
      <c r="V73" s="51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1"/>
      <c r="AS73" s="1"/>
      <c r="AT73" s="95"/>
      <c r="AU73" s="96"/>
      <c r="AV73" s="95"/>
      <c r="AW73" s="96"/>
      <c r="AX73" s="117"/>
      <c r="AY73" s="138"/>
      <c r="AZ73" s="138"/>
      <c r="BA73" s="1"/>
      <c r="BB73" s="1"/>
      <c r="BC73" s="1"/>
      <c r="BD73" s="1"/>
    </row>
    <row r="74" spans="1:56" x14ac:dyDescent="0.25">
      <c r="A74" s="137" t="s">
        <v>228</v>
      </c>
      <c r="B74" s="97" t="s">
        <v>228</v>
      </c>
      <c r="C74" s="5" t="s">
        <v>75</v>
      </c>
      <c r="D74" s="118" t="s">
        <v>179</v>
      </c>
      <c r="E74" s="114"/>
      <c r="F74" s="98"/>
      <c r="G74" s="114"/>
      <c r="H74" s="114"/>
      <c r="I74" s="114"/>
      <c r="J74" s="98">
        <v>17.899999999999999</v>
      </c>
      <c r="K74" s="98">
        <v>40.5</v>
      </c>
      <c r="L74" s="98">
        <v>19.100000000000001</v>
      </c>
      <c r="M74" s="98">
        <v>43.9</v>
      </c>
      <c r="N74" s="98">
        <v>28.2</v>
      </c>
      <c r="O74" s="98">
        <v>44.5</v>
      </c>
      <c r="P74" s="98">
        <v>33.200000000000003</v>
      </c>
      <c r="Q74" s="98">
        <v>55.7</v>
      </c>
      <c r="R74" s="98">
        <v>41.3</v>
      </c>
      <c r="S74" s="98">
        <v>61.6</v>
      </c>
      <c r="T74" s="98">
        <v>48</v>
      </c>
      <c r="U74" s="255">
        <f>INDEX(Annual!$A:$AC,MATCH(Segment!$A74,Annual!$A:$A,0),MATCH(Segment!U$1,Annual!$A$1:$AC$1,0))-T74</f>
        <v>69.999999999999972</v>
      </c>
      <c r="V74" s="255">
        <f>V65+V70</f>
        <v>63.000000000000007</v>
      </c>
      <c r="W74" s="255">
        <f>INDEX(Annual!$A:$AC,MATCH(Segment!$A74,Annual!$A:$A,0),MATCH(Segment!W$1,Annual!$A$1:$AC$1,0))-V74</f>
        <v>74.644999999999982</v>
      </c>
      <c r="X74" s="255">
        <f t="shared" ref="W74:AQ74" si="75">X65+X70</f>
        <v>74.192766093811542</v>
      </c>
      <c r="Y74" s="255">
        <f t="shared" si="75"/>
        <v>88.43977966872103</v>
      </c>
      <c r="Z74" s="255">
        <f t="shared" si="75"/>
        <v>88.672892771016677</v>
      </c>
      <c r="AA74" s="255">
        <f t="shared" si="75"/>
        <v>106.41647333112758</v>
      </c>
      <c r="AB74" s="255">
        <f t="shared" si="75"/>
        <v>107.85793161587955</v>
      </c>
      <c r="AC74" s="255">
        <f t="shared" si="75"/>
        <v>131.04592104542354</v>
      </c>
      <c r="AD74" s="255">
        <f t="shared" si="75"/>
        <v>131.95061178095642</v>
      </c>
      <c r="AE74" s="255">
        <f t="shared" si="75"/>
        <v>158.58873742422423</v>
      </c>
      <c r="AF74" s="255">
        <f t="shared" si="75"/>
        <v>159.55715556210922</v>
      </c>
      <c r="AG74" s="255">
        <f t="shared" si="75"/>
        <v>191.24629925110315</v>
      </c>
      <c r="AH74" s="255">
        <f t="shared" si="75"/>
        <v>193.60574864934387</v>
      </c>
      <c r="AI74" s="255">
        <f t="shared" si="75"/>
        <v>231.49657569398022</v>
      </c>
      <c r="AJ74" s="255">
        <f t="shared" si="75"/>
        <v>235.70197925056692</v>
      </c>
      <c r="AK74" s="255">
        <f t="shared" si="75"/>
        <v>281.20330435939258</v>
      </c>
      <c r="AL74" s="255">
        <f t="shared" si="75"/>
        <v>287.84216019366175</v>
      </c>
      <c r="AM74" s="255">
        <f t="shared" si="75"/>
        <v>342.68232138482927</v>
      </c>
      <c r="AN74" s="255">
        <f t="shared" si="75"/>
        <v>352.59226784774182</v>
      </c>
      <c r="AO74" s="255">
        <f t="shared" si="75"/>
        <v>418.89355623632764</v>
      </c>
      <c r="AP74" s="255">
        <f t="shared" si="75"/>
        <v>433.02526214537318</v>
      </c>
      <c r="AQ74" s="255">
        <f t="shared" si="75"/>
        <v>513.40223952287943</v>
      </c>
      <c r="AR74" s="1"/>
      <c r="AS74" s="1"/>
      <c r="AT74" s="99">
        <v>56.6</v>
      </c>
      <c r="AU74" s="100">
        <v>6.4</v>
      </c>
      <c r="AV74" s="99">
        <v>82.1</v>
      </c>
      <c r="AW74" s="100">
        <v>-3.1</v>
      </c>
      <c r="AX74" s="96"/>
      <c r="AY74" s="138"/>
      <c r="AZ74" s="138"/>
      <c r="BA74" s="1"/>
      <c r="BB74" s="1"/>
      <c r="BC74" s="1"/>
      <c r="BD74" s="1"/>
    </row>
    <row r="75" spans="1:56" x14ac:dyDescent="0.25">
      <c r="A75" s="137" t="s">
        <v>229</v>
      </c>
      <c r="B75" s="92" t="s">
        <v>229</v>
      </c>
      <c r="C75" s="93"/>
      <c r="D75" s="51"/>
      <c r="E75" s="51"/>
      <c r="F75" s="51"/>
      <c r="G75" s="51"/>
      <c r="H75" s="51"/>
      <c r="I75" s="51"/>
      <c r="J75" s="51">
        <v>0</v>
      </c>
      <c r="K75" s="49">
        <v>0</v>
      </c>
      <c r="L75" s="51">
        <v>0</v>
      </c>
      <c r="M75" s="49">
        <v>0</v>
      </c>
      <c r="N75" s="51">
        <v>0</v>
      </c>
      <c r="O75" s="49">
        <v>0</v>
      </c>
      <c r="P75" s="51">
        <v>0</v>
      </c>
      <c r="Q75" s="49">
        <v>0</v>
      </c>
      <c r="R75" s="51">
        <v>0</v>
      </c>
      <c r="S75" s="49">
        <v>0</v>
      </c>
      <c r="T75" s="51">
        <v>0</v>
      </c>
      <c r="U75" s="49">
        <f>INDEX(Annual!$A:$AC,MATCH(Segment!$A75,Annual!$A:$A,0),MATCH(Segment!U$1,Annual!$A$1:$AC$1,0))-T75</f>
        <v>0</v>
      </c>
      <c r="V75" s="51">
        <v>0</v>
      </c>
      <c r="W75" s="49">
        <f>INDEX(Annual!$A:$AC,MATCH(Segment!$A75,Annual!$A:$A,0),MATCH(Segment!W$1,Annual!$A$1:$AC$1,0))-V75</f>
        <v>0</v>
      </c>
      <c r="X75" s="49">
        <v>0</v>
      </c>
      <c r="Y75" s="49">
        <v>0</v>
      </c>
      <c r="Z75" s="49">
        <v>0</v>
      </c>
      <c r="AA75" s="49">
        <v>0</v>
      </c>
      <c r="AB75" s="49">
        <v>0</v>
      </c>
      <c r="AC75" s="49">
        <v>0</v>
      </c>
      <c r="AD75" s="49">
        <v>0</v>
      </c>
      <c r="AE75" s="49">
        <v>0</v>
      </c>
      <c r="AF75" s="49">
        <v>0</v>
      </c>
      <c r="AG75" s="49">
        <v>0</v>
      </c>
      <c r="AH75" s="49">
        <v>0</v>
      </c>
      <c r="AI75" s="49">
        <v>0</v>
      </c>
      <c r="AJ75" s="49">
        <v>0</v>
      </c>
      <c r="AK75" s="49">
        <v>0</v>
      </c>
      <c r="AL75" s="49">
        <v>0</v>
      </c>
      <c r="AM75" s="49">
        <v>0</v>
      </c>
      <c r="AN75" s="49">
        <v>0</v>
      </c>
      <c r="AO75" s="49">
        <v>0</v>
      </c>
      <c r="AP75" s="49">
        <v>0</v>
      </c>
      <c r="AQ75" s="49">
        <v>0</v>
      </c>
      <c r="AR75" s="1"/>
      <c r="AS75" s="19"/>
      <c r="AT75" s="95">
        <v>0</v>
      </c>
      <c r="AU75" s="96">
        <v>0</v>
      </c>
      <c r="AV75" s="95">
        <v>0</v>
      </c>
      <c r="AW75" s="96">
        <v>0</v>
      </c>
      <c r="AX75" s="117"/>
      <c r="AY75" s="138"/>
      <c r="AZ75" s="138"/>
      <c r="BA75" s="1"/>
      <c r="BB75" s="1"/>
      <c r="BC75" s="1"/>
      <c r="BD75" s="1"/>
    </row>
    <row r="76" spans="1:56" x14ac:dyDescent="0.25">
      <c r="A76" s="137" t="s">
        <v>39</v>
      </c>
      <c r="B76" s="97" t="s">
        <v>39</v>
      </c>
      <c r="C76" s="5" t="s">
        <v>75</v>
      </c>
      <c r="D76" s="98"/>
      <c r="E76" s="98"/>
      <c r="F76" s="98"/>
      <c r="G76" s="98"/>
      <c r="H76" s="98"/>
      <c r="I76" s="98"/>
      <c r="J76" s="98">
        <v>17.899999999999999</v>
      </c>
      <c r="K76" s="98">
        <v>40.5</v>
      </c>
      <c r="L76" s="98">
        <v>19.100000000000001</v>
      </c>
      <c r="M76" s="98">
        <v>43.9</v>
      </c>
      <c r="N76" s="98">
        <v>28.2</v>
      </c>
      <c r="O76" s="98">
        <v>44.5</v>
      </c>
      <c r="P76" s="98">
        <v>33.200000000000003</v>
      </c>
      <c r="Q76" s="98">
        <v>55.7</v>
      </c>
      <c r="R76" s="98">
        <v>41.3</v>
      </c>
      <c r="S76" s="98">
        <v>61.6</v>
      </c>
      <c r="T76" s="98">
        <v>48</v>
      </c>
      <c r="U76" s="98">
        <f>INDEX(Annual!$A:$AC,MATCH(Segment!$A76,Annual!$A:$A,0),MATCH(Segment!U$1,Annual!$A$1:$AC$1,0))-T76</f>
        <v>69.999999999999972</v>
      </c>
      <c r="V76" s="255">
        <f>V74+V75</f>
        <v>63.000000000000007</v>
      </c>
      <c r="W76" s="267">
        <f>INDEX(Annual!$A:$AC,MATCH(Segment!$A76,Annual!$A:$A,0),MATCH(Segment!W$1,Annual!$A$1:$AC$1,0))-V76</f>
        <v>74.644999999999982</v>
      </c>
      <c r="X76" s="255">
        <f t="shared" ref="W76:AQ76" si="76">X74+X75</f>
        <v>74.192766093811542</v>
      </c>
      <c r="Y76" s="255">
        <f t="shared" si="76"/>
        <v>88.43977966872103</v>
      </c>
      <c r="Z76" s="255">
        <f t="shared" si="76"/>
        <v>88.672892771016677</v>
      </c>
      <c r="AA76" s="255">
        <f t="shared" si="76"/>
        <v>106.41647333112758</v>
      </c>
      <c r="AB76" s="255">
        <f t="shared" si="76"/>
        <v>107.85793161587955</v>
      </c>
      <c r="AC76" s="255">
        <f t="shared" si="76"/>
        <v>131.04592104542354</v>
      </c>
      <c r="AD76" s="255">
        <f t="shared" si="76"/>
        <v>131.95061178095642</v>
      </c>
      <c r="AE76" s="255">
        <f t="shared" si="76"/>
        <v>158.58873742422423</v>
      </c>
      <c r="AF76" s="255">
        <f t="shared" si="76"/>
        <v>159.55715556210922</v>
      </c>
      <c r="AG76" s="255">
        <f t="shared" si="76"/>
        <v>191.24629925110315</v>
      </c>
      <c r="AH76" s="255">
        <f t="shared" si="76"/>
        <v>193.60574864934387</v>
      </c>
      <c r="AI76" s="255">
        <f t="shared" si="76"/>
        <v>231.49657569398022</v>
      </c>
      <c r="AJ76" s="255">
        <f t="shared" si="76"/>
        <v>235.70197925056692</v>
      </c>
      <c r="AK76" s="255">
        <f t="shared" si="76"/>
        <v>281.20330435939258</v>
      </c>
      <c r="AL76" s="255">
        <f t="shared" si="76"/>
        <v>287.84216019366175</v>
      </c>
      <c r="AM76" s="255">
        <f t="shared" si="76"/>
        <v>342.68232138482927</v>
      </c>
      <c r="AN76" s="255">
        <f t="shared" si="76"/>
        <v>352.59226784774182</v>
      </c>
      <c r="AO76" s="255">
        <f t="shared" si="76"/>
        <v>418.89355623632764</v>
      </c>
      <c r="AP76" s="255">
        <f t="shared" si="76"/>
        <v>433.02526214537318</v>
      </c>
      <c r="AQ76" s="255">
        <f t="shared" si="76"/>
        <v>513.40223952287943</v>
      </c>
      <c r="AR76" s="1"/>
      <c r="AS76" s="1"/>
      <c r="AT76" s="99">
        <v>56.6</v>
      </c>
      <c r="AU76" s="100">
        <v>6.4</v>
      </c>
      <c r="AV76" s="99">
        <v>82.1</v>
      </c>
      <c r="AW76" s="100">
        <v>-3.1</v>
      </c>
      <c r="AX76" s="89"/>
      <c r="AY76" s="138"/>
      <c r="AZ76" s="138"/>
      <c r="BA76" s="1"/>
      <c r="BB76" s="1"/>
      <c r="BC76" s="1"/>
      <c r="BD76" s="1"/>
    </row>
    <row r="77" spans="1:56" x14ac:dyDescent="0.25">
      <c r="A77" s="137"/>
      <c r="B77" s="92" t="s">
        <v>230</v>
      </c>
      <c r="C77" s="93" t="s">
        <v>168</v>
      </c>
      <c r="D77" s="89"/>
      <c r="E77" s="2"/>
      <c r="F77" s="2"/>
      <c r="G77" s="2"/>
      <c r="H77" s="2"/>
      <c r="I77" s="2"/>
      <c r="J77" s="2" t="e">
        <v>#DIV/0!</v>
      </c>
      <c r="K77" s="2" t="e">
        <v>#DIV/0!</v>
      </c>
      <c r="L77" s="101">
        <v>6.3E-2</v>
      </c>
      <c r="M77" s="101">
        <v>8.3000000000000004E-2</v>
      </c>
      <c r="N77" s="101">
        <v>0.48</v>
      </c>
      <c r="O77" s="101">
        <v>1.4E-2</v>
      </c>
      <c r="P77" s="101">
        <v>0.17699999999999999</v>
      </c>
      <c r="Q77" s="101">
        <v>0.251</v>
      </c>
      <c r="R77" s="101">
        <v>0.24399999999999999</v>
      </c>
      <c r="S77" s="101">
        <v>0.107</v>
      </c>
      <c r="T77" s="101">
        <v>0.16300000000000001</v>
      </c>
      <c r="U77" s="253">
        <f t="shared" ref="U77:W77" si="77">U76/S76-1</f>
        <v>0.1363636363636358</v>
      </c>
      <c r="V77" s="253">
        <f t="shared" si="77"/>
        <v>0.31250000000000022</v>
      </c>
      <c r="W77" s="253">
        <f t="shared" si="77"/>
        <v>6.6357142857143003E-2</v>
      </c>
      <c r="X77" s="253">
        <f t="shared" ref="X77" si="78">X76/V76-1</f>
        <v>0.17766295387002429</v>
      </c>
      <c r="Y77" s="253">
        <f t="shared" ref="Y77" si="79">Y76/W76-1</f>
        <v>0.18480513991186354</v>
      </c>
      <c r="Z77" s="253">
        <f t="shared" ref="Z77" si="80">Z76/X76-1</f>
        <v>0.19516898263229643</v>
      </c>
      <c r="AA77" s="253">
        <f t="shared" ref="AA77" si="81">AA76/Y76-1</f>
        <v>0.20326479475349091</v>
      </c>
      <c r="AB77" s="253">
        <f t="shared" ref="AB77" si="82">AB76/Z76-1</f>
        <v>0.21635742610095199</v>
      </c>
      <c r="AC77" s="253">
        <f t="shared" ref="AC77" si="83">AC76/AA76-1</f>
        <v>0.23144393854942447</v>
      </c>
      <c r="AD77" s="253">
        <f t="shared" ref="AD77" si="84">AD76/AB76-1</f>
        <v>0.22337420905566296</v>
      </c>
      <c r="AE77" s="253">
        <f t="shared" ref="AE77" si="85">AE76/AC76-1</f>
        <v>0.21017683083209993</v>
      </c>
      <c r="AF77" s="253">
        <f t="shared" ref="AF77" si="86">AF76/AD76-1</f>
        <v>0.2092187630549287</v>
      </c>
      <c r="AG77" s="253">
        <f t="shared" ref="AG77" si="87">AG76/AE76-1</f>
        <v>0.20592611024779184</v>
      </c>
      <c r="AH77" s="253">
        <f t="shared" ref="AH77" si="88">AH76/AF76-1</f>
        <v>0.21339433488447268</v>
      </c>
      <c r="AI77" s="253">
        <f t="shared" ref="AI77" si="89">AI76/AG76-1</f>
        <v>0.21046303432010016</v>
      </c>
      <c r="AJ77" s="253">
        <f t="shared" ref="AJ77" si="90">AJ76/AH76-1</f>
        <v>0.21743275132530893</v>
      </c>
      <c r="AK77" s="253">
        <f t="shared" ref="AK77" si="91">AK76/AI76-1</f>
        <v>0.214719066648833</v>
      </c>
      <c r="AL77" s="253">
        <f t="shared" ref="AL77" si="92">AL76/AJ76-1</f>
        <v>0.22121231696432364</v>
      </c>
      <c r="AM77" s="253">
        <f t="shared" ref="AM77" si="93">AM76/AK76-1</f>
        <v>0.21862835917057111</v>
      </c>
      <c r="AN77" s="253">
        <f t="shared" ref="AN77" si="94">AN76/AL76-1</f>
        <v>0.22495004765985582</v>
      </c>
      <c r="AO77" s="253">
        <f t="shared" ref="AO77" si="95">AO76/AM76-1</f>
        <v>0.2223961672242607</v>
      </c>
      <c r="AP77" s="253">
        <f t="shared" ref="AP77" si="96">AP76/AN76-1</f>
        <v>0.22811899645049594</v>
      </c>
      <c r="AQ77" s="253">
        <f t="shared" ref="AQ77" si="97">AQ76/AO76-1</f>
        <v>0.22561503245763159</v>
      </c>
      <c r="AR77" s="1"/>
      <c r="AS77" s="1"/>
      <c r="AT77" s="198">
        <v>0.17899999999999999</v>
      </c>
      <c r="AU77" s="199">
        <v>0.13400000000000001</v>
      </c>
      <c r="AV77" s="198">
        <v>0.17299999999999999</v>
      </c>
      <c r="AW77" s="199">
        <v>-4.3999999999999997E-2</v>
      </c>
      <c r="AX77" s="89"/>
      <c r="AY77" s="138"/>
      <c r="AZ77" s="138"/>
      <c r="BA77" s="1"/>
      <c r="BB77" s="1"/>
      <c r="BC77" s="1"/>
      <c r="BD77" s="1"/>
    </row>
    <row r="78" spans="1:56" x14ac:dyDescent="0.25">
      <c r="A78" s="137"/>
      <c r="B78" s="92" t="s">
        <v>231</v>
      </c>
      <c r="C78" s="93" t="s">
        <v>6</v>
      </c>
      <c r="D78" s="2"/>
      <c r="E78" s="2"/>
      <c r="F78" s="2"/>
      <c r="G78" s="2"/>
      <c r="H78" s="2"/>
      <c r="I78" s="2"/>
      <c r="J78" s="101">
        <v>0.13900000000000001</v>
      </c>
      <c r="K78" s="101">
        <v>0.25900000000000001</v>
      </c>
      <c r="L78" s="101">
        <v>0.13800000000000001</v>
      </c>
      <c r="M78" s="101">
        <v>0.27300000000000002</v>
      </c>
      <c r="N78" s="101">
        <v>0.19500000000000001</v>
      </c>
      <c r="O78" s="101">
        <v>0.26600000000000001</v>
      </c>
      <c r="P78" s="101">
        <v>0.193</v>
      </c>
      <c r="Q78" s="101">
        <v>0.28299999999999997</v>
      </c>
      <c r="R78" s="101">
        <v>0.19800000000000001</v>
      </c>
      <c r="S78" s="101">
        <v>0.27</v>
      </c>
      <c r="T78" s="101">
        <v>0.19600000000000001</v>
      </c>
      <c r="U78" s="256">
        <f t="shared" ref="U78:W78" si="98">U76/U$15</f>
        <v>0.25858884373845575</v>
      </c>
      <c r="V78" s="256">
        <f t="shared" ref="V78" si="99">V76/V$15</f>
        <v>0.21627188465499486</v>
      </c>
      <c r="W78" s="256">
        <f t="shared" si="98"/>
        <v>0.23419655631133746</v>
      </c>
      <c r="X78" s="256">
        <f t="shared" ref="W78:AQ78" si="100">X76/X$15</f>
        <v>0.22302208376934138</v>
      </c>
      <c r="Y78" s="256">
        <f t="shared" si="100"/>
        <v>0.24435336160623236</v>
      </c>
      <c r="Z78" s="256">
        <f t="shared" si="100"/>
        <v>0.23324241431131923</v>
      </c>
      <c r="AA78" s="256">
        <f t="shared" si="100"/>
        <v>0.2545424592302955</v>
      </c>
      <c r="AB78" s="256">
        <f t="shared" si="100"/>
        <v>0.24374612582209204</v>
      </c>
      <c r="AC78" s="256">
        <f t="shared" si="100"/>
        <v>0.2651166434325532</v>
      </c>
      <c r="AD78" s="256">
        <f t="shared" si="100"/>
        <v>0.25053370220130899</v>
      </c>
      <c r="AE78" s="256">
        <f t="shared" si="100"/>
        <v>0.2709480442514991</v>
      </c>
      <c r="AF78" s="256">
        <f t="shared" si="100"/>
        <v>0.25448494707373276</v>
      </c>
      <c r="AG78" s="256">
        <f t="shared" si="100"/>
        <v>0.27459664562934566</v>
      </c>
      <c r="AH78" s="256">
        <f t="shared" si="100"/>
        <v>0.2583084967773332</v>
      </c>
      <c r="AI78" s="256">
        <f t="shared" si="100"/>
        <v>0.27816644423148945</v>
      </c>
      <c r="AJ78" s="256">
        <f t="shared" si="100"/>
        <v>0.26210257589809477</v>
      </c>
      <c r="AK78" s="256">
        <f t="shared" si="100"/>
        <v>0.28173638382249078</v>
      </c>
      <c r="AL78" s="256">
        <f t="shared" si="100"/>
        <v>0.26592024374079021</v>
      </c>
      <c r="AM78" s="256">
        <f t="shared" si="100"/>
        <v>0.2853472451031448</v>
      </c>
      <c r="AN78" s="256">
        <f t="shared" si="100"/>
        <v>0.26984358347785659</v>
      </c>
      <c r="AO78" s="256">
        <f t="shared" si="100"/>
        <v>0.28906651185853743</v>
      </c>
      <c r="AP78" s="256">
        <f t="shared" si="100"/>
        <v>0.27382244302677977</v>
      </c>
      <c r="AQ78" s="256">
        <f t="shared" si="100"/>
        <v>0.29284652978964093</v>
      </c>
      <c r="AR78" s="1"/>
      <c r="AS78" s="1"/>
      <c r="AT78" s="198">
        <v>0.20100000000000001</v>
      </c>
      <c r="AU78" s="199">
        <v>1.4999999999999999E-2</v>
      </c>
      <c r="AV78" s="198">
        <v>0.27100000000000002</v>
      </c>
      <c r="AW78" s="199">
        <v>-1.9E-2</v>
      </c>
      <c r="AX78" s="141"/>
      <c r="AY78" s="138"/>
      <c r="AZ78" s="138"/>
      <c r="BA78" s="1"/>
      <c r="BB78" s="1"/>
      <c r="BC78" s="1"/>
      <c r="BD78" s="1"/>
    </row>
    <row r="79" spans="1:56" x14ac:dyDescent="0.25">
      <c r="A79" s="288"/>
      <c r="B79" s="289"/>
      <c r="C79" s="93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49"/>
      <c r="T79" s="51"/>
      <c r="U79" s="49"/>
      <c r="V79" s="51"/>
      <c r="W79" s="4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  <c r="AN79" s="159"/>
      <c r="AO79" s="159"/>
      <c r="AP79" s="159"/>
      <c r="AQ79" s="159"/>
      <c r="AR79" s="1"/>
      <c r="AS79" s="1"/>
      <c r="AT79" s="95"/>
      <c r="AU79" s="96"/>
      <c r="AV79" s="95"/>
      <c r="AW79" s="96"/>
      <c r="AX79" s="141"/>
      <c r="AY79" s="138"/>
      <c r="AZ79" s="138"/>
      <c r="BA79" s="1"/>
      <c r="BB79" s="1"/>
      <c r="BC79" s="1"/>
      <c r="BD79" s="1"/>
    </row>
    <row r="80" spans="1:56" x14ac:dyDescent="0.25">
      <c r="A80" s="137"/>
      <c r="B80" s="154" t="s">
        <v>246</v>
      </c>
      <c r="C80" s="155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16"/>
      <c r="T80" s="156"/>
      <c r="U80" s="116"/>
      <c r="V80" s="15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"/>
      <c r="AS80" s="1"/>
      <c r="AT80" s="116"/>
      <c r="AU80" s="117"/>
      <c r="AV80" s="116"/>
      <c r="AW80" s="117"/>
      <c r="AX80" s="157"/>
      <c r="AY80" s="138"/>
      <c r="AZ80" s="138"/>
      <c r="BA80" s="1"/>
      <c r="BB80" s="1"/>
      <c r="BC80" s="1"/>
      <c r="BD80" s="1"/>
    </row>
    <row r="81" spans="1:56" x14ac:dyDescent="0.25">
      <c r="A81" s="288"/>
      <c r="B81" s="289"/>
      <c r="C81" s="153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49"/>
      <c r="T81" s="51"/>
      <c r="U81" s="49"/>
      <c r="V81" s="51"/>
      <c r="W81" s="4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  <c r="AN81" s="159"/>
      <c r="AO81" s="159"/>
      <c r="AP81" s="159"/>
      <c r="AQ81" s="159"/>
      <c r="AR81" s="1"/>
      <c r="AS81" s="1"/>
      <c r="AT81" s="95"/>
      <c r="AU81" s="96"/>
      <c r="AV81" s="95"/>
      <c r="AW81" s="96"/>
      <c r="AX81" s="157"/>
      <c r="AY81" s="138"/>
      <c r="AZ81" s="138"/>
      <c r="BA81" s="1"/>
      <c r="BB81" s="1"/>
      <c r="BC81" s="1"/>
      <c r="BD81" s="1"/>
    </row>
    <row r="82" spans="1:56" x14ac:dyDescent="0.25">
      <c r="A82" s="137" t="s">
        <v>247</v>
      </c>
      <c r="B82" s="90" t="s">
        <v>248</v>
      </c>
      <c r="C82" s="153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49"/>
      <c r="T82" s="159"/>
      <c r="U82" s="49"/>
      <c r="V82" s="159"/>
      <c r="W82" s="4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59"/>
      <c r="AR82" s="1"/>
      <c r="AS82" s="1"/>
      <c r="AT82" s="207"/>
      <c r="AU82" s="208"/>
      <c r="AV82" s="207"/>
      <c r="AW82" s="208"/>
      <c r="AX82" s="96"/>
      <c r="AY82" s="138"/>
      <c r="AZ82" s="138"/>
      <c r="BA82" s="1"/>
      <c r="BB82" s="1"/>
      <c r="BC82" s="1"/>
      <c r="BD82" s="1"/>
    </row>
    <row r="83" spans="1:56" x14ac:dyDescent="0.25">
      <c r="A83" s="137" t="s">
        <v>249</v>
      </c>
      <c r="B83" s="92" t="s">
        <v>250</v>
      </c>
      <c r="C83" s="153" t="s">
        <v>75</v>
      </c>
      <c r="D83" s="51" t="s">
        <v>179</v>
      </c>
      <c r="E83" s="51"/>
      <c r="F83" s="51"/>
      <c r="G83" s="51"/>
      <c r="H83" s="51">
        <v>59.3</v>
      </c>
      <c r="I83" s="49">
        <v>70</v>
      </c>
      <c r="J83" s="51">
        <v>82.7</v>
      </c>
      <c r="K83" s="49">
        <v>102</v>
      </c>
      <c r="L83" s="51">
        <v>110.2</v>
      </c>
      <c r="M83" s="49">
        <v>135</v>
      </c>
      <c r="N83" s="51">
        <v>155.80000000000001</v>
      </c>
      <c r="O83" s="49">
        <v>192</v>
      </c>
      <c r="P83" s="51">
        <v>225</v>
      </c>
      <c r="Q83" s="49">
        <v>274</v>
      </c>
      <c r="R83" s="51">
        <v>316.3</v>
      </c>
      <c r="S83" s="49">
        <v>384</v>
      </c>
      <c r="T83" s="51">
        <v>423.6</v>
      </c>
      <c r="U83" s="49">
        <f>INDEX(Annual!$A:$AC,MATCH(Segment!$A83,Annual!$A:$A,0),MATCH(Segment!U$1,Annual!$A$1:$AC$1,0))</f>
        <v>470.2</v>
      </c>
      <c r="V83" s="51">
        <v>511.1</v>
      </c>
      <c r="W83" s="49">
        <f>INDEX(Annual!$A:$AC,MATCH(Segment!$A83,Annual!$A:$A,0),MATCH(Segment!W$1,Annual!$A$1:$AC$1,0))</f>
        <v>554.6</v>
      </c>
      <c r="X83" s="251">
        <f t="shared" ref="X83:AQ83" si="101">X85-X84</f>
        <v>599.42000000000007</v>
      </c>
      <c r="Y83" s="251">
        <f t="shared" si="101"/>
        <v>652.04015000000004</v>
      </c>
      <c r="Z83" s="251">
        <f t="shared" si="101"/>
        <v>714.02237500000001</v>
      </c>
      <c r="AA83" s="251">
        <f t="shared" si="101"/>
        <v>778.44056725000007</v>
      </c>
      <c r="AB83" s="251">
        <f t="shared" si="101"/>
        <v>867.77931562500009</v>
      </c>
      <c r="AC83" s="251">
        <f t="shared" si="101"/>
        <v>947.64014323875006</v>
      </c>
      <c r="AD83" s="251">
        <f t="shared" si="101"/>
        <v>1050.3115192968753</v>
      </c>
      <c r="AE83" s="251">
        <f t="shared" si="101"/>
        <v>1148.3851062765564</v>
      </c>
      <c r="AF83" s="251">
        <f t="shared" si="101"/>
        <v>1272.1124872910159</v>
      </c>
      <c r="AG83" s="251">
        <f t="shared" si="101"/>
        <v>1392.6945331764225</v>
      </c>
      <c r="AH83" s="251">
        <f t="shared" si="101"/>
        <v>1541.9581033587015</v>
      </c>
      <c r="AI83" s="251">
        <f t="shared" si="101"/>
        <v>1690.4076204354656</v>
      </c>
      <c r="AJ83" s="251">
        <f t="shared" si="101"/>
        <v>1870.670292028914</v>
      </c>
      <c r="AK83" s="251">
        <f t="shared" si="101"/>
        <v>2053.68452731979</v>
      </c>
      <c r="AL83" s="251">
        <f t="shared" si="101"/>
        <v>2271.6164595421674</v>
      </c>
      <c r="AM83" s="251">
        <f t="shared" si="101"/>
        <v>2497.5797053581123</v>
      </c>
      <c r="AN83" s="251">
        <f t="shared" si="101"/>
        <v>2761.3364626636703</v>
      </c>
      <c r="AO83" s="251">
        <f t="shared" si="101"/>
        <v>3040.7632473168419</v>
      </c>
      <c r="AP83" s="251">
        <f t="shared" si="101"/>
        <v>3360.3310144813377</v>
      </c>
      <c r="AQ83" s="251">
        <f t="shared" si="101"/>
        <v>3706.4299856393563</v>
      </c>
      <c r="AR83" s="1"/>
      <c r="AS83" s="1"/>
      <c r="AT83" s="95">
        <v>499</v>
      </c>
      <c r="AU83" s="96">
        <v>12.1</v>
      </c>
      <c r="AV83" s="95">
        <v>554.70000000000005</v>
      </c>
      <c r="AW83" s="96">
        <v>10.199999999999999</v>
      </c>
      <c r="AX83" s="157"/>
      <c r="AY83" s="138"/>
      <c r="AZ83" s="138"/>
      <c r="BA83" s="1"/>
      <c r="BB83" s="1"/>
      <c r="BC83" s="1"/>
      <c r="BD83" s="1"/>
    </row>
    <row r="84" spans="1:56" x14ac:dyDescent="0.25">
      <c r="A84" s="137" t="s">
        <v>251</v>
      </c>
      <c r="B84" s="92" t="s">
        <v>252</v>
      </c>
      <c r="C84" s="153" t="s">
        <v>75</v>
      </c>
      <c r="D84" s="51"/>
      <c r="E84" s="51"/>
      <c r="F84" s="49"/>
      <c r="G84" s="51"/>
      <c r="H84" s="49">
        <v>-59.3</v>
      </c>
      <c r="I84" s="49">
        <v>103.5</v>
      </c>
      <c r="J84" s="49">
        <v>102</v>
      </c>
      <c r="K84" s="49">
        <v>100.8</v>
      </c>
      <c r="L84" s="49">
        <v>101.4</v>
      </c>
      <c r="M84" s="49">
        <v>87.4</v>
      </c>
      <c r="N84" s="49">
        <v>77.900000000000006</v>
      </c>
      <c r="O84" s="49">
        <v>65.2</v>
      </c>
      <c r="P84" s="49">
        <v>63.4</v>
      </c>
      <c r="Q84" s="49">
        <v>46.5</v>
      </c>
      <c r="R84" s="49">
        <v>34.299999999999997</v>
      </c>
      <c r="S84" s="49">
        <v>9</v>
      </c>
      <c r="T84" s="209">
        <v>0</v>
      </c>
      <c r="U84" s="49">
        <f>INDEX(Annual!$A:$AC,MATCH(Segment!$A84,Annual!$A:$A,0),MATCH(Segment!U$1,Annual!$A$1:$AC$1,0))</f>
        <v>0</v>
      </c>
      <c r="V84" s="209">
        <v>0</v>
      </c>
      <c r="W84" s="49">
        <f>INDEX(Annual!$A:$AC,MATCH(Segment!$A84,Annual!$A:$A,0),MATCH(Segment!W$1,Annual!$A$1:$AC$1,0))</f>
        <v>0</v>
      </c>
      <c r="X84" s="271">
        <v>0</v>
      </c>
      <c r="Y84" s="271">
        <v>0</v>
      </c>
      <c r="Z84" s="271">
        <v>0</v>
      </c>
      <c r="AA84" s="271">
        <v>0</v>
      </c>
      <c r="AB84" s="271">
        <v>0</v>
      </c>
      <c r="AC84" s="271">
        <v>0</v>
      </c>
      <c r="AD84" s="271">
        <v>0</v>
      </c>
      <c r="AE84" s="271">
        <v>0</v>
      </c>
      <c r="AF84" s="271">
        <v>0</v>
      </c>
      <c r="AG84" s="271">
        <v>0</v>
      </c>
      <c r="AH84" s="271">
        <v>0</v>
      </c>
      <c r="AI84" s="271">
        <v>0</v>
      </c>
      <c r="AJ84" s="271">
        <v>0</v>
      </c>
      <c r="AK84" s="271">
        <v>0</v>
      </c>
      <c r="AL84" s="271">
        <v>0</v>
      </c>
      <c r="AM84" s="271">
        <v>0</v>
      </c>
      <c r="AN84" s="271">
        <v>0</v>
      </c>
      <c r="AO84" s="271">
        <v>0</v>
      </c>
      <c r="AP84" s="271">
        <v>0</v>
      </c>
      <c r="AQ84" s="271">
        <v>0</v>
      </c>
      <c r="AR84" s="1"/>
      <c r="AS84" s="1"/>
      <c r="AT84" s="95">
        <v>0</v>
      </c>
      <c r="AU84" s="96">
        <v>0</v>
      </c>
      <c r="AV84" s="95">
        <v>0</v>
      </c>
      <c r="AW84" s="96">
        <v>0</v>
      </c>
      <c r="AX84" s="75"/>
      <c r="AY84" s="138"/>
      <c r="AZ84" s="138"/>
      <c r="BA84" s="1"/>
      <c r="BB84" s="1"/>
      <c r="BC84" s="1"/>
      <c r="BD84" s="1"/>
    </row>
    <row r="85" spans="1:56" x14ac:dyDescent="0.25">
      <c r="A85" s="137" t="s">
        <v>253</v>
      </c>
      <c r="B85" s="158" t="s">
        <v>254</v>
      </c>
      <c r="C85" s="153" t="s">
        <v>75</v>
      </c>
      <c r="D85" s="51" t="s">
        <v>179</v>
      </c>
      <c r="E85" s="51"/>
      <c r="F85" s="51"/>
      <c r="G85" s="51"/>
      <c r="H85" s="51"/>
      <c r="I85" s="49">
        <v>174</v>
      </c>
      <c r="J85" s="51">
        <v>184.7</v>
      </c>
      <c r="K85" s="49">
        <v>202</v>
      </c>
      <c r="L85" s="51">
        <v>211.6</v>
      </c>
      <c r="M85" s="49">
        <v>222</v>
      </c>
      <c r="N85" s="51">
        <v>233.7</v>
      </c>
      <c r="O85" s="49">
        <v>257</v>
      </c>
      <c r="P85" s="51">
        <v>288.5</v>
      </c>
      <c r="Q85" s="49">
        <v>321</v>
      </c>
      <c r="R85" s="51">
        <v>350.6</v>
      </c>
      <c r="S85" s="49">
        <v>393</v>
      </c>
      <c r="T85" s="51">
        <v>423.6</v>
      </c>
      <c r="U85" s="49">
        <f>INDEX(Annual!$A:$AC,MATCH(Segment!$A85,Annual!$A:$A,0),MATCH(Segment!U$1,Annual!$A$1:$AC$1,0))</f>
        <v>470.2</v>
      </c>
      <c r="V85" s="51">
        <v>511.1</v>
      </c>
      <c r="W85" s="49">
        <f>INDEX(Annual!$A:$AC,MATCH(Segment!$A85,Annual!$A:$A,0),MATCH(Segment!W$1,Annual!$A$1:$AC$1,0))</f>
        <v>554.6</v>
      </c>
      <c r="X85" s="251">
        <f t="shared" ref="X85:AQ85" si="102">X122</f>
        <v>599.42000000000007</v>
      </c>
      <c r="Y85" s="251">
        <f t="shared" si="102"/>
        <v>652.04015000000004</v>
      </c>
      <c r="Z85" s="251">
        <f t="shared" si="102"/>
        <v>714.02237500000001</v>
      </c>
      <c r="AA85" s="251">
        <f t="shared" si="102"/>
        <v>778.44056725000007</v>
      </c>
      <c r="AB85" s="251">
        <f t="shared" si="102"/>
        <v>867.77931562500009</v>
      </c>
      <c r="AC85" s="251">
        <f t="shared" si="102"/>
        <v>947.64014323875006</v>
      </c>
      <c r="AD85" s="251">
        <f t="shared" si="102"/>
        <v>1050.3115192968753</v>
      </c>
      <c r="AE85" s="251">
        <f t="shared" si="102"/>
        <v>1148.3851062765564</v>
      </c>
      <c r="AF85" s="251">
        <f t="shared" si="102"/>
        <v>1272.1124872910159</v>
      </c>
      <c r="AG85" s="251">
        <f t="shared" si="102"/>
        <v>1392.6945331764225</v>
      </c>
      <c r="AH85" s="251">
        <f t="shared" si="102"/>
        <v>1541.9581033587015</v>
      </c>
      <c r="AI85" s="251">
        <f t="shared" si="102"/>
        <v>1690.4076204354656</v>
      </c>
      <c r="AJ85" s="251">
        <f t="shared" si="102"/>
        <v>1870.670292028914</v>
      </c>
      <c r="AK85" s="251">
        <f t="shared" si="102"/>
        <v>2053.68452731979</v>
      </c>
      <c r="AL85" s="251">
        <f t="shared" si="102"/>
        <v>2271.6164595421674</v>
      </c>
      <c r="AM85" s="251">
        <f t="shared" si="102"/>
        <v>2497.5797053581123</v>
      </c>
      <c r="AN85" s="251">
        <f t="shared" si="102"/>
        <v>2761.3364626636703</v>
      </c>
      <c r="AO85" s="251">
        <f t="shared" si="102"/>
        <v>3040.7632473168419</v>
      </c>
      <c r="AP85" s="251">
        <f t="shared" si="102"/>
        <v>3360.3310144813377</v>
      </c>
      <c r="AQ85" s="251">
        <f t="shared" si="102"/>
        <v>3706.4299856393563</v>
      </c>
      <c r="AR85" s="1"/>
      <c r="AS85" s="1"/>
      <c r="AT85" s="95">
        <v>499</v>
      </c>
      <c r="AU85" s="96">
        <v>12.1</v>
      </c>
      <c r="AV85" s="95">
        <v>554.70000000000005</v>
      </c>
      <c r="AW85" s="96">
        <v>10.199999999999999</v>
      </c>
      <c r="AX85" s="89"/>
      <c r="AY85" s="138"/>
      <c r="AZ85" s="138"/>
      <c r="BA85" s="1"/>
      <c r="BB85" s="1"/>
      <c r="BC85" s="1"/>
      <c r="BD85" s="1"/>
    </row>
    <row r="86" spans="1:56" x14ac:dyDescent="0.25">
      <c r="A86" s="80"/>
      <c r="B86" s="107" t="s">
        <v>167</v>
      </c>
      <c r="C86" s="93" t="s">
        <v>168</v>
      </c>
      <c r="D86" s="51"/>
      <c r="E86" s="51"/>
      <c r="F86" s="51"/>
      <c r="G86" s="51"/>
      <c r="H86" s="51"/>
      <c r="I86" s="49"/>
      <c r="J86" s="49"/>
      <c r="K86" s="126">
        <v>0.16</v>
      </c>
      <c r="L86" s="126">
        <v>0.15</v>
      </c>
      <c r="M86" s="126">
        <v>0.1</v>
      </c>
      <c r="N86" s="126">
        <v>0.1</v>
      </c>
      <c r="O86" s="126">
        <v>0.16</v>
      </c>
      <c r="P86" s="126">
        <v>0.23</v>
      </c>
      <c r="Q86" s="126">
        <v>0.25</v>
      </c>
      <c r="R86" s="126">
        <v>0.22</v>
      </c>
      <c r="S86" s="126">
        <v>0.23</v>
      </c>
      <c r="T86" s="126">
        <v>0.21</v>
      </c>
      <c r="U86" s="126">
        <f>U85/S85-1</f>
        <v>0.19643765903307875</v>
      </c>
      <c r="V86" s="126">
        <f>V85/T85-1</f>
        <v>0.20656279508970732</v>
      </c>
      <c r="W86" s="126">
        <f>W85/U85-1</f>
        <v>0.17949808592088479</v>
      </c>
      <c r="X86" s="126">
        <f t="shared" ref="X86" si="103">X85/V85-1</f>
        <v>0.17280375660340441</v>
      </c>
      <c r="Y86" s="126">
        <f t="shared" ref="Y86" si="104">Y85/W85-1</f>
        <v>0.1756944644789038</v>
      </c>
      <c r="Z86" s="126">
        <f t="shared" ref="Z86" si="105">Z85/X85-1</f>
        <v>0.19118877414834334</v>
      </c>
      <c r="AA86" s="126">
        <f t="shared" ref="AA86" si="106">AA85/Y85-1</f>
        <v>0.19385373316351773</v>
      </c>
      <c r="AB86" s="126">
        <f t="shared" ref="AB86" si="107">AB85/Z85-1</f>
        <v>0.21533910702028081</v>
      </c>
      <c r="AC86" s="126">
        <f t="shared" ref="AC86" si="108">AC85/AA85-1</f>
        <v>0.21735708942621268</v>
      </c>
      <c r="AD86" s="126">
        <f t="shared" ref="AD86" si="109">AD85/AB85-1</f>
        <v>0.21034403607605023</v>
      </c>
      <c r="AE86" s="126">
        <f t="shared" ref="AE86" si="110">AE85/AC85-1</f>
        <v>0.21183670243402752</v>
      </c>
      <c r="AF86" s="126">
        <f t="shared" ref="AF86" si="111">AF85/AD85-1</f>
        <v>0.21117636426821629</v>
      </c>
      <c r="AG86" s="126">
        <f t="shared" ref="AG86" si="112">AG85/AE85-1</f>
        <v>0.21274172362962629</v>
      </c>
      <c r="AH86" s="126">
        <f t="shared" ref="AH86" si="113">AH85/AF85-1</f>
        <v>0.21212402107798356</v>
      </c>
      <c r="AI86" s="126">
        <f t="shared" ref="AI86" si="114">AI85/AG85-1</f>
        <v>0.2137676857106825</v>
      </c>
      <c r="AJ86" s="126">
        <f t="shared" ref="AJ86" si="115">AJ85/AH85-1</f>
        <v>0.21317841772367863</v>
      </c>
      <c r="AK86" s="126">
        <f t="shared" ref="AK86" si="116">AK85/AI85-1</f>
        <v>0.21490491553199509</v>
      </c>
      <c r="AL86" s="126">
        <f t="shared" ref="AL86" si="117">AL85/AJ85-1</f>
        <v>0.21433288870931411</v>
      </c>
      <c r="AM86" s="126">
        <f t="shared" ref="AM86" si="118">AM85/AK85-1</f>
        <v>0.2161457478659774</v>
      </c>
      <c r="AN86" s="126">
        <f t="shared" ref="AN86" si="119">AN85/AL85-1</f>
        <v>0.21558216884033476</v>
      </c>
      <c r="AO86" s="126">
        <f t="shared" ref="AO86" si="120">AO85/AM85-1</f>
        <v>0.21748396689540117</v>
      </c>
      <c r="AP86" s="126">
        <f t="shared" ref="AP86" si="121">AP85/AN85-1</f>
        <v>0.21692197235532062</v>
      </c>
      <c r="AQ86" s="126">
        <f t="shared" ref="AQ86" si="122">AQ85/AO85-1</f>
        <v>0.21891435938325565</v>
      </c>
      <c r="AR86" s="1"/>
      <c r="AS86" s="1"/>
      <c r="AT86" s="134">
        <v>0.18</v>
      </c>
      <c r="AU86" s="135">
        <v>0.03</v>
      </c>
      <c r="AV86" s="134">
        <v>0.18</v>
      </c>
      <c r="AW86" s="135">
        <v>0.02</v>
      </c>
      <c r="AX86" s="89"/>
      <c r="AY86" s="1"/>
      <c r="AZ86" s="1"/>
      <c r="BA86" s="1"/>
      <c r="BB86" s="1"/>
      <c r="BC86" s="1"/>
      <c r="BD86" s="1"/>
    </row>
    <row r="87" spans="1:56" x14ac:dyDescent="0.25">
      <c r="A87" s="80"/>
      <c r="B87" s="107" t="s">
        <v>255</v>
      </c>
      <c r="C87" s="93" t="s">
        <v>168</v>
      </c>
      <c r="D87" s="51"/>
      <c r="E87" s="51"/>
      <c r="F87" s="51"/>
      <c r="G87" s="51"/>
      <c r="H87" s="51"/>
      <c r="I87" s="49"/>
      <c r="J87" s="49"/>
      <c r="K87" s="126">
        <v>0.15</v>
      </c>
      <c r="L87" s="126">
        <v>0.14000000000000001</v>
      </c>
      <c r="M87" s="126">
        <v>0.03</v>
      </c>
      <c r="N87" s="126">
        <v>-0.01</v>
      </c>
      <c r="O87" s="126">
        <v>0.06</v>
      </c>
      <c r="P87" s="126">
        <v>0.17</v>
      </c>
      <c r="Q87" s="126">
        <v>0.17</v>
      </c>
      <c r="R87" s="126">
        <v>0.11</v>
      </c>
      <c r="S87" s="126">
        <v>0.11</v>
      </c>
      <c r="T87" s="126">
        <v>0.11</v>
      </c>
      <c r="U87" s="126">
        <f>(U85+(U84-S84))/S85-1</f>
        <v>0.1735368956743002</v>
      </c>
      <c r="V87" s="126">
        <f>(V85+(V84-T84))/T85-1</f>
        <v>0.20656279508970732</v>
      </c>
      <c r="W87" s="126">
        <f>(W85+(W84-U84))/U85-1</f>
        <v>0.17949808592088479</v>
      </c>
      <c r="X87" s="126">
        <f t="shared" ref="X87" si="123">(X85+(X84-V84))/V85-1</f>
        <v>0.17280375660340441</v>
      </c>
      <c r="Y87" s="126">
        <f t="shared" ref="Y87" si="124">(Y85+(Y84-W84))/W85-1</f>
        <v>0.1756944644789038</v>
      </c>
      <c r="Z87" s="126">
        <f t="shared" ref="Z87" si="125">(Z85+(Z84-X84))/X85-1</f>
        <v>0.19118877414834334</v>
      </c>
      <c r="AA87" s="126">
        <f t="shared" ref="AA87" si="126">(AA85+(AA84-Y84))/Y85-1</f>
        <v>0.19385373316351773</v>
      </c>
      <c r="AB87" s="126">
        <f t="shared" ref="AB87" si="127">(AB85+(AB84-Z84))/Z85-1</f>
        <v>0.21533910702028081</v>
      </c>
      <c r="AC87" s="126">
        <f t="shared" ref="AC87" si="128">(AC85+(AC84-AA84))/AA85-1</f>
        <v>0.21735708942621268</v>
      </c>
      <c r="AD87" s="126">
        <f t="shared" ref="AD87" si="129">(AD85+(AD84-AB84))/AB85-1</f>
        <v>0.21034403607605023</v>
      </c>
      <c r="AE87" s="126">
        <f t="shared" ref="AE87" si="130">(AE85+(AE84-AC84))/AC85-1</f>
        <v>0.21183670243402752</v>
      </c>
      <c r="AF87" s="126">
        <f t="shared" ref="AF87" si="131">(AF85+(AF84-AD84))/AD85-1</f>
        <v>0.21117636426821629</v>
      </c>
      <c r="AG87" s="126">
        <f t="shared" ref="AG87" si="132">(AG85+(AG84-AE84))/AE85-1</f>
        <v>0.21274172362962629</v>
      </c>
      <c r="AH87" s="126">
        <f t="shared" ref="AH87" si="133">(AH85+(AH84-AF84))/AF85-1</f>
        <v>0.21212402107798356</v>
      </c>
      <c r="AI87" s="126">
        <f t="shared" ref="AI87" si="134">(AI85+(AI84-AG84))/AG85-1</f>
        <v>0.2137676857106825</v>
      </c>
      <c r="AJ87" s="126">
        <f t="shared" ref="AJ87" si="135">(AJ85+(AJ84-AH84))/AH85-1</f>
        <v>0.21317841772367863</v>
      </c>
      <c r="AK87" s="126">
        <f t="shared" ref="AK87" si="136">(AK85+(AK84-AI84))/AI85-1</f>
        <v>0.21490491553199509</v>
      </c>
      <c r="AL87" s="126">
        <f t="shared" ref="AL87" si="137">(AL85+(AL84-AJ84))/AJ85-1</f>
        <v>0.21433288870931411</v>
      </c>
      <c r="AM87" s="126">
        <f t="shared" ref="AM87" si="138">(AM85+(AM84-AK84))/AK85-1</f>
        <v>0.2161457478659774</v>
      </c>
      <c r="AN87" s="126">
        <f t="shared" ref="AN87" si="139">(AN85+(AN84-AL84))/AL85-1</f>
        <v>0.21558216884033476</v>
      </c>
      <c r="AO87" s="126">
        <f t="shared" ref="AO87" si="140">(AO85+(AO84-AM84))/AM85-1</f>
        <v>0.21748396689540117</v>
      </c>
      <c r="AP87" s="126">
        <f t="shared" ref="AP87" si="141">(AP85+(AP84-AN84))/AN85-1</f>
        <v>0.21692197235532062</v>
      </c>
      <c r="AQ87" s="126">
        <f t="shared" ref="AQ87" si="142">(AQ85+(AQ84-AO84))/AO85-1</f>
        <v>0.21891435938325565</v>
      </c>
      <c r="AR87" s="1"/>
      <c r="AS87" s="1"/>
      <c r="AT87" s="134">
        <v>0.18</v>
      </c>
      <c r="AU87" s="135">
        <v>0.03</v>
      </c>
      <c r="AV87" s="134">
        <v>0.18</v>
      </c>
      <c r="AW87" s="135">
        <v>0.02</v>
      </c>
      <c r="AX87" s="96"/>
      <c r="AY87" s="1"/>
      <c r="AZ87" s="1"/>
      <c r="BA87" s="1"/>
      <c r="BB87" s="1"/>
      <c r="BC87" s="1"/>
      <c r="BD87" s="1"/>
    </row>
    <row r="88" spans="1:56" x14ac:dyDescent="0.25">
      <c r="A88" s="80"/>
      <c r="B88" s="107" t="s">
        <v>444</v>
      </c>
      <c r="C88" s="93" t="s">
        <v>168</v>
      </c>
      <c r="D88" s="51"/>
      <c r="E88" s="51"/>
      <c r="F88" s="51"/>
      <c r="G88" s="51"/>
      <c r="H88" s="51"/>
      <c r="I88" s="49"/>
      <c r="J88" s="49"/>
      <c r="K88" s="126">
        <v>0.44</v>
      </c>
      <c r="L88" s="126">
        <v>0.33</v>
      </c>
      <c r="M88" s="126">
        <v>0.32</v>
      </c>
      <c r="N88" s="126">
        <v>0.41</v>
      </c>
      <c r="O88" s="126">
        <v>0.43</v>
      </c>
      <c r="P88" s="126">
        <v>0.44</v>
      </c>
      <c r="Q88" s="126">
        <v>0.43</v>
      </c>
      <c r="R88" s="126">
        <v>0.41</v>
      </c>
      <c r="S88" s="126">
        <v>0.4</v>
      </c>
      <c r="T88" s="126">
        <v>0.34</v>
      </c>
      <c r="U88" s="126">
        <f>U83/S83-1</f>
        <v>0.22447916666666656</v>
      </c>
      <c r="V88" s="126">
        <f>V83/T83-1</f>
        <v>0.20656279508970732</v>
      </c>
      <c r="W88" s="126">
        <f>W83/U83-1</f>
        <v>0.17949808592088479</v>
      </c>
      <c r="X88" s="126">
        <f t="shared" ref="X88" si="143">X83/V83-1</f>
        <v>0.17280375660340441</v>
      </c>
      <c r="Y88" s="126">
        <f t="shared" ref="Y88" si="144">Y83/W83-1</f>
        <v>0.1756944644789038</v>
      </c>
      <c r="Z88" s="126">
        <f t="shared" ref="Z88" si="145">Z83/X83-1</f>
        <v>0.19118877414834334</v>
      </c>
      <c r="AA88" s="126">
        <f t="shared" ref="AA88" si="146">AA83/Y83-1</f>
        <v>0.19385373316351773</v>
      </c>
      <c r="AB88" s="126">
        <f t="shared" ref="AB88" si="147">AB83/Z83-1</f>
        <v>0.21533910702028081</v>
      </c>
      <c r="AC88" s="126">
        <f t="shared" ref="AC88" si="148">AC83/AA83-1</f>
        <v>0.21735708942621268</v>
      </c>
      <c r="AD88" s="126">
        <f t="shared" ref="AD88" si="149">AD83/AB83-1</f>
        <v>0.21034403607605023</v>
      </c>
      <c r="AE88" s="126">
        <f t="shared" ref="AE88" si="150">AE83/AC83-1</f>
        <v>0.21183670243402752</v>
      </c>
      <c r="AF88" s="126">
        <f t="shared" ref="AF88" si="151">AF83/AD83-1</f>
        <v>0.21117636426821629</v>
      </c>
      <c r="AG88" s="126">
        <f t="shared" ref="AG88" si="152">AG83/AE83-1</f>
        <v>0.21274172362962629</v>
      </c>
      <c r="AH88" s="126">
        <f t="shared" ref="AH88" si="153">AH83/AF83-1</f>
        <v>0.21212402107798356</v>
      </c>
      <c r="AI88" s="126">
        <f t="shared" ref="AI88" si="154">AI83/AG83-1</f>
        <v>0.2137676857106825</v>
      </c>
      <c r="AJ88" s="126">
        <f t="shared" ref="AJ88" si="155">AJ83/AH83-1</f>
        <v>0.21317841772367863</v>
      </c>
      <c r="AK88" s="126">
        <f t="shared" ref="AK88" si="156">AK83/AI83-1</f>
        <v>0.21490491553199509</v>
      </c>
      <c r="AL88" s="126">
        <f t="shared" ref="AL88" si="157">AL83/AJ83-1</f>
        <v>0.21433288870931411</v>
      </c>
      <c r="AM88" s="126">
        <f t="shared" ref="AM88" si="158">AM83/AK83-1</f>
        <v>0.2161457478659774</v>
      </c>
      <c r="AN88" s="126">
        <f t="shared" ref="AN88" si="159">AN83/AL83-1</f>
        <v>0.21558216884033476</v>
      </c>
      <c r="AO88" s="126">
        <f t="shared" ref="AO88" si="160">AO83/AM83-1</f>
        <v>0.21748396689540117</v>
      </c>
      <c r="AP88" s="126">
        <f t="shared" ref="AP88" si="161">AP83/AN83-1</f>
        <v>0.21692197235532062</v>
      </c>
      <c r="AQ88" s="126">
        <f t="shared" ref="AQ88" si="162">AQ83/AO83-1</f>
        <v>0.21891435938325565</v>
      </c>
      <c r="AR88" s="1"/>
      <c r="AS88" s="1"/>
      <c r="AT88" s="134">
        <v>0.18</v>
      </c>
      <c r="AU88" s="135">
        <v>0.03</v>
      </c>
      <c r="AV88" s="134">
        <v>0.18</v>
      </c>
      <c r="AW88" s="135">
        <v>0.02</v>
      </c>
      <c r="AX88" s="96"/>
      <c r="AY88" s="1"/>
      <c r="AZ88" s="1"/>
      <c r="BA88" s="1"/>
      <c r="BB88" s="1"/>
      <c r="BC88" s="1"/>
      <c r="BD88" s="1"/>
    </row>
    <row r="89" spans="1:56" x14ac:dyDescent="0.25">
      <c r="A89" s="80"/>
      <c r="B89" s="107" t="s">
        <v>445</v>
      </c>
      <c r="C89" s="93" t="s">
        <v>168</v>
      </c>
      <c r="D89" s="51"/>
      <c r="E89" s="51"/>
      <c r="F89" s="51"/>
      <c r="G89" s="51"/>
      <c r="H89" s="51"/>
      <c r="I89" s="49"/>
      <c r="J89" s="49"/>
      <c r="K89" s="49"/>
      <c r="L89" s="126">
        <v>-0.01</v>
      </c>
      <c r="M89" s="126">
        <v>-0.13</v>
      </c>
      <c r="N89" s="126">
        <v>-0.23</v>
      </c>
      <c r="O89" s="126">
        <v>-0.25</v>
      </c>
      <c r="P89" s="126">
        <v>-0.19</v>
      </c>
      <c r="Q89" s="126">
        <v>-0.28999999999999998</v>
      </c>
      <c r="R89" s="126">
        <v>-0.46</v>
      </c>
      <c r="S89" s="126">
        <v>-0.81</v>
      </c>
      <c r="T89" s="126">
        <v>-1</v>
      </c>
      <c r="U89" s="126"/>
      <c r="V89" s="49"/>
      <c r="W89" s="126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1"/>
      <c r="AS89" s="1"/>
      <c r="AT89" s="95"/>
      <c r="AU89" s="96"/>
      <c r="AV89" s="95"/>
      <c r="AW89" s="96"/>
      <c r="AX89" s="75"/>
      <c r="AY89" s="1"/>
      <c r="AZ89" s="1"/>
      <c r="BA89" s="1"/>
      <c r="BB89" s="1"/>
      <c r="BC89" s="1"/>
      <c r="BD89" s="1"/>
    </row>
    <row r="90" spans="1:56" x14ac:dyDescent="0.25">
      <c r="A90" s="288"/>
      <c r="B90" s="289"/>
      <c r="C90" s="153"/>
      <c r="D90" s="51"/>
      <c r="E90" s="51"/>
      <c r="F90" s="51"/>
      <c r="G90" s="51"/>
      <c r="H90" s="51"/>
      <c r="I90" s="49"/>
      <c r="J90" s="51"/>
      <c r="K90" s="49"/>
      <c r="L90" s="51"/>
      <c r="M90" s="49"/>
      <c r="N90" s="51"/>
      <c r="O90" s="49"/>
      <c r="P90" s="49"/>
      <c r="Q90" s="49"/>
      <c r="R90" s="49"/>
      <c r="S90" s="49"/>
      <c r="T90" s="125"/>
      <c r="U90" s="49"/>
      <c r="V90" s="125"/>
      <c r="W90" s="4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"/>
      <c r="AS90" s="1"/>
      <c r="AT90" s="95"/>
      <c r="AU90" s="96"/>
      <c r="AV90" s="95"/>
      <c r="AW90" s="96"/>
      <c r="AX90" s="75"/>
      <c r="AY90" s="138"/>
      <c r="AZ90" s="138"/>
      <c r="BA90" s="1"/>
      <c r="BB90" s="1"/>
      <c r="BC90" s="1"/>
      <c r="BD90" s="1"/>
    </row>
    <row r="91" spans="1:56" x14ac:dyDescent="0.25">
      <c r="A91" s="137" t="s">
        <v>256</v>
      </c>
      <c r="B91" s="92" t="s">
        <v>257</v>
      </c>
      <c r="C91" s="153" t="s">
        <v>75</v>
      </c>
      <c r="D91" s="51"/>
      <c r="E91" s="51"/>
      <c r="F91" s="51"/>
      <c r="G91" s="51"/>
      <c r="H91" s="51"/>
      <c r="I91" s="49">
        <v>0</v>
      </c>
      <c r="J91" s="51"/>
      <c r="K91" s="49">
        <v>0</v>
      </c>
      <c r="L91" s="51"/>
      <c r="M91" s="49">
        <v>7.9</v>
      </c>
      <c r="N91" s="51"/>
      <c r="O91" s="49">
        <v>9</v>
      </c>
      <c r="P91" s="51">
        <v>17.7</v>
      </c>
      <c r="Q91" s="49">
        <v>17.5</v>
      </c>
      <c r="R91" s="51">
        <v>21.2</v>
      </c>
      <c r="S91" s="49">
        <v>26.5</v>
      </c>
      <c r="T91" s="51">
        <v>28.8</v>
      </c>
      <c r="U91" s="49">
        <f>INDEX(Annual!$A:$AC,MATCH(Segment!$A91,Annual!$A:$A,0),MATCH(Segment!U$1,Annual!$A$1:$AC$1,0))</f>
        <v>34.700000000000003</v>
      </c>
      <c r="V91" s="51">
        <v>43.1</v>
      </c>
      <c r="W91" s="49">
        <f>INDEX(Annual!$A:$AC,MATCH(Segment!$A91,Annual!$A:$A,0),MATCH(Segment!W$1,Annual!$A$1:$AC$1,0))</f>
        <v>51.8</v>
      </c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"/>
      <c r="AS91" s="1"/>
      <c r="AT91" s="95"/>
      <c r="AU91" s="96"/>
      <c r="AV91" s="95"/>
      <c r="AW91" s="96"/>
      <c r="AX91" s="75"/>
      <c r="AY91" s="138"/>
      <c r="AZ91" s="138"/>
      <c r="BA91" s="1"/>
      <c r="BB91" s="1"/>
      <c r="BC91" s="1"/>
      <c r="BD91" s="1"/>
    </row>
    <row r="92" spans="1:56" x14ac:dyDescent="0.25">
      <c r="A92" s="137" t="s">
        <v>260</v>
      </c>
      <c r="B92" s="92" t="s">
        <v>259</v>
      </c>
      <c r="C92" s="153" t="s">
        <v>75</v>
      </c>
      <c r="D92" s="51"/>
      <c r="E92" s="51"/>
      <c r="F92" s="51"/>
      <c r="G92" s="51"/>
      <c r="H92" s="51"/>
      <c r="I92" s="49"/>
      <c r="J92" s="51"/>
      <c r="K92" s="49"/>
      <c r="L92" s="51"/>
      <c r="M92" s="49"/>
      <c r="N92" s="51"/>
      <c r="O92" s="49"/>
      <c r="P92" s="51" t="s">
        <v>273</v>
      </c>
      <c r="Q92" s="49"/>
      <c r="R92" s="51" t="s">
        <v>273</v>
      </c>
      <c r="S92" s="49"/>
      <c r="T92" s="51" t="s">
        <v>273</v>
      </c>
      <c r="U92" s="49"/>
      <c r="V92" s="51" t="s">
        <v>273</v>
      </c>
      <c r="W92" s="4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  <c r="AM92" s="159"/>
      <c r="AN92" s="159"/>
      <c r="AO92" s="159"/>
      <c r="AP92" s="159"/>
      <c r="AQ92" s="159"/>
      <c r="AR92" s="1"/>
      <c r="AS92" s="1"/>
      <c r="AT92" s="95"/>
      <c r="AU92" s="96"/>
      <c r="AV92" s="95"/>
      <c r="AW92" s="96"/>
      <c r="AX92" s="75"/>
      <c r="AY92" s="138"/>
      <c r="AZ92" s="138"/>
      <c r="BA92" s="1"/>
      <c r="BB92" s="1"/>
      <c r="BC92" s="1"/>
      <c r="BD92" s="1"/>
    </row>
    <row r="93" spans="1:56" x14ac:dyDescent="0.25">
      <c r="A93" s="80" t="s">
        <v>260</v>
      </c>
      <c r="B93" s="92" t="s">
        <v>261</v>
      </c>
      <c r="C93" s="153" t="s">
        <v>75</v>
      </c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>
        <v>2.2999999999999998</v>
      </c>
      <c r="Q93" s="49">
        <v>2.4</v>
      </c>
      <c r="R93" s="51">
        <v>3</v>
      </c>
      <c r="S93" s="49">
        <v>3.7</v>
      </c>
      <c r="T93" s="51">
        <v>1</v>
      </c>
      <c r="U93" s="49">
        <f>INDEX(Annual!$A:$AC,MATCH(Segment!$A93,Annual!$A:$A,0),MATCH(Segment!U$1,Annual!$A$1:$AC$1,0))-T93</f>
        <v>1.9</v>
      </c>
      <c r="V93" s="51">
        <v>1.1000000000000001</v>
      </c>
      <c r="W93" s="49">
        <f>INDEX(Annual!$A:$AC,MATCH(Segment!$A93,Annual!$A:$A,0),MATCH(Segment!W$1,Annual!$A$1:$AC$1,0))-V93</f>
        <v>-1.1000000000000001</v>
      </c>
      <c r="X93" s="51"/>
      <c r="Y93" s="51"/>
      <c r="Z93" s="51"/>
      <c r="AA93" s="51"/>
      <c r="AB93" s="51"/>
      <c r="AC93" s="1"/>
      <c r="AD93" s="1"/>
      <c r="AE93" s="95"/>
      <c r="AF93" s="96"/>
      <c r="AG93" s="95"/>
      <c r="AH93" s="96"/>
      <c r="AI93" s="95"/>
      <c r="AJ93" s="96"/>
      <c r="AK93" s="1"/>
      <c r="AL93" s="1"/>
      <c r="AM93" s="1"/>
      <c r="AN93" s="1"/>
      <c r="AO93" s="1"/>
      <c r="AP93" s="1"/>
      <c r="AQ93" s="1"/>
      <c r="AR93" s="1"/>
      <c r="AS93" s="1"/>
      <c r="AT93" s="95"/>
      <c r="AU93" s="96"/>
      <c r="AV93" s="95"/>
      <c r="AW93" s="96"/>
      <c r="AX93" s="117"/>
      <c r="AY93" s="1"/>
      <c r="AZ93" s="1"/>
      <c r="BA93" s="1"/>
      <c r="BB93" s="1"/>
      <c r="BC93" s="1"/>
      <c r="BD93" s="1"/>
    </row>
    <row r="94" spans="1:56" x14ac:dyDescent="0.25">
      <c r="A94" s="80" t="s">
        <v>446</v>
      </c>
      <c r="B94" s="92" t="s">
        <v>447</v>
      </c>
      <c r="C94" s="153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51"/>
      <c r="Y94" s="51"/>
      <c r="Z94" s="51"/>
      <c r="AA94" s="51"/>
      <c r="AB94" s="51"/>
      <c r="AC94" s="1"/>
      <c r="AD94" s="1"/>
      <c r="AE94" s="95"/>
      <c r="AF94" s="96"/>
      <c r="AG94" s="95"/>
      <c r="AH94" s="96"/>
      <c r="AI94" s="95"/>
      <c r="AJ94" s="96"/>
      <c r="AK94" s="1"/>
      <c r="AL94" s="1"/>
      <c r="AM94" s="1"/>
      <c r="AN94" s="1"/>
      <c r="AO94" s="1"/>
      <c r="AP94" s="1"/>
      <c r="AQ94" s="1"/>
      <c r="AR94" s="1"/>
      <c r="AS94" s="1"/>
      <c r="AT94" s="95"/>
      <c r="AU94" s="96"/>
      <c r="AV94" s="95"/>
      <c r="AW94" s="96"/>
      <c r="AX94" s="117"/>
      <c r="AY94" s="1"/>
      <c r="AZ94" s="1"/>
      <c r="BA94" s="1"/>
      <c r="BB94" s="1"/>
      <c r="BC94" s="1"/>
      <c r="BD94" s="1"/>
    </row>
    <row r="95" spans="1:56" x14ac:dyDescent="0.25">
      <c r="A95" s="288"/>
      <c r="B95" s="289"/>
      <c r="C95" s="153"/>
      <c r="D95" s="51"/>
      <c r="E95" s="51"/>
      <c r="F95" s="51"/>
      <c r="G95" s="51"/>
      <c r="H95" s="51"/>
      <c r="I95" s="49"/>
      <c r="J95" s="51"/>
      <c r="K95" s="49"/>
      <c r="L95" s="51"/>
      <c r="M95" s="49"/>
      <c r="N95" s="51"/>
      <c r="O95" s="49"/>
      <c r="P95" s="51"/>
      <c r="Q95" s="49"/>
      <c r="R95" s="51"/>
      <c r="S95" s="49"/>
      <c r="T95" s="51"/>
      <c r="U95" s="49"/>
      <c r="V95" s="51"/>
      <c r="W95" s="4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  <c r="AN95" s="159"/>
      <c r="AO95" s="159"/>
      <c r="AP95" s="159"/>
      <c r="AQ95" s="159"/>
      <c r="AR95" s="1"/>
      <c r="AS95" s="1"/>
      <c r="AT95" s="95"/>
      <c r="AU95" s="96"/>
      <c r="AV95" s="95"/>
      <c r="AW95" s="96"/>
      <c r="AX95" s="89"/>
      <c r="AY95" s="138"/>
      <c r="AZ95" s="138"/>
      <c r="BA95" s="1"/>
      <c r="BB95" s="1"/>
      <c r="BC95" s="1"/>
      <c r="BD95" s="1"/>
    </row>
    <row r="96" spans="1:56" x14ac:dyDescent="0.25">
      <c r="A96" s="137" t="s">
        <v>263</v>
      </c>
      <c r="B96" s="92" t="s">
        <v>264</v>
      </c>
      <c r="C96" s="93" t="s">
        <v>6</v>
      </c>
      <c r="D96" s="51" t="s">
        <v>265</v>
      </c>
      <c r="E96" s="51"/>
      <c r="F96" s="127">
        <v>1.1000000000000001</v>
      </c>
      <c r="G96" s="126">
        <v>1.1299999999999999</v>
      </c>
      <c r="H96" s="127">
        <v>1.1399999999999999</v>
      </c>
      <c r="I96" s="126">
        <v>1.1000000000000001</v>
      </c>
      <c r="J96" s="127">
        <v>1.1000000000000001</v>
      </c>
      <c r="K96" s="126">
        <v>1.1399999999999999</v>
      </c>
      <c r="L96" s="127">
        <v>1.1100000000000001</v>
      </c>
      <c r="M96" s="126">
        <v>1.07</v>
      </c>
      <c r="N96" s="127">
        <v>1.08</v>
      </c>
      <c r="O96" s="126">
        <v>1.1200000000000001</v>
      </c>
      <c r="P96" s="127">
        <v>1.1399999999999999</v>
      </c>
      <c r="Q96" s="126">
        <v>1.1599999999999999</v>
      </c>
      <c r="R96" s="127">
        <v>1.19</v>
      </c>
      <c r="S96" s="126">
        <v>1.19</v>
      </c>
      <c r="T96" s="127">
        <v>1.17</v>
      </c>
      <c r="U96" s="126">
        <f>INDEX(Annual!$A:$AC,MATCH(Segment!$A96,Annual!$A:$A,0),MATCH(Segment!U$1,Annual!$A$1:$AC$1,0))</f>
        <v>1.17</v>
      </c>
      <c r="V96" s="127">
        <v>1.18</v>
      </c>
      <c r="W96" s="126">
        <f>INDEX(Annual!$A:$AC,MATCH(Segment!$A96,Annual!$A:$A,0),MATCH(Segment!W$1,Annual!$A$1:$AC$1,0))</f>
        <v>1.1499999999999999</v>
      </c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"/>
      <c r="AS96" s="1"/>
      <c r="AT96" s="95"/>
      <c r="AU96" s="96"/>
      <c r="AV96" s="95"/>
      <c r="AW96" s="96"/>
      <c r="AX96" s="89"/>
      <c r="AY96" s="138"/>
      <c r="AZ96" s="138"/>
      <c r="BA96" s="1"/>
      <c r="BB96" s="1"/>
      <c r="BC96" s="1"/>
      <c r="BD96" s="1"/>
    </row>
    <row r="97" spans="1:56" x14ac:dyDescent="0.25">
      <c r="A97" s="137" t="s">
        <v>266</v>
      </c>
      <c r="B97" s="92" t="s">
        <v>267</v>
      </c>
      <c r="C97" s="93" t="s">
        <v>6</v>
      </c>
      <c r="D97" s="51" t="s">
        <v>268</v>
      </c>
      <c r="E97" s="51"/>
      <c r="F97" s="51"/>
      <c r="G97" s="51"/>
      <c r="H97" s="51"/>
      <c r="I97" s="125">
        <v>0.01</v>
      </c>
      <c r="J97" s="51"/>
      <c r="K97" s="125">
        <v>5.0000000000000001E-3</v>
      </c>
      <c r="L97" s="51"/>
      <c r="M97" s="125">
        <v>8.0000000000000002E-3</v>
      </c>
      <c r="N97" s="51"/>
      <c r="O97" s="125">
        <v>1.4E-2</v>
      </c>
      <c r="P97" s="139">
        <v>1E-3</v>
      </c>
      <c r="Q97" s="125">
        <v>6.0000000000000001E-3</v>
      </c>
      <c r="R97" s="139">
        <v>1.6E-2</v>
      </c>
      <c r="S97" s="125">
        <v>0.01</v>
      </c>
      <c r="T97" s="139">
        <v>1.6E-2</v>
      </c>
      <c r="U97" s="125">
        <f>INDEX(Annual!$A:$AC,MATCH(Segment!$A97,Annual!$A:$A,0),MATCH(Segment!U$1,Annual!$A$1:$AC$1,0))*2-T97</f>
        <v>9.9999999999999985E-3</v>
      </c>
      <c r="V97" s="139">
        <v>3.0000000000000001E-3</v>
      </c>
      <c r="W97" s="125">
        <f>INDEX(Annual!$A:$AC,MATCH(Segment!$A97,Annual!$A:$A,0),MATCH(Segment!W$1,Annual!$A$1:$AC$1,0))*2-V97</f>
        <v>2.1000000000000001E-2</v>
      </c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"/>
      <c r="AS97" s="1"/>
      <c r="AT97" s="95"/>
      <c r="AU97" s="96"/>
      <c r="AV97" s="95"/>
      <c r="AW97" s="96"/>
      <c r="AX97" s="89"/>
      <c r="AY97" s="138"/>
      <c r="AZ97" s="138"/>
      <c r="BA97" s="1"/>
      <c r="BB97" s="1"/>
      <c r="BC97" s="1"/>
      <c r="BD97" s="1"/>
    </row>
    <row r="98" spans="1:56" x14ac:dyDescent="0.25">
      <c r="A98" s="80"/>
      <c r="B98" s="92" t="s">
        <v>269</v>
      </c>
      <c r="C98" s="93" t="s">
        <v>168</v>
      </c>
      <c r="D98" s="51"/>
      <c r="E98" s="51"/>
      <c r="F98" s="51"/>
      <c r="G98" s="51"/>
      <c r="H98" s="51"/>
      <c r="I98" s="51"/>
      <c r="J98" s="49"/>
      <c r="K98" s="125">
        <v>2.4E-2</v>
      </c>
      <c r="L98" s="125">
        <v>3.5000000000000003E-2</v>
      </c>
      <c r="M98" s="125">
        <v>2.5999999999999999E-2</v>
      </c>
      <c r="N98" s="125">
        <v>2.5000000000000001E-2</v>
      </c>
      <c r="O98" s="125">
        <v>0.04</v>
      </c>
      <c r="P98" s="125">
        <v>9.4E-2</v>
      </c>
      <c r="Q98" s="125">
        <v>8.5000000000000006E-2</v>
      </c>
      <c r="R98" s="125">
        <v>2.5000000000000001E-2</v>
      </c>
      <c r="S98" s="125">
        <v>3.5000000000000003E-2</v>
      </c>
      <c r="T98" s="125">
        <v>3.7999999999999999E-2</v>
      </c>
      <c r="U98" s="125">
        <f>(1+U86)/U96-1</f>
        <v>2.2596289771862343E-2</v>
      </c>
      <c r="V98" s="125">
        <f>(1+V86)/V96-1</f>
        <v>2.2510843296362104E-2</v>
      </c>
      <c r="W98" s="125">
        <f>(1+W86)/W96-1</f>
        <v>2.565050949642167E-2</v>
      </c>
      <c r="X98" s="51"/>
      <c r="Y98" s="51"/>
      <c r="Z98" s="51"/>
      <c r="AA98" s="51"/>
      <c r="AB98" s="51"/>
      <c r="AC98" s="1"/>
      <c r="AD98" s="1"/>
      <c r="AE98" s="95"/>
      <c r="AF98" s="96"/>
      <c r="AG98" s="95"/>
      <c r="AH98" s="96"/>
      <c r="AI98" s="95"/>
      <c r="AJ98" s="96"/>
      <c r="AK98" s="1"/>
      <c r="AL98" s="1"/>
      <c r="AM98" s="1"/>
      <c r="AN98" s="1"/>
      <c r="AO98" s="1"/>
      <c r="AP98" s="1"/>
      <c r="AQ98" s="1"/>
      <c r="AR98" s="1"/>
      <c r="AS98" s="1"/>
      <c r="AT98" s="95"/>
      <c r="AU98" s="96"/>
      <c r="AV98" s="95"/>
      <c r="AW98" s="96"/>
      <c r="AX98" s="96"/>
      <c r="AY98" s="1"/>
      <c r="AZ98" s="1"/>
      <c r="BA98" s="1"/>
      <c r="BB98" s="1"/>
      <c r="BC98" s="1"/>
      <c r="BD98" s="1"/>
    </row>
    <row r="99" spans="1:56" x14ac:dyDescent="0.25">
      <c r="A99" s="288"/>
      <c r="B99" s="289"/>
      <c r="C99" s="93"/>
      <c r="D99" s="51"/>
      <c r="E99" s="51"/>
      <c r="F99" s="51"/>
      <c r="G99" s="51"/>
      <c r="H99" s="51"/>
      <c r="I99" s="49"/>
      <c r="J99" s="51"/>
      <c r="K99" s="49"/>
      <c r="L99" s="51"/>
      <c r="M99" s="49"/>
      <c r="N99" s="51"/>
      <c r="O99" s="49"/>
      <c r="P99" s="51"/>
      <c r="Q99" s="49"/>
      <c r="R99" s="51"/>
      <c r="S99" s="49"/>
      <c r="T99" s="51"/>
      <c r="U99" s="49"/>
      <c r="V99" s="51"/>
      <c r="W99" s="4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  <c r="AN99" s="159"/>
      <c r="AO99" s="159"/>
      <c r="AP99" s="159"/>
      <c r="AQ99" s="159"/>
      <c r="AR99" s="1"/>
      <c r="AS99" s="1"/>
      <c r="AT99" s="95"/>
      <c r="AU99" s="96"/>
      <c r="AV99" s="95"/>
      <c r="AW99" s="96"/>
      <c r="AX99" s="157"/>
      <c r="AY99" s="138"/>
      <c r="AZ99" s="138"/>
      <c r="BA99" s="1"/>
      <c r="BB99" s="1"/>
      <c r="BC99" s="1"/>
      <c r="BD99" s="1"/>
    </row>
    <row r="100" spans="1:56" x14ac:dyDescent="0.25">
      <c r="A100" s="137" t="s">
        <v>270</v>
      </c>
      <c r="B100" s="92" t="s">
        <v>271</v>
      </c>
      <c r="C100" s="153" t="s">
        <v>272</v>
      </c>
      <c r="D100" s="51" t="s">
        <v>179</v>
      </c>
      <c r="E100" s="51"/>
      <c r="F100" s="51"/>
      <c r="G100" s="51"/>
      <c r="H100" s="51"/>
      <c r="I100" s="49">
        <v>5.0999999999999996</v>
      </c>
      <c r="J100" s="51">
        <v>5.5</v>
      </c>
      <c r="K100" s="49">
        <v>5.4</v>
      </c>
      <c r="L100" s="51">
        <v>5.6</v>
      </c>
      <c r="M100" s="49">
        <v>5.5</v>
      </c>
      <c r="N100" s="51">
        <v>5.8</v>
      </c>
      <c r="O100" s="49">
        <v>5.9</v>
      </c>
      <c r="P100" s="51">
        <v>6</v>
      </c>
      <c r="Q100" s="49">
        <v>6.2</v>
      </c>
      <c r="R100" s="51">
        <v>6.5</v>
      </c>
      <c r="S100" s="49">
        <v>6.7</v>
      </c>
      <c r="T100" s="209">
        <v>6.8</v>
      </c>
      <c r="U100" s="49" t="str">
        <f>INDEX(Annual!$A:$AC,MATCH(Segment!$A100,Annual!$A:$A,0),MATCH(Segment!U$1,Annual!$A$1:$AC$1,0))</f>
        <v>NR</v>
      </c>
      <c r="V100" s="209">
        <v>7</v>
      </c>
      <c r="W100" s="49" t="str">
        <f>INDEX(Annual!$A:$AC,MATCH(Segment!$A100,Annual!$A:$A,0),MATCH(Segment!W$1,Annual!$A$1:$AC$1,0))</f>
        <v>NR</v>
      </c>
      <c r="X100" s="49">
        <v>7.7</v>
      </c>
      <c r="Y100" s="49" t="e">
        <v>#VALUE!</v>
      </c>
      <c r="Z100" s="49">
        <v>8.5</v>
      </c>
      <c r="AA100" s="49" t="e">
        <v>#VALUE!</v>
      </c>
      <c r="AB100" s="49">
        <v>9.4</v>
      </c>
      <c r="AC100" s="49" t="e">
        <v>#VALUE!</v>
      </c>
      <c r="AD100" s="49">
        <v>10.3</v>
      </c>
      <c r="AE100" s="49" t="e">
        <v>#VALUE!</v>
      </c>
      <c r="AF100" s="49">
        <v>11.3</v>
      </c>
      <c r="AG100" s="49" t="e">
        <v>#VALUE!</v>
      </c>
      <c r="AH100" s="210">
        <v>12.5</v>
      </c>
      <c r="AI100" s="49" t="e">
        <v>#VALUE!</v>
      </c>
      <c r="AJ100" s="49">
        <v>13.7</v>
      </c>
      <c r="AK100" s="49" t="e">
        <v>#VALUE!</v>
      </c>
      <c r="AL100" s="49">
        <v>15.1</v>
      </c>
      <c r="AM100" s="49" t="e">
        <v>#VALUE!</v>
      </c>
      <c r="AN100" s="49">
        <v>16.600000000000001</v>
      </c>
      <c r="AO100" s="49" t="e">
        <v>#VALUE!</v>
      </c>
      <c r="AP100" s="49">
        <v>18.2</v>
      </c>
      <c r="AQ100" s="49" t="e">
        <v>#VALUE!</v>
      </c>
      <c r="AR100" s="1"/>
      <c r="AS100" s="1"/>
      <c r="AT100" s="95">
        <v>7.3</v>
      </c>
      <c r="AU100" s="96">
        <v>-0.3</v>
      </c>
      <c r="AV100" s="95" t="e">
        <v>#VALUE!</v>
      </c>
      <c r="AW100" s="96" t="e">
        <v>#VALUE!</v>
      </c>
      <c r="AX100" s="96"/>
      <c r="AY100" s="138"/>
      <c r="AZ100" s="138"/>
      <c r="BA100" s="1"/>
      <c r="BB100" s="1"/>
      <c r="BC100" s="1"/>
      <c r="BD100" s="1"/>
    </row>
    <row r="101" spans="1:56" x14ac:dyDescent="0.25">
      <c r="A101" s="137" t="s">
        <v>274</v>
      </c>
      <c r="B101" s="92" t="s">
        <v>275</v>
      </c>
      <c r="C101" s="153"/>
      <c r="D101" s="51"/>
      <c r="E101" s="51"/>
      <c r="F101" s="51"/>
      <c r="G101" s="51"/>
      <c r="H101" s="51"/>
      <c r="I101" s="49">
        <v>0</v>
      </c>
      <c r="J101" s="51"/>
      <c r="K101" s="49">
        <v>0</v>
      </c>
      <c r="L101" s="51"/>
      <c r="M101" s="49">
        <v>0</v>
      </c>
      <c r="N101" s="51"/>
      <c r="O101" s="49">
        <v>0</v>
      </c>
      <c r="P101" s="51">
        <v>5.4</v>
      </c>
      <c r="Q101" s="49">
        <v>5.5</v>
      </c>
      <c r="R101" s="51">
        <v>5.6</v>
      </c>
      <c r="S101" s="49">
        <v>0</v>
      </c>
      <c r="T101" s="51" t="s">
        <v>273</v>
      </c>
      <c r="U101" s="49">
        <f>INDEX(Annual!$A:$AC,MATCH(Segment!$A101,Annual!$A:$A,0),MATCH(Segment!U$1,Annual!$A$1:$AC$1,0))</f>
        <v>0</v>
      </c>
      <c r="V101" s="51" t="s">
        <v>273</v>
      </c>
      <c r="W101" s="49">
        <f>INDEX(Annual!$A:$AC,MATCH(Segment!$A101,Annual!$A:$A,0),MATCH(Segment!W$1,Annual!$A$1:$AC$1,0))</f>
        <v>0</v>
      </c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  <c r="AM101" s="159"/>
      <c r="AN101" s="159"/>
      <c r="AO101" s="159"/>
      <c r="AP101" s="159"/>
      <c r="AQ101" s="159"/>
      <c r="AR101" s="1"/>
      <c r="AS101" s="1"/>
      <c r="AT101" s="95"/>
      <c r="AU101" s="96"/>
      <c r="AV101" s="95"/>
      <c r="AW101" s="96"/>
      <c r="AX101" s="96"/>
      <c r="AY101" s="138"/>
      <c r="AZ101" s="138"/>
      <c r="BA101" s="1"/>
      <c r="BB101" s="1"/>
      <c r="BC101" s="1"/>
      <c r="BD101" s="1"/>
    </row>
    <row r="102" spans="1:56" x14ac:dyDescent="0.25">
      <c r="A102" s="137" t="s">
        <v>276</v>
      </c>
      <c r="B102" s="107" t="s">
        <v>277</v>
      </c>
      <c r="C102" s="93" t="s">
        <v>272</v>
      </c>
      <c r="D102" s="51" t="s">
        <v>179</v>
      </c>
      <c r="E102" s="51"/>
      <c r="F102" s="51"/>
      <c r="G102" s="51"/>
      <c r="H102" s="51">
        <v>280</v>
      </c>
      <c r="I102" s="49">
        <v>345</v>
      </c>
      <c r="J102" s="51">
        <v>389</v>
      </c>
      <c r="K102" s="49">
        <v>435</v>
      </c>
      <c r="L102" s="51">
        <v>475</v>
      </c>
      <c r="M102" s="49">
        <v>539</v>
      </c>
      <c r="N102" s="51">
        <v>576</v>
      </c>
      <c r="O102" s="49">
        <v>637</v>
      </c>
      <c r="P102" s="51">
        <v>714</v>
      </c>
      <c r="Q102" s="49">
        <v>810</v>
      </c>
      <c r="R102" s="51">
        <v>903</v>
      </c>
      <c r="S102" s="49" t="s">
        <v>273</v>
      </c>
      <c r="T102" s="51" t="s">
        <v>273</v>
      </c>
      <c r="U102" s="49" t="str">
        <f>INDEX(Annual!$A:$AC,MATCH(Segment!$A102,Annual!$A:$A,0),MATCH(Segment!U$1,Annual!$A$1:$AC$1,0))</f>
        <v>NR</v>
      </c>
      <c r="V102" s="51" t="s">
        <v>273</v>
      </c>
      <c r="W102" s="49" t="str">
        <f>INDEX(Annual!$A:$AC,MATCH(Segment!$A102,Annual!$A:$A,0),MATCH(Segment!W$1,Annual!$A$1:$AC$1,0))</f>
        <v>NR</v>
      </c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  <c r="AN102" s="159"/>
      <c r="AO102" s="159"/>
      <c r="AP102" s="159"/>
      <c r="AQ102" s="159"/>
      <c r="AR102" s="1"/>
      <c r="AS102" s="1"/>
      <c r="AT102" s="95"/>
      <c r="AU102" s="96"/>
      <c r="AV102" s="95"/>
      <c r="AW102" s="96"/>
      <c r="AX102" s="96"/>
      <c r="AY102" s="138"/>
      <c r="AZ102" s="138"/>
      <c r="BA102" s="1"/>
      <c r="BB102" s="1"/>
      <c r="BC102" s="1"/>
      <c r="BD102" s="1"/>
    </row>
    <row r="103" spans="1:56" x14ac:dyDescent="0.25">
      <c r="A103" s="137" t="s">
        <v>278</v>
      </c>
      <c r="B103" s="107" t="s">
        <v>279</v>
      </c>
      <c r="C103" s="93" t="s">
        <v>75</v>
      </c>
      <c r="D103" s="51"/>
      <c r="E103" s="51"/>
      <c r="F103" s="51"/>
      <c r="G103" s="51"/>
      <c r="H103" s="49">
        <v>0.21</v>
      </c>
      <c r="I103" s="49">
        <v>0.2</v>
      </c>
      <c r="J103" s="49">
        <v>0.21</v>
      </c>
      <c r="K103" s="49">
        <v>0.23</v>
      </c>
      <c r="L103" s="49">
        <v>0.23</v>
      </c>
      <c r="M103" s="49">
        <v>0.25</v>
      </c>
      <c r="N103" s="49">
        <v>0.27</v>
      </c>
      <c r="O103" s="49">
        <v>0.3</v>
      </c>
      <c r="P103" s="49">
        <v>0.32</v>
      </c>
      <c r="Q103" s="49">
        <v>0.34</v>
      </c>
      <c r="R103" s="49">
        <v>0.35</v>
      </c>
      <c r="S103" s="49"/>
      <c r="T103" s="49" t="e">
        <v>#VALUE!</v>
      </c>
      <c r="U103" s="49"/>
      <c r="V103" s="49" t="e">
        <v>#VALUE!</v>
      </c>
      <c r="W103" s="4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"/>
      <c r="AS103" s="1"/>
      <c r="AT103" s="95"/>
      <c r="AU103" s="96"/>
      <c r="AV103" s="95"/>
      <c r="AW103" s="96"/>
      <c r="AX103" s="96"/>
      <c r="AY103" s="138"/>
      <c r="AZ103" s="138"/>
      <c r="BA103" s="1"/>
      <c r="BB103" s="1"/>
      <c r="BC103" s="1"/>
      <c r="BD103" s="1"/>
    </row>
    <row r="104" spans="1:56" x14ac:dyDescent="0.25">
      <c r="A104" s="288"/>
      <c r="B104" s="288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97"/>
      <c r="T104" s="159"/>
      <c r="U104" s="197"/>
      <c r="V104" s="159"/>
      <c r="W104" s="197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"/>
      <c r="AS104" s="1"/>
      <c r="AT104" s="207"/>
      <c r="AU104" s="208"/>
      <c r="AV104" s="207"/>
      <c r="AW104" s="208"/>
      <c r="AX104" s="96"/>
      <c r="AY104" s="138"/>
      <c r="AZ104" s="138"/>
      <c r="BA104" s="1"/>
      <c r="BB104" s="1"/>
      <c r="BC104" s="1"/>
      <c r="BD104" s="1"/>
    </row>
    <row r="105" spans="1:56" x14ac:dyDescent="0.25">
      <c r="A105" s="137"/>
      <c r="B105" s="211" t="s">
        <v>248</v>
      </c>
      <c r="C105" s="212"/>
      <c r="D105" s="213"/>
      <c r="E105" s="213"/>
      <c r="F105" s="213"/>
      <c r="G105" s="213"/>
      <c r="H105" s="213"/>
      <c r="I105" s="213"/>
      <c r="J105" s="213"/>
      <c r="K105" s="213"/>
      <c r="L105" s="213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214"/>
      <c r="AJ105" s="214"/>
      <c r="AK105" s="214"/>
      <c r="AL105" s="214"/>
      <c r="AM105" s="214"/>
      <c r="AN105" s="214"/>
      <c r="AO105" s="214"/>
      <c r="AP105" s="214"/>
      <c r="AQ105" s="214"/>
      <c r="AR105" s="1"/>
      <c r="AS105" s="1"/>
      <c r="AT105" s="116"/>
      <c r="AU105" s="117"/>
      <c r="AV105" s="116"/>
      <c r="AW105" s="117"/>
      <c r="AX105" s="96"/>
      <c r="AY105" s="138"/>
      <c r="AZ105" s="138"/>
      <c r="BA105" s="1"/>
      <c r="BB105" s="1"/>
      <c r="BC105" s="1"/>
      <c r="BD105" s="1"/>
    </row>
    <row r="106" spans="1:56" x14ac:dyDescent="0.25">
      <c r="A106" s="288"/>
      <c r="B106" s="289"/>
      <c r="C106" s="153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263">
        <f t="shared" ref="V106:W106" si="163">V107-T107</f>
        <v>14.3</v>
      </c>
      <c r="W106" s="263">
        <f t="shared" si="163"/>
        <v>17.099999999999994</v>
      </c>
      <c r="X106" s="263">
        <f>X107-V107</f>
        <v>19.394999999999996</v>
      </c>
      <c r="Y106" s="263">
        <f t="shared" ref="Y106:AA106" si="164">Y107-W107</f>
        <v>23.310000000000002</v>
      </c>
      <c r="Z106" s="263">
        <f t="shared" si="164"/>
        <v>24.997999999999998</v>
      </c>
      <c r="AA106" s="263">
        <f t="shared" si="164"/>
        <v>30.043999999999997</v>
      </c>
      <c r="AB106" s="263">
        <f t="shared" ref="AB106" si="165">AB107-Z107</f>
        <v>30.622550000000004</v>
      </c>
      <c r="AC106" s="263">
        <f t="shared" ref="AC106" si="166">AC107-AA107</f>
        <v>36.803899999999999</v>
      </c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1"/>
      <c r="AS106" s="1"/>
      <c r="AT106" s="95"/>
      <c r="AU106" s="96"/>
      <c r="AV106" s="95"/>
      <c r="AW106" s="96"/>
      <c r="AX106" s="96"/>
      <c r="AY106" s="138"/>
      <c r="AZ106" s="138"/>
      <c r="BA106" s="1"/>
      <c r="BB106" s="1"/>
      <c r="BC106" s="1"/>
      <c r="BD106" s="1"/>
    </row>
    <row r="107" spans="1:56" x14ac:dyDescent="0.25">
      <c r="A107" s="137"/>
      <c r="B107" s="215" t="s">
        <v>257</v>
      </c>
      <c r="C107" s="216"/>
      <c r="D107" s="217"/>
      <c r="E107" s="217"/>
      <c r="F107" s="217"/>
      <c r="G107" s="217"/>
      <c r="H107" s="218">
        <v>4.9000000000000004</v>
      </c>
      <c r="I107" s="218">
        <v>5.4</v>
      </c>
      <c r="J107" s="218">
        <v>5.9</v>
      </c>
      <c r="K107" s="218">
        <v>6.5</v>
      </c>
      <c r="L107" s="218">
        <v>7.2</v>
      </c>
      <c r="M107" s="217">
        <v>7.9</v>
      </c>
      <c r="N107" s="217">
        <v>8.5</v>
      </c>
      <c r="O107" s="217">
        <v>9</v>
      </c>
      <c r="P107" s="217">
        <v>17.7</v>
      </c>
      <c r="Q107" s="217">
        <v>17.5</v>
      </c>
      <c r="R107" s="217">
        <v>21.2</v>
      </c>
      <c r="S107" s="217">
        <v>26.5</v>
      </c>
      <c r="T107" s="217">
        <v>28.8</v>
      </c>
      <c r="U107" s="217">
        <f>U91</f>
        <v>34.700000000000003</v>
      </c>
      <c r="V107" s="217">
        <f>V91</f>
        <v>43.1</v>
      </c>
      <c r="W107" s="217">
        <f>W91</f>
        <v>51.8</v>
      </c>
      <c r="X107" s="277">
        <f t="shared" ref="X107:AQ107" si="167">V107*(1+X108)</f>
        <v>62.494999999999997</v>
      </c>
      <c r="Y107" s="277">
        <f t="shared" si="167"/>
        <v>75.11</v>
      </c>
      <c r="Z107" s="277">
        <f t="shared" si="167"/>
        <v>87.492999999999995</v>
      </c>
      <c r="AA107" s="277">
        <f t="shared" si="167"/>
        <v>105.154</v>
      </c>
      <c r="AB107" s="277">
        <f t="shared" si="167"/>
        <v>118.11555</v>
      </c>
      <c r="AC107" s="277">
        <f t="shared" si="167"/>
        <v>141.9579</v>
      </c>
      <c r="AD107" s="277">
        <f t="shared" si="167"/>
        <v>153.55021500000001</v>
      </c>
      <c r="AE107" s="277">
        <f t="shared" si="167"/>
        <v>184.54526999999999</v>
      </c>
      <c r="AF107" s="277">
        <f t="shared" si="167"/>
        <v>199.61527950000001</v>
      </c>
      <c r="AG107" s="277">
        <f t="shared" si="167"/>
        <v>239.908851</v>
      </c>
      <c r="AH107" s="277">
        <f t="shared" si="167"/>
        <v>259.49986335000006</v>
      </c>
      <c r="AI107" s="277">
        <f t="shared" si="167"/>
        <v>311.88150630000001</v>
      </c>
      <c r="AJ107" s="277">
        <f t="shared" si="167"/>
        <v>337.34982235500007</v>
      </c>
      <c r="AK107" s="277">
        <f t="shared" si="167"/>
        <v>405.44595819000006</v>
      </c>
      <c r="AL107" s="277">
        <f t="shared" si="167"/>
        <v>438.55476906150011</v>
      </c>
      <c r="AM107" s="277">
        <f t="shared" si="167"/>
        <v>527.0797456470001</v>
      </c>
      <c r="AN107" s="277">
        <f t="shared" si="167"/>
        <v>570.12119977995019</v>
      </c>
      <c r="AO107" s="277">
        <f t="shared" si="167"/>
        <v>685.20366934110018</v>
      </c>
      <c r="AP107" s="277">
        <f t="shared" si="167"/>
        <v>741.15755971393526</v>
      </c>
      <c r="AQ107" s="277">
        <f t="shared" si="167"/>
        <v>890.76477014343027</v>
      </c>
      <c r="AR107" s="1"/>
      <c r="AS107" s="1"/>
      <c r="AT107" s="219">
        <v>38.9</v>
      </c>
      <c r="AU107" s="220">
        <v>4.2</v>
      </c>
      <c r="AV107" s="219">
        <v>46.8</v>
      </c>
      <c r="AW107" s="220">
        <v>5.2</v>
      </c>
      <c r="AX107" s="96"/>
      <c r="AY107" s="138"/>
      <c r="AZ107" s="138"/>
      <c r="BA107" s="1"/>
      <c r="BB107" s="1"/>
      <c r="BC107" s="1"/>
      <c r="BD107" s="1"/>
    </row>
    <row r="108" spans="1:56" x14ac:dyDescent="0.25">
      <c r="A108" s="137"/>
      <c r="B108" s="107" t="s">
        <v>167</v>
      </c>
      <c r="C108" s="153" t="s">
        <v>168</v>
      </c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126">
        <v>0.14000000000000001</v>
      </c>
      <c r="P108" s="49"/>
      <c r="Q108" s="126">
        <v>0.94</v>
      </c>
      <c r="R108" s="126">
        <v>0.2</v>
      </c>
      <c r="S108" s="126">
        <v>0.51</v>
      </c>
      <c r="T108" s="126">
        <v>0.36</v>
      </c>
      <c r="U108" s="126">
        <f>U107/S107-1</f>
        <v>0.3094339622641511</v>
      </c>
      <c r="V108" s="126">
        <f>V107/T107-1</f>
        <v>0.4965277777777779</v>
      </c>
      <c r="W108" s="126">
        <f>W107/U107-1</f>
        <v>0.49279538904899112</v>
      </c>
      <c r="X108" s="221">
        <v>0.45</v>
      </c>
      <c r="Y108" s="221">
        <v>0.45</v>
      </c>
      <c r="Z108" s="221">
        <v>0.4</v>
      </c>
      <c r="AA108" s="221">
        <v>0.4</v>
      </c>
      <c r="AB108" s="221">
        <v>0.35</v>
      </c>
      <c r="AC108" s="221">
        <v>0.35</v>
      </c>
      <c r="AD108" s="221">
        <v>0.3</v>
      </c>
      <c r="AE108" s="221">
        <v>0.3</v>
      </c>
      <c r="AF108" s="221">
        <v>0.3</v>
      </c>
      <c r="AG108" s="221">
        <v>0.3</v>
      </c>
      <c r="AH108" s="221">
        <v>0.3</v>
      </c>
      <c r="AI108" s="221">
        <v>0.3</v>
      </c>
      <c r="AJ108" s="221">
        <v>0.3</v>
      </c>
      <c r="AK108" s="221">
        <v>0.3</v>
      </c>
      <c r="AL108" s="221">
        <v>0.3</v>
      </c>
      <c r="AM108" s="221">
        <v>0.3</v>
      </c>
      <c r="AN108" s="221">
        <v>0.3</v>
      </c>
      <c r="AO108" s="221">
        <v>0.3</v>
      </c>
      <c r="AP108" s="221">
        <v>0.3</v>
      </c>
      <c r="AQ108" s="221">
        <v>0.3</v>
      </c>
      <c r="AR108" s="1"/>
      <c r="AS108" s="1"/>
      <c r="AT108" s="134">
        <v>0.35</v>
      </c>
      <c r="AU108" s="135">
        <v>0.15</v>
      </c>
      <c r="AV108" s="134">
        <v>0.35</v>
      </c>
      <c r="AW108" s="135">
        <v>0.15</v>
      </c>
      <c r="AX108" s="96"/>
      <c r="AY108" s="138"/>
      <c r="AZ108" s="138"/>
      <c r="BA108" s="1"/>
      <c r="BB108" s="1"/>
      <c r="BC108" s="1"/>
      <c r="BD108" s="1"/>
    </row>
    <row r="109" spans="1:56" x14ac:dyDescent="0.25">
      <c r="A109" s="288"/>
      <c r="B109" s="289"/>
      <c r="C109" s="153"/>
      <c r="D109" s="49"/>
      <c r="E109" s="49"/>
      <c r="F109" s="49"/>
      <c r="G109" s="49"/>
      <c r="H109" s="49"/>
      <c r="I109" s="49"/>
      <c r="J109" s="125">
        <v>6.0999999999999999E-2</v>
      </c>
      <c r="K109" s="125">
        <v>9.6000000000000002E-2</v>
      </c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1"/>
      <c r="AS109" s="159"/>
      <c r="AT109" s="95"/>
      <c r="AU109" s="96"/>
      <c r="AV109" s="95"/>
      <c r="AW109" s="96"/>
      <c r="AX109" s="159"/>
      <c r="AY109" s="138"/>
      <c r="AZ109" s="138"/>
      <c r="BA109" s="1"/>
      <c r="BB109" s="1"/>
      <c r="BC109" s="1"/>
      <c r="BD109" s="1"/>
    </row>
    <row r="110" spans="1:56" x14ac:dyDescent="0.25">
      <c r="A110" s="137"/>
      <c r="B110" s="215" t="s">
        <v>448</v>
      </c>
      <c r="C110" s="216"/>
      <c r="D110" s="217"/>
      <c r="E110" s="217"/>
      <c r="F110" s="217"/>
      <c r="G110" s="217"/>
      <c r="H110" s="217">
        <v>-4.9000000000000004</v>
      </c>
      <c r="I110" s="217">
        <v>168.5</v>
      </c>
      <c r="J110" s="217">
        <v>178.8</v>
      </c>
      <c r="K110" s="217">
        <v>196</v>
      </c>
      <c r="L110" s="217">
        <v>204.4</v>
      </c>
      <c r="M110" s="217">
        <v>214</v>
      </c>
      <c r="N110" s="217">
        <v>225.3</v>
      </c>
      <c r="O110" s="217">
        <v>248.5</v>
      </c>
      <c r="P110" s="217">
        <v>270.8</v>
      </c>
      <c r="Q110" s="217">
        <v>303.2</v>
      </c>
      <c r="R110" s="217">
        <v>329.4</v>
      </c>
      <c r="S110" s="217">
        <v>366.4</v>
      </c>
      <c r="T110" s="217">
        <v>394.8</v>
      </c>
      <c r="U110" s="278">
        <f>U85-U107</f>
        <v>435.5</v>
      </c>
      <c r="V110" s="278">
        <f>V85-V107</f>
        <v>468</v>
      </c>
      <c r="W110" s="292">
        <f>W85-W107</f>
        <v>502.8</v>
      </c>
      <c r="X110" s="277">
        <f t="shared" ref="X110:AQ110" si="168">V110*(1+X116)+X112+X113</f>
        <v>536.92500000000007</v>
      </c>
      <c r="Y110" s="277">
        <f t="shared" si="168"/>
        <v>576.93015000000003</v>
      </c>
      <c r="Z110" s="277">
        <f t="shared" si="168"/>
        <v>626.52937500000007</v>
      </c>
      <c r="AA110" s="277">
        <f t="shared" si="168"/>
        <v>673.28656725000008</v>
      </c>
      <c r="AB110" s="277">
        <f t="shared" si="168"/>
        <v>749.66376562500011</v>
      </c>
      <c r="AC110" s="277">
        <f t="shared" si="168"/>
        <v>805.68224323875006</v>
      </c>
      <c r="AD110" s="277">
        <f t="shared" si="168"/>
        <v>896.76130429687521</v>
      </c>
      <c r="AE110" s="277">
        <f t="shared" si="168"/>
        <v>963.83983627655641</v>
      </c>
      <c r="AF110" s="277">
        <f t="shared" si="168"/>
        <v>1072.4972077910159</v>
      </c>
      <c r="AG110" s="277">
        <f t="shared" si="168"/>
        <v>1152.7856821764226</v>
      </c>
      <c r="AH110" s="277">
        <f t="shared" si="168"/>
        <v>1282.4582400087015</v>
      </c>
      <c r="AI110" s="277">
        <f t="shared" si="168"/>
        <v>1378.5261141354656</v>
      </c>
      <c r="AJ110" s="277">
        <f t="shared" si="168"/>
        <v>1533.320469673914</v>
      </c>
      <c r="AK110" s="277">
        <f t="shared" si="168"/>
        <v>1648.23856912979</v>
      </c>
      <c r="AL110" s="277">
        <f t="shared" si="168"/>
        <v>1833.0616904806673</v>
      </c>
      <c r="AM110" s="277">
        <f t="shared" si="168"/>
        <v>1970.4999597111123</v>
      </c>
      <c r="AN110" s="277">
        <f t="shared" si="168"/>
        <v>2191.2152628837202</v>
      </c>
      <c r="AO110" s="277">
        <f t="shared" si="168"/>
        <v>2355.5595779757418</v>
      </c>
      <c r="AP110" s="277">
        <f t="shared" si="168"/>
        <v>2619.1734547674023</v>
      </c>
      <c r="AQ110" s="277">
        <f t="shared" si="168"/>
        <v>2815.6652154959261</v>
      </c>
      <c r="AR110" s="1"/>
      <c r="AS110" s="1"/>
      <c r="AT110" s="219">
        <v>460.1</v>
      </c>
      <c r="AU110" s="220">
        <v>7.9</v>
      </c>
      <c r="AV110" s="219">
        <v>507.8</v>
      </c>
      <c r="AW110" s="220">
        <v>4.9000000000000004</v>
      </c>
      <c r="AX110" s="96"/>
      <c r="AY110" s="138"/>
      <c r="AZ110" s="138"/>
      <c r="BA110" s="1"/>
      <c r="BB110" s="1"/>
      <c r="BC110" s="1"/>
      <c r="BD110" s="1"/>
    </row>
    <row r="111" spans="1:56" x14ac:dyDescent="0.25">
      <c r="A111" s="137"/>
      <c r="B111" s="107" t="s">
        <v>167</v>
      </c>
      <c r="C111" s="93" t="s">
        <v>168</v>
      </c>
      <c r="D111" s="49"/>
      <c r="E111" s="49"/>
      <c r="F111" s="49"/>
      <c r="G111" s="49"/>
      <c r="H111" s="49"/>
      <c r="I111" s="49"/>
      <c r="J111" s="49"/>
      <c r="K111" s="126">
        <v>0.16</v>
      </c>
      <c r="L111" s="126">
        <v>0.14000000000000001</v>
      </c>
      <c r="M111" s="126">
        <v>0.09</v>
      </c>
      <c r="N111" s="126">
        <v>0.1</v>
      </c>
      <c r="O111" s="126">
        <v>0.16</v>
      </c>
      <c r="P111" s="126">
        <v>0.2</v>
      </c>
      <c r="Q111" s="126">
        <v>0.22</v>
      </c>
      <c r="R111" s="126">
        <v>0.22</v>
      </c>
      <c r="S111" s="126">
        <v>0.21</v>
      </c>
      <c r="T111" s="126">
        <v>0.2</v>
      </c>
      <c r="U111" s="126">
        <f>U110/S110-1</f>
        <v>0.18859170305676853</v>
      </c>
      <c r="V111" s="126">
        <f>V110/T110-1</f>
        <v>0.18541033434650456</v>
      </c>
      <c r="W111" s="126">
        <f>W110/U110-1</f>
        <v>0.15453501722158447</v>
      </c>
      <c r="X111" s="126">
        <f t="shared" ref="W111:AQ111" si="169">X110/V110-1</f>
        <v>0.14727564102564128</v>
      </c>
      <c r="Y111" s="126">
        <f t="shared" si="169"/>
        <v>0.14743466587112164</v>
      </c>
      <c r="Z111" s="126">
        <f t="shared" si="169"/>
        <v>0.16688434138846198</v>
      </c>
      <c r="AA111" s="126">
        <f t="shared" si="169"/>
        <v>0.16701574228699956</v>
      </c>
      <c r="AB111" s="126">
        <f t="shared" si="169"/>
        <v>0.19653410604251409</v>
      </c>
      <c r="AC111" s="126">
        <f t="shared" si="169"/>
        <v>0.19664089917835792</v>
      </c>
      <c r="AD111" s="126">
        <f t="shared" si="169"/>
        <v>0.19621801855294252</v>
      </c>
      <c r="AE111" s="126">
        <f t="shared" si="169"/>
        <v>0.19630269174362214</v>
      </c>
      <c r="AF111" s="126">
        <f t="shared" si="169"/>
        <v>0.19596731332194373</v>
      </c>
      <c r="AG111" s="126">
        <f t="shared" si="169"/>
        <v>0.19603448497189069</v>
      </c>
      <c r="AH111" s="126">
        <f t="shared" si="169"/>
        <v>0.19576837188241725</v>
      </c>
      <c r="AI111" s="126">
        <f t="shared" si="169"/>
        <v>0.19582168259832322</v>
      </c>
      <c r="AJ111" s="126">
        <f t="shared" si="169"/>
        <v>0.1956104470610367</v>
      </c>
      <c r="AK111" s="126">
        <f t="shared" si="169"/>
        <v>0.1956527716295553</v>
      </c>
      <c r="AL111" s="126">
        <f t="shared" si="169"/>
        <v>0.19548504486508178</v>
      </c>
      <c r="AM111" s="126">
        <f t="shared" si="169"/>
        <v>0.19551865647183875</v>
      </c>
      <c r="AN111" s="126">
        <f t="shared" si="169"/>
        <v>0.19538544407042702</v>
      </c>
      <c r="AO111" s="126">
        <f t="shared" si="169"/>
        <v>0.19541214216572822</v>
      </c>
      <c r="AP111" s="126">
        <f t="shared" si="169"/>
        <v>0.19530632116922786</v>
      </c>
      <c r="AQ111" s="126">
        <f t="shared" si="169"/>
        <v>0.19532753143759485</v>
      </c>
      <c r="AR111" s="1"/>
      <c r="AS111" s="1"/>
      <c r="AT111" s="134">
        <v>0.17</v>
      </c>
      <c r="AU111" s="135">
        <v>0.02</v>
      </c>
      <c r="AV111" s="134">
        <v>0.17</v>
      </c>
      <c r="AW111" s="135">
        <v>0.01</v>
      </c>
      <c r="AX111" s="96"/>
      <c r="AY111" s="138"/>
      <c r="AZ111" s="138"/>
      <c r="BA111" s="1"/>
      <c r="BB111" s="1"/>
      <c r="BC111" s="1"/>
      <c r="BD111" s="1"/>
    </row>
    <row r="112" spans="1:56" x14ac:dyDescent="0.25">
      <c r="A112" s="137"/>
      <c r="B112" s="107" t="s">
        <v>449</v>
      </c>
      <c r="C112" s="153" t="s">
        <v>75</v>
      </c>
      <c r="D112" s="49"/>
      <c r="E112" s="49"/>
      <c r="F112" s="49"/>
      <c r="G112" s="49"/>
      <c r="H112" s="49"/>
      <c r="I112" s="49"/>
      <c r="J112" s="49"/>
      <c r="K112" s="49">
        <v>2.7</v>
      </c>
      <c r="L112" s="49">
        <v>0.7</v>
      </c>
      <c r="M112" s="49">
        <v>13.5</v>
      </c>
      <c r="N112" s="49">
        <v>23.4</v>
      </c>
      <c r="O112" s="49">
        <v>22.2</v>
      </c>
      <c r="P112" s="49">
        <v>14.5</v>
      </c>
      <c r="Q112" s="49">
        <v>18.7</v>
      </c>
      <c r="R112" s="49">
        <v>29.1</v>
      </c>
      <c r="S112" s="49">
        <v>37.5</v>
      </c>
      <c r="T112" s="49">
        <v>34.299999999999997</v>
      </c>
      <c r="U112" s="49">
        <f>U84-S84</f>
        <v>-9</v>
      </c>
      <c r="V112" s="49">
        <f>V84-T84</f>
        <v>0</v>
      </c>
      <c r="W112" s="49">
        <f>W84-U84</f>
        <v>0</v>
      </c>
      <c r="X112" s="49">
        <f t="shared" ref="W112:AQ112" si="170">X84-V84</f>
        <v>0</v>
      </c>
      <c r="Y112" s="49">
        <f t="shared" si="170"/>
        <v>0</v>
      </c>
      <c r="Z112" s="49">
        <f t="shared" si="170"/>
        <v>0</v>
      </c>
      <c r="AA112" s="49">
        <f t="shared" si="170"/>
        <v>0</v>
      </c>
      <c r="AB112" s="49">
        <f t="shared" si="170"/>
        <v>0</v>
      </c>
      <c r="AC112" s="49">
        <f t="shared" si="170"/>
        <v>0</v>
      </c>
      <c r="AD112" s="49">
        <f t="shared" si="170"/>
        <v>0</v>
      </c>
      <c r="AE112" s="49">
        <f t="shared" si="170"/>
        <v>0</v>
      </c>
      <c r="AF112" s="49">
        <f t="shared" si="170"/>
        <v>0</v>
      </c>
      <c r="AG112" s="49">
        <f t="shared" si="170"/>
        <v>0</v>
      </c>
      <c r="AH112" s="49">
        <f t="shared" si="170"/>
        <v>0</v>
      </c>
      <c r="AI112" s="49">
        <f t="shared" si="170"/>
        <v>0</v>
      </c>
      <c r="AJ112" s="49">
        <f t="shared" si="170"/>
        <v>0</v>
      </c>
      <c r="AK112" s="49">
        <f t="shared" si="170"/>
        <v>0</v>
      </c>
      <c r="AL112" s="49">
        <f t="shared" si="170"/>
        <v>0</v>
      </c>
      <c r="AM112" s="49">
        <f t="shared" si="170"/>
        <v>0</v>
      </c>
      <c r="AN112" s="49">
        <f t="shared" si="170"/>
        <v>0</v>
      </c>
      <c r="AO112" s="49">
        <f t="shared" si="170"/>
        <v>0</v>
      </c>
      <c r="AP112" s="49">
        <f t="shared" si="170"/>
        <v>0</v>
      </c>
      <c r="AQ112" s="49">
        <f t="shared" si="170"/>
        <v>0</v>
      </c>
      <c r="AR112" s="1"/>
      <c r="AS112" s="1"/>
      <c r="AT112" s="95">
        <v>0</v>
      </c>
      <c r="AU112" s="96">
        <v>0</v>
      </c>
      <c r="AV112" s="95">
        <v>0</v>
      </c>
      <c r="AW112" s="96">
        <v>0</v>
      </c>
      <c r="AX112" s="96"/>
      <c r="AY112" s="138"/>
      <c r="AZ112" s="138"/>
      <c r="BA112" s="1"/>
      <c r="BB112" s="1"/>
      <c r="BC112" s="1"/>
      <c r="BD112" s="1"/>
    </row>
    <row r="113" spans="1:56" x14ac:dyDescent="0.25">
      <c r="A113" s="137"/>
      <c r="B113" s="107" t="s">
        <v>450</v>
      </c>
      <c r="C113" s="153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>
        <v>0.4</v>
      </c>
      <c r="S113" s="49">
        <v>-0.9</v>
      </c>
      <c r="T113" s="49">
        <v>-2.5</v>
      </c>
      <c r="U113" s="49">
        <f>-(U9-S9)</f>
        <v>-4.8000000000000043</v>
      </c>
      <c r="V113" s="49">
        <f>-(V9-T9)</f>
        <v>-6.3000000000000043</v>
      </c>
      <c r="W113" s="251">
        <f>-(W9-U9)</f>
        <v>-4.7659999999999982</v>
      </c>
      <c r="X113" s="263">
        <f t="shared" ref="W113:X113" si="171">-(X9-V9)/4*2</f>
        <v>1.0650000000000013</v>
      </c>
      <c r="Y113" s="263">
        <f>-(Y9-W9)/4*2</f>
        <v>1.2241500000000016</v>
      </c>
      <c r="Z113" s="263">
        <f t="shared" ref="Z113:AQ113" si="172">-(Z9-X9)/4*2</f>
        <v>1.0117499999999993</v>
      </c>
      <c r="AA113" s="263">
        <f t="shared" si="172"/>
        <v>1.1629424999999998</v>
      </c>
      <c r="AB113" s="263">
        <f t="shared" si="172"/>
        <v>0.96116250000000036</v>
      </c>
      <c r="AC113" s="263">
        <f t="shared" si="172"/>
        <v>1.1047953750000019</v>
      </c>
      <c r="AD113" s="263">
        <f t="shared" si="172"/>
        <v>0.91310437499999964</v>
      </c>
      <c r="AE113" s="263">
        <f t="shared" si="172"/>
        <v>1.0495556062499993</v>
      </c>
      <c r="AF113" s="263">
        <f t="shared" si="172"/>
        <v>0.86744915625000019</v>
      </c>
      <c r="AG113" s="263">
        <f t="shared" si="172"/>
        <v>0.99707782593750238</v>
      </c>
      <c r="AH113" s="263">
        <f t="shared" si="172"/>
        <v>0.82407669843750142</v>
      </c>
      <c r="AI113" s="263">
        <f t="shared" si="172"/>
        <v>0.94722393464062549</v>
      </c>
      <c r="AJ113" s="263">
        <f t="shared" si="172"/>
        <v>0.78287286351562635</v>
      </c>
      <c r="AK113" s="263">
        <f t="shared" si="172"/>
        <v>0.89986273790859528</v>
      </c>
      <c r="AL113" s="263">
        <f t="shared" si="172"/>
        <v>0.74372922033984423</v>
      </c>
      <c r="AM113" s="263">
        <f t="shared" si="172"/>
        <v>0.85486960101316356</v>
      </c>
      <c r="AN113" s="263">
        <f t="shared" si="172"/>
        <v>0.70654275932285238</v>
      </c>
      <c r="AO113" s="263">
        <f t="shared" si="172"/>
        <v>0.8121261209625068</v>
      </c>
      <c r="AP113" s="263">
        <f t="shared" si="172"/>
        <v>0.6712156213567102</v>
      </c>
      <c r="AQ113" s="263">
        <f t="shared" si="172"/>
        <v>0.77151981491438093</v>
      </c>
      <c r="AR113" s="1"/>
      <c r="AS113" s="1"/>
      <c r="AT113" s="95">
        <v>2.2000000000000002</v>
      </c>
      <c r="AU113" s="96">
        <v>-8.5</v>
      </c>
      <c r="AV113" s="95">
        <v>2.7</v>
      </c>
      <c r="AW113" s="96">
        <v>-3.8</v>
      </c>
      <c r="AX113" s="96"/>
      <c r="AY113" s="138"/>
      <c r="AZ113" s="138"/>
      <c r="BA113" s="1"/>
      <c r="BB113" s="1"/>
      <c r="BC113" s="1"/>
      <c r="BD113" s="1"/>
    </row>
    <row r="114" spans="1:56" x14ac:dyDescent="0.25">
      <c r="A114" s="288"/>
      <c r="B114" s="289"/>
      <c r="C114" s="153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1"/>
      <c r="AS114" s="1"/>
      <c r="AT114" s="95"/>
      <c r="AU114" s="96"/>
      <c r="AV114" s="95"/>
      <c r="AW114" s="96"/>
      <c r="AX114" s="96"/>
      <c r="AY114" s="138"/>
      <c r="AZ114" s="138"/>
      <c r="BA114" s="1"/>
      <c r="BB114" s="1"/>
      <c r="BC114" s="1"/>
      <c r="BD114" s="1"/>
    </row>
    <row r="115" spans="1:56" x14ac:dyDescent="0.25">
      <c r="A115" s="137"/>
      <c r="B115" s="107" t="s">
        <v>451</v>
      </c>
      <c r="C115" s="153"/>
      <c r="D115" s="49"/>
      <c r="E115" s="49"/>
      <c r="F115" s="49"/>
      <c r="G115" s="49"/>
      <c r="H115" s="49"/>
      <c r="I115" s="49"/>
      <c r="J115" s="49"/>
      <c r="K115" s="125">
        <v>1.6E-2</v>
      </c>
      <c r="L115" s="125">
        <v>4.0000000000000001E-3</v>
      </c>
      <c r="M115" s="125">
        <v>6.9000000000000006E-2</v>
      </c>
      <c r="N115" s="125">
        <v>0.115</v>
      </c>
      <c r="O115" s="125">
        <v>0.104</v>
      </c>
      <c r="P115" s="125">
        <v>6.5000000000000002E-2</v>
      </c>
      <c r="Q115" s="125">
        <v>7.4999999999999997E-2</v>
      </c>
      <c r="R115" s="125">
        <v>0.109</v>
      </c>
      <c r="S115" s="125">
        <v>0.121</v>
      </c>
      <c r="T115" s="125">
        <v>9.6000000000000002E-2</v>
      </c>
      <c r="U115" s="125">
        <v>1.0999999999999999E-2</v>
      </c>
      <c r="V115" s="256">
        <f>(V112+V113)/T110</f>
        <v>-1.5957446808510647E-2</v>
      </c>
      <c r="W115" s="256">
        <f>(W112+W113)/U110</f>
        <v>-1.0943742824339835E-2</v>
      </c>
      <c r="X115" s="256">
        <f t="shared" ref="X115:AQ115" si="173">(X112+X113)/V110</f>
        <v>2.2756410256410285E-3</v>
      </c>
      <c r="Y115" s="256">
        <f t="shared" si="173"/>
        <v>2.4346658711217216E-3</v>
      </c>
      <c r="Z115" s="256">
        <f t="shared" si="173"/>
        <v>1.884341388462074E-3</v>
      </c>
      <c r="AA115" s="256">
        <f t="shared" si="173"/>
        <v>2.0157422869995609E-3</v>
      </c>
      <c r="AB115" s="256">
        <f t="shared" si="173"/>
        <v>1.5341060425139686E-3</v>
      </c>
      <c r="AC115" s="256">
        <f t="shared" si="173"/>
        <v>1.6408991783579978E-3</v>
      </c>
      <c r="AD115" s="256">
        <f t="shared" si="173"/>
        <v>1.2180185529425153E-3</v>
      </c>
      <c r="AE115" s="256">
        <f t="shared" si="173"/>
        <v>1.3026917436220343E-3</v>
      </c>
      <c r="AF115" s="256">
        <f t="shared" si="173"/>
        <v>9.6731332194372745E-4</v>
      </c>
      <c r="AG115" s="256">
        <f t="shared" si="173"/>
        <v>1.0344849718905049E-3</v>
      </c>
      <c r="AH115" s="256">
        <f t="shared" si="173"/>
        <v>7.6837188241713253E-4</v>
      </c>
      <c r="AI115" s="256">
        <f t="shared" si="173"/>
        <v>8.21682598323304E-4</v>
      </c>
      <c r="AJ115" s="256">
        <f t="shared" si="173"/>
        <v>6.1044706103671222E-4</v>
      </c>
      <c r="AK115" s="256">
        <f t="shared" si="173"/>
        <v>6.5277162955519261E-4</v>
      </c>
      <c r="AL115" s="256">
        <f t="shared" si="173"/>
        <v>4.8504486508160332E-4</v>
      </c>
      <c r="AM115" s="256">
        <f t="shared" si="173"/>
        <v>5.1865647183860263E-4</v>
      </c>
      <c r="AN115" s="256">
        <f t="shared" si="173"/>
        <v>3.8544407042710168E-4</v>
      </c>
      <c r="AO115" s="256">
        <f t="shared" si="173"/>
        <v>4.1214216572811786E-4</v>
      </c>
      <c r="AP115" s="256">
        <f t="shared" si="173"/>
        <v>3.0632116922796787E-4</v>
      </c>
      <c r="AQ115" s="256">
        <f t="shared" si="173"/>
        <v>3.2753143759470905E-4</v>
      </c>
      <c r="AR115" s="1"/>
      <c r="AS115" s="1"/>
      <c r="AT115" s="198">
        <v>6.0000000000000001E-3</v>
      </c>
      <c r="AU115" s="199">
        <v>-2.1999999999999999E-2</v>
      </c>
      <c r="AV115" s="198">
        <v>6.0000000000000001E-3</v>
      </c>
      <c r="AW115" s="199">
        <v>-8.9999999999999993E-3</v>
      </c>
      <c r="AX115" s="96"/>
      <c r="AY115" s="138"/>
      <c r="AZ115" s="138"/>
      <c r="BA115" s="1"/>
      <c r="BB115" s="1"/>
      <c r="BC115" s="1"/>
      <c r="BD115" s="1"/>
    </row>
    <row r="116" spans="1:56" x14ac:dyDescent="0.25">
      <c r="A116" s="137"/>
      <c r="B116" s="107" t="s">
        <v>452</v>
      </c>
      <c r="C116" s="93" t="s">
        <v>168</v>
      </c>
      <c r="D116" s="49"/>
      <c r="E116" s="49"/>
      <c r="F116" s="49"/>
      <c r="G116" s="49"/>
      <c r="H116" s="49"/>
      <c r="I116" s="49"/>
      <c r="J116" s="49"/>
      <c r="K116" s="125">
        <v>0.14699999999999999</v>
      </c>
      <c r="L116" s="125">
        <v>0.13900000000000001</v>
      </c>
      <c r="M116" s="125">
        <v>2.4E-2</v>
      </c>
      <c r="N116" s="125">
        <v>-1.2999999999999999E-2</v>
      </c>
      <c r="O116" s="125">
        <v>5.8000000000000003E-2</v>
      </c>
      <c r="P116" s="125">
        <v>0.13800000000000001</v>
      </c>
      <c r="Q116" s="125">
        <v>0.14499999999999999</v>
      </c>
      <c r="R116" s="125">
        <v>0.109</v>
      </c>
      <c r="S116" s="125">
        <v>8.5000000000000006E-2</v>
      </c>
      <c r="T116" s="125">
        <v>0.10199999999999999</v>
      </c>
      <c r="U116" s="125">
        <v>0.16400000000000001</v>
      </c>
      <c r="V116" s="256">
        <f>((V$110-T$110)-(V112+V113))/T$110</f>
        <v>0.20136778115501519</v>
      </c>
      <c r="W116" s="256">
        <f>((W$110-U$110)-(W112+W113))/U$110</f>
        <v>0.16547876004592424</v>
      </c>
      <c r="X116" s="279">
        <f t="shared" ref="X116:AQ116" si="174">SUM(X117:X120)</f>
        <v>0.14500000000000002</v>
      </c>
      <c r="Y116" s="279">
        <f t="shared" si="174"/>
        <v>0.14500000000000002</v>
      </c>
      <c r="Z116" s="279">
        <f t="shared" si="174"/>
        <v>0.16499999999999998</v>
      </c>
      <c r="AA116" s="279">
        <f t="shared" si="174"/>
        <v>0.16499999999999998</v>
      </c>
      <c r="AB116" s="279">
        <f t="shared" si="174"/>
        <v>0.19500000000000001</v>
      </c>
      <c r="AC116" s="279">
        <f t="shared" si="174"/>
        <v>0.19500000000000001</v>
      </c>
      <c r="AD116" s="279">
        <f t="shared" si="174"/>
        <v>0.19500000000000001</v>
      </c>
      <c r="AE116" s="279">
        <f t="shared" si="174"/>
        <v>0.19500000000000001</v>
      </c>
      <c r="AF116" s="279">
        <f t="shared" si="174"/>
        <v>0.19500000000000001</v>
      </c>
      <c r="AG116" s="279">
        <f t="shared" si="174"/>
        <v>0.19500000000000001</v>
      </c>
      <c r="AH116" s="279">
        <f t="shared" si="174"/>
        <v>0.19500000000000001</v>
      </c>
      <c r="AI116" s="279">
        <f t="shared" si="174"/>
        <v>0.19500000000000001</v>
      </c>
      <c r="AJ116" s="279">
        <f t="shared" si="174"/>
        <v>0.19500000000000001</v>
      </c>
      <c r="AK116" s="279">
        <f t="shared" si="174"/>
        <v>0.19500000000000001</v>
      </c>
      <c r="AL116" s="279">
        <f t="shared" si="174"/>
        <v>0.19500000000000001</v>
      </c>
      <c r="AM116" s="279">
        <f t="shared" si="174"/>
        <v>0.19500000000000001</v>
      </c>
      <c r="AN116" s="279">
        <f t="shared" si="174"/>
        <v>0.19500000000000001</v>
      </c>
      <c r="AO116" s="279">
        <f t="shared" si="174"/>
        <v>0.19500000000000001</v>
      </c>
      <c r="AP116" s="279">
        <f t="shared" si="174"/>
        <v>0.19500000000000001</v>
      </c>
      <c r="AQ116" s="279">
        <f t="shared" si="174"/>
        <v>0.19500000000000001</v>
      </c>
      <c r="AR116" s="1"/>
      <c r="AS116" s="1"/>
      <c r="AT116" s="198">
        <v>0.16</v>
      </c>
      <c r="AU116" s="199">
        <v>4.2000000000000003E-2</v>
      </c>
      <c r="AV116" s="198">
        <v>0.16</v>
      </c>
      <c r="AW116" s="199">
        <v>0.02</v>
      </c>
      <c r="AX116" s="96"/>
      <c r="AY116" s="138"/>
      <c r="AZ116" s="138"/>
      <c r="BA116" s="1"/>
      <c r="BB116" s="1"/>
      <c r="BC116" s="1"/>
      <c r="BD116" s="1"/>
    </row>
    <row r="117" spans="1:56" x14ac:dyDescent="0.25">
      <c r="A117" s="137"/>
      <c r="B117" s="222" t="s">
        <v>453</v>
      </c>
      <c r="C117" s="93" t="s">
        <v>168</v>
      </c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221">
        <v>0.05</v>
      </c>
      <c r="Y117" s="221">
        <v>0.05</v>
      </c>
      <c r="Z117" s="221">
        <v>0.06</v>
      </c>
      <c r="AA117" s="221">
        <v>0.06</v>
      </c>
      <c r="AB117" s="221">
        <v>0.08</v>
      </c>
      <c r="AC117" s="221">
        <v>0.08</v>
      </c>
      <c r="AD117" s="221">
        <v>0.08</v>
      </c>
      <c r="AE117" s="221">
        <v>0.08</v>
      </c>
      <c r="AF117" s="221">
        <v>0.08</v>
      </c>
      <c r="AG117" s="221">
        <v>0.08</v>
      </c>
      <c r="AH117" s="221">
        <v>0.08</v>
      </c>
      <c r="AI117" s="221">
        <v>0.08</v>
      </c>
      <c r="AJ117" s="221">
        <v>0.08</v>
      </c>
      <c r="AK117" s="221">
        <v>0.08</v>
      </c>
      <c r="AL117" s="221">
        <v>0.08</v>
      </c>
      <c r="AM117" s="221">
        <v>0.08</v>
      </c>
      <c r="AN117" s="221">
        <v>0.08</v>
      </c>
      <c r="AO117" s="221">
        <v>0.08</v>
      </c>
      <c r="AP117" s="221">
        <v>0.08</v>
      </c>
      <c r="AQ117" s="221">
        <v>0.08</v>
      </c>
      <c r="AR117" s="1"/>
      <c r="AS117" s="1"/>
      <c r="AT117" s="134">
        <v>0.04</v>
      </c>
      <c r="AU117" s="135">
        <v>-0.04</v>
      </c>
      <c r="AV117" s="134">
        <v>0.04</v>
      </c>
      <c r="AW117" s="135">
        <v>0</v>
      </c>
      <c r="AX117" s="96"/>
      <c r="AY117" s="138"/>
      <c r="AZ117" s="138"/>
      <c r="BA117" s="1"/>
      <c r="BB117" s="1"/>
      <c r="BC117" s="1"/>
      <c r="BD117" s="1"/>
    </row>
    <row r="118" spans="1:56" x14ac:dyDescent="0.25">
      <c r="A118" s="137"/>
      <c r="B118" s="222" t="s">
        <v>454</v>
      </c>
      <c r="C118" s="93" t="s">
        <v>168</v>
      </c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221">
        <v>0</v>
      </c>
      <c r="Y118" s="221">
        <v>0</v>
      </c>
      <c r="Z118" s="221">
        <v>0</v>
      </c>
      <c r="AA118" s="221">
        <v>0</v>
      </c>
      <c r="AB118" s="221">
        <v>0</v>
      </c>
      <c r="AC118" s="221">
        <v>0</v>
      </c>
      <c r="AD118" s="221">
        <v>0</v>
      </c>
      <c r="AE118" s="221">
        <v>0</v>
      </c>
      <c r="AF118" s="221">
        <v>0</v>
      </c>
      <c r="AG118" s="221">
        <v>0</v>
      </c>
      <c r="AH118" s="221">
        <v>0</v>
      </c>
      <c r="AI118" s="221">
        <v>0</v>
      </c>
      <c r="AJ118" s="221">
        <v>0</v>
      </c>
      <c r="AK118" s="221">
        <v>0</v>
      </c>
      <c r="AL118" s="221">
        <v>0</v>
      </c>
      <c r="AM118" s="221">
        <v>0</v>
      </c>
      <c r="AN118" s="221">
        <v>0</v>
      </c>
      <c r="AO118" s="221">
        <v>0</v>
      </c>
      <c r="AP118" s="221">
        <v>0</v>
      </c>
      <c r="AQ118" s="221">
        <v>0</v>
      </c>
      <c r="AR118" s="1"/>
      <c r="AS118" s="159"/>
      <c r="AT118" s="134">
        <v>0.02</v>
      </c>
      <c r="AU118" s="135">
        <v>-0.02</v>
      </c>
      <c r="AV118" s="134">
        <v>0.02</v>
      </c>
      <c r="AW118" s="135">
        <v>0</v>
      </c>
      <c r="AX118" s="159"/>
      <c r="AY118" s="138"/>
      <c r="AZ118" s="138"/>
      <c r="BA118" s="1"/>
      <c r="BB118" s="1"/>
      <c r="BC118" s="1"/>
      <c r="BD118" s="1"/>
    </row>
    <row r="119" spans="1:56" x14ac:dyDescent="0.25">
      <c r="A119" s="137"/>
      <c r="B119" s="222" t="s">
        <v>455</v>
      </c>
      <c r="C119" s="93" t="s">
        <v>168</v>
      </c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221">
        <v>1.4999999999999999E-2</v>
      </c>
      <c r="Y119" s="221">
        <v>1.4999999999999999E-2</v>
      </c>
      <c r="Z119" s="221">
        <v>1.4999999999999999E-2</v>
      </c>
      <c r="AA119" s="221">
        <v>1.4999999999999999E-2</v>
      </c>
      <c r="AB119" s="221">
        <v>1.4999999999999999E-2</v>
      </c>
      <c r="AC119" s="221">
        <v>1.4999999999999999E-2</v>
      </c>
      <c r="AD119" s="221">
        <v>1.4999999999999999E-2</v>
      </c>
      <c r="AE119" s="221">
        <v>1.4999999999999999E-2</v>
      </c>
      <c r="AF119" s="221">
        <v>1.4999999999999999E-2</v>
      </c>
      <c r="AG119" s="221">
        <v>1.4999999999999999E-2</v>
      </c>
      <c r="AH119" s="221">
        <v>1.4999999999999999E-2</v>
      </c>
      <c r="AI119" s="221">
        <v>1.4999999999999999E-2</v>
      </c>
      <c r="AJ119" s="221">
        <v>1.4999999999999999E-2</v>
      </c>
      <c r="AK119" s="221">
        <v>1.4999999999999999E-2</v>
      </c>
      <c r="AL119" s="221">
        <v>1.4999999999999999E-2</v>
      </c>
      <c r="AM119" s="221">
        <v>1.4999999999999999E-2</v>
      </c>
      <c r="AN119" s="221">
        <v>1.4999999999999999E-2</v>
      </c>
      <c r="AO119" s="221">
        <v>1.4999999999999999E-2</v>
      </c>
      <c r="AP119" s="221">
        <v>1.4999999999999999E-2</v>
      </c>
      <c r="AQ119" s="221">
        <v>1.4999999999999999E-2</v>
      </c>
      <c r="AR119" s="1"/>
      <c r="AS119" s="1"/>
      <c r="AT119" s="134">
        <v>0.02</v>
      </c>
      <c r="AU119" s="135">
        <v>-0.02</v>
      </c>
      <c r="AV119" s="134">
        <v>0.02</v>
      </c>
      <c r="AW119" s="135">
        <v>0</v>
      </c>
      <c r="AX119" s="96"/>
      <c r="AY119" s="138"/>
      <c r="AZ119" s="138"/>
      <c r="BA119" s="1"/>
      <c r="BB119" s="1"/>
      <c r="BC119" s="1"/>
      <c r="BD119" s="1"/>
    </row>
    <row r="120" spans="1:56" x14ac:dyDescent="0.25">
      <c r="A120" s="137"/>
      <c r="B120" s="222" t="s">
        <v>271</v>
      </c>
      <c r="C120" s="93" t="s">
        <v>168</v>
      </c>
      <c r="D120" s="49"/>
      <c r="E120" s="49"/>
      <c r="F120" s="49"/>
      <c r="G120" s="49"/>
      <c r="H120" s="49"/>
      <c r="I120" s="49"/>
      <c r="J120" s="49"/>
      <c r="K120" s="126">
        <v>0.06</v>
      </c>
      <c r="L120" s="126">
        <v>0.02</v>
      </c>
      <c r="M120" s="126">
        <v>0.02</v>
      </c>
      <c r="N120" s="126">
        <v>0.04</v>
      </c>
      <c r="O120" s="126">
        <v>7.0000000000000007E-2</v>
      </c>
      <c r="P120" s="126">
        <v>0.03</v>
      </c>
      <c r="Q120" s="126">
        <v>0.05</v>
      </c>
      <c r="R120" s="126">
        <v>0.08</v>
      </c>
      <c r="S120" s="126">
        <v>0.08</v>
      </c>
      <c r="T120" s="126">
        <v>0.04</v>
      </c>
      <c r="U120" s="49" t="e">
        <v>#VALUE!</v>
      </c>
      <c r="V120" s="126">
        <v>0.04</v>
      </c>
      <c r="W120" s="49" t="e">
        <v>#VALUE!</v>
      </c>
      <c r="X120" s="221">
        <v>0.08</v>
      </c>
      <c r="Y120" s="221">
        <v>0.08</v>
      </c>
      <c r="Z120" s="221">
        <v>0.09</v>
      </c>
      <c r="AA120" s="221">
        <v>0.09</v>
      </c>
      <c r="AB120" s="221">
        <v>0.1</v>
      </c>
      <c r="AC120" s="221">
        <v>0.1</v>
      </c>
      <c r="AD120" s="221">
        <v>0.1</v>
      </c>
      <c r="AE120" s="221">
        <v>0.1</v>
      </c>
      <c r="AF120" s="221">
        <v>0.1</v>
      </c>
      <c r="AG120" s="221">
        <v>0.1</v>
      </c>
      <c r="AH120" s="221">
        <v>0.1</v>
      </c>
      <c r="AI120" s="221">
        <v>0.1</v>
      </c>
      <c r="AJ120" s="221">
        <v>0.1</v>
      </c>
      <c r="AK120" s="221">
        <v>0.1</v>
      </c>
      <c r="AL120" s="221">
        <v>0.1</v>
      </c>
      <c r="AM120" s="221">
        <v>0.1</v>
      </c>
      <c r="AN120" s="221">
        <v>0.1</v>
      </c>
      <c r="AO120" s="221">
        <v>0.1</v>
      </c>
      <c r="AP120" s="221">
        <v>0.1</v>
      </c>
      <c r="AQ120" s="221">
        <v>0.1</v>
      </c>
      <c r="AR120" s="1"/>
      <c r="AS120" s="1"/>
      <c r="AT120" s="134">
        <v>0.08</v>
      </c>
      <c r="AU120" s="135">
        <v>-0.04</v>
      </c>
      <c r="AV120" s="134">
        <v>0.08</v>
      </c>
      <c r="AW120" s="135">
        <v>0.02</v>
      </c>
      <c r="AX120" s="96"/>
      <c r="AY120" s="138"/>
      <c r="AZ120" s="138"/>
      <c r="BA120" s="1"/>
      <c r="BB120" s="1"/>
      <c r="BC120" s="1"/>
      <c r="BD120" s="1"/>
    </row>
    <row r="121" spans="1:56" x14ac:dyDescent="0.25">
      <c r="A121" s="288"/>
      <c r="B121" s="288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  <c r="AM121" s="159"/>
      <c r="AN121" s="159"/>
      <c r="AO121" s="159"/>
      <c r="AP121" s="159"/>
      <c r="AQ121" s="159"/>
      <c r="AR121" s="159"/>
      <c r="AS121" s="1"/>
      <c r="AT121" s="207"/>
      <c r="AU121" s="208"/>
      <c r="AV121" s="207"/>
      <c r="AW121" s="208"/>
      <c r="AX121" s="96"/>
      <c r="AY121" s="223"/>
      <c r="AZ121" s="223"/>
      <c r="BA121" s="159"/>
      <c r="BB121" s="159"/>
      <c r="BC121" s="159"/>
      <c r="BD121" s="159"/>
    </row>
    <row r="122" spans="1:56" x14ac:dyDescent="0.25">
      <c r="A122" s="137"/>
      <c r="B122" s="97" t="s">
        <v>254</v>
      </c>
      <c r="C122" s="224"/>
      <c r="D122" s="98"/>
      <c r="E122" s="98"/>
      <c r="F122" s="98"/>
      <c r="G122" s="98"/>
      <c r="H122" s="98"/>
      <c r="I122" s="98">
        <v>173.9</v>
      </c>
      <c r="J122" s="98">
        <v>184.7</v>
      </c>
      <c r="K122" s="98">
        <v>202.5</v>
      </c>
      <c r="L122" s="98">
        <v>211.6</v>
      </c>
      <c r="M122" s="98">
        <v>221.9</v>
      </c>
      <c r="N122" s="98">
        <v>233.7</v>
      </c>
      <c r="O122" s="98">
        <v>257.5</v>
      </c>
      <c r="P122" s="98">
        <v>288.5</v>
      </c>
      <c r="Q122" s="98">
        <v>320.7</v>
      </c>
      <c r="R122" s="98">
        <v>350.6</v>
      </c>
      <c r="S122" s="98">
        <v>392.9</v>
      </c>
      <c r="T122" s="98">
        <v>423.6</v>
      </c>
      <c r="U122" s="255">
        <f>U107+U110</f>
        <v>470.2</v>
      </c>
      <c r="V122" s="255">
        <f>V107+V110</f>
        <v>511.1</v>
      </c>
      <c r="W122" s="255">
        <f>W107+W110</f>
        <v>554.6</v>
      </c>
      <c r="X122" s="255">
        <f t="shared" ref="X122:AQ122" si="175">X107+X110</f>
        <v>599.42000000000007</v>
      </c>
      <c r="Y122" s="255">
        <f t="shared" si="175"/>
        <v>652.04015000000004</v>
      </c>
      <c r="Z122" s="255">
        <f t="shared" si="175"/>
        <v>714.02237500000001</v>
      </c>
      <c r="AA122" s="255">
        <f t="shared" si="175"/>
        <v>778.44056725000007</v>
      </c>
      <c r="AB122" s="255">
        <f t="shared" si="175"/>
        <v>867.77931562500009</v>
      </c>
      <c r="AC122" s="255">
        <f t="shared" si="175"/>
        <v>947.64014323875006</v>
      </c>
      <c r="AD122" s="255">
        <f t="shared" si="175"/>
        <v>1050.3115192968753</v>
      </c>
      <c r="AE122" s="255">
        <f t="shared" si="175"/>
        <v>1148.3851062765564</v>
      </c>
      <c r="AF122" s="255">
        <f t="shared" si="175"/>
        <v>1272.1124872910159</v>
      </c>
      <c r="AG122" s="255">
        <f t="shared" si="175"/>
        <v>1392.6945331764225</v>
      </c>
      <c r="AH122" s="255">
        <f t="shared" si="175"/>
        <v>1541.9581033587015</v>
      </c>
      <c r="AI122" s="255">
        <f t="shared" si="175"/>
        <v>1690.4076204354656</v>
      </c>
      <c r="AJ122" s="255">
        <f t="shared" si="175"/>
        <v>1870.670292028914</v>
      </c>
      <c r="AK122" s="255">
        <f t="shared" si="175"/>
        <v>2053.68452731979</v>
      </c>
      <c r="AL122" s="255">
        <f t="shared" si="175"/>
        <v>2271.6164595421674</v>
      </c>
      <c r="AM122" s="255">
        <f t="shared" si="175"/>
        <v>2497.5797053581123</v>
      </c>
      <c r="AN122" s="255">
        <f t="shared" si="175"/>
        <v>2761.3364626636703</v>
      </c>
      <c r="AO122" s="255">
        <f t="shared" si="175"/>
        <v>3040.7632473168419</v>
      </c>
      <c r="AP122" s="255">
        <f t="shared" si="175"/>
        <v>3360.3310144813377</v>
      </c>
      <c r="AQ122" s="255">
        <f t="shared" si="175"/>
        <v>3706.4299856393563</v>
      </c>
      <c r="AR122" s="1"/>
      <c r="AS122" s="1"/>
      <c r="AT122" s="99">
        <v>499</v>
      </c>
      <c r="AU122" s="100">
        <v>12.1</v>
      </c>
      <c r="AV122" s="99">
        <v>554.70000000000005</v>
      </c>
      <c r="AW122" s="100">
        <v>10.199999999999999</v>
      </c>
      <c r="AX122" s="157"/>
      <c r="AY122" s="138"/>
      <c r="AZ122" s="138"/>
      <c r="BA122" s="1"/>
      <c r="BB122" s="1"/>
      <c r="BC122" s="1"/>
      <c r="BD122" s="1"/>
    </row>
    <row r="123" spans="1:56" x14ac:dyDescent="0.25">
      <c r="A123" s="137"/>
      <c r="B123" s="107" t="s">
        <v>167</v>
      </c>
      <c r="C123" s="153" t="s">
        <v>168</v>
      </c>
      <c r="D123" s="49"/>
      <c r="E123" s="49"/>
      <c r="F123" s="49"/>
      <c r="G123" s="49"/>
      <c r="H123" s="49"/>
      <c r="I123" s="49"/>
      <c r="J123" s="49"/>
      <c r="K123" s="126">
        <v>0.16</v>
      </c>
      <c r="L123" s="126">
        <v>0.15</v>
      </c>
      <c r="M123" s="126">
        <v>0.1</v>
      </c>
      <c r="N123" s="126">
        <v>0.1</v>
      </c>
      <c r="O123" s="126">
        <v>0.16</v>
      </c>
      <c r="P123" s="126">
        <v>0.23</v>
      </c>
      <c r="Q123" s="126">
        <v>0.25</v>
      </c>
      <c r="R123" s="126">
        <v>0.22</v>
      </c>
      <c r="S123" s="126">
        <v>0.23</v>
      </c>
      <c r="T123" s="126">
        <v>0.21</v>
      </c>
      <c r="U123" s="126">
        <f>U122/S122-1</f>
        <v>0.19674217358106394</v>
      </c>
      <c r="V123" s="126">
        <f>V122/T122-1</f>
        <v>0.20656279508970732</v>
      </c>
      <c r="W123" s="126">
        <f>W122/U122-1</f>
        <v>0.17949808592088479</v>
      </c>
      <c r="X123" s="126">
        <f t="shared" ref="W123:AQ123" si="176">X122/V122-1</f>
        <v>0.17280375660340441</v>
      </c>
      <c r="Y123" s="126">
        <f t="shared" si="176"/>
        <v>0.1756944644789038</v>
      </c>
      <c r="Z123" s="126">
        <f t="shared" si="176"/>
        <v>0.19118877414834334</v>
      </c>
      <c r="AA123" s="126">
        <f t="shared" si="176"/>
        <v>0.19385373316351773</v>
      </c>
      <c r="AB123" s="126">
        <f t="shared" si="176"/>
        <v>0.21533910702028081</v>
      </c>
      <c r="AC123" s="126">
        <f t="shared" si="176"/>
        <v>0.21735708942621268</v>
      </c>
      <c r="AD123" s="126">
        <f t="shared" si="176"/>
        <v>0.21034403607605023</v>
      </c>
      <c r="AE123" s="126">
        <f t="shared" si="176"/>
        <v>0.21183670243402752</v>
      </c>
      <c r="AF123" s="126">
        <f t="shared" si="176"/>
        <v>0.21117636426821629</v>
      </c>
      <c r="AG123" s="126">
        <f t="shared" si="176"/>
        <v>0.21274172362962629</v>
      </c>
      <c r="AH123" s="126">
        <f t="shared" si="176"/>
        <v>0.21212402107798356</v>
      </c>
      <c r="AI123" s="126">
        <f t="shared" si="176"/>
        <v>0.2137676857106825</v>
      </c>
      <c r="AJ123" s="126">
        <f t="shared" si="176"/>
        <v>0.21317841772367863</v>
      </c>
      <c r="AK123" s="126">
        <f t="shared" si="176"/>
        <v>0.21490491553199509</v>
      </c>
      <c r="AL123" s="126">
        <f t="shared" si="176"/>
        <v>0.21433288870931411</v>
      </c>
      <c r="AM123" s="126">
        <f t="shared" si="176"/>
        <v>0.2161457478659774</v>
      </c>
      <c r="AN123" s="126">
        <f t="shared" si="176"/>
        <v>0.21558216884033476</v>
      </c>
      <c r="AO123" s="126">
        <f t="shared" si="176"/>
        <v>0.21748396689540117</v>
      </c>
      <c r="AP123" s="126">
        <f t="shared" si="176"/>
        <v>0.21692197235532062</v>
      </c>
      <c r="AQ123" s="126">
        <f t="shared" si="176"/>
        <v>0.21891435938325565</v>
      </c>
      <c r="AR123" s="1"/>
      <c r="AS123" s="1"/>
      <c r="AT123" s="134">
        <v>0.18</v>
      </c>
      <c r="AU123" s="135">
        <v>0.03</v>
      </c>
      <c r="AV123" s="134">
        <v>0.18</v>
      </c>
      <c r="AW123" s="135">
        <v>0.02</v>
      </c>
      <c r="AX123" s="75"/>
      <c r="AY123" s="138"/>
      <c r="AZ123" s="138"/>
      <c r="BA123" s="1"/>
      <c r="BB123" s="1"/>
      <c r="BC123" s="1"/>
      <c r="BD123" s="1"/>
    </row>
    <row r="124" spans="1:56" x14ac:dyDescent="0.25">
      <c r="A124" s="137"/>
      <c r="B124" s="107" t="s">
        <v>456</v>
      </c>
      <c r="C124" s="153"/>
      <c r="D124" s="49"/>
      <c r="E124" s="49"/>
      <c r="F124" s="49"/>
      <c r="G124" s="49"/>
      <c r="H124" s="49"/>
      <c r="I124" s="49"/>
      <c r="J124" s="49"/>
      <c r="K124" s="126">
        <v>0</v>
      </c>
      <c r="L124" s="126">
        <v>0</v>
      </c>
      <c r="M124" s="126">
        <v>0</v>
      </c>
      <c r="N124" s="126">
        <v>0</v>
      </c>
      <c r="O124" s="126">
        <v>0</v>
      </c>
      <c r="P124" s="126">
        <v>0.03</v>
      </c>
      <c r="Q124" s="126">
        <v>0.03</v>
      </c>
      <c r="R124" s="126">
        <v>0</v>
      </c>
      <c r="S124" s="126">
        <v>0.02</v>
      </c>
      <c r="T124" s="126">
        <v>0.01</v>
      </c>
      <c r="U124" s="126">
        <f>U123-U111</f>
        <v>8.1504705242954056E-3</v>
      </c>
      <c r="V124" s="126">
        <f>V123-V111</f>
        <v>2.1152460743202761E-2</v>
      </c>
      <c r="W124" s="126">
        <f>W123-W111</f>
        <v>2.4963068699300317E-2</v>
      </c>
      <c r="X124" s="126">
        <f t="shared" ref="W124:AQ124" si="177">X123-X111</f>
        <v>2.5528115577763133E-2</v>
      </c>
      <c r="Y124" s="126">
        <f t="shared" si="177"/>
        <v>2.8259798607782161E-2</v>
      </c>
      <c r="Z124" s="126">
        <f t="shared" si="177"/>
        <v>2.4304432759881367E-2</v>
      </c>
      <c r="AA124" s="126">
        <f t="shared" si="177"/>
        <v>2.683799087651817E-2</v>
      </c>
      <c r="AB124" s="126">
        <f t="shared" si="177"/>
        <v>1.8805000977766717E-2</v>
      </c>
      <c r="AC124" s="126">
        <f t="shared" si="177"/>
        <v>2.071619024785476E-2</v>
      </c>
      <c r="AD124" s="126">
        <f t="shared" si="177"/>
        <v>1.4126017523107715E-2</v>
      </c>
      <c r="AE124" s="126">
        <f t="shared" si="177"/>
        <v>1.5534010690405387E-2</v>
      </c>
      <c r="AF124" s="126">
        <f t="shared" si="177"/>
        <v>1.5209050946272562E-2</v>
      </c>
      <c r="AG124" s="126">
        <f t="shared" si="177"/>
        <v>1.6707238657735601E-2</v>
      </c>
      <c r="AH124" s="126">
        <f t="shared" si="177"/>
        <v>1.6355649195566313E-2</v>
      </c>
      <c r="AI124" s="126">
        <f t="shared" si="177"/>
        <v>1.7946003112359277E-2</v>
      </c>
      <c r="AJ124" s="126">
        <f t="shared" si="177"/>
        <v>1.756797066264193E-2</v>
      </c>
      <c r="AK124" s="126">
        <f t="shared" si="177"/>
        <v>1.9252143902439789E-2</v>
      </c>
      <c r="AL124" s="126">
        <f t="shared" si="177"/>
        <v>1.8847843844232326E-2</v>
      </c>
      <c r="AM124" s="126">
        <f t="shared" si="177"/>
        <v>2.0627091394138652E-2</v>
      </c>
      <c r="AN124" s="126">
        <f t="shared" si="177"/>
        <v>2.0196724769907748E-2</v>
      </c>
      <c r="AO124" s="126">
        <f t="shared" si="177"/>
        <v>2.2071824729672951E-2</v>
      </c>
      <c r="AP124" s="126">
        <f t="shared" si="177"/>
        <v>2.1615651186092766E-2</v>
      </c>
      <c r="AQ124" s="126">
        <f t="shared" si="177"/>
        <v>2.3586827945660804E-2</v>
      </c>
      <c r="AR124" s="1"/>
      <c r="AS124" s="1"/>
      <c r="AT124" s="134">
        <v>0.01</v>
      </c>
      <c r="AU124" s="135">
        <v>0.01</v>
      </c>
      <c r="AV124" s="134">
        <v>0.01</v>
      </c>
      <c r="AW124" s="135">
        <v>0.01</v>
      </c>
      <c r="AX124" s="96"/>
      <c r="AY124" s="138"/>
      <c r="AZ124" s="138"/>
      <c r="BA124" s="1"/>
      <c r="BB124" s="1"/>
      <c r="BC124" s="1"/>
      <c r="BD124" s="1"/>
    </row>
    <row r="125" spans="1:56" x14ac:dyDescent="0.25">
      <c r="A125" s="137"/>
      <c r="B125" s="107" t="s">
        <v>457</v>
      </c>
      <c r="C125" s="153"/>
      <c r="D125" s="49"/>
      <c r="E125" s="49"/>
      <c r="F125" s="49"/>
      <c r="G125" s="49"/>
      <c r="H125" s="49"/>
      <c r="I125" s="49"/>
      <c r="J125" s="49"/>
      <c r="K125" s="126">
        <v>0.02</v>
      </c>
      <c r="L125" s="126">
        <v>0</v>
      </c>
      <c r="M125" s="126">
        <v>7.0000000000000007E-2</v>
      </c>
      <c r="N125" s="126">
        <v>0.11</v>
      </c>
      <c r="O125" s="126">
        <v>0.1</v>
      </c>
      <c r="P125" s="126">
        <v>0.06</v>
      </c>
      <c r="Q125" s="126">
        <v>0.08</v>
      </c>
      <c r="R125" s="126">
        <v>0.11</v>
      </c>
      <c r="S125" s="126">
        <v>0.12</v>
      </c>
      <c r="T125" s="126">
        <f t="shared" ref="T125:W125" si="178">T112/R110</f>
        <v>0.10412871888281724</v>
      </c>
      <c r="U125" s="126">
        <f t="shared" si="178"/>
        <v>-2.4563318777292578E-2</v>
      </c>
      <c r="V125" s="126">
        <f>V112/T110</f>
        <v>0</v>
      </c>
      <c r="W125" s="126">
        <f t="shared" si="178"/>
        <v>0</v>
      </c>
      <c r="X125" s="126">
        <v>0</v>
      </c>
      <c r="Y125" s="126">
        <v>0</v>
      </c>
      <c r="Z125" s="126">
        <v>0</v>
      </c>
      <c r="AA125" s="126">
        <v>0</v>
      </c>
      <c r="AB125" s="126">
        <v>0</v>
      </c>
      <c r="AC125" s="126">
        <v>0</v>
      </c>
      <c r="AD125" s="126">
        <v>0</v>
      </c>
      <c r="AE125" s="126">
        <v>0</v>
      </c>
      <c r="AF125" s="126">
        <v>0</v>
      </c>
      <c r="AG125" s="126">
        <v>0</v>
      </c>
      <c r="AH125" s="126">
        <v>0</v>
      </c>
      <c r="AI125" s="126">
        <v>0</v>
      </c>
      <c r="AJ125" s="126">
        <v>0</v>
      </c>
      <c r="AK125" s="126">
        <v>0</v>
      </c>
      <c r="AL125" s="126">
        <v>0</v>
      </c>
      <c r="AM125" s="126">
        <v>0</v>
      </c>
      <c r="AN125" s="126">
        <v>0</v>
      </c>
      <c r="AO125" s="126">
        <v>0</v>
      </c>
      <c r="AP125" s="126">
        <v>0</v>
      </c>
      <c r="AQ125" s="126">
        <v>0</v>
      </c>
      <c r="AR125" s="1"/>
      <c r="AS125" s="1"/>
      <c r="AT125" s="134">
        <v>0</v>
      </c>
      <c r="AU125" s="135">
        <v>0</v>
      </c>
      <c r="AV125" s="134">
        <v>0</v>
      </c>
      <c r="AW125" s="135">
        <v>0</v>
      </c>
      <c r="AX125" s="96"/>
      <c r="AY125" s="138"/>
      <c r="AZ125" s="138"/>
      <c r="BA125" s="1"/>
      <c r="BB125" s="1"/>
      <c r="BC125" s="1"/>
      <c r="BD125" s="1"/>
    </row>
    <row r="126" spans="1:56" x14ac:dyDescent="0.25">
      <c r="A126" s="288"/>
      <c r="B126" s="289"/>
      <c r="C126" s="153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125"/>
      <c r="Q126" s="125"/>
      <c r="R126" s="125"/>
      <c r="S126" s="125"/>
      <c r="T126" s="125"/>
      <c r="U126" s="125"/>
      <c r="V126" s="125"/>
      <c r="W126" s="125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1"/>
      <c r="AS126" s="1"/>
      <c r="AT126" s="198">
        <v>6.0999999999999999E-2</v>
      </c>
      <c r="AU126" s="199">
        <v>2.5999999999999999E-2</v>
      </c>
      <c r="AV126" s="198">
        <v>0.111</v>
      </c>
      <c r="AW126" s="199">
        <v>-6.0000000000000001E-3</v>
      </c>
      <c r="AX126" s="96"/>
      <c r="AY126" s="138"/>
      <c r="AZ126" s="138"/>
      <c r="BA126" s="1"/>
      <c r="BB126" s="1"/>
      <c r="BC126" s="1"/>
      <c r="BD126" s="1"/>
    </row>
    <row r="127" spans="1:56" x14ac:dyDescent="0.25">
      <c r="A127" s="137"/>
      <c r="B127" s="90" t="s">
        <v>458</v>
      </c>
      <c r="C127" s="153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1"/>
      <c r="AS127" s="1"/>
      <c r="AT127" s="95"/>
      <c r="AU127" s="96"/>
      <c r="AV127" s="95"/>
      <c r="AW127" s="96"/>
      <c r="AX127" s="96"/>
      <c r="AY127" s="138"/>
      <c r="AZ127" s="138"/>
      <c r="BA127" s="1"/>
      <c r="BB127" s="1"/>
      <c r="BC127" s="1"/>
      <c r="BD127" s="1"/>
    </row>
    <row r="128" spans="1:56" x14ac:dyDescent="0.25">
      <c r="A128" s="137"/>
      <c r="B128" s="92" t="s">
        <v>459</v>
      </c>
      <c r="C128" s="153"/>
      <c r="D128" s="49"/>
      <c r="E128" s="49"/>
      <c r="F128" s="49"/>
      <c r="G128" s="49"/>
      <c r="H128" s="49"/>
      <c r="I128" s="49"/>
      <c r="J128" s="49"/>
      <c r="K128" s="126">
        <v>0.16</v>
      </c>
      <c r="L128" s="126">
        <v>0.15</v>
      </c>
      <c r="M128" s="126">
        <v>0.1</v>
      </c>
      <c r="N128" s="126">
        <v>0.1</v>
      </c>
      <c r="O128" s="126">
        <v>0.16</v>
      </c>
      <c r="P128" s="126">
        <v>0.23</v>
      </c>
      <c r="Q128" s="126">
        <v>0.25</v>
      </c>
      <c r="R128" s="126">
        <v>0.22</v>
      </c>
      <c r="S128" s="126">
        <v>0.23</v>
      </c>
      <c r="T128" s="126">
        <v>0.21</v>
      </c>
      <c r="U128" s="126">
        <f>U123</f>
        <v>0.19674217358106394</v>
      </c>
      <c r="V128" s="126">
        <f>V123</f>
        <v>0.20656279508970732</v>
      </c>
      <c r="W128" s="126">
        <f>W123</f>
        <v>0.17949808592088479</v>
      </c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1"/>
      <c r="AS128" s="1"/>
      <c r="AT128" s="95"/>
      <c r="AU128" s="96"/>
      <c r="AV128" s="95"/>
      <c r="AW128" s="96"/>
      <c r="AX128" s="96"/>
      <c r="AY128" s="138"/>
      <c r="AZ128" s="138"/>
      <c r="BA128" s="1"/>
      <c r="BB128" s="1"/>
      <c r="BC128" s="1"/>
      <c r="BD128" s="1"/>
    </row>
    <row r="129" spans="1:56" x14ac:dyDescent="0.25">
      <c r="A129" s="137"/>
      <c r="B129" s="225" t="s">
        <v>460</v>
      </c>
      <c r="C129" s="226"/>
      <c r="D129" s="227"/>
      <c r="E129" s="227"/>
      <c r="F129" s="227"/>
      <c r="G129" s="227"/>
      <c r="H129" s="227"/>
      <c r="I129" s="227"/>
      <c r="J129" s="227"/>
      <c r="K129" s="228">
        <v>0.02</v>
      </c>
      <c r="L129" s="228">
        <v>0.04</v>
      </c>
      <c r="M129" s="228">
        <v>0.03</v>
      </c>
      <c r="N129" s="228">
        <v>0.02</v>
      </c>
      <c r="O129" s="228">
        <v>0.04</v>
      </c>
      <c r="P129" s="228">
        <v>0.09</v>
      </c>
      <c r="Q129" s="228">
        <v>0.09</v>
      </c>
      <c r="R129" s="228">
        <v>0.03</v>
      </c>
      <c r="S129" s="228">
        <v>0.04</v>
      </c>
      <c r="T129" s="228">
        <v>0.04</v>
      </c>
      <c r="U129" s="228">
        <f>(U122-S122*U130)/S122</f>
        <v>2.6742173581064042E-2</v>
      </c>
      <c r="V129" s="228">
        <f>(V122-T122*V130)/T122</f>
        <v>2.6562795089707294E-2</v>
      </c>
      <c r="W129" s="228">
        <f>(W122-U122*W130)/U122</f>
        <v>2.9498085920884983E-2</v>
      </c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1"/>
      <c r="AS129" s="1"/>
      <c r="AT129" s="229"/>
      <c r="AU129" s="230"/>
      <c r="AV129" s="229"/>
      <c r="AW129" s="230"/>
      <c r="AX129" s="96"/>
      <c r="AY129" s="138"/>
      <c r="AZ129" s="138"/>
      <c r="BA129" s="1"/>
      <c r="BB129" s="1"/>
      <c r="BC129" s="1"/>
      <c r="BD129" s="1"/>
    </row>
    <row r="130" spans="1:56" x14ac:dyDescent="0.25">
      <c r="A130" s="231"/>
      <c r="B130" s="232" t="s">
        <v>461</v>
      </c>
      <c r="C130" s="233"/>
      <c r="D130" s="234"/>
      <c r="E130" s="234"/>
      <c r="F130" s="234"/>
      <c r="G130" s="234"/>
      <c r="H130" s="235">
        <v>1.1399999999999999</v>
      </c>
      <c r="I130" s="235">
        <v>1.1000000000000001</v>
      </c>
      <c r="J130" s="235">
        <v>1.1000000000000001</v>
      </c>
      <c r="K130" s="235">
        <v>1.1399999999999999</v>
      </c>
      <c r="L130" s="235">
        <v>1.1100000000000001</v>
      </c>
      <c r="M130" s="235">
        <v>1.07</v>
      </c>
      <c r="N130" s="235">
        <v>1.08</v>
      </c>
      <c r="O130" s="235">
        <v>1.1200000000000001</v>
      </c>
      <c r="P130" s="235">
        <v>1.1399999999999999</v>
      </c>
      <c r="Q130" s="235">
        <v>1.1599999999999999</v>
      </c>
      <c r="R130" s="235">
        <v>1.19</v>
      </c>
      <c r="S130" s="235">
        <v>1.19</v>
      </c>
      <c r="T130" s="235">
        <v>1.17</v>
      </c>
      <c r="U130" s="235">
        <f>U96</f>
        <v>1.17</v>
      </c>
      <c r="V130" s="235">
        <f>V96</f>
        <v>1.18</v>
      </c>
      <c r="W130" s="235">
        <f>W96</f>
        <v>1.1499999999999999</v>
      </c>
      <c r="X130" s="236"/>
      <c r="Y130" s="236"/>
      <c r="Z130" s="236"/>
      <c r="AA130" s="236"/>
      <c r="AB130" s="236"/>
      <c r="AC130" s="236"/>
      <c r="AD130" s="236"/>
      <c r="AE130" s="236"/>
      <c r="AF130" s="236"/>
      <c r="AG130" s="236"/>
      <c r="AH130" s="236"/>
      <c r="AI130" s="236"/>
      <c r="AJ130" s="236"/>
      <c r="AK130" s="236"/>
      <c r="AL130" s="236"/>
      <c r="AM130" s="236"/>
      <c r="AN130" s="236"/>
      <c r="AO130" s="236"/>
      <c r="AP130" s="236"/>
      <c r="AQ130" s="236"/>
      <c r="AR130" s="19"/>
      <c r="AS130" s="1"/>
      <c r="AT130" s="237"/>
      <c r="AU130" s="238"/>
      <c r="AV130" s="237"/>
      <c r="AW130" s="238"/>
      <c r="AX130" s="96"/>
      <c r="AY130" s="195"/>
      <c r="AZ130" s="195"/>
      <c r="BA130" s="19"/>
      <c r="BB130" s="19"/>
      <c r="BC130" s="19"/>
      <c r="BD130" s="19"/>
    </row>
    <row r="131" spans="1:56" x14ac:dyDescent="0.25">
      <c r="A131" s="137"/>
      <c r="B131" s="107" t="s">
        <v>462</v>
      </c>
      <c r="C131" s="93"/>
      <c r="D131" s="49"/>
      <c r="E131" s="49"/>
      <c r="F131" s="49"/>
      <c r="G131" s="49"/>
      <c r="H131" s="49"/>
      <c r="I131" s="49"/>
      <c r="J131" s="49"/>
      <c r="K131" s="126">
        <v>7.0000000000000007E-2</v>
      </c>
      <c r="L131" s="126">
        <v>0.09</v>
      </c>
      <c r="M131" s="126">
        <v>-0.01</v>
      </c>
      <c r="N131" s="126">
        <v>-7.0000000000000007E-2</v>
      </c>
      <c r="O131" s="126">
        <v>-0.05</v>
      </c>
      <c r="P131" s="126">
        <v>0.04</v>
      </c>
      <c r="Q131" s="126">
        <v>0.04</v>
      </c>
      <c r="R131" s="126">
        <v>0.01</v>
      </c>
      <c r="S131" s="126">
        <v>-0.01</v>
      </c>
      <c r="T131" s="126">
        <v>0.03</v>
      </c>
      <c r="U131" s="126" t="e">
        <f>U130-U132-U133-1</f>
        <v>#VALUE!</v>
      </c>
      <c r="V131" s="126">
        <f>V130-V132-V133-1</f>
        <v>0.15058823529411747</v>
      </c>
      <c r="W131" s="126" t="e">
        <f>W130-W132-W133-1</f>
        <v>#VALUE!</v>
      </c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95"/>
      <c r="AU131" s="96"/>
      <c r="AV131" s="95"/>
      <c r="AW131" s="96"/>
      <c r="AX131" s="157"/>
      <c r="AY131" s="138"/>
      <c r="AZ131" s="138"/>
      <c r="BA131" s="1"/>
      <c r="BB131" s="1"/>
      <c r="BC131" s="1"/>
      <c r="BD131" s="1"/>
    </row>
    <row r="132" spans="1:56" x14ac:dyDescent="0.25">
      <c r="A132" s="137"/>
      <c r="B132" s="107" t="s">
        <v>271</v>
      </c>
      <c r="C132" s="93"/>
      <c r="D132" s="49"/>
      <c r="E132" s="49"/>
      <c r="F132" s="49"/>
      <c r="G132" s="49"/>
      <c r="H132" s="49"/>
      <c r="I132" s="49"/>
      <c r="J132" s="49"/>
      <c r="K132" s="126">
        <v>0.06</v>
      </c>
      <c r="L132" s="126">
        <v>0.02</v>
      </c>
      <c r="M132" s="126">
        <v>0.02</v>
      </c>
      <c r="N132" s="126">
        <v>0.04</v>
      </c>
      <c r="O132" s="126">
        <v>7.0000000000000007E-2</v>
      </c>
      <c r="P132" s="126">
        <v>0.03</v>
      </c>
      <c r="Q132" s="126">
        <v>0.05</v>
      </c>
      <c r="R132" s="126">
        <v>0.08</v>
      </c>
      <c r="S132" s="126">
        <v>0.08</v>
      </c>
      <c r="T132" s="126">
        <v>0.04</v>
      </c>
      <c r="U132" s="126" t="e">
        <f>U100/S100-1</f>
        <v>#VALUE!</v>
      </c>
      <c r="V132" s="126">
        <f>V100/T100-1</f>
        <v>2.941176470588247E-2</v>
      </c>
      <c r="W132" s="126" t="e">
        <f>W100/U100-1</f>
        <v>#VALUE!</v>
      </c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95"/>
      <c r="AU132" s="96"/>
      <c r="AV132" s="95"/>
      <c r="AW132" s="96"/>
      <c r="AX132" s="89"/>
      <c r="AY132" s="138"/>
      <c r="AZ132" s="138"/>
      <c r="BA132" s="1"/>
      <c r="BB132" s="1"/>
      <c r="BC132" s="1"/>
      <c r="BD132" s="1"/>
    </row>
    <row r="133" spans="1:56" x14ac:dyDescent="0.25">
      <c r="A133" s="137"/>
      <c r="B133" s="107" t="s">
        <v>449</v>
      </c>
      <c r="C133" s="93"/>
      <c r="D133" s="49"/>
      <c r="E133" s="49"/>
      <c r="F133" s="49"/>
      <c r="G133" s="49"/>
      <c r="H133" s="49"/>
      <c r="I133" s="49"/>
      <c r="J133" s="49"/>
      <c r="K133" s="126">
        <v>0.02</v>
      </c>
      <c r="L133" s="126">
        <v>0</v>
      </c>
      <c r="M133" s="126">
        <v>7.0000000000000007E-2</v>
      </c>
      <c r="N133" s="126">
        <v>0.11</v>
      </c>
      <c r="O133" s="126">
        <v>0.1</v>
      </c>
      <c r="P133" s="126">
        <v>0.06</v>
      </c>
      <c r="Q133" s="126">
        <v>7.0000000000000007E-2</v>
      </c>
      <c r="R133" s="126">
        <v>0.1</v>
      </c>
      <c r="S133" s="126">
        <v>0.12</v>
      </c>
      <c r="T133" s="126">
        <v>0.1</v>
      </c>
      <c r="U133" s="126">
        <f>U112/S85</f>
        <v>-2.2900763358778626E-2</v>
      </c>
      <c r="V133" s="126">
        <f>V112/T85</f>
        <v>0</v>
      </c>
      <c r="W133" s="126">
        <f>W112/U85</f>
        <v>0</v>
      </c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95"/>
      <c r="AU133" s="96"/>
      <c r="AV133" s="95"/>
      <c r="AW133" s="96"/>
      <c r="AX133" s="89"/>
      <c r="AY133" s="138"/>
      <c r="AZ133" s="138"/>
      <c r="BA133" s="1"/>
      <c r="BB133" s="1"/>
      <c r="BC133" s="1"/>
      <c r="BD133" s="1"/>
    </row>
    <row r="134" spans="1:56" x14ac:dyDescent="0.25">
      <c r="A134" s="288"/>
      <c r="B134" s="289"/>
      <c r="C134" s="153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1"/>
      <c r="AS134" s="1"/>
      <c r="AT134" s="95"/>
      <c r="AU134" s="96"/>
      <c r="AV134" s="95"/>
      <c r="AW134" s="96"/>
      <c r="AX134" s="96"/>
      <c r="AY134" s="138"/>
      <c r="AZ134" s="138"/>
      <c r="BA134" s="1"/>
      <c r="BB134" s="1"/>
      <c r="BC134" s="1"/>
      <c r="BD134" s="1"/>
    </row>
    <row r="135" spans="1:56" x14ac:dyDescent="0.25">
      <c r="A135" s="137"/>
      <c r="B135" s="211" t="s">
        <v>463</v>
      </c>
      <c r="C135" s="212"/>
      <c r="D135" s="213"/>
      <c r="E135" s="213"/>
      <c r="F135" s="213"/>
      <c r="G135" s="213"/>
      <c r="H135" s="213"/>
      <c r="I135" s="213"/>
      <c r="J135" s="213"/>
      <c r="K135" s="213"/>
      <c r="L135" s="213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  <c r="X135" s="214"/>
      <c r="Y135" s="214"/>
      <c r="Z135" s="214"/>
      <c r="AA135" s="214"/>
      <c r="AB135" s="214"/>
      <c r="AC135" s="214"/>
      <c r="AD135" s="214"/>
      <c r="AE135" s="214"/>
      <c r="AF135" s="214"/>
      <c r="AG135" s="214"/>
      <c r="AH135" s="214"/>
      <c r="AI135" s="214"/>
      <c r="AJ135" s="214"/>
      <c r="AK135" s="214"/>
      <c r="AL135" s="214"/>
      <c r="AM135" s="214"/>
      <c r="AN135" s="214"/>
      <c r="AO135" s="214"/>
      <c r="AP135" s="214"/>
      <c r="AQ135" s="214"/>
      <c r="AR135" s="1"/>
      <c r="AS135" s="1"/>
      <c r="AT135" s="88"/>
      <c r="AU135" s="89"/>
      <c r="AV135" s="88"/>
      <c r="AW135" s="89"/>
      <c r="AX135" s="89"/>
      <c r="AY135" s="138"/>
      <c r="AZ135" s="138"/>
      <c r="BA135" s="1"/>
      <c r="BB135" s="1"/>
      <c r="BC135" s="1"/>
      <c r="BD135" s="1"/>
    </row>
    <row r="136" spans="1:56" x14ac:dyDescent="0.25">
      <c r="A136" s="288"/>
      <c r="B136" s="289"/>
      <c r="C136" s="153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97"/>
      <c r="T136" s="159"/>
      <c r="U136" s="197"/>
      <c r="V136" s="159"/>
      <c r="W136" s="197"/>
      <c r="X136" s="159"/>
      <c r="Y136" s="159"/>
      <c r="Z136" s="159"/>
      <c r="AA136" s="159"/>
      <c r="AB136" s="159"/>
      <c r="AC136" s="159"/>
      <c r="AD136" s="159"/>
      <c r="AE136" s="159"/>
      <c r="AF136" s="159"/>
      <c r="AG136" s="159"/>
      <c r="AH136" s="159"/>
      <c r="AI136" s="159"/>
      <c r="AJ136" s="159"/>
      <c r="AK136" s="159"/>
      <c r="AL136" s="159"/>
      <c r="AM136" s="159"/>
      <c r="AN136" s="159"/>
      <c r="AO136" s="159"/>
      <c r="AP136" s="159"/>
      <c r="AQ136" s="159"/>
      <c r="AR136" s="159"/>
      <c r="AS136" s="1"/>
      <c r="AT136" s="88"/>
      <c r="AU136" s="89"/>
      <c r="AV136" s="88"/>
      <c r="AW136" s="89"/>
      <c r="AX136" s="89"/>
      <c r="AY136" s="138"/>
      <c r="AZ136" s="138"/>
      <c r="BA136" s="159"/>
      <c r="BB136" s="159"/>
      <c r="BC136" s="159"/>
      <c r="BD136" s="159"/>
    </row>
    <row r="137" spans="1:56" x14ac:dyDescent="0.25">
      <c r="A137" s="137"/>
      <c r="B137" s="90" t="s">
        <v>464</v>
      </c>
      <c r="C137" s="153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97"/>
      <c r="T137" s="159"/>
      <c r="U137" s="197"/>
      <c r="V137" s="159"/>
      <c r="W137" s="197"/>
      <c r="X137" s="159"/>
      <c r="Y137" s="159"/>
      <c r="Z137" s="159"/>
      <c r="AA137" s="159"/>
      <c r="AB137" s="159"/>
      <c r="AC137" s="159"/>
      <c r="AD137" s="159"/>
      <c r="AE137" s="159"/>
      <c r="AF137" s="159"/>
      <c r="AG137" s="159"/>
      <c r="AH137" s="159"/>
      <c r="AI137" s="159"/>
      <c r="AJ137" s="159"/>
      <c r="AK137" s="159"/>
      <c r="AL137" s="159"/>
      <c r="AM137" s="159"/>
      <c r="AN137" s="159"/>
      <c r="AO137" s="159"/>
      <c r="AP137" s="159"/>
      <c r="AQ137" s="159"/>
      <c r="AR137" s="159"/>
      <c r="AS137" s="1"/>
      <c r="AT137" s="88"/>
      <c r="AU137" s="89"/>
      <c r="AV137" s="88"/>
      <c r="AW137" s="89"/>
      <c r="AX137" s="89"/>
      <c r="AY137" s="138"/>
      <c r="AZ137" s="138"/>
      <c r="BA137" s="159"/>
      <c r="BB137" s="159"/>
      <c r="BC137" s="159"/>
      <c r="BD137" s="159"/>
    </row>
    <row r="138" spans="1:56" x14ac:dyDescent="0.25">
      <c r="A138" s="137"/>
      <c r="B138" s="90" t="s">
        <v>154</v>
      </c>
      <c r="C138" s="153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97"/>
      <c r="T138" s="159"/>
      <c r="U138" s="197"/>
      <c r="V138" s="159"/>
      <c r="W138" s="197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59"/>
      <c r="AM138" s="159"/>
      <c r="AN138" s="159"/>
      <c r="AO138" s="159"/>
      <c r="AP138" s="159"/>
      <c r="AQ138" s="159"/>
      <c r="AR138" s="159"/>
      <c r="AS138" s="1"/>
      <c r="AT138" s="88"/>
      <c r="AU138" s="89"/>
      <c r="AV138" s="88"/>
      <c r="AW138" s="89"/>
      <c r="AX138" s="89"/>
      <c r="AY138" s="138"/>
      <c r="AZ138" s="138"/>
      <c r="BA138" s="159"/>
      <c r="BB138" s="159"/>
      <c r="BC138" s="159"/>
      <c r="BD138" s="159"/>
    </row>
    <row r="139" spans="1:56" x14ac:dyDescent="0.25">
      <c r="A139" s="137"/>
      <c r="B139" s="92" t="s">
        <v>218</v>
      </c>
      <c r="C139" s="49"/>
      <c r="D139" s="49"/>
      <c r="E139" s="49"/>
      <c r="F139" s="49"/>
      <c r="G139" s="49"/>
      <c r="H139" s="49"/>
      <c r="I139" s="49"/>
      <c r="J139" s="49">
        <v>99.3</v>
      </c>
      <c r="K139" s="49">
        <v>124.1</v>
      </c>
      <c r="L139" s="49">
        <v>107.8</v>
      </c>
      <c r="M139" s="49">
        <v>128</v>
      </c>
      <c r="N139" s="49">
        <v>114</v>
      </c>
      <c r="O139" s="49">
        <v>132.80000000000001</v>
      </c>
      <c r="P139" s="49">
        <v>137.80000000000001</v>
      </c>
      <c r="Q139" s="49">
        <v>157.69999999999999</v>
      </c>
      <c r="R139" s="49">
        <v>167.3</v>
      </c>
      <c r="S139" s="49">
        <v>188.9</v>
      </c>
      <c r="T139" s="49">
        <v>204.5</v>
      </c>
      <c r="U139" s="49">
        <v>221.5</v>
      </c>
      <c r="V139" s="49">
        <v>243.1</v>
      </c>
      <c r="W139" s="49">
        <v>221.5</v>
      </c>
      <c r="X139" s="49">
        <v>291.2</v>
      </c>
      <c r="Y139" s="49">
        <v>315.2</v>
      </c>
      <c r="Z139" s="49">
        <v>350.6</v>
      </c>
      <c r="AA139" s="49">
        <v>380.7</v>
      </c>
      <c r="AB139" s="49">
        <v>424</v>
      </c>
      <c r="AC139" s="49">
        <v>467</v>
      </c>
      <c r="AD139" s="49">
        <v>520.6</v>
      </c>
      <c r="AE139" s="49">
        <v>573.1</v>
      </c>
      <c r="AF139" s="49">
        <v>639.6</v>
      </c>
      <c r="AG139" s="49">
        <v>703.8</v>
      </c>
      <c r="AH139" s="49">
        <v>786.2</v>
      </c>
      <c r="AI139" s="49">
        <v>864.7</v>
      </c>
      <c r="AJ139" s="49">
        <v>966.8</v>
      </c>
      <c r="AK139" s="94">
        <v>1063.0999999999999</v>
      </c>
      <c r="AL139" s="94">
        <v>1189.7</v>
      </c>
      <c r="AM139" s="94">
        <v>1307.5999999999999</v>
      </c>
      <c r="AN139" s="94">
        <v>1464.7</v>
      </c>
      <c r="AO139" s="94">
        <v>1609.3</v>
      </c>
      <c r="AP139" s="94">
        <v>1804.4</v>
      </c>
      <c r="AQ139" s="94">
        <v>1981.8</v>
      </c>
      <c r="AR139" s="1"/>
      <c r="AS139" s="1"/>
      <c r="AT139" s="200">
        <v>38.9</v>
      </c>
      <c r="AU139" s="201">
        <v>204.2</v>
      </c>
      <c r="AV139" s="200">
        <v>46.8</v>
      </c>
      <c r="AW139" s="201">
        <v>215.4</v>
      </c>
      <c r="AX139" s="96"/>
      <c r="AY139" s="138"/>
      <c r="AZ139" s="138"/>
      <c r="BA139" s="1"/>
      <c r="BB139" s="1"/>
      <c r="BC139" s="1"/>
      <c r="BD139" s="1"/>
    </row>
    <row r="140" spans="1:56" x14ac:dyDescent="0.25">
      <c r="A140" s="137"/>
      <c r="B140" s="92" t="s">
        <v>220</v>
      </c>
      <c r="C140" s="49"/>
      <c r="D140" s="49"/>
      <c r="E140" s="49"/>
      <c r="F140" s="49"/>
      <c r="G140" s="49"/>
      <c r="H140" s="49"/>
      <c r="I140" s="49"/>
      <c r="J140" s="49">
        <v>29.2</v>
      </c>
      <c r="K140" s="49">
        <v>32.4</v>
      </c>
      <c r="L140" s="49">
        <v>30.2</v>
      </c>
      <c r="M140" s="49">
        <v>32.299999999999997</v>
      </c>
      <c r="N140" s="49">
        <v>30.4</v>
      </c>
      <c r="O140" s="49">
        <v>34.200000000000003</v>
      </c>
      <c r="P140" s="49">
        <v>34.1</v>
      </c>
      <c r="Q140" s="49">
        <v>38.5</v>
      </c>
      <c r="R140" s="49">
        <v>33.700000000000003</v>
      </c>
      <c r="S140" s="49">
        <v>39.4</v>
      </c>
      <c r="T140" s="49">
        <v>36.299999999999997</v>
      </c>
      <c r="U140" s="49">
        <v>44.3</v>
      </c>
      <c r="V140" s="49">
        <v>42.6</v>
      </c>
      <c r="W140" s="49">
        <v>44.3</v>
      </c>
      <c r="X140" s="49">
        <v>40.5</v>
      </c>
      <c r="Y140" s="49">
        <v>44.2</v>
      </c>
      <c r="Z140" s="49">
        <v>38.5</v>
      </c>
      <c r="AA140" s="49">
        <v>42</v>
      </c>
      <c r="AB140" s="49">
        <v>36.5</v>
      </c>
      <c r="AC140" s="49">
        <v>39.9</v>
      </c>
      <c r="AD140" s="49">
        <v>34.700000000000003</v>
      </c>
      <c r="AE140" s="49">
        <v>37.9</v>
      </c>
      <c r="AF140" s="49">
        <v>33</v>
      </c>
      <c r="AG140" s="49">
        <v>36</v>
      </c>
      <c r="AH140" s="49">
        <v>31.3</v>
      </c>
      <c r="AI140" s="49">
        <v>34.200000000000003</v>
      </c>
      <c r="AJ140" s="49">
        <v>29.8</v>
      </c>
      <c r="AK140" s="49">
        <v>32.5</v>
      </c>
      <c r="AL140" s="49">
        <v>28.3</v>
      </c>
      <c r="AM140" s="49">
        <v>30.8</v>
      </c>
      <c r="AN140" s="49">
        <v>26.9</v>
      </c>
      <c r="AO140" s="49">
        <v>29.3</v>
      </c>
      <c r="AP140" s="49">
        <v>25.5</v>
      </c>
      <c r="AQ140" s="49">
        <v>27.8</v>
      </c>
      <c r="AR140" s="1"/>
      <c r="AS140" s="1"/>
      <c r="AT140" s="200">
        <v>460.1</v>
      </c>
      <c r="AU140" s="201">
        <v>-417.5</v>
      </c>
      <c r="AV140" s="200">
        <v>507.8</v>
      </c>
      <c r="AW140" s="201">
        <v>-461.3</v>
      </c>
      <c r="AX140" s="96"/>
      <c r="AY140" s="138"/>
      <c r="AZ140" s="138"/>
      <c r="BA140" s="1"/>
      <c r="BB140" s="1"/>
      <c r="BC140" s="1"/>
      <c r="BD140" s="1"/>
    </row>
    <row r="141" spans="1:56" x14ac:dyDescent="0.25">
      <c r="A141" s="137"/>
      <c r="B141" s="92" t="s">
        <v>465</v>
      </c>
      <c r="C141" s="49"/>
      <c r="D141" s="49"/>
      <c r="E141" s="49"/>
      <c r="F141" s="49"/>
      <c r="G141" s="49"/>
      <c r="H141" s="49"/>
      <c r="I141" s="49"/>
      <c r="J141" s="49">
        <v>0.3</v>
      </c>
      <c r="K141" s="49">
        <v>0.3</v>
      </c>
      <c r="L141" s="49">
        <v>0.2</v>
      </c>
      <c r="M141" s="49">
        <v>0.2</v>
      </c>
      <c r="N141" s="49">
        <v>0.2</v>
      </c>
      <c r="O141" s="49">
        <v>0.3</v>
      </c>
      <c r="P141" s="49">
        <v>0.4</v>
      </c>
      <c r="Q141" s="49">
        <v>0.4</v>
      </c>
      <c r="R141" s="49">
        <v>7.7</v>
      </c>
      <c r="S141" s="49">
        <v>0.1</v>
      </c>
      <c r="T141" s="49">
        <v>3.9</v>
      </c>
      <c r="U141" s="49">
        <v>4.9000000000000004</v>
      </c>
      <c r="V141" s="49">
        <v>5.6</v>
      </c>
      <c r="W141" s="49">
        <v>4.9000000000000004</v>
      </c>
      <c r="X141" s="49">
        <v>5.6</v>
      </c>
      <c r="Y141" s="49">
        <v>4.9000000000000004</v>
      </c>
      <c r="Z141" s="49">
        <v>5.6</v>
      </c>
      <c r="AA141" s="49">
        <v>4.9000000000000004</v>
      </c>
      <c r="AB141" s="49">
        <v>5.6</v>
      </c>
      <c r="AC141" s="49">
        <v>4.9000000000000004</v>
      </c>
      <c r="AD141" s="49">
        <v>5.6</v>
      </c>
      <c r="AE141" s="49">
        <v>4.9000000000000004</v>
      </c>
      <c r="AF141" s="49">
        <v>5.6</v>
      </c>
      <c r="AG141" s="49">
        <v>4.9000000000000004</v>
      </c>
      <c r="AH141" s="49">
        <v>5.6</v>
      </c>
      <c r="AI141" s="49">
        <v>4.9000000000000004</v>
      </c>
      <c r="AJ141" s="49">
        <v>5.6</v>
      </c>
      <c r="AK141" s="49">
        <v>4.9000000000000004</v>
      </c>
      <c r="AL141" s="49">
        <v>5.6</v>
      </c>
      <c r="AM141" s="49">
        <v>4.9000000000000004</v>
      </c>
      <c r="AN141" s="49">
        <v>5.6</v>
      </c>
      <c r="AO141" s="49">
        <v>4.9000000000000004</v>
      </c>
      <c r="AP141" s="49">
        <v>5.6</v>
      </c>
      <c r="AQ141" s="49">
        <v>4.9000000000000004</v>
      </c>
      <c r="AR141" s="1"/>
      <c r="AS141" s="1"/>
      <c r="AT141" s="95"/>
      <c r="AU141" s="96"/>
      <c r="AV141" s="95"/>
      <c r="AW141" s="96"/>
      <c r="AX141" s="96"/>
      <c r="AY141" s="138"/>
      <c r="AZ141" s="138"/>
      <c r="BA141" s="1"/>
      <c r="BB141" s="1"/>
      <c r="BC141" s="1"/>
      <c r="BD141" s="1"/>
    </row>
    <row r="142" spans="1:56" x14ac:dyDescent="0.25">
      <c r="A142" s="137"/>
      <c r="B142" s="239" t="s">
        <v>466</v>
      </c>
      <c r="C142" s="240"/>
      <c r="D142" s="241"/>
      <c r="E142" s="241"/>
      <c r="F142" s="241"/>
      <c r="G142" s="241"/>
      <c r="H142" s="241"/>
      <c r="I142" s="241"/>
      <c r="J142" s="241">
        <v>128.80000000000001</v>
      </c>
      <c r="K142" s="241">
        <v>156.80000000000001</v>
      </c>
      <c r="L142" s="241">
        <v>138.19999999999999</v>
      </c>
      <c r="M142" s="241">
        <v>160.5</v>
      </c>
      <c r="N142" s="241">
        <v>144.5</v>
      </c>
      <c r="O142" s="241">
        <v>167.3</v>
      </c>
      <c r="P142" s="241">
        <v>172.4</v>
      </c>
      <c r="Q142" s="241">
        <v>196.6</v>
      </c>
      <c r="R142" s="241">
        <v>208.7</v>
      </c>
      <c r="S142" s="241">
        <v>228.5</v>
      </c>
      <c r="T142" s="241">
        <v>244.7</v>
      </c>
      <c r="U142" s="241">
        <v>270.7</v>
      </c>
      <c r="V142" s="241">
        <v>291.3</v>
      </c>
      <c r="W142" s="241">
        <v>270.7</v>
      </c>
      <c r="X142" s="241">
        <v>337.3</v>
      </c>
      <c r="Y142" s="241">
        <v>364.3</v>
      </c>
      <c r="Z142" s="241">
        <v>394.6</v>
      </c>
      <c r="AA142" s="241">
        <v>427.6</v>
      </c>
      <c r="AB142" s="241">
        <v>466.1</v>
      </c>
      <c r="AC142" s="241">
        <v>511.8</v>
      </c>
      <c r="AD142" s="241">
        <v>560.9</v>
      </c>
      <c r="AE142" s="241">
        <v>616</v>
      </c>
      <c r="AF142" s="241">
        <v>678.2</v>
      </c>
      <c r="AG142" s="241">
        <v>744.7</v>
      </c>
      <c r="AH142" s="241">
        <v>823.1</v>
      </c>
      <c r="AI142" s="241">
        <v>903.8</v>
      </c>
      <c r="AJ142" s="242">
        <v>1002.2</v>
      </c>
      <c r="AK142" s="242">
        <v>1100.5</v>
      </c>
      <c r="AL142" s="242">
        <v>1223.5999999999999</v>
      </c>
      <c r="AM142" s="242">
        <v>1343.4</v>
      </c>
      <c r="AN142" s="242">
        <v>1497.2</v>
      </c>
      <c r="AO142" s="242">
        <v>1643.6</v>
      </c>
      <c r="AP142" s="242">
        <v>1835.5</v>
      </c>
      <c r="AQ142" s="242">
        <v>2014.6</v>
      </c>
      <c r="AR142" s="1"/>
      <c r="AS142" s="1"/>
      <c r="AT142" s="95"/>
      <c r="AU142" s="96"/>
      <c r="AV142" s="95"/>
      <c r="AW142" s="96"/>
      <c r="AX142" s="96"/>
      <c r="AY142" s="138"/>
      <c r="AZ142" s="138"/>
      <c r="BA142" s="1"/>
      <c r="BB142" s="1"/>
      <c r="BC142" s="1"/>
      <c r="BD142" s="1"/>
    </row>
    <row r="143" spans="1:56" x14ac:dyDescent="0.25">
      <c r="A143" s="137"/>
      <c r="B143" s="107" t="s">
        <v>467</v>
      </c>
      <c r="C143" s="93" t="s">
        <v>168</v>
      </c>
      <c r="D143" s="49"/>
      <c r="E143" s="49"/>
      <c r="F143" s="49"/>
      <c r="G143" s="49"/>
      <c r="H143" s="49"/>
      <c r="I143" s="49"/>
      <c r="J143" s="49"/>
      <c r="K143" s="49"/>
      <c r="L143" s="126">
        <v>7.0000000000000007E-2</v>
      </c>
      <c r="M143" s="126">
        <v>0.02</v>
      </c>
      <c r="N143" s="126">
        <v>0.05</v>
      </c>
      <c r="O143" s="126">
        <v>0.04</v>
      </c>
      <c r="P143" s="126">
        <v>0.19</v>
      </c>
      <c r="Q143" s="126">
        <v>0.18</v>
      </c>
      <c r="R143" s="126">
        <v>0.21</v>
      </c>
      <c r="S143" s="126">
        <v>0.16</v>
      </c>
      <c r="T143" s="126">
        <v>0.17</v>
      </c>
      <c r="U143" s="126">
        <v>0.18</v>
      </c>
      <c r="V143" s="126">
        <v>0.19</v>
      </c>
      <c r="W143" s="126">
        <v>0.18</v>
      </c>
      <c r="X143" s="126">
        <v>0.16</v>
      </c>
      <c r="Y143" s="126">
        <v>0.16</v>
      </c>
      <c r="Z143" s="126">
        <v>0.17</v>
      </c>
      <c r="AA143" s="126">
        <v>0.17</v>
      </c>
      <c r="AB143" s="126">
        <v>0.18</v>
      </c>
      <c r="AC143" s="126">
        <v>0.2</v>
      </c>
      <c r="AD143" s="126">
        <v>0.2</v>
      </c>
      <c r="AE143" s="126">
        <v>0.2</v>
      </c>
      <c r="AF143" s="126">
        <v>0.21</v>
      </c>
      <c r="AG143" s="126">
        <v>0.21</v>
      </c>
      <c r="AH143" s="126">
        <v>0.21</v>
      </c>
      <c r="AI143" s="126">
        <v>0.21</v>
      </c>
      <c r="AJ143" s="126">
        <v>0.22</v>
      </c>
      <c r="AK143" s="126">
        <v>0.22</v>
      </c>
      <c r="AL143" s="126">
        <v>0.22</v>
      </c>
      <c r="AM143" s="126">
        <v>0.22</v>
      </c>
      <c r="AN143" s="126">
        <v>0.22</v>
      </c>
      <c r="AO143" s="126">
        <v>0.22</v>
      </c>
      <c r="AP143" s="126">
        <v>0.23</v>
      </c>
      <c r="AQ143" s="126">
        <v>0.23</v>
      </c>
      <c r="AR143" s="1"/>
      <c r="AS143" s="1"/>
      <c r="AT143" s="134">
        <v>0.17</v>
      </c>
      <c r="AU143" s="135">
        <v>0.02</v>
      </c>
      <c r="AV143" s="134">
        <v>0.17</v>
      </c>
      <c r="AW143" s="135">
        <v>-0.01</v>
      </c>
      <c r="AX143" s="96"/>
      <c r="AY143" s="138"/>
      <c r="AZ143" s="138"/>
      <c r="BA143" s="1"/>
      <c r="BB143" s="1"/>
      <c r="BC143" s="1"/>
      <c r="BD143" s="1"/>
    </row>
    <row r="144" spans="1:56" x14ac:dyDescent="0.25">
      <c r="A144" s="137"/>
      <c r="B144" s="107" t="s">
        <v>468</v>
      </c>
      <c r="C144" s="49" t="s">
        <v>168</v>
      </c>
      <c r="D144" s="49"/>
      <c r="E144" s="49"/>
      <c r="F144" s="49"/>
      <c r="G144" s="49"/>
      <c r="H144" s="49"/>
      <c r="I144" s="49"/>
      <c r="J144" s="49"/>
      <c r="K144" s="49"/>
      <c r="L144" s="126">
        <v>0.08</v>
      </c>
      <c r="M144" s="126">
        <v>0.03</v>
      </c>
      <c r="N144" s="126">
        <v>0.06</v>
      </c>
      <c r="O144" s="126">
        <v>0.04</v>
      </c>
      <c r="P144" s="126">
        <v>0.21</v>
      </c>
      <c r="Q144" s="126">
        <v>0.19</v>
      </c>
      <c r="R144" s="126">
        <v>0.21</v>
      </c>
      <c r="S144" s="126">
        <v>0.2</v>
      </c>
      <c r="T144" s="126">
        <v>0.22</v>
      </c>
      <c r="U144" s="126">
        <v>0.17</v>
      </c>
      <c r="V144" s="126">
        <v>0.19</v>
      </c>
      <c r="W144" s="126">
        <v>0.17</v>
      </c>
      <c r="X144" s="126">
        <v>0.2</v>
      </c>
      <c r="Y144" s="126">
        <v>0.2</v>
      </c>
      <c r="Z144" s="126">
        <v>0.2</v>
      </c>
      <c r="AA144" s="126">
        <v>0.21</v>
      </c>
      <c r="AB144" s="126">
        <v>0.21</v>
      </c>
      <c r="AC144" s="126">
        <v>0.23</v>
      </c>
      <c r="AD144" s="126">
        <v>0.23</v>
      </c>
      <c r="AE144" s="126">
        <v>0.23</v>
      </c>
      <c r="AF144" s="126">
        <v>0.23</v>
      </c>
      <c r="AG144" s="126">
        <v>0.23</v>
      </c>
      <c r="AH144" s="126">
        <v>0.23</v>
      </c>
      <c r="AI144" s="126">
        <v>0.23</v>
      </c>
      <c r="AJ144" s="126">
        <v>0.23</v>
      </c>
      <c r="AK144" s="126">
        <v>0.23</v>
      </c>
      <c r="AL144" s="126">
        <v>0.23</v>
      </c>
      <c r="AM144" s="126">
        <v>0.23</v>
      </c>
      <c r="AN144" s="126">
        <v>0.23</v>
      </c>
      <c r="AO144" s="126">
        <v>0.23</v>
      </c>
      <c r="AP144" s="126">
        <v>0.23</v>
      </c>
      <c r="AQ144" s="126">
        <v>0.23</v>
      </c>
      <c r="AR144" s="1"/>
      <c r="AS144" s="1"/>
      <c r="AT144" s="134">
        <v>0.35</v>
      </c>
      <c r="AU144" s="135">
        <v>-0.16</v>
      </c>
      <c r="AV144" s="134">
        <v>0.35</v>
      </c>
      <c r="AW144" s="135">
        <v>-0.17</v>
      </c>
      <c r="AX144" s="96"/>
      <c r="AY144" s="138"/>
      <c r="AZ144" s="138"/>
      <c r="BA144" s="1"/>
      <c r="BB144" s="1"/>
      <c r="BC144" s="1"/>
      <c r="BD144" s="1"/>
    </row>
    <row r="145" spans="1:56" x14ac:dyDescent="0.25">
      <c r="A145" s="137"/>
      <c r="B145" s="107" t="s">
        <v>469</v>
      </c>
      <c r="C145" s="93" t="s">
        <v>168</v>
      </c>
      <c r="D145" s="49"/>
      <c r="E145" s="49"/>
      <c r="F145" s="49"/>
      <c r="G145" s="49"/>
      <c r="H145" s="49"/>
      <c r="I145" s="49"/>
      <c r="J145" s="49"/>
      <c r="K145" s="49"/>
      <c r="L145" s="126">
        <v>0.04</v>
      </c>
      <c r="M145" s="126">
        <v>0</v>
      </c>
      <c r="N145" s="126">
        <v>0</v>
      </c>
      <c r="O145" s="126">
        <v>0.06</v>
      </c>
      <c r="P145" s="126">
        <v>0.13</v>
      </c>
      <c r="Q145" s="126">
        <v>0.13</v>
      </c>
      <c r="R145" s="126">
        <v>-0.01</v>
      </c>
      <c r="S145" s="126">
        <v>0.02</v>
      </c>
      <c r="T145" s="126">
        <v>7.0000000000000007E-2</v>
      </c>
      <c r="U145" s="126">
        <v>0.12</v>
      </c>
      <c r="V145" s="126">
        <v>0.18</v>
      </c>
      <c r="W145" s="126">
        <v>0.12</v>
      </c>
      <c r="X145" s="126">
        <v>-0.05</v>
      </c>
      <c r="Y145" s="126">
        <v>-0.05</v>
      </c>
      <c r="Z145" s="126">
        <v>-0.05</v>
      </c>
      <c r="AA145" s="126">
        <v>-0.05</v>
      </c>
      <c r="AB145" s="126">
        <v>-0.05</v>
      </c>
      <c r="AC145" s="126">
        <v>-0.05</v>
      </c>
      <c r="AD145" s="126">
        <v>-0.05</v>
      </c>
      <c r="AE145" s="126">
        <v>-0.05</v>
      </c>
      <c r="AF145" s="126">
        <v>-0.05</v>
      </c>
      <c r="AG145" s="126">
        <v>-0.05</v>
      </c>
      <c r="AH145" s="126">
        <v>-0.05</v>
      </c>
      <c r="AI145" s="126">
        <v>-0.05</v>
      </c>
      <c r="AJ145" s="126">
        <v>-0.05</v>
      </c>
      <c r="AK145" s="126">
        <v>-0.05</v>
      </c>
      <c r="AL145" s="126">
        <v>-0.05</v>
      </c>
      <c r="AM145" s="126">
        <v>-0.05</v>
      </c>
      <c r="AN145" s="126">
        <v>-0.05</v>
      </c>
      <c r="AO145" s="126">
        <v>-0.05</v>
      </c>
      <c r="AP145" s="126">
        <v>-0.05</v>
      </c>
      <c r="AQ145" s="126">
        <v>-0.05</v>
      </c>
      <c r="AR145" s="1"/>
      <c r="AS145" s="1"/>
      <c r="AT145" s="134">
        <v>0.17</v>
      </c>
      <c r="AU145" s="135">
        <v>0.01</v>
      </c>
      <c r="AV145" s="134">
        <v>0.17</v>
      </c>
      <c r="AW145" s="135">
        <v>-0.12</v>
      </c>
      <c r="AX145" s="96"/>
      <c r="AY145" s="138"/>
      <c r="AZ145" s="138"/>
      <c r="BA145" s="1"/>
      <c r="BB145" s="1"/>
      <c r="BC145" s="1"/>
      <c r="BD145" s="1"/>
    </row>
    <row r="146" spans="1:56" x14ac:dyDescent="0.25">
      <c r="A146" s="288"/>
      <c r="B146" s="289"/>
      <c r="C146" s="93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1"/>
      <c r="AS146" s="1"/>
      <c r="AT146" s="95"/>
      <c r="AU146" s="96"/>
      <c r="AV146" s="95"/>
      <c r="AW146" s="96"/>
      <c r="AX146" s="96"/>
      <c r="AY146" s="138"/>
      <c r="AZ146" s="138"/>
      <c r="BA146" s="1"/>
      <c r="BB146" s="1"/>
      <c r="BC146" s="1"/>
      <c r="BD146" s="1"/>
    </row>
    <row r="147" spans="1:56" x14ac:dyDescent="0.25">
      <c r="A147" s="137"/>
      <c r="B147" s="90" t="s">
        <v>46</v>
      </c>
      <c r="C147" s="153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97"/>
      <c r="T147" s="159"/>
      <c r="U147" s="197"/>
      <c r="V147" s="159"/>
      <c r="W147" s="197"/>
      <c r="X147" s="159"/>
      <c r="Y147" s="159"/>
      <c r="Z147" s="159"/>
      <c r="AA147" s="159"/>
      <c r="AB147" s="159"/>
      <c r="AC147" s="159"/>
      <c r="AD147" s="159"/>
      <c r="AE147" s="159"/>
      <c r="AF147" s="159"/>
      <c r="AG147" s="159"/>
      <c r="AH147" s="159"/>
      <c r="AI147" s="159"/>
      <c r="AJ147" s="159"/>
      <c r="AK147" s="159"/>
      <c r="AL147" s="159"/>
      <c r="AM147" s="159"/>
      <c r="AN147" s="159"/>
      <c r="AO147" s="159"/>
      <c r="AP147" s="159"/>
      <c r="AQ147" s="159"/>
      <c r="AR147" s="159"/>
      <c r="AS147" s="1"/>
      <c r="AT147" s="88"/>
      <c r="AU147" s="89"/>
      <c r="AV147" s="88"/>
      <c r="AW147" s="89"/>
      <c r="AX147" s="89"/>
      <c r="AY147" s="138"/>
      <c r="AZ147" s="138"/>
      <c r="BA147" s="159"/>
      <c r="BB147" s="159"/>
      <c r="BC147" s="159"/>
      <c r="BD147" s="159"/>
    </row>
    <row r="148" spans="1:56" x14ac:dyDescent="0.25">
      <c r="A148" s="137"/>
      <c r="B148" s="92" t="s">
        <v>218</v>
      </c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>
        <v>29.6</v>
      </c>
      <c r="Q148" s="49">
        <v>47.9</v>
      </c>
      <c r="R148" s="49">
        <v>37.200000000000003</v>
      </c>
      <c r="S148" s="49">
        <v>60.5</v>
      </c>
      <c r="T148" s="49">
        <v>47</v>
      </c>
      <c r="U148" s="49">
        <v>85</v>
      </c>
      <c r="V148" s="49">
        <v>68.599999999999994</v>
      </c>
      <c r="W148" s="49">
        <v>85</v>
      </c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1"/>
      <c r="AS148" s="1"/>
      <c r="AT148" s="200">
        <v>38.9</v>
      </c>
      <c r="AU148" s="201">
        <v>29.7</v>
      </c>
      <c r="AV148" s="200">
        <v>46.8</v>
      </c>
      <c r="AW148" s="201">
        <v>-46.8</v>
      </c>
      <c r="AX148" s="96"/>
      <c r="AY148" s="138"/>
      <c r="AZ148" s="138"/>
      <c r="BA148" s="1"/>
      <c r="BB148" s="1"/>
      <c r="BC148" s="1"/>
      <c r="BD148" s="1"/>
    </row>
    <row r="149" spans="1:56" x14ac:dyDescent="0.25">
      <c r="A149" s="137"/>
      <c r="B149" s="92" t="s">
        <v>220</v>
      </c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>
        <v>6.7</v>
      </c>
      <c r="Q149" s="49">
        <v>10.1</v>
      </c>
      <c r="R149" s="49">
        <v>5</v>
      </c>
      <c r="S149" s="49">
        <v>8.8000000000000007</v>
      </c>
      <c r="T149" s="49">
        <v>6.1</v>
      </c>
      <c r="U149" s="49">
        <v>0.6</v>
      </c>
      <c r="V149" s="49">
        <v>5.9</v>
      </c>
      <c r="W149" s="49">
        <v>0.6</v>
      </c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1"/>
      <c r="AS149" s="1"/>
      <c r="AT149" s="200">
        <v>460.1</v>
      </c>
      <c r="AU149" s="201">
        <v>-454.3</v>
      </c>
      <c r="AV149" s="200">
        <v>507.8</v>
      </c>
      <c r="AW149" s="201">
        <v>-507.8</v>
      </c>
      <c r="AX149" s="96"/>
      <c r="AY149" s="138"/>
      <c r="AZ149" s="138"/>
      <c r="BA149" s="1"/>
      <c r="BB149" s="1"/>
      <c r="BC149" s="1"/>
      <c r="BD149" s="1"/>
    </row>
    <row r="150" spans="1:56" x14ac:dyDescent="0.25">
      <c r="A150" s="137"/>
      <c r="B150" s="92" t="s">
        <v>222</v>
      </c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>
        <v>6.2</v>
      </c>
      <c r="Q150" s="49">
        <v>11.8</v>
      </c>
      <c r="R150" s="49">
        <v>10.5</v>
      </c>
      <c r="S150" s="49">
        <v>7.7</v>
      </c>
      <c r="T150" s="49">
        <v>8.5</v>
      </c>
      <c r="U150" s="49">
        <v>5.7</v>
      </c>
      <c r="V150" s="49">
        <v>7.4</v>
      </c>
      <c r="W150" s="49">
        <v>5.7</v>
      </c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1"/>
      <c r="AS150" s="1"/>
      <c r="AT150" s="95"/>
      <c r="AU150" s="96"/>
      <c r="AV150" s="95"/>
      <c r="AW150" s="96"/>
      <c r="AX150" s="96"/>
      <c r="AY150" s="138"/>
      <c r="AZ150" s="138"/>
      <c r="BA150" s="1"/>
      <c r="BB150" s="1"/>
      <c r="BC150" s="1"/>
      <c r="BD150" s="1"/>
    </row>
    <row r="151" spans="1:56" x14ac:dyDescent="0.25">
      <c r="A151" s="137"/>
      <c r="B151" s="239" t="s">
        <v>470</v>
      </c>
      <c r="C151" s="240"/>
      <c r="D151" s="241"/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>
        <v>42.6</v>
      </c>
      <c r="Q151" s="241">
        <v>69.8</v>
      </c>
      <c r="R151" s="241">
        <v>52.7</v>
      </c>
      <c r="S151" s="241">
        <v>77.099999999999994</v>
      </c>
      <c r="T151" s="241">
        <v>61.5</v>
      </c>
      <c r="U151" s="241">
        <v>91.3</v>
      </c>
      <c r="V151" s="241">
        <v>81.900000000000006</v>
      </c>
      <c r="W151" s="241">
        <v>91.3</v>
      </c>
      <c r="X151" s="241">
        <v>99.6</v>
      </c>
      <c r="Y151" s="241">
        <v>123.9</v>
      </c>
      <c r="Z151" s="241">
        <v>122</v>
      </c>
      <c r="AA151" s="241">
        <v>151.1</v>
      </c>
      <c r="AB151" s="241">
        <v>150.19999999999999</v>
      </c>
      <c r="AC151" s="241">
        <v>187.8</v>
      </c>
      <c r="AD151" s="241">
        <v>185.3</v>
      </c>
      <c r="AE151" s="241">
        <v>230.7</v>
      </c>
      <c r="AF151" s="241">
        <v>227.4</v>
      </c>
      <c r="AG151" s="241">
        <v>282.5</v>
      </c>
      <c r="AH151" s="241">
        <v>280</v>
      </c>
      <c r="AI151" s="241">
        <v>347</v>
      </c>
      <c r="AJ151" s="241">
        <v>345.7</v>
      </c>
      <c r="AK151" s="241">
        <v>427.7</v>
      </c>
      <c r="AL151" s="241">
        <v>428</v>
      </c>
      <c r="AM151" s="241">
        <v>528.4</v>
      </c>
      <c r="AN151" s="241">
        <v>531</v>
      </c>
      <c r="AO151" s="241">
        <v>654.4</v>
      </c>
      <c r="AP151" s="241">
        <v>660.2</v>
      </c>
      <c r="AQ151" s="241">
        <v>812.1</v>
      </c>
      <c r="AR151" s="1"/>
      <c r="AS151" s="1"/>
      <c r="AT151" s="95"/>
      <c r="AU151" s="96"/>
      <c r="AV151" s="95"/>
      <c r="AW151" s="96"/>
      <c r="AX151" s="96"/>
      <c r="AY151" s="138"/>
      <c r="AZ151" s="138"/>
      <c r="BA151" s="1"/>
      <c r="BB151" s="1"/>
      <c r="BC151" s="1"/>
      <c r="BD151" s="1"/>
    </row>
    <row r="152" spans="1:56" x14ac:dyDescent="0.25">
      <c r="A152" s="137"/>
      <c r="B152" s="107" t="s">
        <v>467</v>
      </c>
      <c r="C152" s="93" t="s">
        <v>168</v>
      </c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 t="e">
        <v>#DIV/0!</v>
      </c>
      <c r="Q152" s="49" t="e">
        <v>#DIV/0!</v>
      </c>
      <c r="R152" s="126">
        <v>0.24</v>
      </c>
      <c r="S152" s="126">
        <v>0.11</v>
      </c>
      <c r="T152" s="126">
        <v>0.17</v>
      </c>
      <c r="U152" s="126">
        <v>0.18</v>
      </c>
      <c r="V152" s="126">
        <v>0.33</v>
      </c>
      <c r="W152" s="126">
        <v>0.18</v>
      </c>
      <c r="X152" s="126">
        <v>0.22</v>
      </c>
      <c r="Y152" s="126">
        <v>0.21</v>
      </c>
      <c r="Z152" s="126">
        <v>0.22</v>
      </c>
      <c r="AA152" s="126">
        <v>0.22</v>
      </c>
      <c r="AB152" s="126">
        <v>0.23</v>
      </c>
      <c r="AC152" s="126">
        <v>0.24</v>
      </c>
      <c r="AD152" s="126">
        <v>0.23</v>
      </c>
      <c r="AE152" s="126">
        <v>0.23</v>
      </c>
      <c r="AF152" s="126">
        <v>0.23</v>
      </c>
      <c r="AG152" s="126">
        <v>0.22</v>
      </c>
      <c r="AH152" s="126">
        <v>0.23</v>
      </c>
      <c r="AI152" s="126">
        <v>0.23</v>
      </c>
      <c r="AJ152" s="126">
        <v>0.23</v>
      </c>
      <c r="AK152" s="126">
        <v>0.23</v>
      </c>
      <c r="AL152" s="126">
        <v>0.24</v>
      </c>
      <c r="AM152" s="126">
        <v>0.24</v>
      </c>
      <c r="AN152" s="126">
        <v>0.24</v>
      </c>
      <c r="AO152" s="126">
        <v>0.24</v>
      </c>
      <c r="AP152" s="126">
        <v>0.24</v>
      </c>
      <c r="AQ152" s="126">
        <v>0.24</v>
      </c>
      <c r="AR152" s="1"/>
      <c r="AS152" s="1"/>
      <c r="AT152" s="134">
        <v>0.17</v>
      </c>
      <c r="AU152" s="135">
        <v>0.17</v>
      </c>
      <c r="AV152" s="134">
        <v>0.17</v>
      </c>
      <c r="AW152" s="135">
        <v>-0.04</v>
      </c>
      <c r="AX152" s="96"/>
      <c r="AY152" s="138"/>
      <c r="AZ152" s="138"/>
      <c r="BA152" s="1"/>
      <c r="BB152" s="1"/>
      <c r="BC152" s="1"/>
      <c r="BD152" s="1"/>
    </row>
    <row r="153" spans="1:56" x14ac:dyDescent="0.25">
      <c r="A153" s="137"/>
      <c r="B153" s="107" t="s">
        <v>471</v>
      </c>
      <c r="C153" s="93" t="s">
        <v>168</v>
      </c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126">
        <v>0.21</v>
      </c>
      <c r="Q153" s="126">
        <v>0.3</v>
      </c>
      <c r="R153" s="126">
        <v>0.22</v>
      </c>
      <c r="S153" s="126">
        <v>0.32</v>
      </c>
      <c r="T153" s="126">
        <v>0.23</v>
      </c>
      <c r="U153" s="126">
        <v>0.38</v>
      </c>
      <c r="V153" s="126">
        <v>0.28000000000000003</v>
      </c>
      <c r="W153" s="126">
        <v>0.38</v>
      </c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1"/>
      <c r="AS153" s="1"/>
      <c r="AT153" s="134">
        <v>0.17</v>
      </c>
      <c r="AU153" s="135">
        <v>0.12</v>
      </c>
      <c r="AV153" s="134">
        <v>0.17</v>
      </c>
      <c r="AW153" s="135">
        <v>-0.17</v>
      </c>
      <c r="AX153" s="96"/>
      <c r="AY153" s="138"/>
      <c r="AZ153" s="138"/>
      <c r="BA153" s="1"/>
      <c r="BB153" s="1"/>
      <c r="BC153" s="1"/>
      <c r="BD153" s="1"/>
    </row>
    <row r="154" spans="1:56" x14ac:dyDescent="0.25">
      <c r="A154" s="137"/>
      <c r="B154" s="107" t="s">
        <v>472</v>
      </c>
      <c r="C154" s="49" t="s">
        <v>168</v>
      </c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126">
        <v>0.2</v>
      </c>
      <c r="Q154" s="126">
        <v>0.26</v>
      </c>
      <c r="R154" s="126">
        <v>0.15</v>
      </c>
      <c r="S154" s="126">
        <v>0.22</v>
      </c>
      <c r="T154" s="126">
        <v>0.17</v>
      </c>
      <c r="U154" s="126">
        <v>0.01</v>
      </c>
      <c r="V154" s="126">
        <v>0.14000000000000001</v>
      </c>
      <c r="W154" s="126">
        <v>0.01</v>
      </c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1"/>
      <c r="AS154" s="1"/>
      <c r="AT154" s="134">
        <v>0.35</v>
      </c>
      <c r="AU154" s="135">
        <v>-0.21</v>
      </c>
      <c r="AV154" s="134">
        <v>0.35</v>
      </c>
      <c r="AW154" s="135">
        <v>-0.35</v>
      </c>
      <c r="AX154" s="96"/>
      <c r="AY154" s="138"/>
      <c r="AZ154" s="138"/>
      <c r="BA154" s="1"/>
      <c r="BB154" s="1"/>
      <c r="BC154" s="1"/>
      <c r="BD154" s="1"/>
    </row>
    <row r="155" spans="1:56" x14ac:dyDescent="0.25">
      <c r="A155" s="288"/>
      <c r="B155" s="28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1"/>
      <c r="AS155" s="1"/>
      <c r="AT155" s="95"/>
      <c r="AU155" s="96"/>
      <c r="AV155" s="95"/>
      <c r="AW155" s="96"/>
      <c r="AX155" s="96"/>
      <c r="AY155" s="138"/>
      <c r="AZ155" s="138"/>
      <c r="BA155" s="1"/>
      <c r="BB155" s="1"/>
      <c r="BC155" s="1"/>
      <c r="BD155" s="1"/>
    </row>
    <row r="156" spans="1:56" x14ac:dyDescent="0.25">
      <c r="A156" s="137"/>
      <c r="B156" s="211" t="s">
        <v>464</v>
      </c>
      <c r="C156" s="212"/>
      <c r="D156" s="213"/>
      <c r="E156" s="213"/>
      <c r="F156" s="213"/>
      <c r="G156" s="213"/>
      <c r="H156" s="213"/>
      <c r="I156" s="213"/>
      <c r="J156" s="213"/>
      <c r="K156" s="213"/>
      <c r="L156" s="213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  <c r="W156" s="214"/>
      <c r="X156" s="214"/>
      <c r="Y156" s="214"/>
      <c r="Z156" s="214"/>
      <c r="AA156" s="214"/>
      <c r="AB156" s="214"/>
      <c r="AC156" s="214"/>
      <c r="AD156" s="214"/>
      <c r="AE156" s="214"/>
      <c r="AF156" s="214"/>
      <c r="AG156" s="214"/>
      <c r="AH156" s="214"/>
      <c r="AI156" s="214"/>
      <c r="AJ156" s="214"/>
      <c r="AK156" s="214"/>
      <c r="AL156" s="214"/>
      <c r="AM156" s="214"/>
      <c r="AN156" s="214"/>
      <c r="AO156" s="214"/>
      <c r="AP156" s="214"/>
      <c r="AQ156" s="214"/>
      <c r="AR156" s="1"/>
      <c r="AS156" s="1"/>
      <c r="AT156" s="88"/>
      <c r="AU156" s="89"/>
      <c r="AV156" s="88"/>
      <c r="AW156" s="89"/>
      <c r="AX156" s="89"/>
      <c r="AY156" s="138"/>
      <c r="AZ156" s="138"/>
      <c r="BA156" s="1"/>
      <c r="BB156" s="1"/>
      <c r="BC156" s="1"/>
      <c r="BD156" s="1"/>
    </row>
    <row r="157" spans="1:56" x14ac:dyDescent="0.25">
      <c r="A157" s="288"/>
      <c r="B157" s="289"/>
      <c r="C157" s="153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97"/>
      <c r="T157" s="159"/>
      <c r="U157" s="197"/>
      <c r="V157" s="159"/>
      <c r="W157" s="197"/>
      <c r="X157" s="159"/>
      <c r="Y157" s="159"/>
      <c r="Z157" s="159"/>
      <c r="AA157" s="159"/>
      <c r="AB157" s="159"/>
      <c r="AC157" s="159"/>
      <c r="AD157" s="159"/>
      <c r="AE157" s="159"/>
      <c r="AF157" s="159"/>
      <c r="AG157" s="159"/>
      <c r="AH157" s="159"/>
      <c r="AI157" s="159"/>
      <c r="AJ157" s="159"/>
      <c r="AK157" s="159"/>
      <c r="AL157" s="159"/>
      <c r="AM157" s="159"/>
      <c r="AN157" s="159"/>
      <c r="AO157" s="159"/>
      <c r="AP157" s="159"/>
      <c r="AQ157" s="159"/>
      <c r="AR157" s="159"/>
      <c r="AS157" s="1"/>
      <c r="AT157" s="88"/>
      <c r="AU157" s="89"/>
      <c r="AV157" s="88"/>
      <c r="AW157" s="89"/>
      <c r="AX157" s="89"/>
      <c r="AY157" s="138"/>
      <c r="AZ157" s="138"/>
      <c r="BA157" s="159"/>
      <c r="BB157" s="159"/>
      <c r="BC157" s="159"/>
      <c r="BD157" s="159"/>
    </row>
    <row r="158" spans="1:56" x14ac:dyDescent="0.25">
      <c r="A158" s="137"/>
      <c r="B158" s="90" t="s">
        <v>464</v>
      </c>
      <c r="C158" s="153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97"/>
      <c r="T158" s="159"/>
      <c r="U158" s="197"/>
      <c r="V158" s="159"/>
      <c r="W158" s="197"/>
      <c r="X158" s="159"/>
      <c r="Y158" s="159"/>
      <c r="Z158" s="159"/>
      <c r="AA158" s="159"/>
      <c r="AB158" s="159"/>
      <c r="AC158" s="159"/>
      <c r="AD158" s="159"/>
      <c r="AE158" s="159"/>
      <c r="AF158" s="159"/>
      <c r="AG158" s="159"/>
      <c r="AH158" s="159"/>
      <c r="AI158" s="159"/>
      <c r="AJ158" s="159"/>
      <c r="AK158" s="159"/>
      <c r="AL158" s="159"/>
      <c r="AM158" s="159"/>
      <c r="AN158" s="159"/>
      <c r="AO158" s="159"/>
      <c r="AP158" s="159"/>
      <c r="AQ158" s="159"/>
      <c r="AR158" s="159"/>
      <c r="AS158" s="1"/>
      <c r="AT158" s="88"/>
      <c r="AU158" s="89"/>
      <c r="AV158" s="88"/>
      <c r="AW158" s="89"/>
      <c r="AX158" s="89"/>
      <c r="AY158" s="138"/>
      <c r="AZ158" s="138"/>
      <c r="BA158" s="159"/>
      <c r="BB158" s="159"/>
      <c r="BC158" s="159"/>
      <c r="BD158" s="159"/>
    </row>
    <row r="159" spans="1:56" x14ac:dyDescent="0.25">
      <c r="A159" s="137"/>
      <c r="B159" s="90" t="s">
        <v>154</v>
      </c>
      <c r="C159" s="153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97"/>
      <c r="T159" s="159"/>
      <c r="U159" s="197"/>
      <c r="V159" s="159"/>
      <c r="W159" s="197"/>
      <c r="X159" s="159"/>
      <c r="Y159" s="159"/>
      <c r="Z159" s="159"/>
      <c r="AA159" s="159"/>
      <c r="AB159" s="159"/>
      <c r="AC159" s="159"/>
      <c r="AD159" s="159"/>
      <c r="AE159" s="159"/>
      <c r="AF159" s="159"/>
      <c r="AG159" s="159"/>
      <c r="AH159" s="159"/>
      <c r="AI159" s="159"/>
      <c r="AJ159" s="159"/>
      <c r="AK159" s="159"/>
      <c r="AL159" s="159"/>
      <c r="AM159" s="159"/>
      <c r="AN159" s="159"/>
      <c r="AO159" s="159"/>
      <c r="AP159" s="159"/>
      <c r="AQ159" s="159"/>
      <c r="AR159" s="159"/>
      <c r="AS159" s="1"/>
      <c r="AT159" s="88"/>
      <c r="AU159" s="89"/>
      <c r="AV159" s="88"/>
      <c r="AW159" s="89"/>
      <c r="AX159" s="89"/>
      <c r="AY159" s="138"/>
      <c r="AZ159" s="138"/>
      <c r="BA159" s="159"/>
      <c r="BB159" s="159"/>
      <c r="BC159" s="159"/>
      <c r="BD159" s="159"/>
    </row>
    <row r="160" spans="1:56" x14ac:dyDescent="0.25">
      <c r="A160" s="137"/>
      <c r="B160" s="92" t="s">
        <v>218</v>
      </c>
      <c r="C160" s="49"/>
      <c r="D160" s="49"/>
      <c r="E160" s="49"/>
      <c r="F160" s="49"/>
      <c r="G160" s="49"/>
      <c r="H160" s="49"/>
      <c r="I160" s="49"/>
      <c r="J160" s="49">
        <v>99.3</v>
      </c>
      <c r="K160" s="49">
        <v>124.1</v>
      </c>
      <c r="L160" s="49">
        <v>107.8</v>
      </c>
      <c r="M160" s="49">
        <v>128</v>
      </c>
      <c r="N160" s="49">
        <v>114</v>
      </c>
      <c r="O160" s="49">
        <v>132.80000000000001</v>
      </c>
      <c r="P160" s="49">
        <v>137.80000000000001</v>
      </c>
      <c r="Q160" s="49">
        <v>157.69999999999999</v>
      </c>
      <c r="R160" s="49">
        <v>167.3</v>
      </c>
      <c r="S160" s="49">
        <v>188.9</v>
      </c>
      <c r="T160" s="49">
        <v>204.5</v>
      </c>
      <c r="U160" s="49">
        <v>221.5</v>
      </c>
      <c r="V160" s="49">
        <v>243.1</v>
      </c>
      <c r="W160" s="49">
        <v>221.5</v>
      </c>
      <c r="X160" s="49">
        <v>284.5</v>
      </c>
      <c r="Y160" s="49">
        <v>308.60000000000002</v>
      </c>
      <c r="Z160" s="49">
        <v>332.3</v>
      </c>
      <c r="AA160" s="49">
        <v>359.9</v>
      </c>
      <c r="AB160" s="49">
        <v>387.6</v>
      </c>
      <c r="AC160" s="49">
        <v>419.2</v>
      </c>
      <c r="AD160" s="49">
        <v>451.4</v>
      </c>
      <c r="AE160" s="49">
        <v>487.6</v>
      </c>
      <c r="AF160" s="49">
        <v>525.1</v>
      </c>
      <c r="AG160" s="49">
        <v>566.6</v>
      </c>
      <c r="AH160" s="49">
        <v>610.1</v>
      </c>
      <c r="AI160" s="49">
        <v>657.7</v>
      </c>
      <c r="AJ160" s="49">
        <v>708.2</v>
      </c>
      <c r="AK160" s="49">
        <v>762.9</v>
      </c>
      <c r="AL160" s="49">
        <v>821.4</v>
      </c>
      <c r="AM160" s="49">
        <v>884.1</v>
      </c>
      <c r="AN160" s="49">
        <v>951.8</v>
      </c>
      <c r="AO160" s="94">
        <v>1023.8</v>
      </c>
      <c r="AP160" s="94">
        <v>1102.2</v>
      </c>
      <c r="AQ160" s="94">
        <v>1184.8</v>
      </c>
      <c r="AR160" s="1"/>
      <c r="AS160" s="1"/>
      <c r="AT160" s="200">
        <v>38.9</v>
      </c>
      <c r="AU160" s="201">
        <v>204.2</v>
      </c>
      <c r="AV160" s="200">
        <v>46.8</v>
      </c>
      <c r="AW160" s="201">
        <v>217.3</v>
      </c>
      <c r="AX160" s="96"/>
      <c r="AY160" s="138"/>
      <c r="AZ160" s="138"/>
      <c r="BA160" s="1"/>
      <c r="BB160" s="1"/>
      <c r="BC160" s="1"/>
      <c r="BD160" s="1"/>
    </row>
    <row r="161" spans="1:56" x14ac:dyDescent="0.25">
      <c r="A161" s="137"/>
      <c r="B161" s="222" t="s">
        <v>473</v>
      </c>
      <c r="C161" s="49" t="s">
        <v>75</v>
      </c>
      <c r="D161" s="49"/>
      <c r="E161" s="49"/>
      <c r="F161" s="49"/>
      <c r="G161" s="49"/>
      <c r="H161" s="49"/>
      <c r="I161" s="49"/>
      <c r="J161" s="49"/>
      <c r="K161" s="49"/>
      <c r="L161" s="49">
        <v>19.2</v>
      </c>
      <c r="M161" s="49">
        <v>19.600000000000001</v>
      </c>
      <c r="N161" s="49">
        <v>19.5</v>
      </c>
      <c r="O161" s="49">
        <v>19.600000000000001</v>
      </c>
      <c r="P161" s="49">
        <v>20.2</v>
      </c>
      <c r="Q161" s="49">
        <v>21.3</v>
      </c>
      <c r="R161" s="49">
        <v>22.7</v>
      </c>
      <c r="S161" s="49">
        <v>22.6</v>
      </c>
      <c r="T161" s="49">
        <v>22.9</v>
      </c>
      <c r="U161" s="49">
        <v>23.7</v>
      </c>
      <c r="V161" s="49">
        <v>25.2</v>
      </c>
      <c r="W161" s="49">
        <v>23.7</v>
      </c>
      <c r="X161" s="49">
        <v>29.2</v>
      </c>
      <c r="Y161" s="49">
        <v>31.2</v>
      </c>
      <c r="Z161" s="49">
        <v>33.6</v>
      </c>
      <c r="AA161" s="49">
        <v>35.9</v>
      </c>
      <c r="AB161" s="49">
        <v>38.700000000000003</v>
      </c>
      <c r="AC161" s="49">
        <v>41.3</v>
      </c>
      <c r="AD161" s="49">
        <v>44.4</v>
      </c>
      <c r="AE161" s="49">
        <v>47.5</v>
      </c>
      <c r="AF161" s="49">
        <v>51.1</v>
      </c>
      <c r="AG161" s="49">
        <v>54.6</v>
      </c>
      <c r="AH161" s="49">
        <v>58.8</v>
      </c>
      <c r="AI161" s="49">
        <v>62.8</v>
      </c>
      <c r="AJ161" s="49">
        <v>67.599999999999994</v>
      </c>
      <c r="AK161" s="49">
        <v>72.2</v>
      </c>
      <c r="AL161" s="49">
        <v>77.7</v>
      </c>
      <c r="AM161" s="49">
        <v>83.1</v>
      </c>
      <c r="AN161" s="49">
        <v>89.4</v>
      </c>
      <c r="AO161" s="49">
        <v>95.5</v>
      </c>
      <c r="AP161" s="49">
        <v>102.8</v>
      </c>
      <c r="AQ161" s="49">
        <v>109.8</v>
      </c>
      <c r="AR161" s="1"/>
      <c r="AS161" s="1"/>
      <c r="AT161" s="200"/>
      <c r="AU161" s="201"/>
      <c r="AV161" s="200"/>
      <c r="AW161" s="201"/>
      <c r="AX161" s="96"/>
      <c r="AY161" s="138"/>
      <c r="AZ161" s="138"/>
      <c r="BA161" s="1"/>
      <c r="BB161" s="1"/>
      <c r="BC161" s="1"/>
      <c r="BD161" s="1"/>
    </row>
    <row r="162" spans="1:56" x14ac:dyDescent="0.25">
      <c r="A162" s="288"/>
      <c r="B162" s="28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1"/>
      <c r="AS162" s="1"/>
      <c r="AT162" s="200"/>
      <c r="AU162" s="201"/>
      <c r="AV162" s="200"/>
      <c r="AW162" s="201"/>
      <c r="AX162" s="96"/>
      <c r="AY162" s="138"/>
      <c r="AZ162" s="138"/>
      <c r="BA162" s="1"/>
      <c r="BB162" s="1"/>
      <c r="BC162" s="1"/>
      <c r="BD162" s="1"/>
    </row>
    <row r="163" spans="1:56" x14ac:dyDescent="0.25">
      <c r="A163" s="137"/>
      <c r="B163" s="222" t="s">
        <v>474</v>
      </c>
      <c r="C163" s="49" t="s">
        <v>75</v>
      </c>
      <c r="D163" s="49"/>
      <c r="E163" s="49"/>
      <c r="F163" s="49"/>
      <c r="G163" s="49"/>
      <c r="H163" s="49"/>
      <c r="I163" s="49"/>
      <c r="J163" s="49"/>
      <c r="K163" s="49"/>
      <c r="L163" s="49">
        <v>-10.8</v>
      </c>
      <c r="M163" s="49">
        <v>-15.6</v>
      </c>
      <c r="N163" s="49">
        <v>-13.3</v>
      </c>
      <c r="O163" s="49">
        <v>-14.8</v>
      </c>
      <c r="P163" s="49">
        <v>3.7</v>
      </c>
      <c r="Q163" s="49">
        <v>3.6</v>
      </c>
      <c r="R163" s="49">
        <v>6.7</v>
      </c>
      <c r="S163" s="49">
        <v>8.6</v>
      </c>
      <c r="T163" s="49">
        <v>14.4</v>
      </c>
      <c r="U163" s="49">
        <v>8.9</v>
      </c>
      <c r="V163" s="49">
        <v>13.4</v>
      </c>
      <c r="W163" s="49">
        <v>8.9</v>
      </c>
      <c r="X163" s="49">
        <v>12.2</v>
      </c>
      <c r="Y163" s="49">
        <v>13.2</v>
      </c>
      <c r="Z163" s="49">
        <v>14.2</v>
      </c>
      <c r="AA163" s="49">
        <v>15.4</v>
      </c>
      <c r="AB163" s="49">
        <v>16.600000000000001</v>
      </c>
      <c r="AC163" s="49">
        <v>18</v>
      </c>
      <c r="AD163" s="49">
        <v>19.399999999999999</v>
      </c>
      <c r="AE163" s="49">
        <v>21</v>
      </c>
      <c r="AF163" s="49">
        <v>22.6</v>
      </c>
      <c r="AG163" s="49">
        <v>24.4</v>
      </c>
      <c r="AH163" s="49">
        <v>26.3</v>
      </c>
      <c r="AI163" s="49">
        <v>28.3</v>
      </c>
      <c r="AJ163" s="49">
        <v>30.5</v>
      </c>
      <c r="AK163" s="49">
        <v>32.9</v>
      </c>
      <c r="AL163" s="49">
        <v>35.4</v>
      </c>
      <c r="AM163" s="49">
        <v>38.1</v>
      </c>
      <c r="AN163" s="49">
        <v>41.1</v>
      </c>
      <c r="AO163" s="49">
        <v>44.2</v>
      </c>
      <c r="AP163" s="49">
        <v>47.6</v>
      </c>
      <c r="AQ163" s="49">
        <v>51.2</v>
      </c>
      <c r="AR163" s="1"/>
      <c r="AS163" s="1"/>
      <c r="AT163" s="200"/>
      <c r="AU163" s="201"/>
      <c r="AV163" s="200"/>
      <c r="AW163" s="201"/>
      <c r="AX163" s="96"/>
      <c r="AY163" s="138"/>
      <c r="AZ163" s="138"/>
      <c r="BA163" s="1"/>
      <c r="BB163" s="1"/>
      <c r="BC163" s="1"/>
      <c r="BD163" s="1"/>
    </row>
    <row r="164" spans="1:56" x14ac:dyDescent="0.25">
      <c r="A164" s="137"/>
      <c r="B164" s="222" t="s">
        <v>475</v>
      </c>
      <c r="C164" s="49" t="s">
        <v>6</v>
      </c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126">
        <v>-0.12</v>
      </c>
      <c r="O164" s="126">
        <v>-0.12</v>
      </c>
      <c r="P164" s="126">
        <v>0.03</v>
      </c>
      <c r="Q164" s="126">
        <v>0.03</v>
      </c>
      <c r="R164" s="126">
        <v>0.05</v>
      </c>
      <c r="S164" s="126">
        <v>0.05</v>
      </c>
      <c r="T164" s="126">
        <v>0.09</v>
      </c>
      <c r="U164" s="126">
        <v>0.05</v>
      </c>
      <c r="V164" s="126">
        <v>7.0000000000000007E-2</v>
      </c>
      <c r="W164" s="126">
        <v>0.05</v>
      </c>
      <c r="X164" s="133">
        <v>0.05</v>
      </c>
      <c r="Y164" s="133">
        <v>0.05</v>
      </c>
      <c r="Z164" s="133">
        <v>0.05</v>
      </c>
      <c r="AA164" s="133">
        <v>0.05</v>
      </c>
      <c r="AB164" s="133">
        <v>0.05</v>
      </c>
      <c r="AC164" s="133">
        <v>0.05</v>
      </c>
      <c r="AD164" s="133">
        <v>0.05</v>
      </c>
      <c r="AE164" s="133">
        <v>0.05</v>
      </c>
      <c r="AF164" s="133">
        <v>0.05</v>
      </c>
      <c r="AG164" s="133">
        <v>0.05</v>
      </c>
      <c r="AH164" s="133">
        <v>0.05</v>
      </c>
      <c r="AI164" s="133">
        <v>0.05</v>
      </c>
      <c r="AJ164" s="133">
        <v>0.05</v>
      </c>
      <c r="AK164" s="133">
        <v>0.05</v>
      </c>
      <c r="AL164" s="133">
        <v>0.05</v>
      </c>
      <c r="AM164" s="133">
        <v>0.05</v>
      </c>
      <c r="AN164" s="133">
        <v>0.05</v>
      </c>
      <c r="AO164" s="133">
        <v>0.05</v>
      </c>
      <c r="AP164" s="133">
        <v>0.05</v>
      </c>
      <c r="AQ164" s="133">
        <v>0.05</v>
      </c>
      <c r="AR164" s="1"/>
      <c r="AS164" s="1"/>
      <c r="AT164" s="200"/>
      <c r="AU164" s="201"/>
      <c r="AV164" s="200"/>
      <c r="AW164" s="201"/>
      <c r="AX164" s="96"/>
      <c r="AY164" s="138"/>
      <c r="AZ164" s="138"/>
      <c r="BA164" s="1"/>
      <c r="BB164" s="1"/>
      <c r="BC164" s="1"/>
      <c r="BD164" s="1"/>
    </row>
    <row r="165" spans="1:56" x14ac:dyDescent="0.25">
      <c r="A165" s="288"/>
      <c r="B165" s="28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1"/>
      <c r="AS165" s="1"/>
      <c r="AT165" s="200"/>
      <c r="AU165" s="201"/>
      <c r="AV165" s="200"/>
      <c r="AW165" s="201"/>
      <c r="AX165" s="96"/>
      <c r="AY165" s="138"/>
      <c r="AZ165" s="138"/>
      <c r="BA165" s="1"/>
      <c r="BB165" s="1"/>
      <c r="BC165" s="1"/>
      <c r="BD165" s="1"/>
    </row>
    <row r="166" spans="1:56" x14ac:dyDescent="0.25">
      <c r="A166" s="137"/>
      <c r="B166" s="92" t="s">
        <v>220</v>
      </c>
      <c r="C166" s="49"/>
      <c r="D166" s="49"/>
      <c r="E166" s="49"/>
      <c r="F166" s="49"/>
      <c r="G166" s="49"/>
      <c r="H166" s="49"/>
      <c r="I166" s="49"/>
      <c r="J166" s="49">
        <v>29.2</v>
      </c>
      <c r="K166" s="49">
        <v>32.4</v>
      </c>
      <c r="L166" s="49">
        <v>30.2</v>
      </c>
      <c r="M166" s="49">
        <v>32.299999999999997</v>
      </c>
      <c r="N166" s="49">
        <v>30.4</v>
      </c>
      <c r="O166" s="49">
        <v>34.200000000000003</v>
      </c>
      <c r="P166" s="49">
        <v>34.1</v>
      </c>
      <c r="Q166" s="49">
        <v>38.5</v>
      </c>
      <c r="R166" s="49">
        <v>33.700000000000003</v>
      </c>
      <c r="S166" s="49">
        <v>39.4</v>
      </c>
      <c r="T166" s="49">
        <v>36.299999999999997</v>
      </c>
      <c r="U166" s="49">
        <v>44.3</v>
      </c>
      <c r="V166" s="49">
        <v>42.6</v>
      </c>
      <c r="W166" s="49">
        <v>44.3</v>
      </c>
      <c r="X166" s="49">
        <v>49</v>
      </c>
      <c r="Y166" s="49">
        <v>58.5</v>
      </c>
      <c r="Z166" s="49">
        <v>56.4</v>
      </c>
      <c r="AA166" s="49">
        <v>67.3</v>
      </c>
      <c r="AB166" s="49">
        <v>64.8</v>
      </c>
      <c r="AC166" s="49">
        <v>77.400000000000006</v>
      </c>
      <c r="AD166" s="49">
        <v>74.5</v>
      </c>
      <c r="AE166" s="49">
        <v>89</v>
      </c>
      <c r="AF166" s="49">
        <v>85.7</v>
      </c>
      <c r="AG166" s="49">
        <v>102.4</v>
      </c>
      <c r="AH166" s="49">
        <v>98.6</v>
      </c>
      <c r="AI166" s="49">
        <v>117.8</v>
      </c>
      <c r="AJ166" s="49">
        <v>113.3</v>
      </c>
      <c r="AK166" s="49">
        <v>135.4</v>
      </c>
      <c r="AL166" s="49">
        <v>130.30000000000001</v>
      </c>
      <c r="AM166" s="49">
        <v>155.69999999999999</v>
      </c>
      <c r="AN166" s="49">
        <v>149.9</v>
      </c>
      <c r="AO166" s="49">
        <v>179.1</v>
      </c>
      <c r="AP166" s="49">
        <v>172.4</v>
      </c>
      <c r="AQ166" s="49">
        <v>206</v>
      </c>
      <c r="AR166" s="1"/>
      <c r="AS166" s="1"/>
      <c r="AT166" s="200">
        <v>460.1</v>
      </c>
      <c r="AU166" s="201">
        <v>-417.5</v>
      </c>
      <c r="AV166" s="200">
        <v>507.8</v>
      </c>
      <c r="AW166" s="201">
        <v>-456.9</v>
      </c>
      <c r="AX166" s="96"/>
      <c r="AY166" s="138"/>
      <c r="AZ166" s="138"/>
      <c r="BA166" s="1"/>
      <c r="BB166" s="1"/>
      <c r="BC166" s="1"/>
      <c r="BD166" s="1"/>
    </row>
    <row r="167" spans="1:56" x14ac:dyDescent="0.25">
      <c r="A167" s="137"/>
      <c r="B167" s="222" t="s">
        <v>476</v>
      </c>
      <c r="C167" s="49" t="s">
        <v>6</v>
      </c>
      <c r="D167" s="49"/>
      <c r="E167" s="49"/>
      <c r="F167" s="49"/>
      <c r="G167" s="49"/>
      <c r="H167" s="49"/>
      <c r="I167" s="49"/>
      <c r="J167" s="49"/>
      <c r="K167" s="49"/>
      <c r="L167" s="126">
        <v>0.04</v>
      </c>
      <c r="M167" s="126">
        <v>0</v>
      </c>
      <c r="N167" s="126">
        <v>0</v>
      </c>
      <c r="O167" s="126">
        <v>0.06</v>
      </c>
      <c r="P167" s="126">
        <v>0.13</v>
      </c>
      <c r="Q167" s="126">
        <v>0.13</v>
      </c>
      <c r="R167" s="126">
        <v>-0.01</v>
      </c>
      <c r="S167" s="126">
        <v>0.02</v>
      </c>
      <c r="T167" s="126">
        <v>7.0000000000000007E-2</v>
      </c>
      <c r="U167" s="126">
        <v>0.12</v>
      </c>
      <c r="V167" s="126">
        <v>0.18</v>
      </c>
      <c r="W167" s="126">
        <v>0.12</v>
      </c>
      <c r="X167" s="133">
        <v>0.15</v>
      </c>
      <c r="Y167" s="133">
        <v>0.15</v>
      </c>
      <c r="Z167" s="133">
        <v>0.15</v>
      </c>
      <c r="AA167" s="133">
        <v>0.15</v>
      </c>
      <c r="AB167" s="133">
        <v>0.15</v>
      </c>
      <c r="AC167" s="133">
        <v>0.15</v>
      </c>
      <c r="AD167" s="133">
        <v>0.15</v>
      </c>
      <c r="AE167" s="133">
        <v>0.15</v>
      </c>
      <c r="AF167" s="133">
        <v>0.15</v>
      </c>
      <c r="AG167" s="133">
        <v>0.15</v>
      </c>
      <c r="AH167" s="133">
        <v>0.15</v>
      </c>
      <c r="AI167" s="133">
        <v>0.15</v>
      </c>
      <c r="AJ167" s="133">
        <v>0.15</v>
      </c>
      <c r="AK167" s="133">
        <v>0.15</v>
      </c>
      <c r="AL167" s="133">
        <v>0.15</v>
      </c>
      <c r="AM167" s="133">
        <v>0.15</v>
      </c>
      <c r="AN167" s="133">
        <v>0.15</v>
      </c>
      <c r="AO167" s="133">
        <v>0.15</v>
      </c>
      <c r="AP167" s="133">
        <v>0.15</v>
      </c>
      <c r="AQ167" s="133">
        <v>0.15</v>
      </c>
      <c r="AR167" s="1"/>
      <c r="AS167" s="1"/>
      <c r="AT167" s="200"/>
      <c r="AU167" s="201"/>
      <c r="AV167" s="200"/>
      <c r="AW167" s="201"/>
      <c r="AX167" s="96"/>
      <c r="AY167" s="138"/>
      <c r="AZ167" s="138"/>
      <c r="BA167" s="1"/>
      <c r="BB167" s="1"/>
      <c r="BC167" s="1"/>
      <c r="BD167" s="1"/>
    </row>
    <row r="168" spans="1:56" x14ac:dyDescent="0.25">
      <c r="A168" s="288"/>
      <c r="B168" s="28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1"/>
      <c r="AS168" s="1"/>
      <c r="AT168" s="95"/>
      <c r="AU168" s="96"/>
      <c r="AV168" s="95"/>
      <c r="AW168" s="96"/>
      <c r="AX168" s="96"/>
      <c r="AY168" s="138"/>
      <c r="AZ168" s="138"/>
      <c r="BA168" s="1"/>
      <c r="BB168" s="1"/>
      <c r="BC168" s="1"/>
      <c r="BD168" s="1"/>
    </row>
    <row r="169" spans="1:56" x14ac:dyDescent="0.25">
      <c r="A169" s="137"/>
      <c r="B169" s="92" t="s">
        <v>465</v>
      </c>
      <c r="C169" s="49"/>
      <c r="D169" s="49"/>
      <c r="E169" s="49"/>
      <c r="F169" s="49"/>
      <c r="G169" s="49"/>
      <c r="H169" s="49"/>
      <c r="I169" s="49"/>
      <c r="J169" s="49">
        <v>0.3</v>
      </c>
      <c r="K169" s="49">
        <v>0.3</v>
      </c>
      <c r="L169" s="49">
        <v>0.2</v>
      </c>
      <c r="M169" s="49">
        <v>0.2</v>
      </c>
      <c r="N169" s="49">
        <v>0.2</v>
      </c>
      <c r="O169" s="49">
        <v>0.3</v>
      </c>
      <c r="P169" s="49">
        <v>0.4</v>
      </c>
      <c r="Q169" s="49">
        <v>0.4</v>
      </c>
      <c r="R169" s="49">
        <v>7.7</v>
      </c>
      <c r="S169" s="49">
        <v>0.1</v>
      </c>
      <c r="T169" s="49">
        <v>3.9</v>
      </c>
      <c r="U169" s="49">
        <v>4.9000000000000004</v>
      </c>
      <c r="V169" s="49">
        <v>5.6</v>
      </c>
      <c r="W169" s="49">
        <v>4.9000000000000004</v>
      </c>
      <c r="X169" s="49">
        <v>5.6</v>
      </c>
      <c r="Y169" s="49">
        <v>4.9000000000000004</v>
      </c>
      <c r="Z169" s="49">
        <v>5.6</v>
      </c>
      <c r="AA169" s="49">
        <v>4.9000000000000004</v>
      </c>
      <c r="AB169" s="49">
        <v>5.6</v>
      </c>
      <c r="AC169" s="49">
        <v>4.9000000000000004</v>
      </c>
      <c r="AD169" s="49">
        <v>5.6</v>
      </c>
      <c r="AE169" s="49">
        <v>4.9000000000000004</v>
      </c>
      <c r="AF169" s="49">
        <v>5.6</v>
      </c>
      <c r="AG169" s="49">
        <v>4.9000000000000004</v>
      </c>
      <c r="AH169" s="49">
        <v>5.6</v>
      </c>
      <c r="AI169" s="49">
        <v>4.9000000000000004</v>
      </c>
      <c r="AJ169" s="49">
        <v>5.6</v>
      </c>
      <c r="AK169" s="49">
        <v>4.9000000000000004</v>
      </c>
      <c r="AL169" s="49">
        <v>5.6</v>
      </c>
      <c r="AM169" s="49">
        <v>4.9000000000000004</v>
      </c>
      <c r="AN169" s="49">
        <v>5.6</v>
      </c>
      <c r="AO169" s="49">
        <v>4.9000000000000004</v>
      </c>
      <c r="AP169" s="49">
        <v>5.6</v>
      </c>
      <c r="AQ169" s="49">
        <v>4.9000000000000004</v>
      </c>
      <c r="AR169" s="1"/>
      <c r="AS169" s="1"/>
      <c r="AT169" s="95"/>
      <c r="AU169" s="96"/>
      <c r="AV169" s="95"/>
      <c r="AW169" s="96"/>
      <c r="AX169" s="96"/>
      <c r="AY169" s="138"/>
      <c r="AZ169" s="138"/>
      <c r="BA169" s="1"/>
      <c r="BB169" s="1"/>
      <c r="BC169" s="1"/>
      <c r="BD169" s="1"/>
    </row>
    <row r="170" spans="1:56" x14ac:dyDescent="0.25">
      <c r="A170" s="137"/>
      <c r="B170" s="239" t="s">
        <v>466</v>
      </c>
      <c r="C170" s="240"/>
      <c r="D170" s="241"/>
      <c r="E170" s="241"/>
      <c r="F170" s="241"/>
      <c r="G170" s="241"/>
      <c r="H170" s="241"/>
      <c r="I170" s="241"/>
      <c r="J170" s="241">
        <v>128.80000000000001</v>
      </c>
      <c r="K170" s="241">
        <v>156.80000000000001</v>
      </c>
      <c r="L170" s="241">
        <v>138.19999999999999</v>
      </c>
      <c r="M170" s="241">
        <v>160.5</v>
      </c>
      <c r="N170" s="241">
        <v>144.5</v>
      </c>
      <c r="O170" s="241">
        <v>167.3</v>
      </c>
      <c r="P170" s="241">
        <v>172.4</v>
      </c>
      <c r="Q170" s="241">
        <v>196.6</v>
      </c>
      <c r="R170" s="241">
        <v>208.7</v>
      </c>
      <c r="S170" s="241">
        <v>228.5</v>
      </c>
      <c r="T170" s="241">
        <v>244.7</v>
      </c>
      <c r="U170" s="241">
        <v>270.7</v>
      </c>
      <c r="V170" s="241">
        <v>291.3</v>
      </c>
      <c r="W170" s="241">
        <v>270.7</v>
      </c>
      <c r="X170" s="241">
        <v>339.1</v>
      </c>
      <c r="Y170" s="241">
        <v>372.1</v>
      </c>
      <c r="Z170" s="241">
        <v>394.2</v>
      </c>
      <c r="AA170" s="241">
        <v>432.2</v>
      </c>
      <c r="AB170" s="241">
        <v>458</v>
      </c>
      <c r="AC170" s="241">
        <v>501.6</v>
      </c>
      <c r="AD170" s="241">
        <v>531.5</v>
      </c>
      <c r="AE170" s="241">
        <v>581.6</v>
      </c>
      <c r="AF170" s="241">
        <v>616.4</v>
      </c>
      <c r="AG170" s="241">
        <v>674</v>
      </c>
      <c r="AH170" s="241">
        <v>714.3</v>
      </c>
      <c r="AI170" s="241">
        <v>780.5</v>
      </c>
      <c r="AJ170" s="241">
        <v>827.2</v>
      </c>
      <c r="AK170" s="241">
        <v>903.2</v>
      </c>
      <c r="AL170" s="241">
        <v>957.3</v>
      </c>
      <c r="AM170" s="242">
        <v>1044.7</v>
      </c>
      <c r="AN170" s="242">
        <v>1107.3</v>
      </c>
      <c r="AO170" s="242">
        <v>1207.8</v>
      </c>
      <c r="AP170" s="242">
        <v>1280.2</v>
      </c>
      <c r="AQ170" s="242">
        <v>1395.7</v>
      </c>
      <c r="AR170" s="1"/>
      <c r="AS170" s="1"/>
      <c r="AT170" s="95"/>
      <c r="AU170" s="96"/>
      <c r="AV170" s="95"/>
      <c r="AW170" s="96"/>
      <c r="AX170" s="96"/>
      <c r="AY170" s="138"/>
      <c r="AZ170" s="138"/>
      <c r="BA170" s="1"/>
      <c r="BB170" s="1"/>
      <c r="BC170" s="1"/>
      <c r="BD170" s="1"/>
    </row>
    <row r="171" spans="1:56" x14ac:dyDescent="0.25">
      <c r="A171" s="137"/>
      <c r="B171" s="107" t="s">
        <v>467</v>
      </c>
      <c r="C171" s="93" t="s">
        <v>168</v>
      </c>
      <c r="D171" s="49"/>
      <c r="E171" s="49"/>
      <c r="F171" s="49"/>
      <c r="G171" s="49"/>
      <c r="H171" s="49"/>
      <c r="I171" s="49"/>
      <c r="J171" s="49"/>
      <c r="K171" s="49"/>
      <c r="L171" s="126">
        <v>7.0000000000000007E-2</v>
      </c>
      <c r="M171" s="126">
        <v>0.02</v>
      </c>
      <c r="N171" s="126">
        <v>0.05</v>
      </c>
      <c r="O171" s="126">
        <v>0.04</v>
      </c>
      <c r="P171" s="126">
        <v>0.19</v>
      </c>
      <c r="Q171" s="126">
        <v>0.18</v>
      </c>
      <c r="R171" s="126">
        <v>0.21</v>
      </c>
      <c r="S171" s="126">
        <v>0.16</v>
      </c>
      <c r="T171" s="126">
        <v>0.17</v>
      </c>
      <c r="U171" s="126">
        <v>0.18</v>
      </c>
      <c r="V171" s="126">
        <v>0.19</v>
      </c>
      <c r="W171" s="126">
        <v>0.18</v>
      </c>
      <c r="X171" s="126">
        <v>0.16</v>
      </c>
      <c r="Y171" s="126">
        <v>0.16</v>
      </c>
      <c r="Z171" s="126">
        <v>0.16</v>
      </c>
      <c r="AA171" s="126">
        <v>0.16</v>
      </c>
      <c r="AB171" s="126">
        <v>0.16</v>
      </c>
      <c r="AC171" s="126">
        <v>0.16</v>
      </c>
      <c r="AD171" s="126">
        <v>0.16</v>
      </c>
      <c r="AE171" s="126">
        <v>0.16</v>
      </c>
      <c r="AF171" s="126">
        <v>0.16</v>
      </c>
      <c r="AG171" s="126">
        <v>0.16</v>
      </c>
      <c r="AH171" s="126">
        <v>0.16</v>
      </c>
      <c r="AI171" s="126">
        <v>0.16</v>
      </c>
      <c r="AJ171" s="126">
        <v>0.16</v>
      </c>
      <c r="AK171" s="126">
        <v>0.16</v>
      </c>
      <c r="AL171" s="126">
        <v>0.16</v>
      </c>
      <c r="AM171" s="126">
        <v>0.16</v>
      </c>
      <c r="AN171" s="126">
        <v>0.16</v>
      </c>
      <c r="AO171" s="126">
        <v>0.16</v>
      </c>
      <c r="AP171" s="126">
        <v>0.16</v>
      </c>
      <c r="AQ171" s="126">
        <v>0.16</v>
      </c>
      <c r="AR171" s="1"/>
      <c r="AS171" s="1"/>
      <c r="AT171" s="134">
        <v>0.17</v>
      </c>
      <c r="AU171" s="135">
        <v>0.02</v>
      </c>
      <c r="AV171" s="134">
        <v>0.17</v>
      </c>
      <c r="AW171" s="135">
        <v>0.02</v>
      </c>
      <c r="AX171" s="96"/>
      <c r="AY171" s="138"/>
      <c r="AZ171" s="138"/>
      <c r="BA171" s="1"/>
      <c r="BB171" s="1"/>
      <c r="BC171" s="1"/>
      <c r="BD171" s="1"/>
    </row>
    <row r="172" spans="1:56" x14ac:dyDescent="0.25">
      <c r="A172" s="137"/>
      <c r="B172" s="107" t="s">
        <v>468</v>
      </c>
      <c r="C172" s="49" t="s">
        <v>168</v>
      </c>
      <c r="D172" s="49"/>
      <c r="E172" s="49"/>
      <c r="F172" s="49"/>
      <c r="G172" s="49"/>
      <c r="H172" s="49"/>
      <c r="I172" s="49"/>
      <c r="J172" s="49"/>
      <c r="K172" s="49"/>
      <c r="L172" s="126">
        <v>0.08</v>
      </c>
      <c r="M172" s="126">
        <v>0.03</v>
      </c>
      <c r="N172" s="126">
        <v>0.06</v>
      </c>
      <c r="O172" s="126">
        <v>0.04</v>
      </c>
      <c r="P172" s="126">
        <v>0.21</v>
      </c>
      <c r="Q172" s="126">
        <v>0.19</v>
      </c>
      <c r="R172" s="126">
        <v>0.21</v>
      </c>
      <c r="S172" s="126">
        <v>0.2</v>
      </c>
      <c r="T172" s="126">
        <v>0.22</v>
      </c>
      <c r="U172" s="126">
        <v>0.17</v>
      </c>
      <c r="V172" s="126">
        <v>0.19</v>
      </c>
      <c r="W172" s="126">
        <v>0.17</v>
      </c>
      <c r="X172" s="126">
        <v>0.17</v>
      </c>
      <c r="Y172" s="126">
        <v>0.17</v>
      </c>
      <c r="Z172" s="126">
        <v>0.17</v>
      </c>
      <c r="AA172" s="126">
        <v>0.17</v>
      </c>
      <c r="AB172" s="126">
        <v>0.17</v>
      </c>
      <c r="AC172" s="126">
        <v>0.16</v>
      </c>
      <c r="AD172" s="126">
        <v>0.16</v>
      </c>
      <c r="AE172" s="126">
        <v>0.16</v>
      </c>
      <c r="AF172" s="126">
        <v>0.16</v>
      </c>
      <c r="AG172" s="126">
        <v>0.16</v>
      </c>
      <c r="AH172" s="126">
        <v>0.16</v>
      </c>
      <c r="AI172" s="126">
        <v>0.16</v>
      </c>
      <c r="AJ172" s="126">
        <v>0.16</v>
      </c>
      <c r="AK172" s="126">
        <v>0.16</v>
      </c>
      <c r="AL172" s="126">
        <v>0.16</v>
      </c>
      <c r="AM172" s="126">
        <v>0.16</v>
      </c>
      <c r="AN172" s="126">
        <v>0.16</v>
      </c>
      <c r="AO172" s="126">
        <v>0.16</v>
      </c>
      <c r="AP172" s="126">
        <v>0.16</v>
      </c>
      <c r="AQ172" s="126">
        <v>0.16</v>
      </c>
      <c r="AR172" s="1"/>
      <c r="AS172" s="1"/>
      <c r="AT172" s="134">
        <v>0.35</v>
      </c>
      <c r="AU172" s="135">
        <v>-0.16</v>
      </c>
      <c r="AV172" s="134">
        <v>0.35</v>
      </c>
      <c r="AW172" s="135">
        <v>-0.16</v>
      </c>
      <c r="AX172" s="96"/>
      <c r="AY172" s="138"/>
      <c r="AZ172" s="138"/>
      <c r="BA172" s="1"/>
      <c r="BB172" s="1"/>
      <c r="BC172" s="1"/>
      <c r="BD172" s="1"/>
    </row>
    <row r="173" spans="1:56" x14ac:dyDescent="0.25">
      <c r="A173" s="137"/>
      <c r="B173" s="107" t="s">
        <v>469</v>
      </c>
      <c r="C173" s="93" t="s">
        <v>168</v>
      </c>
      <c r="D173" s="49"/>
      <c r="E173" s="49"/>
      <c r="F173" s="49"/>
      <c r="G173" s="49"/>
      <c r="H173" s="49"/>
      <c r="I173" s="49"/>
      <c r="J173" s="49"/>
      <c r="K173" s="49"/>
      <c r="L173" s="126">
        <v>0.04</v>
      </c>
      <c r="M173" s="126">
        <v>0</v>
      </c>
      <c r="N173" s="126">
        <v>0</v>
      </c>
      <c r="O173" s="126">
        <v>0.06</v>
      </c>
      <c r="P173" s="126">
        <v>0.13</v>
      </c>
      <c r="Q173" s="126">
        <v>0.13</v>
      </c>
      <c r="R173" s="126">
        <v>-0.01</v>
      </c>
      <c r="S173" s="126">
        <v>0.02</v>
      </c>
      <c r="T173" s="126">
        <v>7.0000000000000007E-2</v>
      </c>
      <c r="U173" s="126">
        <v>0.12</v>
      </c>
      <c r="V173" s="126">
        <v>0.18</v>
      </c>
      <c r="W173" s="126">
        <v>0.12</v>
      </c>
      <c r="X173" s="126">
        <v>0.15</v>
      </c>
      <c r="Y173" s="126">
        <v>0.15</v>
      </c>
      <c r="Z173" s="126">
        <v>0.15</v>
      </c>
      <c r="AA173" s="126">
        <v>0.15</v>
      </c>
      <c r="AB173" s="126">
        <v>0.15</v>
      </c>
      <c r="AC173" s="126">
        <v>0.15</v>
      </c>
      <c r="AD173" s="126">
        <v>0.15</v>
      </c>
      <c r="AE173" s="126">
        <v>0.15</v>
      </c>
      <c r="AF173" s="126">
        <v>0.15</v>
      </c>
      <c r="AG173" s="126">
        <v>0.15</v>
      </c>
      <c r="AH173" s="126">
        <v>0.15</v>
      </c>
      <c r="AI173" s="126">
        <v>0.15</v>
      </c>
      <c r="AJ173" s="126">
        <v>0.15</v>
      </c>
      <c r="AK173" s="126">
        <v>0.15</v>
      </c>
      <c r="AL173" s="126">
        <v>0.15</v>
      </c>
      <c r="AM173" s="126">
        <v>0.15</v>
      </c>
      <c r="AN173" s="126">
        <v>0.15</v>
      </c>
      <c r="AO173" s="126">
        <v>0.15</v>
      </c>
      <c r="AP173" s="126">
        <v>0.15</v>
      </c>
      <c r="AQ173" s="126">
        <v>0.15</v>
      </c>
      <c r="AR173" s="1"/>
      <c r="AS173" s="1"/>
      <c r="AT173" s="134">
        <v>0.17</v>
      </c>
      <c r="AU173" s="135">
        <v>0.01</v>
      </c>
      <c r="AV173" s="134">
        <v>0.17</v>
      </c>
      <c r="AW173" s="135">
        <v>-0.02</v>
      </c>
      <c r="AX173" s="96"/>
      <c r="AY173" s="138"/>
      <c r="AZ173" s="138"/>
      <c r="BA173" s="1"/>
      <c r="BB173" s="1"/>
      <c r="BC173" s="1"/>
      <c r="BD173" s="1"/>
    </row>
    <row r="174" spans="1:56" x14ac:dyDescent="0.25">
      <c r="A174" s="288"/>
      <c r="B174" s="289"/>
      <c r="C174" s="93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1"/>
      <c r="AS174" s="1"/>
      <c r="AT174" s="95"/>
      <c r="AU174" s="96"/>
      <c r="AV174" s="95"/>
      <c r="AW174" s="96"/>
      <c r="AX174" s="96"/>
      <c r="AY174" s="138"/>
      <c r="AZ174" s="138"/>
      <c r="BA174" s="1"/>
      <c r="BB174" s="1"/>
      <c r="BC174" s="1"/>
      <c r="BD174" s="1"/>
    </row>
    <row r="175" spans="1:56" x14ac:dyDescent="0.25">
      <c r="A175" s="137"/>
      <c r="B175" s="90" t="s">
        <v>477</v>
      </c>
      <c r="C175" s="153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97"/>
      <c r="T175" s="159"/>
      <c r="U175" s="197"/>
      <c r="V175" s="159"/>
      <c r="W175" s="197"/>
      <c r="X175" s="159"/>
      <c r="Y175" s="159"/>
      <c r="Z175" s="159"/>
      <c r="AA175" s="159"/>
      <c r="AB175" s="159"/>
      <c r="AC175" s="159"/>
      <c r="AD175" s="159"/>
      <c r="AE175" s="159"/>
      <c r="AF175" s="159"/>
      <c r="AG175" s="159"/>
      <c r="AH175" s="159"/>
      <c r="AI175" s="159"/>
      <c r="AJ175" s="159"/>
      <c r="AK175" s="159"/>
      <c r="AL175" s="159"/>
      <c r="AM175" s="159"/>
      <c r="AN175" s="159"/>
      <c r="AO175" s="159"/>
      <c r="AP175" s="159"/>
      <c r="AQ175" s="159"/>
      <c r="AR175" s="159"/>
      <c r="AS175" s="1"/>
      <c r="AT175" s="88"/>
      <c r="AU175" s="89"/>
      <c r="AV175" s="88"/>
      <c r="AW175" s="89"/>
      <c r="AX175" s="89"/>
      <c r="AY175" s="138"/>
      <c r="AZ175" s="138"/>
      <c r="BA175" s="159"/>
      <c r="BB175" s="159"/>
      <c r="BC175" s="159"/>
      <c r="BD175" s="159"/>
    </row>
    <row r="176" spans="1:56" x14ac:dyDescent="0.25">
      <c r="A176" s="137"/>
      <c r="B176" s="92" t="s">
        <v>218</v>
      </c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>
        <v>-108.2</v>
      </c>
      <c r="Q176" s="49">
        <v>-109.8</v>
      </c>
      <c r="R176" s="49">
        <v>-130</v>
      </c>
      <c r="S176" s="49">
        <v>-128.4</v>
      </c>
      <c r="T176" s="49">
        <v>-157.6</v>
      </c>
      <c r="U176" s="49">
        <v>-136.5</v>
      </c>
      <c r="V176" s="49">
        <v>-174.5</v>
      </c>
      <c r="W176" s="49">
        <v>-136.5</v>
      </c>
      <c r="X176" s="49">
        <v>-200.4</v>
      </c>
      <c r="Y176" s="49">
        <v>-199.6</v>
      </c>
      <c r="Z176" s="49">
        <v>-229.8</v>
      </c>
      <c r="AA176" s="49">
        <v>-228</v>
      </c>
      <c r="AB176" s="49">
        <v>-262.89999999999998</v>
      </c>
      <c r="AC176" s="49">
        <v>-260.10000000000002</v>
      </c>
      <c r="AD176" s="49">
        <v>-300.2</v>
      </c>
      <c r="AE176" s="49">
        <v>-296.10000000000002</v>
      </c>
      <c r="AF176" s="49">
        <v>-342.3</v>
      </c>
      <c r="AG176" s="49">
        <v>-336.6</v>
      </c>
      <c r="AH176" s="49">
        <v>-389.6</v>
      </c>
      <c r="AI176" s="49">
        <v>-382</v>
      </c>
      <c r="AJ176" s="49">
        <v>-442.9</v>
      </c>
      <c r="AK176" s="49">
        <v>-433</v>
      </c>
      <c r="AL176" s="49">
        <v>-502.9</v>
      </c>
      <c r="AM176" s="49">
        <v>-490.1</v>
      </c>
      <c r="AN176" s="49">
        <v>-570.20000000000005</v>
      </c>
      <c r="AO176" s="49">
        <v>-554.1</v>
      </c>
      <c r="AP176" s="49">
        <v>-645.70000000000005</v>
      </c>
      <c r="AQ176" s="49">
        <v>-625.6</v>
      </c>
      <c r="AR176" s="1"/>
      <c r="AS176" s="1"/>
      <c r="AT176" s="200">
        <v>38.9</v>
      </c>
      <c r="AU176" s="201">
        <v>-213.4</v>
      </c>
      <c r="AV176" s="200">
        <v>46.8</v>
      </c>
      <c r="AW176" s="201">
        <v>-221.2</v>
      </c>
      <c r="AX176" s="96"/>
      <c r="AY176" s="138"/>
      <c r="AZ176" s="138"/>
      <c r="BA176" s="1"/>
      <c r="BB176" s="1"/>
      <c r="BC176" s="1"/>
      <c r="BD176" s="1"/>
    </row>
    <row r="177" spans="1:56" x14ac:dyDescent="0.25">
      <c r="A177" s="137"/>
      <c r="B177" s="92" t="s">
        <v>220</v>
      </c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>
        <v>-27.4</v>
      </c>
      <c r="Q177" s="49">
        <v>-28.4</v>
      </c>
      <c r="R177" s="49">
        <v>-28.7</v>
      </c>
      <c r="S177" s="49">
        <v>-30.6</v>
      </c>
      <c r="T177" s="49">
        <v>-30.2</v>
      </c>
      <c r="U177" s="49">
        <v>-43.6</v>
      </c>
      <c r="V177" s="49">
        <v>-36.700000000000003</v>
      </c>
      <c r="W177" s="49">
        <v>-43.6</v>
      </c>
      <c r="X177" s="49">
        <v>-40.9</v>
      </c>
      <c r="Y177" s="49">
        <v>-48.9</v>
      </c>
      <c r="Z177" s="49">
        <v>-47.1</v>
      </c>
      <c r="AA177" s="49">
        <v>-56.3</v>
      </c>
      <c r="AB177" s="49">
        <v>-54.1</v>
      </c>
      <c r="AC177" s="49">
        <v>-64.7</v>
      </c>
      <c r="AD177" s="49">
        <v>-62.3</v>
      </c>
      <c r="AE177" s="49">
        <v>-74.400000000000006</v>
      </c>
      <c r="AF177" s="49">
        <v>-71.599999999999994</v>
      </c>
      <c r="AG177" s="49">
        <v>-85.6</v>
      </c>
      <c r="AH177" s="49">
        <v>-82.3</v>
      </c>
      <c r="AI177" s="49">
        <v>-98.4</v>
      </c>
      <c r="AJ177" s="49">
        <v>-94.7</v>
      </c>
      <c r="AK177" s="49">
        <v>-113.1</v>
      </c>
      <c r="AL177" s="49">
        <v>-108.9</v>
      </c>
      <c r="AM177" s="49">
        <v>-130.1</v>
      </c>
      <c r="AN177" s="49">
        <v>-125.2</v>
      </c>
      <c r="AO177" s="49">
        <v>-149.6</v>
      </c>
      <c r="AP177" s="49">
        <v>-144</v>
      </c>
      <c r="AQ177" s="49">
        <v>-172.1</v>
      </c>
      <c r="AR177" s="1"/>
      <c r="AS177" s="1"/>
      <c r="AT177" s="200">
        <v>460.1</v>
      </c>
      <c r="AU177" s="201">
        <v>-496.9</v>
      </c>
      <c r="AV177" s="200">
        <v>507.8</v>
      </c>
      <c r="AW177" s="201">
        <v>-550.29999999999995</v>
      </c>
      <c r="AX177" s="96"/>
      <c r="AY177" s="138"/>
      <c r="AZ177" s="138"/>
      <c r="BA177" s="1"/>
      <c r="BB177" s="1"/>
      <c r="BC177" s="1"/>
      <c r="BD177" s="1"/>
    </row>
    <row r="178" spans="1:56" x14ac:dyDescent="0.25">
      <c r="A178" s="137"/>
      <c r="B178" s="92" t="s">
        <v>222</v>
      </c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>
        <v>5.9</v>
      </c>
      <c r="Q178" s="49">
        <v>11.4</v>
      </c>
      <c r="R178" s="49">
        <v>2.8</v>
      </c>
      <c r="S178" s="49">
        <v>7.6</v>
      </c>
      <c r="T178" s="49">
        <v>4.5</v>
      </c>
      <c r="U178" s="49">
        <v>0.8</v>
      </c>
      <c r="V178" s="49">
        <v>1.8</v>
      </c>
      <c r="W178" s="49">
        <v>0.8</v>
      </c>
      <c r="X178" s="49">
        <v>1.8</v>
      </c>
      <c r="Y178" s="49">
        <v>0.8</v>
      </c>
      <c r="Z178" s="49">
        <v>1.8</v>
      </c>
      <c r="AA178" s="49">
        <v>0.8</v>
      </c>
      <c r="AB178" s="49">
        <v>1.8</v>
      </c>
      <c r="AC178" s="49">
        <v>0.8</v>
      </c>
      <c r="AD178" s="49">
        <v>1.8</v>
      </c>
      <c r="AE178" s="49">
        <v>0.8</v>
      </c>
      <c r="AF178" s="49">
        <v>1.8</v>
      </c>
      <c r="AG178" s="49">
        <v>0.8</v>
      </c>
      <c r="AH178" s="49">
        <v>1.8</v>
      </c>
      <c r="AI178" s="49">
        <v>0.8</v>
      </c>
      <c r="AJ178" s="49">
        <v>1.8</v>
      </c>
      <c r="AK178" s="49">
        <v>0.8</v>
      </c>
      <c r="AL178" s="49">
        <v>1.8</v>
      </c>
      <c r="AM178" s="49">
        <v>0.8</v>
      </c>
      <c r="AN178" s="49">
        <v>1.8</v>
      </c>
      <c r="AO178" s="49">
        <v>0.8</v>
      </c>
      <c r="AP178" s="49">
        <v>1.8</v>
      </c>
      <c r="AQ178" s="49">
        <v>0.8</v>
      </c>
      <c r="AR178" s="1"/>
      <c r="AS178" s="1"/>
      <c r="AT178" s="95"/>
      <c r="AU178" s="96"/>
      <c r="AV178" s="95"/>
      <c r="AW178" s="96"/>
      <c r="AX178" s="96"/>
      <c r="AY178" s="138"/>
      <c r="AZ178" s="138"/>
      <c r="BA178" s="1"/>
      <c r="BB178" s="1"/>
      <c r="BC178" s="1"/>
      <c r="BD178" s="1"/>
    </row>
    <row r="179" spans="1:56" x14ac:dyDescent="0.25">
      <c r="A179" s="137"/>
      <c r="B179" s="239" t="s">
        <v>478</v>
      </c>
      <c r="C179" s="240"/>
      <c r="D179" s="241"/>
      <c r="E179" s="241"/>
      <c r="F179" s="241"/>
      <c r="G179" s="241"/>
      <c r="H179" s="241"/>
      <c r="I179" s="241"/>
      <c r="J179" s="241"/>
      <c r="K179" s="241"/>
      <c r="L179" s="241"/>
      <c r="M179" s="241"/>
      <c r="N179" s="241"/>
      <c r="O179" s="241"/>
      <c r="P179" s="241">
        <v>-129.80000000000001</v>
      </c>
      <c r="Q179" s="241">
        <v>-126.9</v>
      </c>
      <c r="R179" s="241">
        <v>-156</v>
      </c>
      <c r="S179" s="241">
        <v>-151.4</v>
      </c>
      <c r="T179" s="241">
        <v>-183.2</v>
      </c>
      <c r="U179" s="241">
        <v>-179.3</v>
      </c>
      <c r="V179" s="241">
        <v>-209.4</v>
      </c>
      <c r="W179" s="241">
        <v>-179.3</v>
      </c>
      <c r="X179" s="241">
        <v>-239.6</v>
      </c>
      <c r="Y179" s="241">
        <v>-247.7</v>
      </c>
      <c r="Z179" s="241">
        <v>-275</v>
      </c>
      <c r="AA179" s="241">
        <v>-283.5</v>
      </c>
      <c r="AB179" s="241">
        <v>-315.2</v>
      </c>
      <c r="AC179" s="241">
        <v>-323.89999999999998</v>
      </c>
      <c r="AD179" s="241">
        <v>-360.6</v>
      </c>
      <c r="AE179" s="241">
        <v>-369.7</v>
      </c>
      <c r="AF179" s="241">
        <v>-412</v>
      </c>
      <c r="AG179" s="241">
        <v>-421.3</v>
      </c>
      <c r="AH179" s="241">
        <v>-470.1</v>
      </c>
      <c r="AI179" s="241">
        <v>-479.6</v>
      </c>
      <c r="AJ179" s="241">
        <v>-535.79999999999995</v>
      </c>
      <c r="AK179" s="241">
        <v>-545.29999999999995</v>
      </c>
      <c r="AL179" s="241">
        <v>-609.9</v>
      </c>
      <c r="AM179" s="241">
        <v>-619.4</v>
      </c>
      <c r="AN179" s="241">
        <v>-693.6</v>
      </c>
      <c r="AO179" s="241">
        <v>-702.9</v>
      </c>
      <c r="AP179" s="241">
        <v>-787.9</v>
      </c>
      <c r="AQ179" s="241">
        <v>-796.8</v>
      </c>
      <c r="AR179" s="1"/>
      <c r="AS179" s="1"/>
      <c r="AT179" s="95"/>
      <c r="AU179" s="96"/>
      <c r="AV179" s="95"/>
      <c r="AW179" s="96"/>
      <c r="AX179" s="96"/>
      <c r="AY179" s="138"/>
      <c r="AZ179" s="138"/>
      <c r="BA179" s="1"/>
      <c r="BB179" s="1"/>
      <c r="BC179" s="1"/>
      <c r="BD179" s="1"/>
    </row>
    <row r="180" spans="1:56" x14ac:dyDescent="0.25">
      <c r="A180" s="288"/>
      <c r="B180" s="288"/>
      <c r="C180" s="72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1"/>
      <c r="AS180" s="1"/>
      <c r="AT180" s="95"/>
      <c r="AU180" s="96"/>
      <c r="AV180" s="95"/>
      <c r="AW180" s="96"/>
      <c r="AX180" s="96"/>
      <c r="AY180" s="138"/>
      <c r="AZ180" s="138"/>
      <c r="BA180" s="1"/>
      <c r="BB180" s="1"/>
      <c r="BC180" s="1"/>
      <c r="BD180" s="1"/>
    </row>
    <row r="181" spans="1:56" x14ac:dyDescent="0.25">
      <c r="A181" s="137"/>
      <c r="B181" s="90" t="s">
        <v>46</v>
      </c>
      <c r="C181" s="153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97"/>
      <c r="T181" s="159"/>
      <c r="U181" s="197"/>
      <c r="V181" s="159"/>
      <c r="W181" s="197"/>
      <c r="X181" s="159"/>
      <c r="Y181" s="159"/>
      <c r="Z181" s="159"/>
      <c r="AA181" s="159"/>
      <c r="AB181" s="159"/>
      <c r="AC181" s="159"/>
      <c r="AD181" s="159"/>
      <c r="AE181" s="159"/>
      <c r="AF181" s="159"/>
      <c r="AG181" s="159"/>
      <c r="AH181" s="159"/>
      <c r="AI181" s="159"/>
      <c r="AJ181" s="159"/>
      <c r="AK181" s="159"/>
      <c r="AL181" s="159"/>
      <c r="AM181" s="159"/>
      <c r="AN181" s="159"/>
      <c r="AO181" s="159"/>
      <c r="AP181" s="159"/>
      <c r="AQ181" s="159"/>
      <c r="AR181" s="159"/>
      <c r="AS181" s="1"/>
      <c r="AT181" s="88"/>
      <c r="AU181" s="89"/>
      <c r="AV181" s="88"/>
      <c r="AW181" s="89"/>
      <c r="AX181" s="89"/>
      <c r="AY181" s="138"/>
      <c r="AZ181" s="138"/>
      <c r="BA181" s="159"/>
      <c r="BB181" s="159"/>
      <c r="BC181" s="159"/>
      <c r="BD181" s="159"/>
    </row>
    <row r="182" spans="1:56" x14ac:dyDescent="0.25">
      <c r="A182" s="137"/>
      <c r="B182" s="92" t="s">
        <v>218</v>
      </c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>
        <v>29.6</v>
      </c>
      <c r="Q182" s="49">
        <v>47.9</v>
      </c>
      <c r="R182" s="49">
        <v>37.200000000000003</v>
      </c>
      <c r="S182" s="49">
        <v>60.5</v>
      </c>
      <c r="T182" s="49">
        <v>47</v>
      </c>
      <c r="U182" s="49">
        <v>85</v>
      </c>
      <c r="V182" s="49">
        <v>68.599999999999994</v>
      </c>
      <c r="W182" s="49">
        <v>85</v>
      </c>
      <c r="X182" s="49">
        <v>84</v>
      </c>
      <c r="Y182" s="49">
        <v>109</v>
      </c>
      <c r="Z182" s="49">
        <v>102.5</v>
      </c>
      <c r="AA182" s="49">
        <v>131.9</v>
      </c>
      <c r="AB182" s="49">
        <v>124.7</v>
      </c>
      <c r="AC182" s="49">
        <v>159.1</v>
      </c>
      <c r="AD182" s="49">
        <v>151.19999999999999</v>
      </c>
      <c r="AE182" s="49">
        <v>191.5</v>
      </c>
      <c r="AF182" s="49">
        <v>182.8</v>
      </c>
      <c r="AG182" s="49">
        <v>230</v>
      </c>
      <c r="AH182" s="49">
        <v>220.5</v>
      </c>
      <c r="AI182" s="49">
        <v>275.7</v>
      </c>
      <c r="AJ182" s="49">
        <v>265.3</v>
      </c>
      <c r="AK182" s="49">
        <v>329.9</v>
      </c>
      <c r="AL182" s="49">
        <v>318.5</v>
      </c>
      <c r="AM182" s="49">
        <v>393.9</v>
      </c>
      <c r="AN182" s="49">
        <v>381.7</v>
      </c>
      <c r="AO182" s="49">
        <v>469.7</v>
      </c>
      <c r="AP182" s="49">
        <v>456.5</v>
      </c>
      <c r="AQ182" s="49">
        <v>559.20000000000005</v>
      </c>
      <c r="AR182" s="1"/>
      <c r="AS182" s="1"/>
      <c r="AT182" s="200">
        <v>38.9</v>
      </c>
      <c r="AU182" s="201">
        <v>29.7</v>
      </c>
      <c r="AV182" s="200">
        <v>46.8</v>
      </c>
      <c r="AW182" s="201">
        <v>43</v>
      </c>
      <c r="AX182" s="96"/>
      <c r="AY182" s="138"/>
      <c r="AZ182" s="138"/>
      <c r="BA182" s="1"/>
      <c r="BB182" s="1"/>
      <c r="BC182" s="1"/>
      <c r="BD182" s="1"/>
    </row>
    <row r="183" spans="1:56" x14ac:dyDescent="0.25">
      <c r="A183" s="137"/>
      <c r="B183" s="92" t="s">
        <v>220</v>
      </c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>
        <v>6.7</v>
      </c>
      <c r="Q183" s="49">
        <v>10.1</v>
      </c>
      <c r="R183" s="49">
        <v>5</v>
      </c>
      <c r="S183" s="49">
        <v>8.8000000000000007</v>
      </c>
      <c r="T183" s="49">
        <v>6.1</v>
      </c>
      <c r="U183" s="49">
        <v>0.6</v>
      </c>
      <c r="V183" s="49">
        <v>5.9</v>
      </c>
      <c r="W183" s="49">
        <v>0.6</v>
      </c>
      <c r="X183" s="49">
        <v>8.1</v>
      </c>
      <c r="Y183" s="49">
        <v>9.6</v>
      </c>
      <c r="Z183" s="49">
        <v>9.3000000000000007</v>
      </c>
      <c r="AA183" s="49">
        <v>11.1</v>
      </c>
      <c r="AB183" s="49">
        <v>10.7</v>
      </c>
      <c r="AC183" s="49">
        <v>12.7</v>
      </c>
      <c r="AD183" s="49">
        <v>12.3</v>
      </c>
      <c r="AE183" s="49">
        <v>14.6</v>
      </c>
      <c r="AF183" s="49">
        <v>14.1</v>
      </c>
      <c r="AG183" s="49">
        <v>16.8</v>
      </c>
      <c r="AH183" s="49">
        <v>16.2</v>
      </c>
      <c r="AI183" s="49">
        <v>19.399999999999999</v>
      </c>
      <c r="AJ183" s="49">
        <v>18.600000000000001</v>
      </c>
      <c r="AK183" s="49">
        <v>22.3</v>
      </c>
      <c r="AL183" s="49">
        <v>21.4</v>
      </c>
      <c r="AM183" s="49">
        <v>25.6</v>
      </c>
      <c r="AN183" s="49">
        <v>24.7</v>
      </c>
      <c r="AO183" s="49">
        <v>29.5</v>
      </c>
      <c r="AP183" s="49">
        <v>28.4</v>
      </c>
      <c r="AQ183" s="49">
        <v>33.9</v>
      </c>
      <c r="AR183" s="1"/>
      <c r="AS183" s="1"/>
      <c r="AT183" s="200">
        <v>460.1</v>
      </c>
      <c r="AU183" s="201">
        <v>-454.3</v>
      </c>
      <c r="AV183" s="200">
        <v>507.8</v>
      </c>
      <c r="AW183" s="201">
        <v>-499.4</v>
      </c>
      <c r="AX183" s="96"/>
      <c r="AY183" s="138"/>
      <c r="AZ183" s="138"/>
      <c r="BA183" s="1"/>
      <c r="BB183" s="1"/>
      <c r="BC183" s="1"/>
      <c r="BD183" s="1"/>
    </row>
    <row r="184" spans="1:56" x14ac:dyDescent="0.25">
      <c r="A184" s="137"/>
      <c r="B184" s="92" t="s">
        <v>222</v>
      </c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>
        <v>6.2</v>
      </c>
      <c r="Q184" s="49">
        <v>11.8</v>
      </c>
      <c r="R184" s="49">
        <v>10.5</v>
      </c>
      <c r="S184" s="49">
        <v>7.7</v>
      </c>
      <c r="T184" s="49">
        <v>8.5</v>
      </c>
      <c r="U184" s="49">
        <v>5.7</v>
      </c>
      <c r="V184" s="49">
        <v>7.4</v>
      </c>
      <c r="W184" s="49">
        <v>5.7</v>
      </c>
      <c r="X184" s="142">
        <v>7.4</v>
      </c>
      <c r="Y184" s="142">
        <v>5.7</v>
      </c>
      <c r="Z184" s="142">
        <v>7.4</v>
      </c>
      <c r="AA184" s="142">
        <v>5.7</v>
      </c>
      <c r="AB184" s="142">
        <v>7.4</v>
      </c>
      <c r="AC184" s="142">
        <v>5.7</v>
      </c>
      <c r="AD184" s="142">
        <v>7.4</v>
      </c>
      <c r="AE184" s="142">
        <v>5.7</v>
      </c>
      <c r="AF184" s="142">
        <v>7.4</v>
      </c>
      <c r="AG184" s="142">
        <v>5.7</v>
      </c>
      <c r="AH184" s="142">
        <v>7.4</v>
      </c>
      <c r="AI184" s="142">
        <v>5.7</v>
      </c>
      <c r="AJ184" s="142">
        <v>7.4</v>
      </c>
      <c r="AK184" s="142">
        <v>5.7</v>
      </c>
      <c r="AL184" s="142">
        <v>7.4</v>
      </c>
      <c r="AM184" s="142">
        <v>5.7</v>
      </c>
      <c r="AN184" s="142">
        <v>7.4</v>
      </c>
      <c r="AO184" s="142">
        <v>5.7</v>
      </c>
      <c r="AP184" s="142">
        <v>7.4</v>
      </c>
      <c r="AQ184" s="142">
        <v>5.7</v>
      </c>
      <c r="AR184" s="1"/>
      <c r="AS184" s="1"/>
      <c r="AT184" s="95"/>
      <c r="AU184" s="96"/>
      <c r="AV184" s="95"/>
      <c r="AW184" s="96"/>
      <c r="AX184" s="96"/>
      <c r="AY184" s="138"/>
      <c r="AZ184" s="138"/>
      <c r="BA184" s="1"/>
      <c r="BB184" s="1"/>
      <c r="BC184" s="1"/>
      <c r="BD184" s="1"/>
    </row>
    <row r="185" spans="1:56" x14ac:dyDescent="0.25">
      <c r="A185" s="137"/>
      <c r="B185" s="239" t="s">
        <v>470</v>
      </c>
      <c r="C185" s="240"/>
      <c r="D185" s="241"/>
      <c r="E185" s="241"/>
      <c r="F185" s="241"/>
      <c r="G185" s="241"/>
      <c r="H185" s="241"/>
      <c r="I185" s="241"/>
      <c r="J185" s="241"/>
      <c r="K185" s="241"/>
      <c r="L185" s="241"/>
      <c r="M185" s="241"/>
      <c r="N185" s="241"/>
      <c r="O185" s="241"/>
      <c r="P185" s="241">
        <v>42.6</v>
      </c>
      <c r="Q185" s="241">
        <v>69.8</v>
      </c>
      <c r="R185" s="241">
        <v>52.7</v>
      </c>
      <c r="S185" s="241">
        <v>77.099999999999994</v>
      </c>
      <c r="T185" s="241">
        <v>61.5</v>
      </c>
      <c r="U185" s="241">
        <v>91.3</v>
      </c>
      <c r="V185" s="241">
        <v>81.900000000000006</v>
      </c>
      <c r="W185" s="241">
        <v>91.3</v>
      </c>
      <c r="X185" s="241">
        <v>99.5</v>
      </c>
      <c r="Y185" s="241">
        <v>124.4</v>
      </c>
      <c r="Z185" s="241">
        <v>119.2</v>
      </c>
      <c r="AA185" s="241">
        <v>148.69999999999999</v>
      </c>
      <c r="AB185" s="241">
        <v>142.80000000000001</v>
      </c>
      <c r="AC185" s="241">
        <v>177.6</v>
      </c>
      <c r="AD185" s="241">
        <v>170.9</v>
      </c>
      <c r="AE185" s="241">
        <v>211.9</v>
      </c>
      <c r="AF185" s="241">
        <v>204.3</v>
      </c>
      <c r="AG185" s="241">
        <v>252.6</v>
      </c>
      <c r="AH185" s="241">
        <v>244.1</v>
      </c>
      <c r="AI185" s="241">
        <v>300.8</v>
      </c>
      <c r="AJ185" s="241">
        <v>291.39999999999998</v>
      </c>
      <c r="AK185" s="241">
        <v>357.9</v>
      </c>
      <c r="AL185" s="241">
        <v>347.4</v>
      </c>
      <c r="AM185" s="241">
        <v>425.3</v>
      </c>
      <c r="AN185" s="241">
        <v>413.7</v>
      </c>
      <c r="AO185" s="241">
        <v>504.9</v>
      </c>
      <c r="AP185" s="241">
        <v>492.3</v>
      </c>
      <c r="AQ185" s="241">
        <v>598.9</v>
      </c>
      <c r="AR185" s="1"/>
      <c r="AS185" s="1"/>
      <c r="AT185" s="95"/>
      <c r="AU185" s="96"/>
      <c r="AV185" s="95"/>
      <c r="AW185" s="96"/>
      <c r="AX185" s="96"/>
      <c r="AY185" s="138"/>
      <c r="AZ185" s="138"/>
      <c r="BA185" s="1"/>
      <c r="BB185" s="1"/>
      <c r="BC185" s="1"/>
      <c r="BD185" s="1"/>
    </row>
    <row r="186" spans="1:56" x14ac:dyDescent="0.25">
      <c r="A186" s="137"/>
      <c r="B186" s="107" t="s">
        <v>467</v>
      </c>
      <c r="C186" s="93" t="s">
        <v>168</v>
      </c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 t="e">
        <v>#DIV/0!</v>
      </c>
      <c r="Q186" s="49" t="e">
        <v>#DIV/0!</v>
      </c>
      <c r="R186" s="126">
        <v>0.24</v>
      </c>
      <c r="S186" s="126">
        <v>0.11</v>
      </c>
      <c r="T186" s="126">
        <v>0.17</v>
      </c>
      <c r="U186" s="126">
        <v>0.18</v>
      </c>
      <c r="V186" s="126">
        <v>0.33</v>
      </c>
      <c r="W186" s="126">
        <v>0.18</v>
      </c>
      <c r="X186" s="126">
        <v>0.21</v>
      </c>
      <c r="Y186" s="126">
        <v>0.2</v>
      </c>
      <c r="Z186" s="126">
        <v>0.2</v>
      </c>
      <c r="AA186" s="126">
        <v>0.2</v>
      </c>
      <c r="AB186" s="126">
        <v>0.2</v>
      </c>
      <c r="AC186" s="126">
        <v>0.19</v>
      </c>
      <c r="AD186" s="126">
        <v>0.2</v>
      </c>
      <c r="AE186" s="126">
        <v>0.19</v>
      </c>
      <c r="AF186" s="126">
        <v>0.2</v>
      </c>
      <c r="AG186" s="126">
        <v>0.19</v>
      </c>
      <c r="AH186" s="126">
        <v>0.19</v>
      </c>
      <c r="AI186" s="126">
        <v>0.19</v>
      </c>
      <c r="AJ186" s="126">
        <v>0.19</v>
      </c>
      <c r="AK186" s="126">
        <v>0.19</v>
      </c>
      <c r="AL186" s="126">
        <v>0.19</v>
      </c>
      <c r="AM186" s="126">
        <v>0.19</v>
      </c>
      <c r="AN186" s="126">
        <v>0.19</v>
      </c>
      <c r="AO186" s="126">
        <v>0.19</v>
      </c>
      <c r="AP186" s="126">
        <v>0.19</v>
      </c>
      <c r="AQ186" s="126">
        <v>0.19</v>
      </c>
      <c r="AR186" s="1"/>
      <c r="AS186" s="1"/>
      <c r="AT186" s="134">
        <v>0.17</v>
      </c>
      <c r="AU186" s="135">
        <v>0.17</v>
      </c>
      <c r="AV186" s="134">
        <v>0.17</v>
      </c>
      <c r="AW186" s="135">
        <v>-0.03</v>
      </c>
      <c r="AX186" s="96"/>
      <c r="AY186" s="138"/>
      <c r="AZ186" s="138"/>
      <c r="BA186" s="1"/>
      <c r="BB186" s="1"/>
      <c r="BC186" s="1"/>
      <c r="BD186" s="1"/>
    </row>
    <row r="187" spans="1:56" x14ac:dyDescent="0.25">
      <c r="A187" s="137"/>
      <c r="B187" s="107" t="s">
        <v>479</v>
      </c>
      <c r="C187" s="93" t="s">
        <v>168</v>
      </c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126">
        <v>0.25</v>
      </c>
      <c r="Q187" s="126">
        <v>0.35</v>
      </c>
      <c r="R187" s="126">
        <v>0.25</v>
      </c>
      <c r="S187" s="126">
        <v>0.34</v>
      </c>
      <c r="T187" s="126">
        <v>0.25</v>
      </c>
      <c r="U187" s="126">
        <v>0.34</v>
      </c>
      <c r="V187" s="126">
        <v>0.28000000000000003</v>
      </c>
      <c r="W187" s="126">
        <v>0.34</v>
      </c>
      <c r="X187" s="126">
        <v>0.28999999999999998</v>
      </c>
      <c r="Y187" s="126">
        <v>0.33</v>
      </c>
      <c r="Z187" s="126">
        <v>0.3</v>
      </c>
      <c r="AA187" s="126">
        <v>0.34</v>
      </c>
      <c r="AB187" s="126">
        <v>0.31</v>
      </c>
      <c r="AC187" s="126">
        <v>0.35</v>
      </c>
      <c r="AD187" s="126">
        <v>0.32</v>
      </c>
      <c r="AE187" s="126">
        <v>0.36</v>
      </c>
      <c r="AF187" s="126">
        <v>0.33</v>
      </c>
      <c r="AG187" s="126">
        <v>0.37</v>
      </c>
      <c r="AH187" s="126">
        <v>0.34</v>
      </c>
      <c r="AI187" s="126">
        <v>0.39</v>
      </c>
      <c r="AJ187" s="126">
        <v>0.35</v>
      </c>
      <c r="AK187" s="126">
        <v>0.4</v>
      </c>
      <c r="AL187" s="126">
        <v>0.36</v>
      </c>
      <c r="AM187" s="126">
        <v>0.41</v>
      </c>
      <c r="AN187" s="126">
        <v>0.37</v>
      </c>
      <c r="AO187" s="126">
        <v>0.42</v>
      </c>
      <c r="AP187" s="126">
        <v>0.38</v>
      </c>
      <c r="AQ187" s="126">
        <v>0.43</v>
      </c>
      <c r="AR187" s="1"/>
      <c r="AS187" s="1"/>
      <c r="AT187" s="134">
        <v>0.17</v>
      </c>
      <c r="AU187" s="135">
        <v>0.12</v>
      </c>
      <c r="AV187" s="134">
        <v>0.17</v>
      </c>
      <c r="AW187" s="135">
        <v>0.16</v>
      </c>
      <c r="AX187" s="96"/>
      <c r="AY187" s="138"/>
      <c r="AZ187" s="138"/>
      <c r="BA187" s="1"/>
      <c r="BB187" s="1"/>
      <c r="BC187" s="1"/>
      <c r="BD187" s="1"/>
    </row>
    <row r="188" spans="1:56" x14ac:dyDescent="0.25">
      <c r="A188" s="137"/>
      <c r="B188" s="107" t="s">
        <v>471</v>
      </c>
      <c r="C188" s="93" t="s">
        <v>168</v>
      </c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126">
        <v>0.21</v>
      </c>
      <c r="Q188" s="126">
        <v>0.3</v>
      </c>
      <c r="R188" s="126">
        <v>0.22</v>
      </c>
      <c r="S188" s="126">
        <v>0.32</v>
      </c>
      <c r="T188" s="126">
        <v>0.23</v>
      </c>
      <c r="U188" s="126">
        <v>0.38</v>
      </c>
      <c r="V188" s="126">
        <v>0.28000000000000003</v>
      </c>
      <c r="W188" s="126">
        <v>0.38</v>
      </c>
      <c r="X188" s="133">
        <v>0.3</v>
      </c>
      <c r="Y188" s="133">
        <v>0.35</v>
      </c>
      <c r="Z188" s="133">
        <v>0.31</v>
      </c>
      <c r="AA188" s="133">
        <v>0.37</v>
      </c>
      <c r="AB188" s="133">
        <v>0.32</v>
      </c>
      <c r="AC188" s="133">
        <v>0.38</v>
      </c>
      <c r="AD188" s="133">
        <v>0.33</v>
      </c>
      <c r="AE188" s="133">
        <v>0.39</v>
      </c>
      <c r="AF188" s="133">
        <v>0.35</v>
      </c>
      <c r="AG188" s="133">
        <v>0.41</v>
      </c>
      <c r="AH188" s="133">
        <v>0.36</v>
      </c>
      <c r="AI188" s="133">
        <v>0.42</v>
      </c>
      <c r="AJ188" s="133">
        <v>0.37</v>
      </c>
      <c r="AK188" s="133">
        <v>0.43</v>
      </c>
      <c r="AL188" s="133">
        <v>0.39</v>
      </c>
      <c r="AM188" s="133">
        <v>0.45</v>
      </c>
      <c r="AN188" s="133">
        <v>0.4</v>
      </c>
      <c r="AO188" s="133">
        <v>0.46</v>
      </c>
      <c r="AP188" s="133">
        <v>0.41</v>
      </c>
      <c r="AQ188" s="133">
        <v>0.47</v>
      </c>
      <c r="AR188" s="1"/>
      <c r="AS188" s="1"/>
      <c r="AT188" s="134">
        <v>0.17</v>
      </c>
      <c r="AU188" s="135">
        <v>0.12</v>
      </c>
      <c r="AV188" s="134">
        <v>0.17</v>
      </c>
      <c r="AW188" s="135">
        <v>0.17</v>
      </c>
      <c r="AX188" s="96"/>
      <c r="AY188" s="138"/>
      <c r="AZ188" s="138"/>
      <c r="BA188" s="1"/>
      <c r="BB188" s="1"/>
      <c r="BC188" s="1"/>
      <c r="BD188" s="1"/>
    </row>
    <row r="189" spans="1:56" x14ac:dyDescent="0.25">
      <c r="A189" s="137"/>
      <c r="B189" s="107" t="s">
        <v>472</v>
      </c>
      <c r="C189" s="49" t="s">
        <v>168</v>
      </c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126">
        <v>0.2</v>
      </c>
      <c r="Q189" s="126">
        <v>0.26</v>
      </c>
      <c r="R189" s="126">
        <v>0.15</v>
      </c>
      <c r="S189" s="126">
        <v>0.22</v>
      </c>
      <c r="T189" s="126">
        <v>0.17</v>
      </c>
      <c r="U189" s="126">
        <v>0.01</v>
      </c>
      <c r="V189" s="126">
        <v>0.14000000000000001</v>
      </c>
      <c r="W189" s="126">
        <v>0.01</v>
      </c>
      <c r="X189" s="133">
        <v>0.16</v>
      </c>
      <c r="Y189" s="133">
        <v>0.16</v>
      </c>
      <c r="Z189" s="133">
        <v>0.16</v>
      </c>
      <c r="AA189" s="133">
        <v>0.16</v>
      </c>
      <c r="AB189" s="133">
        <v>0.16</v>
      </c>
      <c r="AC189" s="133">
        <v>0.16</v>
      </c>
      <c r="AD189" s="133">
        <v>0.16</v>
      </c>
      <c r="AE189" s="133">
        <v>0.16</v>
      </c>
      <c r="AF189" s="133">
        <v>0.16</v>
      </c>
      <c r="AG189" s="133">
        <v>0.16</v>
      </c>
      <c r="AH189" s="133">
        <v>0.16</v>
      </c>
      <c r="AI189" s="133">
        <v>0.16</v>
      </c>
      <c r="AJ189" s="133">
        <v>0.16</v>
      </c>
      <c r="AK189" s="133">
        <v>0.16</v>
      </c>
      <c r="AL189" s="133">
        <v>0.16</v>
      </c>
      <c r="AM189" s="133">
        <v>0.16</v>
      </c>
      <c r="AN189" s="133">
        <v>0.16</v>
      </c>
      <c r="AO189" s="133">
        <v>0.16</v>
      </c>
      <c r="AP189" s="133">
        <v>0.16</v>
      </c>
      <c r="AQ189" s="133">
        <v>0.16</v>
      </c>
      <c r="AR189" s="1"/>
      <c r="AS189" s="1"/>
      <c r="AT189" s="134">
        <v>0.35</v>
      </c>
      <c r="AU189" s="135">
        <v>-0.21</v>
      </c>
      <c r="AV189" s="134">
        <v>0.35</v>
      </c>
      <c r="AW189" s="135">
        <v>-0.19</v>
      </c>
      <c r="AX189" s="96"/>
      <c r="AY189" s="138"/>
      <c r="AZ189" s="138"/>
      <c r="BA189" s="1"/>
      <c r="BB189" s="1"/>
      <c r="BC189" s="1"/>
      <c r="BD189" s="1"/>
    </row>
    <row r="190" spans="1:56" x14ac:dyDescent="0.25">
      <c r="A190" s="288"/>
      <c r="B190" s="288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  <c r="AC190" s="159"/>
      <c r="AD190" s="159"/>
      <c r="AE190" s="159"/>
      <c r="AF190" s="159"/>
      <c r="AG190" s="159"/>
      <c r="AH190" s="159"/>
      <c r="AI190" s="159"/>
      <c r="AJ190" s="159"/>
      <c r="AK190" s="159"/>
      <c r="AL190" s="159"/>
      <c r="AM190" s="159"/>
      <c r="AN190" s="159"/>
      <c r="AO190" s="159"/>
      <c r="AP190" s="159"/>
      <c r="AQ190" s="159"/>
      <c r="AR190" s="159"/>
      <c r="AS190" s="1"/>
      <c r="AT190" s="74"/>
      <c r="AU190" s="75"/>
      <c r="AV190" s="74"/>
      <c r="AW190" s="75"/>
      <c r="AX190" s="75"/>
      <c r="AY190" s="223"/>
      <c r="AZ190" s="223"/>
      <c r="BA190" s="159"/>
      <c r="BB190" s="243"/>
      <c r="BC190" s="159"/>
      <c r="BD190" s="159"/>
    </row>
    <row r="191" spans="1:56" x14ac:dyDescent="0.25">
      <c r="A191" s="137"/>
      <c r="B191" s="211" t="s">
        <v>480</v>
      </c>
      <c r="C191" s="212"/>
      <c r="D191" s="213"/>
      <c r="E191" s="213"/>
      <c r="F191" s="213"/>
      <c r="G191" s="213"/>
      <c r="H191" s="213"/>
      <c r="I191" s="213"/>
      <c r="J191" s="213"/>
      <c r="K191" s="213"/>
      <c r="L191" s="213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  <c r="X191" s="214"/>
      <c r="Y191" s="214"/>
      <c r="Z191" s="214"/>
      <c r="AA191" s="214"/>
      <c r="AB191" s="214"/>
      <c r="AC191" s="214"/>
      <c r="AD191" s="214"/>
      <c r="AE191" s="214"/>
      <c r="AF191" s="214"/>
      <c r="AG191" s="214"/>
      <c r="AH191" s="214"/>
      <c r="AI191" s="214"/>
      <c r="AJ191" s="214"/>
      <c r="AK191" s="214"/>
      <c r="AL191" s="214"/>
      <c r="AM191" s="214"/>
      <c r="AN191" s="214"/>
      <c r="AO191" s="214"/>
      <c r="AP191" s="214"/>
      <c r="AQ191" s="214"/>
      <c r="AR191" s="1"/>
      <c r="AS191" s="1"/>
      <c r="AT191" s="88"/>
      <c r="AU191" s="89"/>
      <c r="AV191" s="88"/>
      <c r="AW191" s="89"/>
      <c r="AX191" s="89"/>
      <c r="AY191" s="138"/>
      <c r="AZ191" s="138"/>
      <c r="BA191" s="1"/>
      <c r="BB191" s="1"/>
      <c r="BC191" s="1"/>
      <c r="BD191" s="1"/>
    </row>
    <row r="192" spans="1:56" x14ac:dyDescent="0.25">
      <c r="A192" s="288"/>
      <c r="B192" s="289"/>
      <c r="C192" s="153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97"/>
      <c r="T192" s="159"/>
      <c r="U192" s="197"/>
      <c r="V192" s="159"/>
      <c r="W192" s="197"/>
      <c r="X192" s="159"/>
      <c r="Y192" s="159"/>
      <c r="Z192" s="159"/>
      <c r="AA192" s="159"/>
      <c r="AB192" s="159"/>
      <c r="AC192" s="159"/>
      <c r="AD192" s="159"/>
      <c r="AE192" s="159"/>
      <c r="AF192" s="159"/>
      <c r="AG192" s="159"/>
      <c r="AH192" s="159"/>
      <c r="AI192" s="159"/>
      <c r="AJ192" s="159"/>
      <c r="AK192" s="159"/>
      <c r="AL192" s="159"/>
      <c r="AM192" s="159"/>
      <c r="AN192" s="159"/>
      <c r="AO192" s="159"/>
      <c r="AP192" s="159"/>
      <c r="AQ192" s="159"/>
      <c r="AR192" s="159"/>
      <c r="AS192" s="1"/>
      <c r="AT192" s="88"/>
      <c r="AU192" s="89"/>
      <c r="AV192" s="88"/>
      <c r="AW192" s="89"/>
      <c r="AX192" s="89"/>
      <c r="AY192" s="138"/>
      <c r="AZ192" s="138"/>
      <c r="BA192" s="159"/>
      <c r="BB192" s="159"/>
      <c r="BC192" s="159"/>
      <c r="BD192" s="159"/>
    </row>
    <row r="193" spans="1:56" x14ac:dyDescent="0.25">
      <c r="A193" s="288"/>
      <c r="B193" s="289"/>
      <c r="C193" s="153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97"/>
      <c r="T193" s="159"/>
      <c r="U193" s="197"/>
      <c r="V193" s="159">
        <v>0</v>
      </c>
      <c r="W193" s="197"/>
      <c r="X193" s="159">
        <v>1.5</v>
      </c>
      <c r="Y193" s="159">
        <v>11.1</v>
      </c>
      <c r="Z193" s="159">
        <v>16.3</v>
      </c>
      <c r="AA193" s="159">
        <v>32.299999999999997</v>
      </c>
      <c r="AB193" s="159">
        <v>45.5</v>
      </c>
      <c r="AC193" s="159">
        <v>71.5</v>
      </c>
      <c r="AD193" s="159"/>
      <c r="AE193" s="159"/>
      <c r="AF193" s="159"/>
      <c r="AG193" s="159"/>
      <c r="AH193" s="159"/>
      <c r="AI193" s="159"/>
      <c r="AJ193" s="159"/>
      <c r="AK193" s="159"/>
      <c r="AL193" s="159"/>
      <c r="AM193" s="159"/>
      <c r="AN193" s="159"/>
      <c r="AO193" s="159"/>
      <c r="AP193" s="159"/>
      <c r="AQ193" s="159"/>
      <c r="AR193" s="159"/>
      <c r="AS193" s="1"/>
      <c r="AT193" s="88"/>
      <c r="AU193" s="89"/>
      <c r="AV193" s="88"/>
      <c r="AW193" s="89"/>
      <c r="AX193" s="89"/>
      <c r="AY193" s="138"/>
      <c r="AZ193" s="138"/>
      <c r="BA193" s="159"/>
      <c r="BB193" s="159"/>
      <c r="BC193" s="159"/>
      <c r="BD193" s="159"/>
    </row>
    <row r="194" spans="1:56" x14ac:dyDescent="0.25">
      <c r="A194" s="137"/>
      <c r="B194" s="90" t="s">
        <v>154</v>
      </c>
      <c r="C194" s="153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97"/>
      <c r="T194" s="159"/>
      <c r="U194" s="197"/>
      <c r="V194" s="159"/>
      <c r="W194" s="197"/>
      <c r="X194" s="159"/>
      <c r="Y194" s="159"/>
      <c r="Z194" s="159"/>
      <c r="AA194" s="159"/>
      <c r="AB194" s="159"/>
      <c r="AC194" s="159"/>
      <c r="AD194" s="159"/>
      <c r="AE194" s="159"/>
      <c r="AF194" s="159">
        <v>168.9</v>
      </c>
      <c r="AG194" s="159"/>
      <c r="AH194" s="159"/>
      <c r="AI194" s="159"/>
      <c r="AJ194" s="159"/>
      <c r="AK194" s="159"/>
      <c r="AL194" s="159"/>
      <c r="AM194" s="159"/>
      <c r="AN194" s="159"/>
      <c r="AO194" s="159"/>
      <c r="AP194" s="159"/>
      <c r="AQ194" s="159"/>
      <c r="AR194" s="159"/>
      <c r="AS194" s="1"/>
      <c r="AT194" s="88"/>
      <c r="AU194" s="89"/>
      <c r="AV194" s="88"/>
      <c r="AW194" s="89"/>
      <c r="AX194" s="89"/>
      <c r="AY194" s="138"/>
      <c r="AZ194" s="138"/>
      <c r="BA194" s="159"/>
      <c r="BB194" s="159"/>
      <c r="BC194" s="159"/>
      <c r="BD194" s="159"/>
    </row>
    <row r="195" spans="1:56" x14ac:dyDescent="0.25">
      <c r="A195" s="137"/>
      <c r="B195" s="92" t="s">
        <v>218</v>
      </c>
      <c r="C195" s="49"/>
      <c r="D195" s="49"/>
      <c r="E195" s="49"/>
      <c r="F195" s="49"/>
      <c r="G195" s="49"/>
      <c r="H195" s="49"/>
      <c r="I195" s="49"/>
      <c r="J195" s="49">
        <v>99.3</v>
      </c>
      <c r="K195" s="49">
        <v>124.1</v>
      </c>
      <c r="L195" s="49">
        <v>107.8</v>
      </c>
      <c r="M195" s="49">
        <v>128</v>
      </c>
      <c r="N195" s="49">
        <v>114</v>
      </c>
      <c r="O195" s="49">
        <v>132.80000000000001</v>
      </c>
      <c r="P195" s="49">
        <v>137.80000000000001</v>
      </c>
      <c r="Q195" s="49">
        <v>157.69999999999999</v>
      </c>
      <c r="R195" s="49">
        <v>167.3</v>
      </c>
      <c r="S195" s="49">
        <v>188.9</v>
      </c>
      <c r="T195" s="49">
        <v>204.5</v>
      </c>
      <c r="U195" s="49">
        <v>221.5</v>
      </c>
      <c r="V195" s="49">
        <v>243.1</v>
      </c>
      <c r="W195" s="49">
        <v>221.5</v>
      </c>
      <c r="X195" s="49">
        <v>286</v>
      </c>
      <c r="Y195" s="49">
        <v>319.7</v>
      </c>
      <c r="Z195" s="49">
        <v>348.6</v>
      </c>
      <c r="AA195" s="49">
        <v>392.2</v>
      </c>
      <c r="AB195" s="49">
        <v>433</v>
      </c>
      <c r="AC195" s="49">
        <v>490.6</v>
      </c>
      <c r="AD195" s="49">
        <v>549.4</v>
      </c>
      <c r="AE195" s="49">
        <v>629</v>
      </c>
      <c r="AF195" s="49">
        <v>718.2</v>
      </c>
      <c r="AG195" s="49">
        <v>840.8</v>
      </c>
      <c r="AH195" s="49">
        <v>952.2</v>
      </c>
      <c r="AI195" s="94">
        <v>1096.3</v>
      </c>
      <c r="AJ195" s="94">
        <v>1229.7</v>
      </c>
      <c r="AK195" s="94">
        <v>1396.7</v>
      </c>
      <c r="AL195" s="94">
        <v>1555.5</v>
      </c>
      <c r="AM195" s="94">
        <v>1748.9</v>
      </c>
      <c r="AN195" s="94">
        <v>1937.2</v>
      </c>
      <c r="AO195" s="94">
        <v>2161.1</v>
      </c>
      <c r="AP195" s="94">
        <v>2383.6999999999998</v>
      </c>
      <c r="AQ195" s="94">
        <v>2642.6</v>
      </c>
      <c r="AR195" s="1">
        <v>1690.4004239999999</v>
      </c>
      <c r="AS195" s="1"/>
      <c r="AT195" s="200">
        <v>38.9</v>
      </c>
      <c r="AU195" s="201">
        <v>204.2</v>
      </c>
      <c r="AV195" s="200">
        <v>46.8</v>
      </c>
      <c r="AW195" s="201">
        <v>218.7</v>
      </c>
      <c r="AX195" s="96"/>
      <c r="AY195" s="138"/>
      <c r="AZ195" s="138"/>
      <c r="BA195" s="1"/>
      <c r="BB195" s="1"/>
      <c r="BC195" s="1"/>
      <c r="BD195" s="1"/>
    </row>
    <row r="196" spans="1:56" x14ac:dyDescent="0.25">
      <c r="A196" s="137"/>
      <c r="B196" s="222" t="s">
        <v>473</v>
      </c>
      <c r="C196" s="49" t="s">
        <v>75</v>
      </c>
      <c r="D196" s="49"/>
      <c r="E196" s="49"/>
      <c r="F196" s="49"/>
      <c r="G196" s="49"/>
      <c r="H196" s="49"/>
      <c r="I196" s="49"/>
      <c r="J196" s="49"/>
      <c r="K196" s="49"/>
      <c r="L196" s="49">
        <v>19.2</v>
      </c>
      <c r="M196" s="49">
        <v>19.600000000000001</v>
      </c>
      <c r="N196" s="49">
        <v>19.5</v>
      </c>
      <c r="O196" s="49">
        <v>19.600000000000001</v>
      </c>
      <c r="P196" s="49">
        <v>20.2</v>
      </c>
      <c r="Q196" s="49">
        <v>21.3</v>
      </c>
      <c r="R196" s="49">
        <v>22.7</v>
      </c>
      <c r="S196" s="49">
        <v>22.6</v>
      </c>
      <c r="T196" s="49">
        <v>22.9</v>
      </c>
      <c r="U196" s="49">
        <v>23.7</v>
      </c>
      <c r="V196" s="49">
        <v>25.2</v>
      </c>
      <c r="W196" s="49">
        <v>23.7</v>
      </c>
      <c r="X196" s="49">
        <v>26.3</v>
      </c>
      <c r="Y196" s="49">
        <v>31.2</v>
      </c>
      <c r="Z196" s="49">
        <v>33.6</v>
      </c>
      <c r="AA196" s="49">
        <v>35.9</v>
      </c>
      <c r="AB196" s="49">
        <v>38.700000000000003</v>
      </c>
      <c r="AC196" s="49">
        <v>41.3</v>
      </c>
      <c r="AD196" s="49">
        <v>44.4</v>
      </c>
      <c r="AE196" s="49">
        <v>47.5</v>
      </c>
      <c r="AF196" s="49">
        <v>51.1</v>
      </c>
      <c r="AG196" s="49">
        <v>54.6</v>
      </c>
      <c r="AH196" s="49">
        <v>58.8</v>
      </c>
      <c r="AI196" s="49">
        <v>62.8</v>
      </c>
      <c r="AJ196" s="49">
        <v>67.599999999999994</v>
      </c>
      <c r="AK196" s="49">
        <v>72.2</v>
      </c>
      <c r="AL196" s="49">
        <v>77.7</v>
      </c>
      <c r="AM196" s="49">
        <v>83.1</v>
      </c>
      <c r="AN196" s="49">
        <v>89.4</v>
      </c>
      <c r="AO196" s="49">
        <v>95.5</v>
      </c>
      <c r="AP196" s="49">
        <v>102.8</v>
      </c>
      <c r="AQ196" s="49">
        <v>109.8</v>
      </c>
      <c r="AR196" s="1">
        <v>-952.2</v>
      </c>
      <c r="AS196" s="1"/>
      <c r="AT196" s="200"/>
      <c r="AU196" s="201"/>
      <c r="AV196" s="200"/>
      <c r="AW196" s="201"/>
      <c r="AX196" s="96"/>
      <c r="AY196" s="138"/>
      <c r="AZ196" s="138"/>
      <c r="BA196" s="1"/>
      <c r="BB196" s="1"/>
      <c r="BC196" s="1"/>
      <c r="BD196" s="1"/>
    </row>
    <row r="197" spans="1:56" x14ac:dyDescent="0.25">
      <c r="A197" s="288"/>
      <c r="B197" s="28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1"/>
      <c r="AS197" s="1"/>
      <c r="AT197" s="200"/>
      <c r="AU197" s="201"/>
      <c r="AV197" s="200"/>
      <c r="AW197" s="201"/>
      <c r="AX197" s="96"/>
      <c r="AY197" s="138"/>
      <c r="AZ197" s="138"/>
      <c r="BA197" s="1"/>
      <c r="BB197" s="1"/>
      <c r="BC197" s="1"/>
      <c r="BD197" s="1"/>
    </row>
    <row r="198" spans="1:56" x14ac:dyDescent="0.25">
      <c r="A198" s="137"/>
      <c r="B198" s="222" t="s">
        <v>481</v>
      </c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>
        <v>0</v>
      </c>
      <c r="W198" s="49"/>
      <c r="X198" s="49">
        <v>2.1</v>
      </c>
      <c r="Y198" s="49">
        <v>4.0999999999999996</v>
      </c>
      <c r="Z198" s="49">
        <v>6.4</v>
      </c>
      <c r="AA198" s="49">
        <v>9.5</v>
      </c>
      <c r="AB198" s="49">
        <v>13.7</v>
      </c>
      <c r="AC198" s="49">
        <v>19.399999999999999</v>
      </c>
      <c r="AD198" s="49">
        <v>27.6</v>
      </c>
      <c r="AE198" s="49">
        <v>39.299999999999997</v>
      </c>
      <c r="AF198" s="49">
        <v>57.6</v>
      </c>
      <c r="AG198" s="49">
        <v>87.4</v>
      </c>
      <c r="AH198" s="49">
        <v>94.1</v>
      </c>
      <c r="AI198" s="49">
        <v>100.5</v>
      </c>
      <c r="AJ198" s="49">
        <v>108.2</v>
      </c>
      <c r="AK198" s="49">
        <v>115.6</v>
      </c>
      <c r="AL198" s="49">
        <v>124.4</v>
      </c>
      <c r="AM198" s="49">
        <v>132.9</v>
      </c>
      <c r="AN198" s="49">
        <v>143</v>
      </c>
      <c r="AO198" s="49">
        <v>152.80000000000001</v>
      </c>
      <c r="AP198" s="49">
        <v>164.5</v>
      </c>
      <c r="AQ198" s="49">
        <v>175.7</v>
      </c>
      <c r="AR198" s="1"/>
      <c r="AS198" s="1"/>
      <c r="AT198" s="200"/>
      <c r="AU198" s="201"/>
      <c r="AV198" s="200"/>
      <c r="AW198" s="201"/>
      <c r="AX198" s="96"/>
      <c r="AY198" s="138"/>
      <c r="AZ198" s="138"/>
      <c r="BA198" s="1"/>
      <c r="BB198" s="1"/>
      <c r="BC198" s="1"/>
      <c r="BD198" s="1"/>
    </row>
    <row r="199" spans="1:56" x14ac:dyDescent="0.25">
      <c r="A199" s="137"/>
      <c r="B199" s="222" t="s">
        <v>482</v>
      </c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244" t="s">
        <v>483</v>
      </c>
      <c r="O199" s="142" t="s">
        <v>484</v>
      </c>
      <c r="P199" s="49"/>
      <c r="Q199" s="49"/>
      <c r="R199" s="49"/>
      <c r="S199" s="49"/>
      <c r="T199" s="49"/>
      <c r="U199" s="49"/>
      <c r="V199" s="49">
        <v>1</v>
      </c>
      <c r="W199" s="49"/>
      <c r="X199" s="142">
        <v>1.08</v>
      </c>
      <c r="Y199" s="142">
        <v>1.1299999999999999</v>
      </c>
      <c r="Z199" s="142">
        <v>1.19</v>
      </c>
      <c r="AA199" s="142">
        <v>1.26</v>
      </c>
      <c r="AB199" s="142">
        <v>1.36</v>
      </c>
      <c r="AC199" s="142">
        <v>1.47</v>
      </c>
      <c r="AD199" s="142">
        <v>1.62</v>
      </c>
      <c r="AE199" s="142">
        <v>1.83</v>
      </c>
      <c r="AF199" s="142">
        <v>2.13</v>
      </c>
      <c r="AG199" s="142">
        <v>2.6</v>
      </c>
      <c r="AH199" s="142">
        <v>2.6</v>
      </c>
      <c r="AI199" s="142">
        <v>2.6</v>
      </c>
      <c r="AJ199" s="142">
        <v>2.6</v>
      </c>
      <c r="AK199" s="142">
        <v>2.6</v>
      </c>
      <c r="AL199" s="142">
        <v>2.6</v>
      </c>
      <c r="AM199" s="142">
        <v>2.6</v>
      </c>
      <c r="AN199" s="142">
        <v>2.6</v>
      </c>
      <c r="AO199" s="142">
        <v>2.6</v>
      </c>
      <c r="AP199" s="142">
        <v>2.6</v>
      </c>
      <c r="AQ199" s="142">
        <v>2.6</v>
      </c>
      <c r="AR199" s="1"/>
      <c r="AS199" s="1"/>
      <c r="AT199" s="200"/>
      <c r="AU199" s="201"/>
      <c r="AV199" s="200"/>
      <c r="AW199" s="201"/>
      <c r="AX199" s="96"/>
      <c r="AY199" s="138"/>
      <c r="AZ199" s="138"/>
      <c r="BA199" s="1"/>
      <c r="BB199" s="1"/>
      <c r="BC199" s="1"/>
      <c r="BD199" s="1"/>
    </row>
    <row r="200" spans="1:56" x14ac:dyDescent="0.25">
      <c r="A200" s="137"/>
      <c r="B200" s="222" t="s">
        <v>485</v>
      </c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244" t="s">
        <v>486</v>
      </c>
      <c r="O200" s="142" t="s">
        <v>487</v>
      </c>
      <c r="P200" s="49"/>
      <c r="Q200" s="49"/>
      <c r="R200" s="49"/>
      <c r="S200" s="49"/>
      <c r="T200" s="51">
        <v>140</v>
      </c>
      <c r="U200" s="49">
        <v>133</v>
      </c>
      <c r="V200" s="51">
        <v>126</v>
      </c>
      <c r="W200" s="49">
        <v>133</v>
      </c>
      <c r="X200" s="142">
        <v>108.5</v>
      </c>
      <c r="Y200" s="142">
        <v>99.8</v>
      </c>
      <c r="Z200" s="142">
        <v>91.1</v>
      </c>
      <c r="AA200" s="142">
        <v>82.4</v>
      </c>
      <c r="AB200" s="142">
        <v>73.599999999999994</v>
      </c>
      <c r="AC200" s="142">
        <v>64.900000000000006</v>
      </c>
      <c r="AD200" s="142">
        <v>56.2</v>
      </c>
      <c r="AE200" s="142">
        <v>47.5</v>
      </c>
      <c r="AF200" s="142">
        <v>38.700000000000003</v>
      </c>
      <c r="AG200" s="245">
        <v>30</v>
      </c>
      <c r="AH200" s="142">
        <v>30</v>
      </c>
      <c r="AI200" s="142">
        <v>30</v>
      </c>
      <c r="AJ200" s="142">
        <v>30</v>
      </c>
      <c r="AK200" s="142">
        <v>30</v>
      </c>
      <c r="AL200" s="142">
        <v>30</v>
      </c>
      <c r="AM200" s="142">
        <v>30</v>
      </c>
      <c r="AN200" s="142">
        <v>30</v>
      </c>
      <c r="AO200" s="142">
        <v>30</v>
      </c>
      <c r="AP200" s="142">
        <v>30</v>
      </c>
      <c r="AQ200" s="142">
        <v>30</v>
      </c>
      <c r="AR200" s="1"/>
      <c r="AS200" s="1"/>
      <c r="AT200" s="200"/>
      <c r="AU200" s="201"/>
      <c r="AV200" s="200"/>
      <c r="AW200" s="201"/>
      <c r="AX200" s="96"/>
      <c r="AY200" s="138"/>
      <c r="AZ200" s="138"/>
      <c r="BA200" s="1"/>
      <c r="BB200" s="1"/>
      <c r="BC200" s="1"/>
      <c r="BD200" s="1"/>
    </row>
    <row r="201" spans="1:56" x14ac:dyDescent="0.25">
      <c r="A201" s="288"/>
      <c r="B201" s="288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246" t="s">
        <v>488</v>
      </c>
      <c r="O201" s="142" t="s">
        <v>487</v>
      </c>
      <c r="P201" s="159"/>
      <c r="Q201" s="159"/>
      <c r="R201" s="159"/>
      <c r="S201" s="197"/>
      <c r="T201" s="159"/>
      <c r="U201" s="197"/>
      <c r="V201" s="159"/>
      <c r="W201" s="197"/>
      <c r="X201" s="159"/>
      <c r="Y201" s="159"/>
      <c r="Z201" s="159"/>
      <c r="AA201" s="159"/>
      <c r="AB201" s="159"/>
      <c r="AC201" s="159"/>
      <c r="AD201" s="159"/>
      <c r="AE201" s="159"/>
      <c r="AF201" s="159"/>
      <c r="AG201" s="159"/>
      <c r="AH201" s="159"/>
      <c r="AI201" s="159"/>
      <c r="AJ201" s="159"/>
      <c r="AK201" s="159"/>
      <c r="AL201" s="159"/>
      <c r="AM201" s="159"/>
      <c r="AN201" s="159"/>
      <c r="AO201" s="159"/>
      <c r="AP201" s="159"/>
      <c r="AQ201" s="159"/>
      <c r="AR201" s="159"/>
      <c r="AS201" s="1"/>
      <c r="AT201" s="74"/>
      <c r="AU201" s="75"/>
      <c r="AV201" s="74"/>
      <c r="AW201" s="75"/>
      <c r="AX201" s="75"/>
      <c r="AY201" s="223"/>
      <c r="AZ201" s="223"/>
      <c r="BA201" s="159"/>
      <c r="BB201" s="159"/>
      <c r="BC201" s="159"/>
      <c r="BD201" s="159"/>
    </row>
    <row r="202" spans="1:56" x14ac:dyDescent="0.25">
      <c r="A202" s="137"/>
      <c r="B202" s="222" t="s">
        <v>489</v>
      </c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97"/>
      <c r="T202" s="159"/>
      <c r="U202" s="197"/>
      <c r="V202" s="49">
        <v>0.4</v>
      </c>
      <c r="W202" s="197"/>
      <c r="X202" s="49">
        <v>2.7</v>
      </c>
      <c r="Y202" s="49">
        <v>5.9</v>
      </c>
      <c r="Z202" s="49">
        <v>11</v>
      </c>
      <c r="AA202" s="49">
        <v>17</v>
      </c>
      <c r="AB202" s="49">
        <v>25.6</v>
      </c>
      <c r="AC202" s="49">
        <v>35.200000000000003</v>
      </c>
      <c r="AD202" s="49">
        <v>48.2</v>
      </c>
      <c r="AE202" s="49">
        <v>62.2</v>
      </c>
      <c r="AF202" s="49">
        <v>80.900000000000006</v>
      </c>
      <c r="AG202" s="49">
        <v>100.5</v>
      </c>
      <c r="AH202" s="49">
        <v>126.1</v>
      </c>
      <c r="AI202" s="49">
        <v>150.80000000000001</v>
      </c>
      <c r="AJ202" s="49">
        <v>180.2</v>
      </c>
      <c r="AK202" s="49">
        <v>208.6</v>
      </c>
      <c r="AL202" s="49">
        <v>242.4</v>
      </c>
      <c r="AM202" s="49">
        <v>275</v>
      </c>
      <c r="AN202" s="49">
        <v>313.89999999999998</v>
      </c>
      <c r="AO202" s="49">
        <v>351.4</v>
      </c>
      <c r="AP202" s="49">
        <v>396.2</v>
      </c>
      <c r="AQ202" s="49">
        <v>439.3</v>
      </c>
      <c r="AR202" s="159"/>
      <c r="AS202" s="1"/>
      <c r="AT202" s="74"/>
      <c r="AU202" s="75"/>
      <c r="AV202" s="74"/>
      <c r="AW202" s="75"/>
      <c r="AX202" s="75"/>
      <c r="AY202" s="223"/>
      <c r="AZ202" s="223"/>
      <c r="BA202" s="159"/>
      <c r="BB202" s="159"/>
      <c r="BC202" s="159"/>
      <c r="BD202" s="159"/>
    </row>
    <row r="203" spans="1:56" x14ac:dyDescent="0.25">
      <c r="A203" s="288"/>
      <c r="B203" s="28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1"/>
      <c r="AS203" s="1"/>
      <c r="AT203" s="200"/>
      <c r="AU203" s="201"/>
      <c r="AV203" s="200"/>
      <c r="AW203" s="201"/>
      <c r="AX203" s="96"/>
      <c r="AY203" s="138"/>
      <c r="AZ203" s="138"/>
      <c r="BA203" s="1"/>
      <c r="BB203" s="1"/>
      <c r="BC203" s="1"/>
      <c r="BD203" s="1"/>
    </row>
    <row r="204" spans="1:56" x14ac:dyDescent="0.25">
      <c r="A204" s="137"/>
      <c r="B204" s="222" t="s">
        <v>474</v>
      </c>
      <c r="C204" s="49" t="s">
        <v>75</v>
      </c>
      <c r="D204" s="49"/>
      <c r="E204" s="49"/>
      <c r="F204" s="49"/>
      <c r="G204" s="49"/>
      <c r="H204" s="49"/>
      <c r="I204" s="49"/>
      <c r="J204" s="49"/>
      <c r="K204" s="49"/>
      <c r="L204" s="49">
        <v>-10.8</v>
      </c>
      <c r="M204" s="49">
        <v>-15.6</v>
      </c>
      <c r="N204" s="49">
        <v>-13.3</v>
      </c>
      <c r="O204" s="49">
        <v>-14.8</v>
      </c>
      <c r="P204" s="49">
        <v>3.7</v>
      </c>
      <c r="Q204" s="49">
        <v>3.6</v>
      </c>
      <c r="R204" s="49">
        <v>6.7</v>
      </c>
      <c r="S204" s="49">
        <v>8.6</v>
      </c>
      <c r="T204" s="49">
        <v>14.4</v>
      </c>
      <c r="U204" s="49">
        <v>8.9</v>
      </c>
      <c r="V204" s="49">
        <v>13.4</v>
      </c>
      <c r="W204" s="49">
        <v>8.9</v>
      </c>
      <c r="X204" s="49">
        <v>12.2</v>
      </c>
      <c r="Y204" s="49">
        <v>13.3</v>
      </c>
      <c r="Z204" s="49">
        <v>14.3</v>
      </c>
      <c r="AA204" s="49">
        <v>16</v>
      </c>
      <c r="AB204" s="49">
        <v>17.399999999999999</v>
      </c>
      <c r="AC204" s="49">
        <v>19.600000000000001</v>
      </c>
      <c r="AD204" s="49">
        <v>21.7</v>
      </c>
      <c r="AE204" s="49">
        <v>24.5</v>
      </c>
      <c r="AF204" s="49">
        <v>27.5</v>
      </c>
      <c r="AG204" s="49">
        <v>31.5</v>
      </c>
      <c r="AH204" s="49">
        <v>35.9</v>
      </c>
      <c r="AI204" s="49">
        <v>42</v>
      </c>
      <c r="AJ204" s="49">
        <v>47.6</v>
      </c>
      <c r="AK204" s="49">
        <v>54.8</v>
      </c>
      <c r="AL204" s="49">
        <v>61.5</v>
      </c>
      <c r="AM204" s="49">
        <v>69.8</v>
      </c>
      <c r="AN204" s="49">
        <v>77.8</v>
      </c>
      <c r="AO204" s="49">
        <v>87.4</v>
      </c>
      <c r="AP204" s="49">
        <v>96.9</v>
      </c>
      <c r="AQ204" s="49">
        <v>108.1</v>
      </c>
      <c r="AR204" s="1"/>
      <c r="AS204" s="1"/>
      <c r="AT204" s="200"/>
      <c r="AU204" s="201"/>
      <c r="AV204" s="200"/>
      <c r="AW204" s="201"/>
      <c r="AX204" s="96"/>
      <c r="AY204" s="138"/>
      <c r="AZ204" s="138"/>
      <c r="BA204" s="1"/>
      <c r="BB204" s="1"/>
      <c r="BC204" s="1"/>
      <c r="BD204" s="1"/>
    </row>
    <row r="205" spans="1:56" x14ac:dyDescent="0.25">
      <c r="A205" s="137"/>
      <c r="B205" s="222" t="s">
        <v>475</v>
      </c>
      <c r="C205" s="49" t="s">
        <v>6</v>
      </c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126">
        <v>-0.12</v>
      </c>
      <c r="O205" s="126">
        <v>-0.12</v>
      </c>
      <c r="P205" s="126">
        <v>0.03</v>
      </c>
      <c r="Q205" s="126">
        <v>0.03</v>
      </c>
      <c r="R205" s="126">
        <v>0.05</v>
      </c>
      <c r="S205" s="126">
        <v>0.05</v>
      </c>
      <c r="T205" s="126">
        <v>0.09</v>
      </c>
      <c r="U205" s="126">
        <v>0.05</v>
      </c>
      <c r="V205" s="126">
        <v>7.0000000000000007E-2</v>
      </c>
      <c r="W205" s="126">
        <v>0.05</v>
      </c>
      <c r="X205" s="133">
        <v>0.05</v>
      </c>
      <c r="Y205" s="133">
        <v>0.05</v>
      </c>
      <c r="Z205" s="133">
        <v>0.05</v>
      </c>
      <c r="AA205" s="133">
        <v>0.05</v>
      </c>
      <c r="AB205" s="133">
        <v>0.05</v>
      </c>
      <c r="AC205" s="133">
        <v>0.05</v>
      </c>
      <c r="AD205" s="133">
        <v>0.05</v>
      </c>
      <c r="AE205" s="133">
        <v>0.05</v>
      </c>
      <c r="AF205" s="133">
        <v>0.05</v>
      </c>
      <c r="AG205" s="133">
        <v>0.05</v>
      </c>
      <c r="AH205" s="133">
        <v>0.05</v>
      </c>
      <c r="AI205" s="133">
        <v>0.05</v>
      </c>
      <c r="AJ205" s="133">
        <v>0.05</v>
      </c>
      <c r="AK205" s="133">
        <v>0.05</v>
      </c>
      <c r="AL205" s="133">
        <v>0.05</v>
      </c>
      <c r="AM205" s="133">
        <v>0.05</v>
      </c>
      <c r="AN205" s="133">
        <v>0.05</v>
      </c>
      <c r="AO205" s="133">
        <v>0.05</v>
      </c>
      <c r="AP205" s="133">
        <v>0.05</v>
      </c>
      <c r="AQ205" s="133">
        <v>0.05</v>
      </c>
      <c r="AR205" s="1"/>
      <c r="AS205" s="1"/>
      <c r="AT205" s="200"/>
      <c r="AU205" s="201"/>
      <c r="AV205" s="200"/>
      <c r="AW205" s="201"/>
      <c r="AX205" s="96"/>
      <c r="AY205" s="138"/>
      <c r="AZ205" s="138"/>
      <c r="BA205" s="1"/>
      <c r="BB205" s="1"/>
      <c r="BC205" s="1"/>
      <c r="BD205" s="1"/>
    </row>
    <row r="206" spans="1:56" x14ac:dyDescent="0.25">
      <c r="A206" s="288"/>
      <c r="B206" s="28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1"/>
      <c r="AS206" s="1"/>
      <c r="AT206" s="200"/>
      <c r="AU206" s="201"/>
      <c r="AV206" s="200"/>
      <c r="AW206" s="201"/>
      <c r="AX206" s="96"/>
      <c r="AY206" s="138"/>
      <c r="AZ206" s="138"/>
      <c r="BA206" s="1"/>
      <c r="BB206" s="1"/>
      <c r="BC206" s="1"/>
      <c r="BD206" s="1"/>
    </row>
    <row r="207" spans="1:56" x14ac:dyDescent="0.25">
      <c r="A207" s="137"/>
      <c r="B207" s="92" t="s">
        <v>220</v>
      </c>
      <c r="C207" s="49"/>
      <c r="D207" s="49"/>
      <c r="E207" s="49"/>
      <c r="F207" s="49"/>
      <c r="G207" s="49"/>
      <c r="H207" s="49"/>
      <c r="I207" s="49"/>
      <c r="J207" s="49">
        <v>29.2</v>
      </c>
      <c r="K207" s="49">
        <v>32.4</v>
      </c>
      <c r="L207" s="49">
        <v>30.2</v>
      </c>
      <c r="M207" s="49">
        <v>32.299999999999997</v>
      </c>
      <c r="N207" s="49">
        <v>30.4</v>
      </c>
      <c r="O207" s="49">
        <v>34.200000000000003</v>
      </c>
      <c r="P207" s="49">
        <v>34.1</v>
      </c>
      <c r="Q207" s="49">
        <v>38.5</v>
      </c>
      <c r="R207" s="49">
        <v>33.700000000000003</v>
      </c>
      <c r="S207" s="49">
        <v>39.4</v>
      </c>
      <c r="T207" s="49">
        <v>36.299999999999997</v>
      </c>
      <c r="U207" s="49">
        <v>44.3</v>
      </c>
      <c r="V207" s="49">
        <v>42.6</v>
      </c>
      <c r="W207" s="49">
        <v>44.3</v>
      </c>
      <c r="X207" s="49">
        <v>36.1</v>
      </c>
      <c r="Y207" s="49">
        <v>38.299999999999997</v>
      </c>
      <c r="Z207" s="49">
        <v>32.299999999999997</v>
      </c>
      <c r="AA207" s="49">
        <v>33.1</v>
      </c>
      <c r="AB207" s="49">
        <v>26.5</v>
      </c>
      <c r="AC207" s="49">
        <v>25.3</v>
      </c>
      <c r="AD207" s="49">
        <v>18.3</v>
      </c>
      <c r="AE207" s="49">
        <v>14.6</v>
      </c>
      <c r="AF207" s="49">
        <v>7</v>
      </c>
      <c r="AG207" s="49">
        <v>0</v>
      </c>
      <c r="AH207" s="49">
        <v>0</v>
      </c>
      <c r="AI207" s="49">
        <v>0</v>
      </c>
      <c r="AJ207" s="49">
        <v>0</v>
      </c>
      <c r="AK207" s="49">
        <v>0</v>
      </c>
      <c r="AL207" s="49">
        <v>0</v>
      </c>
      <c r="AM207" s="49">
        <v>0</v>
      </c>
      <c r="AN207" s="49">
        <v>0</v>
      </c>
      <c r="AO207" s="49">
        <v>0</v>
      </c>
      <c r="AP207" s="49">
        <v>0</v>
      </c>
      <c r="AQ207" s="49">
        <v>0</v>
      </c>
      <c r="AR207" s="1"/>
      <c r="AS207" s="1"/>
      <c r="AT207" s="200">
        <v>460.1</v>
      </c>
      <c r="AU207" s="201">
        <v>-417.5</v>
      </c>
      <c r="AV207" s="200">
        <v>507.8</v>
      </c>
      <c r="AW207" s="201">
        <v>-456.9</v>
      </c>
      <c r="AX207" s="96"/>
      <c r="AY207" s="138"/>
      <c r="AZ207" s="138"/>
      <c r="BA207" s="1"/>
      <c r="BB207" s="1"/>
      <c r="BC207" s="1"/>
      <c r="BD207" s="1"/>
    </row>
    <row r="208" spans="1:56" x14ac:dyDescent="0.25">
      <c r="A208" s="288"/>
      <c r="B208" s="28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200"/>
      <c r="AU208" s="201"/>
      <c r="AV208" s="200"/>
      <c r="AW208" s="201"/>
      <c r="AX208" s="96"/>
      <c r="AY208" s="138"/>
      <c r="AZ208" s="138"/>
      <c r="BA208" s="1"/>
      <c r="BB208" s="1"/>
      <c r="BC208" s="1"/>
      <c r="BD208" s="1"/>
    </row>
    <row r="209" spans="1:56" x14ac:dyDescent="0.25">
      <c r="A209" s="137"/>
      <c r="B209" s="107" t="s">
        <v>490</v>
      </c>
      <c r="C209" s="49"/>
      <c r="D209" s="49"/>
      <c r="E209" s="49"/>
      <c r="F209" s="49"/>
      <c r="G209" s="49"/>
      <c r="H209" s="49"/>
      <c r="I209" s="49"/>
      <c r="J209" s="49"/>
      <c r="K209" s="49"/>
      <c r="L209" s="49">
        <v>30.2</v>
      </c>
      <c r="M209" s="49">
        <v>32.299999999999997</v>
      </c>
      <c r="N209" s="49">
        <v>30.4</v>
      </c>
      <c r="O209" s="49">
        <v>34.200000000000003</v>
      </c>
      <c r="P209" s="49">
        <v>34.1</v>
      </c>
      <c r="Q209" s="49">
        <v>38.5</v>
      </c>
      <c r="R209" s="49">
        <v>33.700000000000003</v>
      </c>
      <c r="S209" s="49">
        <v>39.4</v>
      </c>
      <c r="T209" s="49">
        <v>36.299999999999997</v>
      </c>
      <c r="U209" s="49">
        <v>44.3</v>
      </c>
      <c r="V209" s="49">
        <v>42.6</v>
      </c>
      <c r="W209" s="49">
        <v>44.3</v>
      </c>
      <c r="X209" s="49">
        <v>49</v>
      </c>
      <c r="Y209" s="49">
        <v>58.5</v>
      </c>
      <c r="Z209" s="49">
        <v>56.4</v>
      </c>
      <c r="AA209" s="49">
        <v>67.3</v>
      </c>
      <c r="AB209" s="49">
        <v>64.8</v>
      </c>
      <c r="AC209" s="49">
        <v>77.400000000000006</v>
      </c>
      <c r="AD209" s="49">
        <v>74.5</v>
      </c>
      <c r="AE209" s="49">
        <v>89</v>
      </c>
      <c r="AF209" s="49">
        <v>85.7</v>
      </c>
      <c r="AG209" s="49">
        <v>102.4</v>
      </c>
      <c r="AH209" s="49">
        <v>98.6</v>
      </c>
      <c r="AI209" s="49">
        <v>117.8</v>
      </c>
      <c r="AJ209" s="49">
        <v>113.3</v>
      </c>
      <c r="AK209" s="49">
        <v>135.4</v>
      </c>
      <c r="AL209" s="49">
        <v>130.30000000000001</v>
      </c>
      <c r="AM209" s="49">
        <v>155.69999999999999</v>
      </c>
      <c r="AN209" s="49">
        <v>149.9</v>
      </c>
      <c r="AO209" s="49">
        <v>179.1</v>
      </c>
      <c r="AP209" s="49">
        <v>172.4</v>
      </c>
      <c r="AQ209" s="49">
        <v>206</v>
      </c>
      <c r="AR209" s="1"/>
      <c r="AS209" s="1"/>
      <c r="AT209" s="200"/>
      <c r="AU209" s="201"/>
      <c r="AV209" s="200"/>
      <c r="AW209" s="201"/>
      <c r="AX209" s="96"/>
      <c r="AY209" s="138"/>
      <c r="AZ209" s="138"/>
      <c r="BA209" s="1"/>
      <c r="BB209" s="1"/>
      <c r="BC209" s="1"/>
      <c r="BD209" s="1"/>
    </row>
    <row r="210" spans="1:56" x14ac:dyDescent="0.25">
      <c r="A210" s="137"/>
      <c r="B210" s="222" t="s">
        <v>476</v>
      </c>
      <c r="C210" s="49" t="s">
        <v>6</v>
      </c>
      <c r="D210" s="49"/>
      <c r="E210" s="49"/>
      <c r="F210" s="49"/>
      <c r="G210" s="49"/>
      <c r="H210" s="49"/>
      <c r="I210" s="49"/>
      <c r="J210" s="49"/>
      <c r="K210" s="49"/>
      <c r="L210" s="126">
        <v>0.04</v>
      </c>
      <c r="M210" s="126">
        <v>0</v>
      </c>
      <c r="N210" s="126">
        <v>0</v>
      </c>
      <c r="O210" s="126">
        <v>0.06</v>
      </c>
      <c r="P210" s="126">
        <v>0.13</v>
      </c>
      <c r="Q210" s="126">
        <v>0.13</v>
      </c>
      <c r="R210" s="126">
        <v>-0.01</v>
      </c>
      <c r="S210" s="126">
        <v>0.02</v>
      </c>
      <c r="T210" s="126">
        <v>7.0000000000000007E-2</v>
      </c>
      <c r="U210" s="126">
        <v>0.12</v>
      </c>
      <c r="V210" s="126">
        <v>0.18</v>
      </c>
      <c r="W210" s="126">
        <v>0.12</v>
      </c>
      <c r="X210" s="133">
        <v>0.15</v>
      </c>
      <c r="Y210" s="133">
        <v>0.15</v>
      </c>
      <c r="Z210" s="133">
        <v>0.15</v>
      </c>
      <c r="AA210" s="133">
        <v>0.15</v>
      </c>
      <c r="AB210" s="133">
        <v>0.15</v>
      </c>
      <c r="AC210" s="133">
        <v>0.15</v>
      </c>
      <c r="AD210" s="133">
        <v>0.15</v>
      </c>
      <c r="AE210" s="133">
        <v>0.15</v>
      </c>
      <c r="AF210" s="133">
        <v>0.15</v>
      </c>
      <c r="AG210" s="133">
        <v>0.15</v>
      </c>
      <c r="AH210" s="133">
        <v>0.15</v>
      </c>
      <c r="AI210" s="133">
        <v>0.15</v>
      </c>
      <c r="AJ210" s="133">
        <v>0.15</v>
      </c>
      <c r="AK210" s="133">
        <v>0.15</v>
      </c>
      <c r="AL210" s="133">
        <v>0.15</v>
      </c>
      <c r="AM210" s="133">
        <v>0.15</v>
      </c>
      <c r="AN210" s="133">
        <v>0.15</v>
      </c>
      <c r="AO210" s="133">
        <v>0.15</v>
      </c>
      <c r="AP210" s="133">
        <v>0.15</v>
      </c>
      <c r="AQ210" s="133">
        <v>0.15</v>
      </c>
      <c r="AR210" s="1"/>
      <c r="AS210" s="1"/>
      <c r="AT210" s="200"/>
      <c r="AU210" s="201"/>
      <c r="AV210" s="200"/>
      <c r="AW210" s="201"/>
      <c r="AX210" s="96"/>
      <c r="AY210" s="138"/>
      <c r="AZ210" s="138"/>
      <c r="BA210" s="1"/>
      <c r="BB210" s="1"/>
      <c r="BC210" s="1"/>
      <c r="BD210" s="1"/>
    </row>
    <row r="211" spans="1:56" x14ac:dyDescent="0.25">
      <c r="A211" s="288"/>
      <c r="B211" s="28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1"/>
      <c r="AS211" s="1"/>
      <c r="AT211" s="95"/>
      <c r="AU211" s="96"/>
      <c r="AV211" s="95"/>
      <c r="AW211" s="96"/>
      <c r="AX211" s="96"/>
      <c r="AY211" s="138"/>
      <c r="AZ211" s="138"/>
      <c r="BA211" s="1"/>
      <c r="BB211" s="1"/>
      <c r="BC211" s="1"/>
      <c r="BD211" s="1"/>
    </row>
    <row r="212" spans="1:56" x14ac:dyDescent="0.25">
      <c r="A212" s="137"/>
      <c r="B212" s="107" t="s">
        <v>491</v>
      </c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>
        <v>-1.6</v>
      </c>
      <c r="W212" s="49"/>
      <c r="X212" s="49">
        <v>-12.9</v>
      </c>
      <c r="Y212" s="49">
        <v>-20.2</v>
      </c>
      <c r="Z212" s="49">
        <v>-24.1</v>
      </c>
      <c r="AA212" s="49">
        <v>-34.299999999999997</v>
      </c>
      <c r="AB212" s="49">
        <v>-38.299999999999997</v>
      </c>
      <c r="AC212" s="49">
        <v>-52.1</v>
      </c>
      <c r="AD212" s="49">
        <v>-56.2</v>
      </c>
      <c r="AE212" s="49">
        <v>-74.5</v>
      </c>
      <c r="AF212" s="49">
        <v>-78.7</v>
      </c>
      <c r="AG212" s="49">
        <v>-102.4</v>
      </c>
      <c r="AH212" s="49">
        <v>-98.6</v>
      </c>
      <c r="AI212" s="49">
        <v>-117.8</v>
      </c>
      <c r="AJ212" s="49">
        <v>-113.3</v>
      </c>
      <c r="AK212" s="49">
        <v>-135.4</v>
      </c>
      <c r="AL212" s="49">
        <v>-130.30000000000001</v>
      </c>
      <c r="AM212" s="49">
        <v>-155.69999999999999</v>
      </c>
      <c r="AN212" s="49">
        <v>-149.9</v>
      </c>
      <c r="AO212" s="49">
        <v>-179.1</v>
      </c>
      <c r="AP212" s="49">
        <v>-172.4</v>
      </c>
      <c r="AQ212" s="49">
        <v>-206</v>
      </c>
      <c r="AR212" s="1"/>
      <c r="AS212" s="1"/>
      <c r="AT212" s="95"/>
      <c r="AU212" s="96"/>
      <c r="AV212" s="95"/>
      <c r="AW212" s="96"/>
      <c r="AX212" s="96"/>
      <c r="AY212" s="138"/>
      <c r="AZ212" s="138"/>
      <c r="BA212" s="1"/>
      <c r="BB212" s="1"/>
      <c r="BC212" s="1"/>
      <c r="BD212" s="1"/>
    </row>
    <row r="213" spans="1:56" x14ac:dyDescent="0.25">
      <c r="A213" s="137"/>
      <c r="B213" s="222" t="s">
        <v>492</v>
      </c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247">
        <v>0.1</v>
      </c>
      <c r="W213" s="49"/>
      <c r="X213" s="133">
        <v>0.26</v>
      </c>
      <c r="Y213" s="133">
        <v>0.35</v>
      </c>
      <c r="Z213" s="133">
        <v>0.43</v>
      </c>
      <c r="AA213" s="133">
        <v>0.51</v>
      </c>
      <c r="AB213" s="133">
        <v>0.59</v>
      </c>
      <c r="AC213" s="133">
        <v>0.67</v>
      </c>
      <c r="AD213" s="133">
        <v>0.75</v>
      </c>
      <c r="AE213" s="133">
        <v>0.84</v>
      </c>
      <c r="AF213" s="133">
        <v>0.92</v>
      </c>
      <c r="AG213" s="247">
        <v>1</v>
      </c>
      <c r="AH213" s="133">
        <v>1</v>
      </c>
      <c r="AI213" s="133">
        <v>1</v>
      </c>
      <c r="AJ213" s="133">
        <v>1</v>
      </c>
      <c r="AK213" s="133">
        <v>1</v>
      </c>
      <c r="AL213" s="133">
        <v>1</v>
      </c>
      <c r="AM213" s="133">
        <v>1</v>
      </c>
      <c r="AN213" s="133">
        <v>1</v>
      </c>
      <c r="AO213" s="133">
        <v>1</v>
      </c>
      <c r="AP213" s="133">
        <v>1</v>
      </c>
      <c r="AQ213" s="133">
        <v>1</v>
      </c>
      <c r="AR213" s="1"/>
      <c r="AS213" s="1"/>
      <c r="AT213" s="95"/>
      <c r="AU213" s="96"/>
      <c r="AV213" s="95"/>
      <c r="AW213" s="96"/>
      <c r="AX213" s="96"/>
      <c r="AY213" s="138"/>
      <c r="AZ213" s="138"/>
      <c r="BA213" s="1"/>
      <c r="BB213" s="1"/>
      <c r="BC213" s="1"/>
      <c r="BD213" s="1"/>
    </row>
    <row r="214" spans="1:56" x14ac:dyDescent="0.25">
      <c r="A214" s="288"/>
      <c r="B214" s="28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1"/>
      <c r="AS214" s="1"/>
      <c r="AT214" s="95"/>
      <c r="AU214" s="96"/>
      <c r="AV214" s="95"/>
      <c r="AW214" s="96"/>
      <c r="AX214" s="96"/>
      <c r="AY214" s="138"/>
      <c r="AZ214" s="138"/>
      <c r="BA214" s="1"/>
      <c r="BB214" s="1"/>
      <c r="BC214" s="1"/>
      <c r="BD214" s="1"/>
    </row>
    <row r="215" spans="1:56" x14ac:dyDescent="0.25">
      <c r="A215" s="137"/>
      <c r="B215" s="92" t="s">
        <v>465</v>
      </c>
      <c r="C215" s="49"/>
      <c r="D215" s="49"/>
      <c r="E215" s="49"/>
      <c r="F215" s="49"/>
      <c r="G215" s="49"/>
      <c r="H215" s="49"/>
      <c r="I215" s="49"/>
      <c r="J215" s="49">
        <v>0.3</v>
      </c>
      <c r="K215" s="49">
        <v>0.3</v>
      </c>
      <c r="L215" s="49">
        <v>0.2</v>
      </c>
      <c r="M215" s="49">
        <v>0.2</v>
      </c>
      <c r="N215" s="49">
        <v>0.2</v>
      </c>
      <c r="O215" s="49">
        <v>0.3</v>
      </c>
      <c r="P215" s="49">
        <v>0.4</v>
      </c>
      <c r="Q215" s="49">
        <v>0.4</v>
      </c>
      <c r="R215" s="49">
        <v>7.7</v>
      </c>
      <c r="S215" s="49">
        <v>0.1</v>
      </c>
      <c r="T215" s="49">
        <v>3.9</v>
      </c>
      <c r="U215" s="49">
        <v>4.9000000000000004</v>
      </c>
      <c r="V215" s="49">
        <v>5.6</v>
      </c>
      <c r="W215" s="49">
        <v>4.9000000000000004</v>
      </c>
      <c r="X215" s="49">
        <v>5.6</v>
      </c>
      <c r="Y215" s="49">
        <v>4.9000000000000004</v>
      </c>
      <c r="Z215" s="49">
        <v>5.6</v>
      </c>
      <c r="AA215" s="49">
        <v>4.9000000000000004</v>
      </c>
      <c r="AB215" s="49">
        <v>5.6</v>
      </c>
      <c r="AC215" s="49">
        <v>4.9000000000000004</v>
      </c>
      <c r="AD215" s="49">
        <v>5.6</v>
      </c>
      <c r="AE215" s="49">
        <v>4.9000000000000004</v>
      </c>
      <c r="AF215" s="49">
        <v>5.6</v>
      </c>
      <c r="AG215" s="49">
        <v>4.9000000000000004</v>
      </c>
      <c r="AH215" s="49">
        <v>5.6</v>
      </c>
      <c r="AI215" s="49">
        <v>4.9000000000000004</v>
      </c>
      <c r="AJ215" s="49">
        <v>5.6</v>
      </c>
      <c r="AK215" s="49">
        <v>4.9000000000000004</v>
      </c>
      <c r="AL215" s="49">
        <v>5.6</v>
      </c>
      <c r="AM215" s="49">
        <v>4.9000000000000004</v>
      </c>
      <c r="AN215" s="49">
        <v>5.6</v>
      </c>
      <c r="AO215" s="49">
        <v>4.9000000000000004</v>
      </c>
      <c r="AP215" s="49">
        <v>5.6</v>
      </c>
      <c r="AQ215" s="49">
        <v>4.9000000000000004</v>
      </c>
      <c r="AR215" s="1"/>
      <c r="AS215" s="1"/>
      <c r="AT215" s="95"/>
      <c r="AU215" s="96"/>
      <c r="AV215" s="95"/>
      <c r="AW215" s="96"/>
      <c r="AX215" s="96"/>
      <c r="AY215" s="138"/>
      <c r="AZ215" s="138"/>
      <c r="BA215" s="1"/>
      <c r="BB215" s="1"/>
      <c r="BC215" s="1"/>
      <c r="BD215" s="1"/>
    </row>
    <row r="216" spans="1:56" x14ac:dyDescent="0.25">
      <c r="A216" s="137"/>
      <c r="B216" s="239" t="s">
        <v>466</v>
      </c>
      <c r="C216" s="240"/>
      <c r="D216" s="241"/>
      <c r="E216" s="241"/>
      <c r="F216" s="241"/>
      <c r="G216" s="241"/>
      <c r="H216" s="241"/>
      <c r="I216" s="241"/>
      <c r="J216" s="241">
        <v>128.80000000000001</v>
      </c>
      <c r="K216" s="241">
        <v>156.80000000000001</v>
      </c>
      <c r="L216" s="241">
        <v>138.19999999999999</v>
      </c>
      <c r="M216" s="241">
        <v>160.5</v>
      </c>
      <c r="N216" s="241">
        <v>144.5</v>
      </c>
      <c r="O216" s="241">
        <v>167.3</v>
      </c>
      <c r="P216" s="241">
        <v>172.4</v>
      </c>
      <c r="Q216" s="241">
        <v>196.6</v>
      </c>
      <c r="R216" s="241">
        <v>208.7</v>
      </c>
      <c r="S216" s="241">
        <v>228.5</v>
      </c>
      <c r="T216" s="241">
        <v>244.7</v>
      </c>
      <c r="U216" s="241">
        <v>270.7</v>
      </c>
      <c r="V216" s="241">
        <v>291.3</v>
      </c>
      <c r="W216" s="241">
        <v>270.7</v>
      </c>
      <c r="X216" s="241">
        <v>327.7</v>
      </c>
      <c r="Y216" s="241">
        <v>362.9</v>
      </c>
      <c r="Z216" s="241">
        <v>386.5</v>
      </c>
      <c r="AA216" s="241">
        <v>430.2</v>
      </c>
      <c r="AB216" s="241">
        <v>465.2</v>
      </c>
      <c r="AC216" s="241">
        <v>520.9</v>
      </c>
      <c r="AD216" s="241">
        <v>573.29999999999995</v>
      </c>
      <c r="AE216" s="241">
        <v>648.5</v>
      </c>
      <c r="AF216" s="241">
        <v>730.8</v>
      </c>
      <c r="AG216" s="241">
        <v>845.7</v>
      </c>
      <c r="AH216" s="241">
        <v>957.8</v>
      </c>
      <c r="AI216" s="242">
        <v>1101.3</v>
      </c>
      <c r="AJ216" s="242">
        <v>1235.3</v>
      </c>
      <c r="AK216" s="242">
        <v>1401.6</v>
      </c>
      <c r="AL216" s="242">
        <v>1561.1</v>
      </c>
      <c r="AM216" s="242">
        <v>1753.8</v>
      </c>
      <c r="AN216" s="242">
        <v>1942.8</v>
      </c>
      <c r="AO216" s="242">
        <v>2166</v>
      </c>
      <c r="AP216" s="242">
        <v>2389.1999999999998</v>
      </c>
      <c r="AQ216" s="242">
        <v>2647.5</v>
      </c>
      <c r="AR216" s="1"/>
      <c r="AS216" s="1"/>
      <c r="AT216" s="95"/>
      <c r="AU216" s="96"/>
      <c r="AV216" s="95"/>
      <c r="AW216" s="96"/>
      <c r="AX216" s="96"/>
      <c r="AY216" s="138"/>
      <c r="AZ216" s="138"/>
      <c r="BA216" s="1"/>
      <c r="BB216" s="1"/>
      <c r="BC216" s="1"/>
      <c r="BD216" s="1"/>
    </row>
    <row r="217" spans="1:56" x14ac:dyDescent="0.25">
      <c r="A217" s="137"/>
      <c r="B217" s="107" t="s">
        <v>467</v>
      </c>
      <c r="C217" s="93" t="s">
        <v>168</v>
      </c>
      <c r="D217" s="49"/>
      <c r="E217" s="49"/>
      <c r="F217" s="49"/>
      <c r="G217" s="49"/>
      <c r="H217" s="49"/>
      <c r="I217" s="49"/>
      <c r="J217" s="49"/>
      <c r="K217" s="49"/>
      <c r="L217" s="126">
        <v>7.0000000000000007E-2</v>
      </c>
      <c r="M217" s="126">
        <v>0.02</v>
      </c>
      <c r="N217" s="126">
        <v>0.05</v>
      </c>
      <c r="O217" s="126">
        <v>0.04</v>
      </c>
      <c r="P217" s="126">
        <v>0.19</v>
      </c>
      <c r="Q217" s="126">
        <v>0.18</v>
      </c>
      <c r="R217" s="126">
        <v>0.21</v>
      </c>
      <c r="S217" s="126">
        <v>0.16</v>
      </c>
      <c r="T217" s="126">
        <v>0.17</v>
      </c>
      <c r="U217" s="126">
        <v>0.18</v>
      </c>
      <c r="V217" s="126">
        <v>0.19</v>
      </c>
      <c r="W217" s="126">
        <v>0.18</v>
      </c>
      <c r="X217" s="126">
        <v>0.12</v>
      </c>
      <c r="Y217" s="126">
        <v>0.16</v>
      </c>
      <c r="Z217" s="126">
        <v>0.18</v>
      </c>
      <c r="AA217" s="126">
        <v>0.19</v>
      </c>
      <c r="AB217" s="126">
        <v>0.2</v>
      </c>
      <c r="AC217" s="126">
        <v>0.21</v>
      </c>
      <c r="AD217" s="126">
        <v>0.23</v>
      </c>
      <c r="AE217" s="126">
        <v>0.25</v>
      </c>
      <c r="AF217" s="126">
        <v>0.27</v>
      </c>
      <c r="AG217" s="126">
        <v>0.3</v>
      </c>
      <c r="AH217" s="126">
        <v>0.31</v>
      </c>
      <c r="AI217" s="126">
        <v>0.3</v>
      </c>
      <c r="AJ217" s="126">
        <v>0.28999999999999998</v>
      </c>
      <c r="AK217" s="126">
        <v>0.27</v>
      </c>
      <c r="AL217" s="126">
        <v>0.26</v>
      </c>
      <c r="AM217" s="126">
        <v>0.25</v>
      </c>
      <c r="AN217" s="126">
        <v>0.24</v>
      </c>
      <c r="AO217" s="126">
        <v>0.24</v>
      </c>
      <c r="AP217" s="126">
        <v>0.23</v>
      </c>
      <c r="AQ217" s="126">
        <v>0.22</v>
      </c>
      <c r="AR217" s="1"/>
      <c r="AS217" s="1"/>
      <c r="AT217" s="134">
        <v>0.17</v>
      </c>
      <c r="AU217" s="135">
        <v>0.02</v>
      </c>
      <c r="AV217" s="134">
        <v>0.17</v>
      </c>
      <c r="AW217" s="135">
        <v>-0.01</v>
      </c>
      <c r="AX217" s="96"/>
      <c r="AY217" s="138"/>
      <c r="AZ217" s="138"/>
      <c r="BA217" s="1"/>
      <c r="BB217" s="1"/>
      <c r="BC217" s="1"/>
      <c r="BD217" s="1"/>
    </row>
    <row r="218" spans="1:56" x14ac:dyDescent="0.25">
      <c r="A218" s="137"/>
      <c r="B218" s="107" t="s">
        <v>468</v>
      </c>
      <c r="C218" s="49" t="s">
        <v>168</v>
      </c>
      <c r="D218" s="49"/>
      <c r="E218" s="49"/>
      <c r="F218" s="49"/>
      <c r="G218" s="49"/>
      <c r="H218" s="49"/>
      <c r="I218" s="49"/>
      <c r="J218" s="49"/>
      <c r="K218" s="49"/>
      <c r="L218" s="126">
        <v>0.08</v>
      </c>
      <c r="M218" s="126">
        <v>0.03</v>
      </c>
      <c r="N218" s="126">
        <v>0.06</v>
      </c>
      <c r="O218" s="126">
        <v>0.04</v>
      </c>
      <c r="P218" s="126">
        <v>0.21</v>
      </c>
      <c r="Q218" s="126">
        <v>0.19</v>
      </c>
      <c r="R218" s="126">
        <v>0.21</v>
      </c>
      <c r="S218" s="126">
        <v>0.2</v>
      </c>
      <c r="T218" s="126">
        <v>0.22</v>
      </c>
      <c r="U218" s="126">
        <v>0.17</v>
      </c>
      <c r="V218" s="126">
        <v>0.19</v>
      </c>
      <c r="W218" s="126">
        <v>0.17</v>
      </c>
      <c r="X218" s="126">
        <v>0.18</v>
      </c>
      <c r="Y218" s="126">
        <v>0.2</v>
      </c>
      <c r="Z218" s="126">
        <v>0.22</v>
      </c>
      <c r="AA218" s="126">
        <v>0.23</v>
      </c>
      <c r="AB218" s="126">
        <v>0.24</v>
      </c>
      <c r="AC218" s="126">
        <v>0.25</v>
      </c>
      <c r="AD218" s="126">
        <v>0.27</v>
      </c>
      <c r="AE218" s="126">
        <v>0.28000000000000003</v>
      </c>
      <c r="AF218" s="126">
        <v>0.31</v>
      </c>
      <c r="AG218" s="126">
        <v>0.34</v>
      </c>
      <c r="AH218" s="126">
        <v>0.33</v>
      </c>
      <c r="AI218" s="126">
        <v>0.3</v>
      </c>
      <c r="AJ218" s="126">
        <v>0.28999999999999998</v>
      </c>
      <c r="AK218" s="126">
        <v>0.27</v>
      </c>
      <c r="AL218" s="126">
        <v>0.26</v>
      </c>
      <c r="AM218" s="126">
        <v>0.25</v>
      </c>
      <c r="AN218" s="126">
        <v>0.25</v>
      </c>
      <c r="AO218" s="126">
        <v>0.24</v>
      </c>
      <c r="AP218" s="126">
        <v>0.23</v>
      </c>
      <c r="AQ218" s="126">
        <v>0.22</v>
      </c>
      <c r="AR218" s="1"/>
      <c r="AS218" s="1"/>
      <c r="AT218" s="134">
        <v>0.35</v>
      </c>
      <c r="AU218" s="135">
        <v>-0.16</v>
      </c>
      <c r="AV218" s="134">
        <v>0.35</v>
      </c>
      <c r="AW218" s="135">
        <v>-0.15</v>
      </c>
      <c r="AX218" s="96"/>
      <c r="AY218" s="138"/>
      <c r="AZ218" s="138"/>
      <c r="BA218" s="1"/>
      <c r="BB218" s="1"/>
      <c r="BC218" s="1"/>
      <c r="BD218" s="1"/>
    </row>
    <row r="219" spans="1:56" x14ac:dyDescent="0.25">
      <c r="A219" s="137"/>
      <c r="B219" s="107" t="s">
        <v>469</v>
      </c>
      <c r="C219" s="93" t="s">
        <v>168</v>
      </c>
      <c r="D219" s="49"/>
      <c r="E219" s="49"/>
      <c r="F219" s="49"/>
      <c r="G219" s="49"/>
      <c r="H219" s="49"/>
      <c r="I219" s="49"/>
      <c r="J219" s="49"/>
      <c r="K219" s="49"/>
      <c r="L219" s="126">
        <v>0.04</v>
      </c>
      <c r="M219" s="126">
        <v>0</v>
      </c>
      <c r="N219" s="126">
        <v>0</v>
      </c>
      <c r="O219" s="126">
        <v>0.06</v>
      </c>
      <c r="P219" s="126">
        <v>0.13</v>
      </c>
      <c r="Q219" s="126">
        <v>0.13</v>
      </c>
      <c r="R219" s="126">
        <v>-0.01</v>
      </c>
      <c r="S219" s="126">
        <v>0.02</v>
      </c>
      <c r="T219" s="126">
        <v>7.0000000000000007E-2</v>
      </c>
      <c r="U219" s="126">
        <v>0.12</v>
      </c>
      <c r="V219" s="126">
        <v>0.18</v>
      </c>
      <c r="W219" s="126">
        <v>0.12</v>
      </c>
      <c r="X219" s="126">
        <v>0.15</v>
      </c>
      <c r="Y219" s="126">
        <v>0.15</v>
      </c>
      <c r="Z219" s="126">
        <v>0.15</v>
      </c>
      <c r="AA219" s="126">
        <v>0.15</v>
      </c>
      <c r="AB219" s="126">
        <v>0.15</v>
      </c>
      <c r="AC219" s="126">
        <v>0.15</v>
      </c>
      <c r="AD219" s="126">
        <v>0.15</v>
      </c>
      <c r="AE219" s="126">
        <v>0.15</v>
      </c>
      <c r="AF219" s="126">
        <v>0.15</v>
      </c>
      <c r="AG219" s="126">
        <v>0.15</v>
      </c>
      <c r="AH219" s="126">
        <v>0.15</v>
      </c>
      <c r="AI219" s="126">
        <v>0.15</v>
      </c>
      <c r="AJ219" s="126">
        <v>0.15</v>
      </c>
      <c r="AK219" s="126">
        <v>0.15</v>
      </c>
      <c r="AL219" s="126">
        <v>0.15</v>
      </c>
      <c r="AM219" s="126">
        <v>0.15</v>
      </c>
      <c r="AN219" s="126">
        <v>0.15</v>
      </c>
      <c r="AO219" s="126">
        <v>0.15</v>
      </c>
      <c r="AP219" s="126">
        <v>0.15</v>
      </c>
      <c r="AQ219" s="126">
        <v>0.15</v>
      </c>
      <c r="AR219" s="1"/>
      <c r="AS219" s="1"/>
      <c r="AT219" s="134">
        <v>0.17</v>
      </c>
      <c r="AU219" s="135">
        <v>0.01</v>
      </c>
      <c r="AV219" s="134">
        <v>0.17</v>
      </c>
      <c r="AW219" s="135">
        <v>-0.02</v>
      </c>
      <c r="AX219" s="96"/>
      <c r="AY219" s="138"/>
      <c r="AZ219" s="138"/>
      <c r="BA219" s="1"/>
      <c r="BB219" s="1"/>
      <c r="BC219" s="1"/>
      <c r="BD219" s="1"/>
    </row>
    <row r="220" spans="1:56" x14ac:dyDescent="0.25">
      <c r="A220" s="288"/>
      <c r="B220" s="289"/>
      <c r="C220" s="93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1"/>
      <c r="AS220" s="1"/>
      <c r="AT220" s="95"/>
      <c r="AU220" s="96"/>
      <c r="AV220" s="95"/>
      <c r="AW220" s="96"/>
      <c r="AX220" s="96"/>
      <c r="AY220" s="138"/>
      <c r="AZ220" s="138"/>
      <c r="BA220" s="1"/>
      <c r="BB220" s="1"/>
      <c r="BC220" s="1"/>
      <c r="BD220" s="1"/>
    </row>
    <row r="221" spans="1:56" x14ac:dyDescent="0.25">
      <c r="A221" s="137"/>
      <c r="B221" s="90" t="s">
        <v>477</v>
      </c>
      <c r="C221" s="153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97"/>
      <c r="T221" s="159"/>
      <c r="U221" s="197"/>
      <c r="V221" s="159"/>
      <c r="W221" s="197"/>
      <c r="X221" s="159"/>
      <c r="Y221" s="159"/>
      <c r="Z221" s="159"/>
      <c r="AA221" s="159"/>
      <c r="AB221" s="159"/>
      <c r="AC221" s="159"/>
      <c r="AD221" s="159"/>
      <c r="AE221" s="159"/>
      <c r="AF221" s="159"/>
      <c r="AG221" s="159"/>
      <c r="AH221" s="159"/>
      <c r="AI221" s="159"/>
      <c r="AJ221" s="159"/>
      <c r="AK221" s="159"/>
      <c r="AL221" s="159"/>
      <c r="AM221" s="159"/>
      <c r="AN221" s="159"/>
      <c r="AO221" s="159"/>
      <c r="AP221" s="159"/>
      <c r="AQ221" s="159"/>
      <c r="AR221" s="159"/>
      <c r="AS221" s="1"/>
      <c r="AT221" s="88"/>
      <c r="AU221" s="89"/>
      <c r="AV221" s="88"/>
      <c r="AW221" s="89"/>
      <c r="AX221" s="89"/>
      <c r="AY221" s="138"/>
      <c r="AZ221" s="138"/>
      <c r="BA221" s="159"/>
      <c r="BB221" s="159"/>
      <c r="BC221" s="159"/>
      <c r="BD221" s="159"/>
    </row>
    <row r="222" spans="1:56" x14ac:dyDescent="0.25">
      <c r="A222" s="137"/>
      <c r="B222" s="92" t="s">
        <v>218</v>
      </c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>
        <v>-108.2</v>
      </c>
      <c r="Q222" s="49">
        <v>-109.8</v>
      </c>
      <c r="R222" s="49">
        <v>-130</v>
      </c>
      <c r="S222" s="49">
        <v>-128.4</v>
      </c>
      <c r="T222" s="49">
        <v>-157.6</v>
      </c>
      <c r="U222" s="49">
        <v>-136.5</v>
      </c>
      <c r="V222" s="49">
        <v>-174.5</v>
      </c>
      <c r="W222" s="49">
        <v>-136.5</v>
      </c>
      <c r="X222" s="49">
        <v>-200.4</v>
      </c>
      <c r="Y222" s="49">
        <v>-199.6</v>
      </c>
      <c r="Z222" s="49">
        <v>-229.8</v>
      </c>
      <c r="AA222" s="49">
        <v>-228</v>
      </c>
      <c r="AB222" s="49">
        <v>-262.89999999999998</v>
      </c>
      <c r="AC222" s="49">
        <v>-260.10000000000002</v>
      </c>
      <c r="AD222" s="49">
        <v>-300.2</v>
      </c>
      <c r="AE222" s="49">
        <v>-296.10000000000002</v>
      </c>
      <c r="AF222" s="49">
        <v>-342.3</v>
      </c>
      <c r="AG222" s="49">
        <v>-336.6</v>
      </c>
      <c r="AH222" s="49">
        <v>-389.6</v>
      </c>
      <c r="AI222" s="49">
        <v>-382</v>
      </c>
      <c r="AJ222" s="49">
        <v>-442.9</v>
      </c>
      <c r="AK222" s="49">
        <v>-433</v>
      </c>
      <c r="AL222" s="49">
        <v>-502.9</v>
      </c>
      <c r="AM222" s="49">
        <v>-490.1</v>
      </c>
      <c r="AN222" s="49">
        <v>-570.20000000000005</v>
      </c>
      <c r="AO222" s="49">
        <v>-554.1</v>
      </c>
      <c r="AP222" s="49">
        <v>-645.70000000000005</v>
      </c>
      <c r="AQ222" s="49">
        <v>-625.6</v>
      </c>
      <c r="AR222" s="1"/>
      <c r="AS222" s="1"/>
      <c r="AT222" s="200">
        <v>38.9</v>
      </c>
      <c r="AU222" s="201">
        <v>-213.4</v>
      </c>
      <c r="AV222" s="200">
        <v>46.8</v>
      </c>
      <c r="AW222" s="201">
        <v>-221.2</v>
      </c>
      <c r="AX222" s="96"/>
      <c r="AY222" s="138"/>
      <c r="AZ222" s="138"/>
      <c r="BA222" s="1"/>
      <c r="BB222" s="1"/>
      <c r="BC222" s="1"/>
      <c r="BD222" s="1"/>
    </row>
    <row r="223" spans="1:56" x14ac:dyDescent="0.25">
      <c r="A223" s="137"/>
      <c r="B223" s="92" t="s">
        <v>220</v>
      </c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>
        <v>-27.4</v>
      </c>
      <c r="Q223" s="49">
        <v>-28.4</v>
      </c>
      <c r="R223" s="49">
        <v>-28.7</v>
      </c>
      <c r="S223" s="49">
        <v>-30.6</v>
      </c>
      <c r="T223" s="49">
        <v>-30.2</v>
      </c>
      <c r="U223" s="49">
        <v>-43.6</v>
      </c>
      <c r="V223" s="49">
        <v>-36.700000000000003</v>
      </c>
      <c r="W223" s="49">
        <v>-43.6</v>
      </c>
      <c r="X223" s="49">
        <v>-34.200000000000003</v>
      </c>
      <c r="Y223" s="49">
        <v>-36.700000000000003</v>
      </c>
      <c r="Z223" s="49">
        <v>-31.5</v>
      </c>
      <c r="AA223" s="49">
        <v>-32.9</v>
      </c>
      <c r="AB223" s="49">
        <v>-27.2</v>
      </c>
      <c r="AC223" s="49">
        <v>-27.1</v>
      </c>
      <c r="AD223" s="49">
        <v>-21</v>
      </c>
      <c r="AE223" s="49">
        <v>-18.899999999999999</v>
      </c>
      <c r="AF223" s="49">
        <v>-12.2</v>
      </c>
      <c r="AG223" s="49">
        <v>-7.5</v>
      </c>
      <c r="AH223" s="49">
        <v>-7.3</v>
      </c>
      <c r="AI223" s="49">
        <v>-8.6999999999999993</v>
      </c>
      <c r="AJ223" s="49">
        <v>-8.3000000000000007</v>
      </c>
      <c r="AK223" s="49">
        <v>-10</v>
      </c>
      <c r="AL223" s="49">
        <v>-9.6</v>
      </c>
      <c r="AM223" s="49">
        <v>-11.5</v>
      </c>
      <c r="AN223" s="49">
        <v>-11</v>
      </c>
      <c r="AO223" s="49">
        <v>-13.2</v>
      </c>
      <c r="AP223" s="49">
        <v>-12.7</v>
      </c>
      <c r="AQ223" s="49">
        <v>-15.2</v>
      </c>
      <c r="AR223" s="1"/>
      <c r="AS223" s="1"/>
      <c r="AT223" s="200">
        <v>460.1</v>
      </c>
      <c r="AU223" s="201">
        <v>-496.9</v>
      </c>
      <c r="AV223" s="200">
        <v>507.8</v>
      </c>
      <c r="AW223" s="201">
        <v>-546.79999999999995</v>
      </c>
      <c r="AX223" s="96"/>
      <c r="AY223" s="138"/>
      <c r="AZ223" s="138"/>
      <c r="BA223" s="1"/>
      <c r="BB223" s="1"/>
      <c r="BC223" s="1"/>
      <c r="BD223" s="1"/>
    </row>
    <row r="224" spans="1:56" x14ac:dyDescent="0.25">
      <c r="A224" s="137"/>
      <c r="B224" s="92" t="s">
        <v>222</v>
      </c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>
        <v>5.9</v>
      </c>
      <c r="Q224" s="49">
        <v>11.4</v>
      </c>
      <c r="R224" s="49">
        <v>2.8</v>
      </c>
      <c r="S224" s="49">
        <v>7.6</v>
      </c>
      <c r="T224" s="49">
        <v>4.5</v>
      </c>
      <c r="U224" s="49">
        <v>0.8</v>
      </c>
      <c r="V224" s="49">
        <v>1.8</v>
      </c>
      <c r="W224" s="49">
        <v>0.8</v>
      </c>
      <c r="X224" s="49">
        <v>1.8</v>
      </c>
      <c r="Y224" s="49">
        <v>0.8</v>
      </c>
      <c r="Z224" s="49">
        <v>1.8</v>
      </c>
      <c r="AA224" s="49">
        <v>0.8</v>
      </c>
      <c r="AB224" s="49">
        <v>1.8</v>
      </c>
      <c r="AC224" s="49">
        <v>0.8</v>
      </c>
      <c r="AD224" s="49">
        <v>1.8</v>
      </c>
      <c r="AE224" s="49">
        <v>0.8</v>
      </c>
      <c r="AF224" s="49">
        <v>1.8</v>
      </c>
      <c r="AG224" s="49">
        <v>0.8</v>
      </c>
      <c r="AH224" s="49">
        <v>1.8</v>
      </c>
      <c r="AI224" s="49">
        <v>0.8</v>
      </c>
      <c r="AJ224" s="49">
        <v>1.8</v>
      </c>
      <c r="AK224" s="49">
        <v>0.8</v>
      </c>
      <c r="AL224" s="49">
        <v>1.8</v>
      </c>
      <c r="AM224" s="49">
        <v>0.8</v>
      </c>
      <c r="AN224" s="49">
        <v>1.8</v>
      </c>
      <c r="AO224" s="49">
        <v>0.8</v>
      </c>
      <c r="AP224" s="49">
        <v>1.8</v>
      </c>
      <c r="AQ224" s="49">
        <v>0.8</v>
      </c>
      <c r="AR224" s="1"/>
      <c r="AS224" s="1"/>
      <c r="AT224" s="95"/>
      <c r="AU224" s="96"/>
      <c r="AV224" s="95"/>
      <c r="AW224" s="96"/>
      <c r="AX224" s="96"/>
      <c r="AY224" s="138"/>
      <c r="AZ224" s="138"/>
      <c r="BA224" s="1"/>
      <c r="BB224" s="1"/>
      <c r="BC224" s="1"/>
      <c r="BD224" s="1"/>
    </row>
    <row r="225" spans="1:56" x14ac:dyDescent="0.25">
      <c r="A225" s="137"/>
      <c r="B225" s="239" t="s">
        <v>478</v>
      </c>
      <c r="C225" s="240"/>
      <c r="D225" s="241"/>
      <c r="E225" s="241"/>
      <c r="F225" s="241"/>
      <c r="G225" s="241"/>
      <c r="H225" s="241"/>
      <c r="I225" s="241"/>
      <c r="J225" s="241"/>
      <c r="K225" s="241"/>
      <c r="L225" s="241"/>
      <c r="M225" s="241"/>
      <c r="N225" s="241"/>
      <c r="O225" s="241"/>
      <c r="P225" s="241">
        <v>-129.80000000000001</v>
      </c>
      <c r="Q225" s="241">
        <v>-126.9</v>
      </c>
      <c r="R225" s="241">
        <v>-156</v>
      </c>
      <c r="S225" s="241">
        <v>-151.4</v>
      </c>
      <c r="T225" s="241">
        <v>-183.2</v>
      </c>
      <c r="U225" s="241">
        <v>-179.3</v>
      </c>
      <c r="V225" s="241">
        <v>-209.4</v>
      </c>
      <c r="W225" s="241">
        <v>-179.3</v>
      </c>
      <c r="X225" s="241">
        <v>-232.8</v>
      </c>
      <c r="Y225" s="241">
        <v>-235.5</v>
      </c>
      <c r="Z225" s="241">
        <v>-259.39999999999998</v>
      </c>
      <c r="AA225" s="241">
        <v>-260.2</v>
      </c>
      <c r="AB225" s="241">
        <v>-288.2</v>
      </c>
      <c r="AC225" s="241">
        <v>-286.39999999999998</v>
      </c>
      <c r="AD225" s="241">
        <v>-319.3</v>
      </c>
      <c r="AE225" s="241">
        <v>-314.2</v>
      </c>
      <c r="AF225" s="241">
        <v>-352.7</v>
      </c>
      <c r="AG225" s="241">
        <v>-343.3</v>
      </c>
      <c r="AH225" s="241">
        <v>-395.1</v>
      </c>
      <c r="AI225" s="241">
        <v>-389.9</v>
      </c>
      <c r="AJ225" s="241">
        <v>-449.4</v>
      </c>
      <c r="AK225" s="241">
        <v>-442.2</v>
      </c>
      <c r="AL225" s="241">
        <v>-510.6</v>
      </c>
      <c r="AM225" s="241">
        <v>-500.8</v>
      </c>
      <c r="AN225" s="241">
        <v>-579.4</v>
      </c>
      <c r="AO225" s="241">
        <v>-566.4</v>
      </c>
      <c r="AP225" s="241">
        <v>-656.6</v>
      </c>
      <c r="AQ225" s="241">
        <v>-639.9</v>
      </c>
      <c r="AR225" s="1"/>
      <c r="AS225" s="1"/>
      <c r="AT225" s="95"/>
      <c r="AU225" s="96"/>
      <c r="AV225" s="95"/>
      <c r="AW225" s="96"/>
      <c r="AX225" s="96"/>
      <c r="AY225" s="138"/>
      <c r="AZ225" s="138"/>
      <c r="BA225" s="1"/>
      <c r="BB225" s="1"/>
      <c r="BC225" s="1"/>
      <c r="BD225" s="1"/>
    </row>
    <row r="226" spans="1:56" x14ac:dyDescent="0.25">
      <c r="A226" s="288"/>
      <c r="B226" s="288"/>
      <c r="C226" s="72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1"/>
      <c r="AS226" s="1"/>
      <c r="AT226" s="95"/>
      <c r="AU226" s="96"/>
      <c r="AV226" s="95"/>
      <c r="AW226" s="96"/>
      <c r="AX226" s="96"/>
      <c r="AY226" s="138"/>
      <c r="AZ226" s="138"/>
      <c r="BA226" s="1"/>
      <c r="BB226" s="1"/>
      <c r="BC226" s="1"/>
      <c r="BD226" s="1"/>
    </row>
    <row r="227" spans="1:56" x14ac:dyDescent="0.25">
      <c r="A227" s="137"/>
      <c r="B227" s="92" t="s">
        <v>493</v>
      </c>
      <c r="C227" s="72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248"/>
      <c r="W227" s="67"/>
      <c r="X227" s="142">
        <v>6.8</v>
      </c>
      <c r="Y227" s="142">
        <v>12.2</v>
      </c>
      <c r="Z227" s="142">
        <v>15.6</v>
      </c>
      <c r="AA227" s="142">
        <v>23.3</v>
      </c>
      <c r="AB227" s="142">
        <v>26.9</v>
      </c>
      <c r="AC227" s="142">
        <v>37.5</v>
      </c>
      <c r="AD227" s="142">
        <v>41.3</v>
      </c>
      <c r="AE227" s="142">
        <v>55.5</v>
      </c>
      <c r="AF227" s="142">
        <v>59.4</v>
      </c>
      <c r="AG227" s="142">
        <v>78</v>
      </c>
      <c r="AH227" s="142">
        <v>75.099999999999994</v>
      </c>
      <c r="AI227" s="142">
        <v>89.7</v>
      </c>
      <c r="AJ227" s="142">
        <v>86.4</v>
      </c>
      <c r="AK227" s="142">
        <v>103.2</v>
      </c>
      <c r="AL227" s="142">
        <v>99.3</v>
      </c>
      <c r="AM227" s="142">
        <v>118.7</v>
      </c>
      <c r="AN227" s="142">
        <v>114.2</v>
      </c>
      <c r="AO227" s="142">
        <v>136.5</v>
      </c>
      <c r="AP227" s="142">
        <v>131.30000000000001</v>
      </c>
      <c r="AQ227" s="142">
        <v>156.9</v>
      </c>
      <c r="AR227" s="1"/>
      <c r="AS227" s="1"/>
      <c r="AT227" s="95"/>
      <c r="AU227" s="96"/>
      <c r="AV227" s="95"/>
      <c r="AW227" s="96"/>
      <c r="AX227" s="96"/>
      <c r="AY227" s="138"/>
      <c r="AZ227" s="138"/>
      <c r="BA227" s="1"/>
      <c r="BB227" s="1"/>
      <c r="BC227" s="1"/>
      <c r="BD227" s="1"/>
    </row>
    <row r="228" spans="1:56" x14ac:dyDescent="0.25">
      <c r="A228" s="288"/>
      <c r="B228" s="289"/>
      <c r="C228" s="93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1"/>
      <c r="AS228" s="1"/>
      <c r="AT228" s="95"/>
      <c r="AU228" s="96"/>
      <c r="AV228" s="95"/>
      <c r="AW228" s="96"/>
      <c r="AX228" s="96"/>
      <c r="AY228" s="138"/>
      <c r="AZ228" s="138"/>
      <c r="BA228" s="1"/>
      <c r="BB228" s="1"/>
      <c r="BC228" s="1"/>
      <c r="BD228" s="1"/>
    </row>
    <row r="229" spans="1:56" x14ac:dyDescent="0.25">
      <c r="A229" s="137"/>
      <c r="B229" s="90" t="s">
        <v>46</v>
      </c>
      <c r="C229" s="153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97"/>
      <c r="T229" s="159"/>
      <c r="U229" s="197"/>
      <c r="V229" s="159"/>
      <c r="W229" s="197"/>
      <c r="X229" s="159"/>
      <c r="Y229" s="159"/>
      <c r="Z229" s="159"/>
      <c r="AA229" s="159"/>
      <c r="AB229" s="159"/>
      <c r="AC229" s="159"/>
      <c r="AD229" s="159"/>
      <c r="AE229" s="159"/>
      <c r="AF229" s="159"/>
      <c r="AG229" s="159"/>
      <c r="AH229" s="159"/>
      <c r="AI229" s="159"/>
      <c r="AJ229" s="159"/>
      <c r="AK229" s="159"/>
      <c r="AL229" s="159"/>
      <c r="AM229" s="159"/>
      <c r="AN229" s="159"/>
      <c r="AO229" s="159"/>
      <c r="AP229" s="159"/>
      <c r="AQ229" s="159"/>
      <c r="AR229" s="159"/>
      <c r="AS229" s="1"/>
      <c r="AT229" s="88"/>
      <c r="AU229" s="89"/>
      <c r="AV229" s="88"/>
      <c r="AW229" s="89"/>
      <c r="AX229" s="89"/>
      <c r="AY229" s="138"/>
      <c r="AZ229" s="138"/>
      <c r="BA229" s="159"/>
      <c r="BB229" s="159"/>
      <c r="BC229" s="159"/>
      <c r="BD229" s="159"/>
    </row>
    <row r="230" spans="1:56" x14ac:dyDescent="0.25">
      <c r="A230" s="137"/>
      <c r="B230" s="92" t="s">
        <v>218</v>
      </c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>
        <v>29.6</v>
      </c>
      <c r="Q230" s="49">
        <v>47.9</v>
      </c>
      <c r="R230" s="49">
        <v>37.200000000000003</v>
      </c>
      <c r="S230" s="49">
        <v>60.5</v>
      </c>
      <c r="T230" s="49">
        <v>47</v>
      </c>
      <c r="U230" s="49">
        <v>85</v>
      </c>
      <c r="V230" s="49">
        <v>68.599999999999994</v>
      </c>
      <c r="W230" s="49">
        <v>85</v>
      </c>
      <c r="X230" s="49">
        <v>85.6</v>
      </c>
      <c r="Y230" s="49">
        <v>120.1</v>
      </c>
      <c r="Z230" s="49">
        <v>118.9</v>
      </c>
      <c r="AA230" s="49">
        <v>164.1</v>
      </c>
      <c r="AB230" s="49">
        <v>170.2</v>
      </c>
      <c r="AC230" s="49">
        <v>230.6</v>
      </c>
      <c r="AD230" s="49">
        <v>249.2</v>
      </c>
      <c r="AE230" s="49">
        <v>332.9</v>
      </c>
      <c r="AF230" s="49">
        <v>376</v>
      </c>
      <c r="AG230" s="49">
        <v>504.2</v>
      </c>
      <c r="AH230" s="49">
        <v>562.6</v>
      </c>
      <c r="AI230" s="49">
        <v>714.3</v>
      </c>
      <c r="AJ230" s="49">
        <v>786.8</v>
      </c>
      <c r="AK230" s="49">
        <v>963.7</v>
      </c>
      <c r="AL230" s="94">
        <v>1052.5999999999999</v>
      </c>
      <c r="AM230" s="94">
        <v>1258.8</v>
      </c>
      <c r="AN230" s="94">
        <v>1367.1</v>
      </c>
      <c r="AO230" s="94">
        <v>1607</v>
      </c>
      <c r="AP230" s="94">
        <v>1737.9</v>
      </c>
      <c r="AQ230" s="94">
        <v>2017</v>
      </c>
      <c r="AR230" s="1"/>
      <c r="AS230" s="1"/>
      <c r="AT230" s="200">
        <v>38.9</v>
      </c>
      <c r="AU230" s="201">
        <v>29.7</v>
      </c>
      <c r="AV230" s="200">
        <v>46.8</v>
      </c>
      <c r="AW230" s="201">
        <v>44.4</v>
      </c>
      <c r="AX230" s="96"/>
      <c r="AY230" s="138"/>
      <c r="AZ230" s="138"/>
      <c r="BA230" s="1"/>
      <c r="BB230" s="1"/>
      <c r="BC230" s="1"/>
      <c r="BD230" s="1"/>
    </row>
    <row r="231" spans="1:56" x14ac:dyDescent="0.25">
      <c r="A231" s="137"/>
      <c r="B231" s="92" t="s">
        <v>220</v>
      </c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>
        <v>6.7</v>
      </c>
      <c r="Q231" s="49">
        <v>10.1</v>
      </c>
      <c r="R231" s="49">
        <v>5</v>
      </c>
      <c r="S231" s="49">
        <v>8.8000000000000007</v>
      </c>
      <c r="T231" s="49">
        <v>6.1</v>
      </c>
      <c r="U231" s="49">
        <v>0.6</v>
      </c>
      <c r="V231" s="49">
        <v>5.9</v>
      </c>
      <c r="W231" s="49">
        <v>0.6</v>
      </c>
      <c r="X231" s="49">
        <v>1.9</v>
      </c>
      <c r="Y231" s="49">
        <v>1.6</v>
      </c>
      <c r="Z231" s="49">
        <v>0.8</v>
      </c>
      <c r="AA231" s="49">
        <v>0.1</v>
      </c>
      <c r="AB231" s="49">
        <v>-0.7</v>
      </c>
      <c r="AC231" s="49">
        <v>-1.8</v>
      </c>
      <c r="AD231" s="49">
        <v>-2.7</v>
      </c>
      <c r="AE231" s="49">
        <v>-4.3</v>
      </c>
      <c r="AF231" s="49">
        <v>-5.2</v>
      </c>
      <c r="AG231" s="49">
        <v>-7.5</v>
      </c>
      <c r="AH231" s="49">
        <v>-7.3</v>
      </c>
      <c r="AI231" s="49">
        <v>-8.6999999999999993</v>
      </c>
      <c r="AJ231" s="49">
        <v>-8.3000000000000007</v>
      </c>
      <c r="AK231" s="49">
        <v>-10</v>
      </c>
      <c r="AL231" s="49">
        <v>-9.6</v>
      </c>
      <c r="AM231" s="49">
        <v>-11.5</v>
      </c>
      <c r="AN231" s="49">
        <v>-11</v>
      </c>
      <c r="AO231" s="49">
        <v>-13.2</v>
      </c>
      <c r="AP231" s="49">
        <v>-12.7</v>
      </c>
      <c r="AQ231" s="49">
        <v>-15.2</v>
      </c>
      <c r="AR231" s="1"/>
      <c r="AS231" s="1"/>
      <c r="AT231" s="200">
        <v>460.1</v>
      </c>
      <c r="AU231" s="201">
        <v>-454.3</v>
      </c>
      <c r="AV231" s="200">
        <v>507.8</v>
      </c>
      <c r="AW231" s="201">
        <v>-505.2</v>
      </c>
      <c r="AX231" s="96"/>
      <c r="AY231" s="138"/>
      <c r="AZ231" s="138"/>
      <c r="BA231" s="1"/>
      <c r="BB231" s="1"/>
      <c r="BC231" s="1"/>
      <c r="BD231" s="1"/>
    </row>
    <row r="232" spans="1:56" x14ac:dyDescent="0.25">
      <c r="A232" s="137"/>
      <c r="B232" s="92" t="s">
        <v>222</v>
      </c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>
        <v>6.2</v>
      </c>
      <c r="Q232" s="49">
        <v>11.8</v>
      </c>
      <c r="R232" s="49">
        <v>10.5</v>
      </c>
      <c r="S232" s="49">
        <v>7.7</v>
      </c>
      <c r="T232" s="49">
        <v>8.5</v>
      </c>
      <c r="U232" s="49">
        <v>5.7</v>
      </c>
      <c r="V232" s="49">
        <v>7.4</v>
      </c>
      <c r="W232" s="49">
        <v>5.7</v>
      </c>
      <c r="X232" s="49">
        <v>7.4</v>
      </c>
      <c r="Y232" s="49">
        <v>5.7</v>
      </c>
      <c r="Z232" s="49">
        <v>7.4</v>
      </c>
      <c r="AA232" s="49">
        <v>5.7</v>
      </c>
      <c r="AB232" s="49">
        <v>7.4</v>
      </c>
      <c r="AC232" s="49">
        <v>5.7</v>
      </c>
      <c r="AD232" s="49">
        <v>7.4</v>
      </c>
      <c r="AE232" s="49">
        <v>5.7</v>
      </c>
      <c r="AF232" s="49">
        <v>7.4</v>
      </c>
      <c r="AG232" s="49">
        <v>5.7</v>
      </c>
      <c r="AH232" s="49">
        <v>7.4</v>
      </c>
      <c r="AI232" s="49">
        <v>5.7</v>
      </c>
      <c r="AJ232" s="49">
        <v>7.4</v>
      </c>
      <c r="AK232" s="49">
        <v>5.7</v>
      </c>
      <c r="AL232" s="49">
        <v>7.4</v>
      </c>
      <c r="AM232" s="49">
        <v>5.7</v>
      </c>
      <c r="AN232" s="49">
        <v>7.4</v>
      </c>
      <c r="AO232" s="49">
        <v>5.7</v>
      </c>
      <c r="AP232" s="49">
        <v>7.4</v>
      </c>
      <c r="AQ232" s="49">
        <v>5.7</v>
      </c>
      <c r="AR232" s="1"/>
      <c r="AS232" s="1"/>
      <c r="AT232" s="95"/>
      <c r="AU232" s="96"/>
      <c r="AV232" s="95"/>
      <c r="AW232" s="96"/>
      <c r="AX232" s="96"/>
      <c r="AY232" s="138"/>
      <c r="AZ232" s="138"/>
      <c r="BA232" s="1"/>
      <c r="BB232" s="1"/>
      <c r="BC232" s="1"/>
      <c r="BD232" s="1"/>
    </row>
    <row r="233" spans="1:56" x14ac:dyDescent="0.25">
      <c r="A233" s="137"/>
      <c r="B233" s="239" t="s">
        <v>470</v>
      </c>
      <c r="C233" s="240"/>
      <c r="D233" s="241"/>
      <c r="E233" s="241"/>
      <c r="F233" s="241"/>
      <c r="G233" s="241"/>
      <c r="H233" s="241"/>
      <c r="I233" s="241"/>
      <c r="J233" s="241"/>
      <c r="K233" s="241"/>
      <c r="L233" s="241"/>
      <c r="M233" s="241"/>
      <c r="N233" s="241"/>
      <c r="O233" s="241"/>
      <c r="P233" s="241">
        <v>42.6</v>
      </c>
      <c r="Q233" s="241">
        <v>69.8</v>
      </c>
      <c r="R233" s="241">
        <v>52.7</v>
      </c>
      <c r="S233" s="241">
        <v>77.099999999999994</v>
      </c>
      <c r="T233" s="241">
        <v>61.5</v>
      </c>
      <c r="U233" s="241">
        <v>91.3</v>
      </c>
      <c r="V233" s="241">
        <v>81.900000000000006</v>
      </c>
      <c r="W233" s="241">
        <v>91.3</v>
      </c>
      <c r="X233" s="241">
        <v>94.9</v>
      </c>
      <c r="Y233" s="241">
        <v>127.4</v>
      </c>
      <c r="Z233" s="241">
        <v>127.1</v>
      </c>
      <c r="AA233" s="241">
        <v>170</v>
      </c>
      <c r="AB233" s="241">
        <v>176.9</v>
      </c>
      <c r="AC233" s="241">
        <v>234.5</v>
      </c>
      <c r="AD233" s="241">
        <v>253.9</v>
      </c>
      <c r="AE233" s="241">
        <v>334.4</v>
      </c>
      <c r="AF233" s="241">
        <v>378.2</v>
      </c>
      <c r="AG233" s="241">
        <v>502.4</v>
      </c>
      <c r="AH233" s="241">
        <v>562.79999999999995</v>
      </c>
      <c r="AI233" s="241">
        <v>711.4</v>
      </c>
      <c r="AJ233" s="241">
        <v>785.8</v>
      </c>
      <c r="AK233" s="241">
        <v>959.5</v>
      </c>
      <c r="AL233" s="242">
        <v>1050.5</v>
      </c>
      <c r="AM233" s="242">
        <v>1253.0999999999999</v>
      </c>
      <c r="AN233" s="242">
        <v>1363.5</v>
      </c>
      <c r="AO233" s="242">
        <v>1599.6</v>
      </c>
      <c r="AP233" s="242">
        <v>1732.7</v>
      </c>
      <c r="AQ233" s="242">
        <v>2007.6</v>
      </c>
      <c r="AR233" s="1"/>
      <c r="AS233" s="1"/>
      <c r="AT233" s="95"/>
      <c r="AU233" s="96"/>
      <c r="AV233" s="95"/>
      <c r="AW233" s="96"/>
      <c r="AX233" s="96"/>
      <c r="AY233" s="138"/>
      <c r="AZ233" s="138"/>
      <c r="BA233" s="1"/>
      <c r="BB233" s="1"/>
      <c r="BC233" s="1"/>
      <c r="BD233" s="1"/>
    </row>
    <row r="234" spans="1:56" x14ac:dyDescent="0.25">
      <c r="A234" s="137"/>
      <c r="B234" s="107" t="s">
        <v>467</v>
      </c>
      <c r="C234" s="93" t="s">
        <v>168</v>
      </c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 t="e">
        <v>#DIV/0!</v>
      </c>
      <c r="Q234" s="49" t="e">
        <v>#DIV/0!</v>
      </c>
      <c r="R234" s="126">
        <v>0.24</v>
      </c>
      <c r="S234" s="126">
        <v>0.11</v>
      </c>
      <c r="T234" s="126">
        <v>0.17</v>
      </c>
      <c r="U234" s="126">
        <v>0.18</v>
      </c>
      <c r="V234" s="126">
        <v>0.33</v>
      </c>
      <c r="W234" s="126">
        <v>0.18</v>
      </c>
      <c r="X234" s="126">
        <v>0.16</v>
      </c>
      <c r="Y234" s="126">
        <v>0.28000000000000003</v>
      </c>
      <c r="Z234" s="126">
        <v>0.34</v>
      </c>
      <c r="AA234" s="126">
        <v>0.33</v>
      </c>
      <c r="AB234" s="126">
        <v>0.39</v>
      </c>
      <c r="AC234" s="126">
        <v>0.38</v>
      </c>
      <c r="AD234" s="126">
        <v>0.44</v>
      </c>
      <c r="AE234" s="126">
        <v>0.43</v>
      </c>
      <c r="AF234" s="126">
        <v>0.49</v>
      </c>
      <c r="AG234" s="126">
        <v>0.5</v>
      </c>
      <c r="AH234" s="126">
        <v>0.49</v>
      </c>
      <c r="AI234" s="126">
        <v>0.42</v>
      </c>
      <c r="AJ234" s="126">
        <v>0.4</v>
      </c>
      <c r="AK234" s="126">
        <v>0.35</v>
      </c>
      <c r="AL234" s="126">
        <v>0.34</v>
      </c>
      <c r="AM234" s="126">
        <v>0.31</v>
      </c>
      <c r="AN234" s="126">
        <v>0.3</v>
      </c>
      <c r="AO234" s="126">
        <v>0.28000000000000003</v>
      </c>
      <c r="AP234" s="126">
        <v>0.27</v>
      </c>
      <c r="AQ234" s="126">
        <v>0.26</v>
      </c>
      <c r="AR234" s="1"/>
      <c r="AS234" s="1"/>
      <c r="AT234" s="134">
        <v>0.17</v>
      </c>
      <c r="AU234" s="135">
        <v>0.17</v>
      </c>
      <c r="AV234" s="134">
        <v>0.17</v>
      </c>
      <c r="AW234" s="135">
        <v>-0.08</v>
      </c>
      <c r="AX234" s="96"/>
      <c r="AY234" s="138"/>
      <c r="AZ234" s="138"/>
      <c r="BA234" s="1"/>
      <c r="BB234" s="1"/>
      <c r="BC234" s="1"/>
      <c r="BD234" s="1"/>
    </row>
    <row r="235" spans="1:56" x14ac:dyDescent="0.25">
      <c r="A235" s="137"/>
      <c r="B235" s="107" t="s">
        <v>479</v>
      </c>
      <c r="C235" s="93" t="s">
        <v>168</v>
      </c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126">
        <v>0.25</v>
      </c>
      <c r="Q235" s="126">
        <v>0.35</v>
      </c>
      <c r="R235" s="126">
        <v>0.25</v>
      </c>
      <c r="S235" s="126">
        <v>0.34</v>
      </c>
      <c r="T235" s="126">
        <v>0.25</v>
      </c>
      <c r="U235" s="126">
        <v>0.34</v>
      </c>
      <c r="V235" s="126">
        <v>0.28000000000000003</v>
      </c>
      <c r="W235" s="126">
        <v>0.34</v>
      </c>
      <c r="X235" s="126">
        <v>0.28999999999999998</v>
      </c>
      <c r="Y235" s="126">
        <v>0.35</v>
      </c>
      <c r="Z235" s="126">
        <v>0.33</v>
      </c>
      <c r="AA235" s="126">
        <v>0.4</v>
      </c>
      <c r="AB235" s="126">
        <v>0.38</v>
      </c>
      <c r="AC235" s="126">
        <v>0.45</v>
      </c>
      <c r="AD235" s="126">
        <v>0.44</v>
      </c>
      <c r="AE235" s="126">
        <v>0.52</v>
      </c>
      <c r="AF235" s="126">
        <v>0.52</v>
      </c>
      <c r="AG235" s="126">
        <v>0.59</v>
      </c>
      <c r="AH235" s="126">
        <v>0.59</v>
      </c>
      <c r="AI235" s="126">
        <v>0.65</v>
      </c>
      <c r="AJ235" s="126">
        <v>0.64</v>
      </c>
      <c r="AK235" s="126">
        <v>0.68</v>
      </c>
      <c r="AL235" s="126">
        <v>0.67</v>
      </c>
      <c r="AM235" s="126">
        <v>0.71</v>
      </c>
      <c r="AN235" s="126">
        <v>0.7</v>
      </c>
      <c r="AO235" s="126">
        <v>0.74</v>
      </c>
      <c r="AP235" s="126">
        <v>0.73</v>
      </c>
      <c r="AQ235" s="126">
        <v>0.76</v>
      </c>
      <c r="AR235" s="1"/>
      <c r="AS235" s="1"/>
      <c r="AT235" s="134">
        <v>0.17</v>
      </c>
      <c r="AU235" s="135">
        <v>0.12</v>
      </c>
      <c r="AV235" s="134">
        <v>0.17</v>
      </c>
      <c r="AW235" s="135">
        <v>0.15</v>
      </c>
      <c r="AX235" s="96"/>
      <c r="AY235" s="138"/>
      <c r="AZ235" s="138"/>
      <c r="BA235" s="1"/>
      <c r="BB235" s="1"/>
      <c r="BC235" s="1"/>
      <c r="BD235" s="1"/>
    </row>
    <row r="236" spans="1:56" x14ac:dyDescent="0.25">
      <c r="A236" s="137"/>
      <c r="B236" s="107" t="s">
        <v>471</v>
      </c>
      <c r="C236" s="93" t="s">
        <v>168</v>
      </c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126">
        <v>0.21</v>
      </c>
      <c r="Q236" s="126">
        <v>0.3</v>
      </c>
      <c r="R236" s="126">
        <v>0.22</v>
      </c>
      <c r="S236" s="126">
        <v>0.32</v>
      </c>
      <c r="T236" s="126">
        <v>0.23</v>
      </c>
      <c r="U236" s="126">
        <v>0.38</v>
      </c>
      <c r="V236" s="126">
        <v>0.28000000000000003</v>
      </c>
      <c r="W236" s="126">
        <v>0.38</v>
      </c>
      <c r="X236" s="126">
        <v>0.3</v>
      </c>
      <c r="Y236" s="126">
        <v>0.38</v>
      </c>
      <c r="Z236" s="126">
        <v>0.34</v>
      </c>
      <c r="AA236" s="126">
        <v>0.42</v>
      </c>
      <c r="AB236" s="126">
        <v>0.39</v>
      </c>
      <c r="AC236" s="126">
        <v>0.47</v>
      </c>
      <c r="AD236" s="126">
        <v>0.45</v>
      </c>
      <c r="AE236" s="126">
        <v>0.53</v>
      </c>
      <c r="AF236" s="126">
        <v>0.52</v>
      </c>
      <c r="AG236" s="126">
        <v>0.6</v>
      </c>
      <c r="AH236" s="126">
        <v>0.59</v>
      </c>
      <c r="AI236" s="126">
        <v>0.65</v>
      </c>
      <c r="AJ236" s="126">
        <v>0.64</v>
      </c>
      <c r="AK236" s="126">
        <v>0.69</v>
      </c>
      <c r="AL236" s="126">
        <v>0.68</v>
      </c>
      <c r="AM236" s="126">
        <v>0.72</v>
      </c>
      <c r="AN236" s="126">
        <v>0.71</v>
      </c>
      <c r="AO236" s="126">
        <v>0.74</v>
      </c>
      <c r="AP236" s="126">
        <v>0.73</v>
      </c>
      <c r="AQ236" s="126">
        <v>0.76</v>
      </c>
      <c r="AR236" s="1"/>
      <c r="AS236" s="1"/>
      <c r="AT236" s="134">
        <v>0.17</v>
      </c>
      <c r="AU236" s="135">
        <v>0.12</v>
      </c>
      <c r="AV236" s="134">
        <v>0.17</v>
      </c>
      <c r="AW236" s="135">
        <v>0.18</v>
      </c>
      <c r="AX236" s="96"/>
      <c r="AY236" s="138"/>
      <c r="AZ236" s="138"/>
      <c r="BA236" s="1"/>
      <c r="BB236" s="1"/>
      <c r="BC236" s="1"/>
      <c r="BD236" s="1"/>
    </row>
    <row r="237" spans="1:56" x14ac:dyDescent="0.25">
      <c r="A237" s="137"/>
      <c r="B237" s="107" t="s">
        <v>472</v>
      </c>
      <c r="C237" s="49" t="s">
        <v>168</v>
      </c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126">
        <v>0.2</v>
      </c>
      <c r="Q237" s="126">
        <v>0.26</v>
      </c>
      <c r="R237" s="126">
        <v>0.15</v>
      </c>
      <c r="S237" s="126">
        <v>0.22</v>
      </c>
      <c r="T237" s="126">
        <v>0.17</v>
      </c>
      <c r="U237" s="126">
        <v>0.01</v>
      </c>
      <c r="V237" s="126">
        <v>0.14000000000000001</v>
      </c>
      <c r="W237" s="126">
        <v>0.01</v>
      </c>
      <c r="X237" s="126">
        <v>0.05</v>
      </c>
      <c r="Y237" s="126">
        <v>0.04</v>
      </c>
      <c r="Z237" s="126">
        <v>0.02</v>
      </c>
      <c r="AA237" s="126">
        <v>0</v>
      </c>
      <c r="AB237" s="126">
        <v>-0.03</v>
      </c>
      <c r="AC237" s="126">
        <v>-7.0000000000000007E-2</v>
      </c>
      <c r="AD237" s="126">
        <v>-0.15</v>
      </c>
      <c r="AE237" s="126">
        <v>-0.3</v>
      </c>
      <c r="AF237" s="126">
        <v>-0.75</v>
      </c>
      <c r="AG237" s="49" t="e">
        <v>#DIV/0!</v>
      </c>
      <c r="AH237" s="49" t="e">
        <v>#DIV/0!</v>
      </c>
      <c r="AI237" s="49" t="e">
        <v>#DIV/0!</v>
      </c>
      <c r="AJ237" s="49" t="e">
        <v>#DIV/0!</v>
      </c>
      <c r="AK237" s="49" t="e">
        <v>#DIV/0!</v>
      </c>
      <c r="AL237" s="49" t="e">
        <v>#DIV/0!</v>
      </c>
      <c r="AM237" s="49" t="e">
        <v>#DIV/0!</v>
      </c>
      <c r="AN237" s="49" t="e">
        <v>#DIV/0!</v>
      </c>
      <c r="AO237" s="49" t="e">
        <v>#DIV/0!</v>
      </c>
      <c r="AP237" s="49" t="e">
        <v>#DIV/0!</v>
      </c>
      <c r="AQ237" s="49" t="e">
        <v>#DIV/0!</v>
      </c>
      <c r="AR237" s="1"/>
      <c r="AS237" s="1"/>
      <c r="AT237" s="134">
        <v>0.35</v>
      </c>
      <c r="AU237" s="135">
        <v>-0.21</v>
      </c>
      <c r="AV237" s="134">
        <v>0.35</v>
      </c>
      <c r="AW237" s="135">
        <v>-0.28999999999999998</v>
      </c>
      <c r="AX237" s="96"/>
      <c r="AY237" s="138"/>
      <c r="AZ237" s="138"/>
      <c r="BA237" s="1"/>
      <c r="BB237" s="1"/>
      <c r="BC237" s="1"/>
      <c r="BD237" s="1"/>
    </row>
    <row r="238" spans="1:56" x14ac:dyDescent="0.25">
      <c r="A238" s="288"/>
      <c r="B238" s="288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97"/>
      <c r="T238" s="159"/>
      <c r="U238" s="197"/>
      <c r="V238" s="159"/>
      <c r="W238" s="197"/>
      <c r="X238" s="159"/>
      <c r="Y238" s="159"/>
      <c r="Z238" s="159"/>
      <c r="AA238" s="159"/>
      <c r="AB238" s="159"/>
      <c r="AC238" s="159"/>
      <c r="AD238" s="159"/>
      <c r="AE238" s="159"/>
      <c r="AF238" s="159"/>
      <c r="AG238" s="159"/>
      <c r="AH238" s="159"/>
      <c r="AI238" s="159"/>
      <c r="AJ238" s="159"/>
      <c r="AK238" s="159"/>
      <c r="AL238" s="159"/>
      <c r="AM238" s="159"/>
      <c r="AN238" s="159"/>
      <c r="AO238" s="159"/>
      <c r="AP238" s="159"/>
      <c r="AQ238" s="159"/>
      <c r="AR238" s="19"/>
      <c r="AS238" s="1"/>
      <c r="AT238" s="74"/>
      <c r="AU238" s="75"/>
      <c r="AV238" s="74"/>
      <c r="AW238" s="75"/>
      <c r="AX238" s="75"/>
      <c r="AY238" s="195"/>
      <c r="AZ238" s="195"/>
      <c r="BA238" s="19"/>
      <c r="BB238" s="19"/>
      <c r="BC238" s="19"/>
      <c r="BD238" s="19"/>
    </row>
    <row r="239" spans="1:56" x14ac:dyDescent="0.25">
      <c r="A239" s="288"/>
      <c r="B239" s="288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 t="s">
        <v>494</v>
      </c>
      <c r="S239" s="197"/>
      <c r="T239" s="159">
        <v>36.299999999999997</v>
      </c>
      <c r="U239" s="197">
        <v>36.299999999999997</v>
      </c>
      <c r="V239" s="197">
        <v>36.299999999999997</v>
      </c>
      <c r="W239" s="197">
        <v>36.299999999999997</v>
      </c>
      <c r="X239" s="197">
        <v>36.299999999999997</v>
      </c>
      <c r="Y239" s="197">
        <v>36.299999999999997</v>
      </c>
      <c r="Z239" s="197">
        <v>36.299999999999997</v>
      </c>
      <c r="AA239" s="197">
        <v>36.299999999999997</v>
      </c>
      <c r="AB239" s="197">
        <v>36.299999999999997</v>
      </c>
      <c r="AC239" s="197">
        <v>36.299999999999997</v>
      </c>
      <c r="AD239" s="197">
        <v>36.299999999999997</v>
      </c>
      <c r="AE239" s="197">
        <v>36.299999999999997</v>
      </c>
      <c r="AF239" s="197">
        <v>36.299999999999997</v>
      </c>
      <c r="AG239" s="197">
        <v>36.299999999999997</v>
      </c>
      <c r="AH239" s="197">
        <v>36.299999999999997</v>
      </c>
      <c r="AI239" s="159"/>
      <c r="AJ239" s="159"/>
      <c r="AK239" s="159"/>
      <c r="AL239" s="159"/>
      <c r="AM239" s="159"/>
      <c r="AN239" s="159"/>
      <c r="AO239" s="159"/>
      <c r="AP239" s="159"/>
      <c r="AQ239" s="159"/>
      <c r="AR239" s="1"/>
      <c r="AS239" s="1"/>
      <c r="AT239" s="88"/>
      <c r="AU239" s="89"/>
      <c r="AV239" s="88"/>
      <c r="AW239" s="89"/>
      <c r="AX239" s="89"/>
      <c r="AY239" s="138"/>
      <c r="AZ239" s="138"/>
      <c r="BA239" s="1"/>
      <c r="BB239" s="1"/>
      <c r="BC239" s="1"/>
      <c r="BD239" s="1"/>
    </row>
    <row r="240" spans="1:56" x14ac:dyDescent="0.25">
      <c r="A240" s="288"/>
      <c r="B240" s="288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 t="s">
        <v>495</v>
      </c>
      <c r="S240" s="197"/>
      <c r="T240" s="159"/>
      <c r="U240" s="159">
        <v>0</v>
      </c>
      <c r="V240" s="159">
        <v>-3.625</v>
      </c>
      <c r="W240" s="159">
        <v>0</v>
      </c>
      <c r="X240" s="159">
        <v>-9.5568181820000007</v>
      </c>
      <c r="Y240" s="159">
        <v>-12.522727270000001</v>
      </c>
      <c r="Z240" s="159">
        <v>-15.488636359999999</v>
      </c>
      <c r="AA240" s="159">
        <v>-18.454545450000001</v>
      </c>
      <c r="AB240" s="159">
        <v>-21.420454549999999</v>
      </c>
      <c r="AC240" s="159">
        <v>-24.386363639999999</v>
      </c>
      <c r="AD240" s="159">
        <v>-27.352272729999999</v>
      </c>
      <c r="AE240" s="159">
        <v>-30.31818182</v>
      </c>
      <c r="AF240" s="159">
        <v>-33.284090910000003</v>
      </c>
      <c r="AG240" s="159">
        <v>-36.25</v>
      </c>
      <c r="AH240" s="159">
        <v>-36.25</v>
      </c>
      <c r="AI240" s="159"/>
      <c r="AJ240" s="159"/>
      <c r="AK240" s="159"/>
      <c r="AL240" s="159"/>
      <c r="AM240" s="159"/>
      <c r="AN240" s="159"/>
      <c r="AO240" s="159"/>
      <c r="AP240" s="159"/>
      <c r="AQ240" s="159"/>
      <c r="AR240" s="1"/>
      <c r="AS240" s="1"/>
      <c r="AT240" s="88"/>
      <c r="AU240" s="89"/>
      <c r="AV240" s="88"/>
      <c r="AW240" s="89"/>
      <c r="AX240" s="89"/>
      <c r="AY240" s="138"/>
      <c r="AZ240" s="138"/>
      <c r="BA240" s="1"/>
      <c r="BB240" s="1"/>
      <c r="BC240" s="1"/>
      <c r="BD240" s="1"/>
    </row>
    <row r="241" spans="1:56" x14ac:dyDescent="0.25">
      <c r="A241" s="288"/>
      <c r="B241" s="288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 t="s">
        <v>496</v>
      </c>
      <c r="S241" s="197"/>
      <c r="T241" s="159"/>
      <c r="U241" s="197"/>
      <c r="V241" s="159"/>
      <c r="W241" s="197"/>
      <c r="X241" s="159"/>
      <c r="Y241" s="159"/>
      <c r="Z241" s="159"/>
      <c r="AA241" s="159"/>
      <c r="AB241" s="159"/>
      <c r="AC241" s="159"/>
      <c r="AD241" s="159"/>
      <c r="AE241" s="159"/>
      <c r="AF241" s="159"/>
      <c r="AG241" s="159"/>
      <c r="AH241" s="159"/>
      <c r="AI241" s="159"/>
      <c r="AJ241" s="159"/>
      <c r="AK241" s="159"/>
      <c r="AL241" s="159"/>
      <c r="AM241" s="159"/>
      <c r="AN241" s="159"/>
      <c r="AO241" s="159"/>
      <c r="AP241" s="159"/>
      <c r="AQ241" s="159"/>
      <c r="AR241" s="1"/>
      <c r="AS241" s="1"/>
      <c r="AT241" s="88"/>
      <c r="AU241" s="89"/>
      <c r="AV241" s="88"/>
      <c r="AW241" s="89"/>
      <c r="AX241" s="89"/>
      <c r="AY241" s="138"/>
      <c r="AZ241" s="138"/>
      <c r="BA241" s="1"/>
      <c r="BB241" s="1"/>
      <c r="BC241" s="1"/>
      <c r="BD241" s="1"/>
    </row>
    <row r="242" spans="1:56" x14ac:dyDescent="0.25">
      <c r="A242" s="288"/>
      <c r="B242" s="288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97"/>
      <c r="T242" s="159"/>
      <c r="U242" s="197"/>
      <c r="V242" s="159"/>
      <c r="W242" s="197"/>
      <c r="X242" s="159">
        <v>4.9400000000000004</v>
      </c>
      <c r="Y242" s="159">
        <v>8.07</v>
      </c>
      <c r="Z242" s="159">
        <v>11.95</v>
      </c>
      <c r="AA242" s="159">
        <v>16.559999999999999</v>
      </c>
      <c r="AB242" s="159">
        <v>21.91</v>
      </c>
      <c r="AC242" s="159">
        <v>28.01</v>
      </c>
      <c r="AD242" s="159">
        <v>34.85</v>
      </c>
      <c r="AE242" s="159">
        <v>42.43</v>
      </c>
      <c r="AF242" s="159"/>
      <c r="AG242" s="159"/>
      <c r="AH242" s="159"/>
      <c r="AI242" s="159"/>
      <c r="AJ242" s="159"/>
      <c r="AK242" s="159"/>
      <c r="AL242" s="159"/>
      <c r="AM242" s="159"/>
      <c r="AN242" s="159"/>
      <c r="AO242" s="159"/>
      <c r="AP242" s="159"/>
      <c r="AQ242" s="159"/>
      <c r="AR242" s="1"/>
      <c r="AS242" s="1"/>
      <c r="AT242" s="88"/>
      <c r="AU242" s="89"/>
      <c r="AV242" s="88"/>
      <c r="AW242" s="89"/>
      <c r="AX242" s="89"/>
      <c r="AY242" s="138"/>
      <c r="AZ242" s="138"/>
      <c r="BA242" s="1"/>
      <c r="BB242" s="1"/>
      <c r="BC242" s="1"/>
      <c r="BD242" s="1"/>
    </row>
    <row r="243" spans="1:56" x14ac:dyDescent="0.25">
      <c r="A243" s="288"/>
      <c r="B243" s="288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97"/>
      <c r="T243" s="159"/>
      <c r="U243" s="197">
        <v>0</v>
      </c>
      <c r="V243" s="197">
        <v>3.6</v>
      </c>
      <c r="W243" s="197">
        <v>0</v>
      </c>
      <c r="X243" s="197">
        <v>9.6</v>
      </c>
      <c r="Y243" s="197">
        <v>12.5</v>
      </c>
      <c r="Z243" s="197">
        <v>15.5</v>
      </c>
      <c r="AA243" s="197">
        <v>18.5</v>
      </c>
      <c r="AB243" s="197">
        <v>21.4</v>
      </c>
      <c r="AC243" s="197">
        <v>24.4</v>
      </c>
      <c r="AD243" s="197">
        <v>27.4</v>
      </c>
      <c r="AE243" s="197">
        <v>30.3</v>
      </c>
      <c r="AF243" s="197">
        <v>33.299999999999997</v>
      </c>
      <c r="AG243" s="197">
        <v>36.299999999999997</v>
      </c>
      <c r="AH243" s="197">
        <v>36.299999999999997</v>
      </c>
      <c r="AI243" s="159"/>
      <c r="AJ243" s="159"/>
      <c r="AK243" s="159"/>
      <c r="AL243" s="159"/>
      <c r="AM243" s="159"/>
      <c r="AN243" s="159"/>
      <c r="AO243" s="159"/>
      <c r="AP243" s="159"/>
      <c r="AQ243" s="159"/>
      <c r="AR243" s="159"/>
      <c r="AS243" s="1"/>
      <c r="AT243" s="88"/>
      <c r="AU243" s="89"/>
      <c r="AV243" s="88"/>
      <c r="AW243" s="89"/>
      <c r="AX243" s="89"/>
      <c r="AY243" s="223"/>
      <c r="AZ243" s="223"/>
      <c r="BA243" s="159"/>
      <c r="BB243" s="243"/>
      <c r="BC243" s="159"/>
      <c r="BD243" s="159"/>
    </row>
    <row r="244" spans="1:56" x14ac:dyDescent="0.25">
      <c r="A244" s="288"/>
      <c r="B244" s="288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97"/>
      <c r="T244" s="159"/>
      <c r="U244" s="159">
        <v>0</v>
      </c>
      <c r="V244" s="159">
        <v>0</v>
      </c>
      <c r="W244" s="159">
        <v>0</v>
      </c>
      <c r="X244" s="159">
        <v>0</v>
      </c>
      <c r="Y244" s="159">
        <v>0</v>
      </c>
      <c r="Z244" s="159">
        <v>0</v>
      </c>
      <c r="AA244" s="159">
        <v>0</v>
      </c>
      <c r="AB244" s="159">
        <v>0</v>
      </c>
      <c r="AC244" s="159">
        <v>0</v>
      </c>
      <c r="AD244" s="159">
        <v>0</v>
      </c>
      <c r="AE244" s="159">
        <v>0</v>
      </c>
      <c r="AF244" s="159">
        <v>0</v>
      </c>
      <c r="AG244" s="159">
        <v>0</v>
      </c>
      <c r="AH244" s="159">
        <v>0</v>
      </c>
      <c r="AI244" s="159">
        <v>0</v>
      </c>
      <c r="AJ244" s="159">
        <v>0</v>
      </c>
      <c r="AK244" s="159">
        <v>0</v>
      </c>
      <c r="AL244" s="159">
        <v>0</v>
      </c>
      <c r="AM244" s="159">
        <v>0</v>
      </c>
      <c r="AN244" s="159">
        <v>0</v>
      </c>
      <c r="AO244" s="159">
        <v>0</v>
      </c>
      <c r="AP244" s="159"/>
      <c r="AQ244" s="159"/>
      <c r="AR244" s="159"/>
      <c r="AS244" s="1"/>
      <c r="AT244" s="88"/>
      <c r="AU244" s="89"/>
      <c r="AV244" s="88"/>
      <c r="AW244" s="89"/>
      <c r="AX244" s="89"/>
      <c r="AY244" s="138"/>
      <c r="AZ244" s="138"/>
      <c r="BA244" s="159"/>
      <c r="BB244" s="243"/>
      <c r="BC244" s="159"/>
      <c r="BD244" s="159"/>
    </row>
    <row r="245" spans="1:56" x14ac:dyDescent="0.25">
      <c r="A245" s="288"/>
      <c r="B245" s="288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97"/>
      <c r="T245" s="159"/>
      <c r="U245" s="197"/>
      <c r="V245" s="159">
        <v>0.9</v>
      </c>
      <c r="W245" s="197"/>
      <c r="X245" s="159">
        <v>0.9</v>
      </c>
      <c r="Y245" s="159">
        <v>0.9</v>
      </c>
      <c r="Z245" s="159">
        <v>0.9</v>
      </c>
      <c r="AA245" s="159">
        <v>0.9</v>
      </c>
      <c r="AB245" s="159">
        <v>0.9</v>
      </c>
      <c r="AC245" s="159">
        <v>0.9</v>
      </c>
      <c r="AD245" s="159">
        <v>0.9</v>
      </c>
      <c r="AE245" s="159">
        <v>0.9</v>
      </c>
      <c r="AF245" s="159">
        <v>0.9</v>
      </c>
      <c r="AG245" s="159">
        <v>0.9</v>
      </c>
      <c r="AH245" s="159">
        <v>0.9</v>
      </c>
      <c r="AI245" s="159">
        <v>0.9</v>
      </c>
      <c r="AJ245" s="159">
        <v>0.9</v>
      </c>
      <c r="AK245" s="159">
        <v>0.9</v>
      </c>
      <c r="AL245" s="159">
        <v>0.9</v>
      </c>
      <c r="AM245" s="159">
        <v>0.9</v>
      </c>
      <c r="AN245" s="159">
        <v>0.9</v>
      </c>
      <c r="AO245" s="159">
        <v>0.9</v>
      </c>
      <c r="AP245" s="159"/>
      <c r="AQ245" s="159"/>
      <c r="AR245" s="159"/>
      <c r="AS245" s="1"/>
      <c r="AT245" s="145"/>
      <c r="AU245" s="146"/>
      <c r="AV245" s="145"/>
      <c r="AW245" s="146"/>
      <c r="AX245" s="157"/>
      <c r="AY245" s="138"/>
      <c r="AZ245" s="138"/>
      <c r="BA245" s="159"/>
      <c r="BB245" s="243"/>
      <c r="BC245" s="159"/>
      <c r="BD245" s="159"/>
    </row>
    <row r="246" spans="1:56" x14ac:dyDescent="0.25">
      <c r="A246" s="288"/>
      <c r="B246" s="288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97"/>
      <c r="T246" s="159"/>
      <c r="U246" s="197"/>
      <c r="V246" s="159"/>
      <c r="W246" s="197"/>
      <c r="X246" s="159">
        <v>1.6</v>
      </c>
      <c r="Y246" s="159">
        <v>1.6</v>
      </c>
      <c r="Z246" s="159">
        <v>1.6</v>
      </c>
      <c r="AA246" s="159">
        <v>1.6</v>
      </c>
      <c r="AB246" s="159">
        <v>1.6</v>
      </c>
      <c r="AC246" s="159">
        <v>1.6</v>
      </c>
      <c r="AD246" s="159">
        <v>1.6</v>
      </c>
      <c r="AE246" s="159">
        <v>1.6</v>
      </c>
      <c r="AF246" s="159">
        <v>1.6</v>
      </c>
      <c r="AG246" s="159">
        <v>1.6</v>
      </c>
      <c r="AH246" s="159">
        <v>1.6</v>
      </c>
      <c r="AI246" s="159">
        <v>1.6</v>
      </c>
      <c r="AJ246" s="159">
        <v>1.6</v>
      </c>
      <c r="AK246" s="159">
        <v>1.6</v>
      </c>
      <c r="AL246" s="159">
        <v>1.6</v>
      </c>
      <c r="AM246" s="159">
        <v>1.6</v>
      </c>
      <c r="AN246" s="159">
        <v>1.6</v>
      </c>
      <c r="AO246" s="159">
        <v>1.6</v>
      </c>
      <c r="AP246" s="159"/>
      <c r="AQ246" s="159"/>
      <c r="AR246" s="159"/>
      <c r="AS246" s="1"/>
      <c r="AT246" s="88"/>
      <c r="AU246" s="89"/>
      <c r="AV246" s="88"/>
      <c r="AW246" s="89"/>
      <c r="AX246" s="89"/>
      <c r="AY246" s="138"/>
      <c r="AZ246" s="138"/>
      <c r="BA246" s="159"/>
      <c r="BB246" s="243"/>
      <c r="BC246" s="159"/>
      <c r="BD246" s="159"/>
    </row>
    <row r="247" spans="1:56" x14ac:dyDescent="0.25">
      <c r="A247" s="288"/>
      <c r="B247" s="288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97"/>
      <c r="T247" s="159"/>
      <c r="U247" s="197"/>
      <c r="V247" s="159"/>
      <c r="W247" s="197"/>
      <c r="X247" s="159">
        <v>2.4</v>
      </c>
      <c r="Y247" s="159">
        <v>2.4</v>
      </c>
      <c r="Z247" s="159">
        <v>2.4</v>
      </c>
      <c r="AA247" s="159">
        <v>2.4</v>
      </c>
      <c r="AB247" s="159">
        <v>2.4</v>
      </c>
      <c r="AC247" s="159">
        <v>2.4</v>
      </c>
      <c r="AD247" s="159">
        <v>2.4</v>
      </c>
      <c r="AE247" s="159">
        <v>2.4</v>
      </c>
      <c r="AF247" s="159">
        <v>2.4</v>
      </c>
      <c r="AG247" s="159">
        <v>2.4</v>
      </c>
      <c r="AH247" s="159">
        <v>2.4</v>
      </c>
      <c r="AI247" s="159">
        <v>2.4</v>
      </c>
      <c r="AJ247" s="159">
        <v>2.4</v>
      </c>
      <c r="AK247" s="159">
        <v>2.4</v>
      </c>
      <c r="AL247" s="159">
        <v>2.4</v>
      </c>
      <c r="AM247" s="159">
        <v>2.4</v>
      </c>
      <c r="AN247" s="159">
        <v>2.4</v>
      </c>
      <c r="AO247" s="159">
        <v>2.4</v>
      </c>
      <c r="AP247" s="159"/>
      <c r="AQ247" s="159"/>
      <c r="AR247" s="159"/>
      <c r="AS247" s="1"/>
      <c r="AT247" s="88"/>
      <c r="AU247" s="89"/>
      <c r="AV247" s="88"/>
      <c r="AW247" s="89"/>
      <c r="AX247" s="89"/>
      <c r="AY247" s="138"/>
      <c r="AZ247" s="138"/>
      <c r="BA247" s="159"/>
      <c r="BB247" s="243"/>
      <c r="BC247" s="159"/>
      <c r="BD247" s="159"/>
    </row>
    <row r="248" spans="1:56" x14ac:dyDescent="0.25">
      <c r="A248" s="288"/>
      <c r="B248" s="288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97"/>
      <c r="T248" s="159"/>
      <c r="U248" s="197"/>
      <c r="V248" s="159"/>
      <c r="W248" s="197"/>
      <c r="X248" s="159"/>
      <c r="Y248" s="159">
        <v>3.1</v>
      </c>
      <c r="Z248" s="159">
        <v>3.1</v>
      </c>
      <c r="AA248" s="159">
        <v>3.1</v>
      </c>
      <c r="AB248" s="159">
        <v>3.1</v>
      </c>
      <c r="AC248" s="159">
        <v>3.1</v>
      </c>
      <c r="AD248" s="159">
        <v>3.1</v>
      </c>
      <c r="AE248" s="159">
        <v>3.1</v>
      </c>
      <c r="AF248" s="159">
        <v>3.1</v>
      </c>
      <c r="AG248" s="159">
        <v>3.1</v>
      </c>
      <c r="AH248" s="159">
        <v>3.1</v>
      </c>
      <c r="AI248" s="159">
        <v>3.1</v>
      </c>
      <c r="AJ248" s="159">
        <v>3.1</v>
      </c>
      <c r="AK248" s="159">
        <v>3.1</v>
      </c>
      <c r="AL248" s="159">
        <v>3.1</v>
      </c>
      <c r="AM248" s="159">
        <v>3.1</v>
      </c>
      <c r="AN248" s="159">
        <v>3.1</v>
      </c>
      <c r="AO248" s="159">
        <v>3.1</v>
      </c>
      <c r="AP248" s="159"/>
      <c r="AQ248" s="159"/>
      <c r="AR248" s="1"/>
      <c r="AS248" s="1"/>
      <c r="AT248" s="140"/>
      <c r="AU248" s="141"/>
      <c r="AV248" s="140"/>
      <c r="AW248" s="141"/>
      <c r="AX248" s="141"/>
      <c r="AY248" s="138"/>
      <c r="AZ248" s="138"/>
      <c r="BA248" s="1"/>
      <c r="BB248" s="1"/>
      <c r="BC248" s="1"/>
      <c r="BD248" s="1"/>
    </row>
    <row r="249" spans="1:56" x14ac:dyDescent="0.25">
      <c r="A249" s="288"/>
      <c r="B249" s="288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97"/>
      <c r="T249" s="159"/>
      <c r="U249" s="197"/>
      <c r="V249" s="159"/>
      <c r="W249" s="197"/>
      <c r="X249" s="159"/>
      <c r="Y249" s="159"/>
      <c r="Z249" s="159">
        <v>3.9</v>
      </c>
      <c r="AA249" s="159">
        <v>3.9</v>
      </c>
      <c r="AB249" s="159">
        <v>3.9</v>
      </c>
      <c r="AC249" s="159">
        <v>3.9</v>
      </c>
      <c r="AD249" s="159">
        <v>3.9</v>
      </c>
      <c r="AE249" s="159">
        <v>3.9</v>
      </c>
      <c r="AF249" s="159">
        <v>3.9</v>
      </c>
      <c r="AG249" s="159">
        <v>3.9</v>
      </c>
      <c r="AH249" s="159">
        <v>3.9</v>
      </c>
      <c r="AI249" s="159">
        <v>3.9</v>
      </c>
      <c r="AJ249" s="159">
        <v>3.9</v>
      </c>
      <c r="AK249" s="159">
        <v>3.9</v>
      </c>
      <c r="AL249" s="159">
        <v>3.9</v>
      </c>
      <c r="AM249" s="159">
        <v>3.9</v>
      </c>
      <c r="AN249" s="159">
        <v>3.9</v>
      </c>
      <c r="AO249" s="159">
        <v>3.9</v>
      </c>
      <c r="AP249" s="159"/>
      <c r="AQ249" s="159"/>
      <c r="AR249" s="159"/>
      <c r="AS249" s="1"/>
      <c r="AT249" s="88"/>
      <c r="AU249" s="89"/>
      <c r="AV249" s="88"/>
      <c r="AW249" s="89"/>
      <c r="AX249" s="89"/>
      <c r="AY249" s="138"/>
      <c r="AZ249" s="138"/>
      <c r="BA249" s="159"/>
      <c r="BB249" s="243"/>
      <c r="BC249" s="159"/>
      <c r="BD249" s="159"/>
    </row>
    <row r="250" spans="1:56" x14ac:dyDescent="0.25">
      <c r="A250" s="288"/>
      <c r="B250" s="288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97"/>
      <c r="T250" s="159"/>
      <c r="U250" s="197"/>
      <c r="V250" s="159"/>
      <c r="W250" s="197"/>
      <c r="X250" s="159"/>
      <c r="Y250" s="159"/>
      <c r="Z250" s="159"/>
      <c r="AA250" s="159">
        <v>4.5999999999999996</v>
      </c>
      <c r="AB250" s="159">
        <v>4.5999999999999996</v>
      </c>
      <c r="AC250" s="159">
        <v>4.5999999999999996</v>
      </c>
      <c r="AD250" s="159">
        <v>4.5999999999999996</v>
      </c>
      <c r="AE250" s="159">
        <v>4.5999999999999996</v>
      </c>
      <c r="AF250" s="159">
        <v>4.5999999999999996</v>
      </c>
      <c r="AG250" s="159">
        <v>4.5999999999999996</v>
      </c>
      <c r="AH250" s="159">
        <v>4.5999999999999996</v>
      </c>
      <c r="AI250" s="159">
        <v>4.5999999999999996</v>
      </c>
      <c r="AJ250" s="159">
        <v>4.5999999999999996</v>
      </c>
      <c r="AK250" s="159">
        <v>4.5999999999999996</v>
      </c>
      <c r="AL250" s="159">
        <v>4.5999999999999996</v>
      </c>
      <c r="AM250" s="159">
        <v>4.5999999999999996</v>
      </c>
      <c r="AN250" s="159">
        <v>4.5999999999999996</v>
      </c>
      <c r="AO250" s="159">
        <v>4.5999999999999996</v>
      </c>
      <c r="AP250" s="159"/>
      <c r="AQ250" s="159"/>
      <c r="AR250" s="159"/>
      <c r="AS250" s="1"/>
      <c r="AT250" s="88"/>
      <c r="AU250" s="89"/>
      <c r="AV250" s="88"/>
      <c r="AW250" s="89"/>
      <c r="AX250" s="89"/>
      <c r="AY250" s="138"/>
      <c r="AZ250" s="138"/>
      <c r="BA250" s="159"/>
      <c r="BB250" s="243"/>
      <c r="BC250" s="159"/>
      <c r="BD250" s="159"/>
    </row>
    <row r="251" spans="1:56" x14ac:dyDescent="0.25">
      <c r="A251" s="288"/>
      <c r="B251" s="288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97"/>
      <c r="T251" s="159"/>
      <c r="U251" s="197"/>
      <c r="V251" s="159"/>
      <c r="W251" s="197"/>
      <c r="X251" s="159"/>
      <c r="Y251" s="159"/>
      <c r="Z251" s="159"/>
      <c r="AA251" s="159"/>
      <c r="AB251" s="159">
        <v>5.4</v>
      </c>
      <c r="AC251" s="159">
        <v>5.4</v>
      </c>
      <c r="AD251" s="159">
        <v>5.4</v>
      </c>
      <c r="AE251" s="159">
        <v>5.4</v>
      </c>
      <c r="AF251" s="159">
        <v>5.4</v>
      </c>
      <c r="AG251" s="159">
        <v>5.4</v>
      </c>
      <c r="AH251" s="159">
        <v>5.4</v>
      </c>
      <c r="AI251" s="159">
        <v>5.4</v>
      </c>
      <c r="AJ251" s="159">
        <v>5.4</v>
      </c>
      <c r="AK251" s="159">
        <v>5.4</v>
      </c>
      <c r="AL251" s="159">
        <v>5.4</v>
      </c>
      <c r="AM251" s="159">
        <v>5.4</v>
      </c>
      <c r="AN251" s="159">
        <v>5.4</v>
      </c>
      <c r="AO251" s="159">
        <v>5.4</v>
      </c>
      <c r="AP251" s="159"/>
      <c r="AQ251" s="159"/>
      <c r="AR251" s="159"/>
      <c r="AS251" s="1"/>
      <c r="AT251" s="145"/>
      <c r="AU251" s="146"/>
      <c r="AV251" s="145"/>
      <c r="AW251" s="146"/>
      <c r="AX251" s="157"/>
      <c r="AY251" s="138"/>
      <c r="AZ251" s="138"/>
      <c r="BA251" s="159"/>
      <c r="BB251" s="243"/>
      <c r="BC251" s="159"/>
      <c r="BD251" s="159"/>
    </row>
    <row r="252" spans="1:56" x14ac:dyDescent="0.25">
      <c r="A252" s="288"/>
      <c r="B252" s="288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97"/>
      <c r="T252" s="159"/>
      <c r="U252" s="197"/>
      <c r="V252" s="159"/>
      <c r="W252" s="197"/>
      <c r="X252" s="159"/>
      <c r="Y252" s="159"/>
      <c r="Z252" s="159"/>
      <c r="AA252" s="159"/>
      <c r="AB252" s="159"/>
      <c r="AC252" s="159">
        <v>6.1</v>
      </c>
      <c r="AD252" s="159">
        <v>6.1</v>
      </c>
      <c r="AE252" s="159">
        <v>6.1</v>
      </c>
      <c r="AF252" s="159">
        <v>6.1</v>
      </c>
      <c r="AG252" s="159">
        <v>6.1</v>
      </c>
      <c r="AH252" s="159">
        <v>6.1</v>
      </c>
      <c r="AI252" s="159">
        <v>6.1</v>
      </c>
      <c r="AJ252" s="159">
        <v>6.1</v>
      </c>
      <c r="AK252" s="159">
        <v>6.1</v>
      </c>
      <c r="AL252" s="159">
        <v>6.1</v>
      </c>
      <c r="AM252" s="159">
        <v>6.1</v>
      </c>
      <c r="AN252" s="159">
        <v>6.1</v>
      </c>
      <c r="AO252" s="159">
        <v>6.1</v>
      </c>
      <c r="AP252" s="159"/>
      <c r="AQ252" s="159"/>
      <c r="AR252" s="159"/>
      <c r="AS252" s="1"/>
      <c r="AT252" s="88"/>
      <c r="AU252" s="89"/>
      <c r="AV252" s="88"/>
      <c r="AW252" s="89"/>
      <c r="AX252" s="89"/>
      <c r="AY252" s="223"/>
      <c r="AZ252" s="223"/>
      <c r="BA252" s="159"/>
      <c r="BB252" s="243"/>
      <c r="BC252" s="159"/>
      <c r="BD252" s="159"/>
    </row>
    <row r="253" spans="1:56" x14ac:dyDescent="0.25">
      <c r="A253" s="288"/>
      <c r="B253" s="288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97"/>
      <c r="T253" s="159"/>
      <c r="U253" s="197"/>
      <c r="V253" s="197"/>
      <c r="W253" s="197"/>
      <c r="X253" s="197"/>
      <c r="Y253" s="197"/>
      <c r="Z253" s="197"/>
      <c r="AA253" s="197"/>
      <c r="AB253" s="197"/>
      <c r="AC253" s="197"/>
      <c r="AD253" s="159">
        <v>6.8</v>
      </c>
      <c r="AE253" s="159">
        <v>6.8</v>
      </c>
      <c r="AF253" s="159">
        <v>6.8</v>
      </c>
      <c r="AG253" s="159">
        <v>6.8</v>
      </c>
      <c r="AH253" s="159">
        <v>6.8</v>
      </c>
      <c r="AI253" s="159">
        <v>6.8</v>
      </c>
      <c r="AJ253" s="159">
        <v>6.8</v>
      </c>
      <c r="AK253" s="159">
        <v>6.8</v>
      </c>
      <c r="AL253" s="159">
        <v>6.8</v>
      </c>
      <c r="AM253" s="159">
        <v>6.8</v>
      </c>
      <c r="AN253" s="159">
        <v>6.8</v>
      </c>
      <c r="AO253" s="159">
        <v>6.8</v>
      </c>
      <c r="AP253" s="159"/>
      <c r="AQ253" s="159"/>
      <c r="AR253" s="159"/>
      <c r="AS253" s="1"/>
      <c r="AT253" s="156"/>
      <c r="AU253" s="157"/>
      <c r="AV253" s="156"/>
      <c r="AW253" s="157"/>
      <c r="AX253" s="157"/>
      <c r="AY253" s="223"/>
      <c r="AZ253" s="223"/>
      <c r="BA253" s="159"/>
      <c r="BB253" s="159"/>
      <c r="BC253" s="159"/>
      <c r="BD253" s="159"/>
    </row>
    <row r="254" spans="1:56" x14ac:dyDescent="0.25">
      <c r="A254" s="288"/>
      <c r="B254" s="288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97"/>
      <c r="T254" s="159"/>
      <c r="U254" s="197"/>
      <c r="V254" s="159"/>
      <c r="W254" s="197"/>
      <c r="X254" s="159"/>
      <c r="Y254" s="159"/>
      <c r="Z254" s="159"/>
      <c r="AA254" s="159"/>
      <c r="AB254" s="159"/>
      <c r="AC254" s="159"/>
      <c r="AD254" s="159"/>
      <c r="AE254" s="159">
        <v>7.6</v>
      </c>
      <c r="AF254" s="159">
        <v>7.6</v>
      </c>
      <c r="AG254" s="159">
        <v>7.6</v>
      </c>
      <c r="AH254" s="159">
        <v>7.6</v>
      </c>
      <c r="AI254" s="159">
        <v>7.6</v>
      </c>
      <c r="AJ254" s="159">
        <v>7.6</v>
      </c>
      <c r="AK254" s="159">
        <v>7.6</v>
      </c>
      <c r="AL254" s="159">
        <v>7.6</v>
      </c>
      <c r="AM254" s="159">
        <v>7.6</v>
      </c>
      <c r="AN254" s="159">
        <v>7.6</v>
      </c>
      <c r="AO254" s="159">
        <v>7.6</v>
      </c>
      <c r="AP254" s="159"/>
      <c r="AQ254" s="159"/>
      <c r="AR254" s="159"/>
      <c r="AS254" s="1"/>
      <c r="AT254" s="88"/>
      <c r="AU254" s="89"/>
      <c r="AV254" s="88"/>
      <c r="AW254" s="89"/>
      <c r="AX254" s="89"/>
      <c r="AY254" s="138"/>
      <c r="AZ254" s="138"/>
      <c r="BA254" s="159"/>
      <c r="BB254" s="159"/>
      <c r="BC254" s="159"/>
      <c r="BD254" s="159"/>
    </row>
    <row r="255" spans="1:56" x14ac:dyDescent="0.25">
      <c r="A255" s="288"/>
      <c r="B255" s="288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 t="s">
        <v>497</v>
      </c>
      <c r="S255" s="197"/>
      <c r="T255" s="159"/>
      <c r="U255" s="159">
        <v>0</v>
      </c>
      <c r="V255" s="159">
        <v>0.9</v>
      </c>
      <c r="W255" s="159">
        <v>0</v>
      </c>
      <c r="X255" s="159">
        <v>4.9000000000000004</v>
      </c>
      <c r="Y255" s="159">
        <v>8.1</v>
      </c>
      <c r="Z255" s="159">
        <v>11.9</v>
      </c>
      <c r="AA255" s="159">
        <v>16.600000000000001</v>
      </c>
      <c r="AB255" s="159">
        <v>21.9</v>
      </c>
      <c r="AC255" s="159">
        <v>28</v>
      </c>
      <c r="AD255" s="159">
        <v>34.799999999999997</v>
      </c>
      <c r="AE255" s="159">
        <v>42.4</v>
      </c>
      <c r="AF255" s="159">
        <v>42.4</v>
      </c>
      <c r="AG255" s="159">
        <v>42.4</v>
      </c>
      <c r="AH255" s="159">
        <v>42.4</v>
      </c>
      <c r="AI255" s="159">
        <v>42.4</v>
      </c>
      <c r="AJ255" s="159">
        <v>42.4</v>
      </c>
      <c r="AK255" s="159">
        <v>42.4</v>
      </c>
      <c r="AL255" s="159">
        <v>42.4</v>
      </c>
      <c r="AM255" s="159">
        <v>42.4</v>
      </c>
      <c r="AN255" s="159">
        <v>42.4</v>
      </c>
      <c r="AO255" s="159">
        <v>42.4</v>
      </c>
      <c r="AP255" s="159"/>
      <c r="AQ255" s="159"/>
      <c r="AR255" s="159"/>
      <c r="AS255" s="1"/>
      <c r="AT255" s="88"/>
      <c r="AU255" s="89"/>
      <c r="AV255" s="88"/>
      <c r="AW255" s="89"/>
      <c r="AX255" s="89"/>
      <c r="AY255" s="223"/>
      <c r="AZ255" s="223"/>
      <c r="BA255" s="159"/>
      <c r="BB255" s="159"/>
      <c r="BC255" s="159"/>
      <c r="BD255" s="159"/>
    </row>
    <row r="256" spans="1:56" x14ac:dyDescent="0.25">
      <c r="A256" s="288"/>
      <c r="B256" s="288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97"/>
      <c r="T256" s="159"/>
      <c r="U256" s="197"/>
      <c r="V256" s="159"/>
      <c r="W256" s="197"/>
      <c r="X256" s="159"/>
      <c r="Y256" s="159"/>
      <c r="Z256" s="159"/>
      <c r="AA256" s="159"/>
      <c r="AB256" s="159"/>
      <c r="AC256" s="159"/>
      <c r="AD256" s="159"/>
      <c r="AE256" s="159"/>
      <c r="AF256" s="159"/>
      <c r="AG256" s="159"/>
      <c r="AH256" s="159"/>
      <c r="AI256" s="159"/>
      <c r="AJ256" s="159"/>
      <c r="AK256" s="159"/>
      <c r="AL256" s="159"/>
      <c r="AM256" s="159"/>
      <c r="AN256" s="159"/>
      <c r="AO256" s="159"/>
      <c r="AP256" s="159"/>
      <c r="AQ256" s="159"/>
      <c r="AR256" s="159"/>
      <c r="AS256" s="1"/>
      <c r="AT256" s="74"/>
      <c r="AU256" s="75"/>
      <c r="AV256" s="74"/>
      <c r="AW256" s="75"/>
      <c r="AX256" s="75"/>
      <c r="AY256" s="138"/>
      <c r="AZ256" s="138"/>
      <c r="BA256" s="159"/>
      <c r="BB256" s="159"/>
      <c r="BC256" s="159"/>
      <c r="BD256" s="159"/>
    </row>
    <row r="257" spans="1:56" x14ac:dyDescent="0.25">
      <c r="A257" s="288"/>
      <c r="B257" s="288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97"/>
      <c r="T257" s="159" t="s">
        <v>498</v>
      </c>
      <c r="U257" s="197"/>
      <c r="V257" s="159"/>
      <c r="W257" s="197"/>
      <c r="X257" s="159"/>
      <c r="Y257" s="159"/>
      <c r="Z257" s="159"/>
      <c r="AA257" s="159"/>
      <c r="AB257" s="159"/>
      <c r="AC257" s="159"/>
      <c r="AD257" s="159"/>
      <c r="AE257" s="159"/>
      <c r="AF257" s="159"/>
      <c r="AG257" s="159"/>
      <c r="AH257" s="159"/>
      <c r="AI257" s="159"/>
      <c r="AJ257" s="159"/>
      <c r="AK257" s="159"/>
      <c r="AL257" s="159"/>
      <c r="AM257" s="159"/>
      <c r="AN257" s="159"/>
      <c r="AO257" s="159"/>
      <c r="AP257" s="159"/>
      <c r="AQ257" s="159"/>
      <c r="AR257" s="159"/>
      <c r="AS257" s="1"/>
      <c r="AT257" s="74"/>
      <c r="AU257" s="75"/>
      <c r="AV257" s="74"/>
      <c r="AW257" s="75"/>
      <c r="AX257" s="75"/>
      <c r="AY257" s="138"/>
      <c r="AZ257" s="138"/>
      <c r="BA257" s="159"/>
      <c r="BB257" s="159"/>
      <c r="BC257" s="159"/>
      <c r="BD257" s="159"/>
    </row>
    <row r="258" spans="1:56" x14ac:dyDescent="0.25">
      <c r="A258" s="288"/>
      <c r="B258" s="288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97"/>
      <c r="T258" s="159" t="s">
        <v>46</v>
      </c>
      <c r="U258" s="197"/>
      <c r="V258" s="159"/>
      <c r="W258" s="197"/>
      <c r="X258" s="159"/>
      <c r="Y258" s="159"/>
      <c r="Z258" s="159"/>
      <c r="AA258" s="159"/>
      <c r="AB258" s="159"/>
      <c r="AC258" s="159"/>
      <c r="AD258" s="159"/>
      <c r="AE258" s="159"/>
      <c r="AF258" s="159"/>
      <c r="AG258" s="159"/>
      <c r="AH258" s="159"/>
      <c r="AI258" s="159"/>
      <c r="AJ258" s="159"/>
      <c r="AK258" s="159"/>
      <c r="AL258" s="159"/>
      <c r="AM258" s="159"/>
      <c r="AN258" s="159"/>
      <c r="AO258" s="159"/>
      <c r="AP258" s="159"/>
      <c r="AQ258" s="159"/>
      <c r="AR258" s="159"/>
      <c r="AS258" s="1"/>
      <c r="AT258" s="74"/>
      <c r="AU258" s="75"/>
      <c r="AV258" s="74"/>
      <c r="AW258" s="75"/>
      <c r="AX258" s="75"/>
      <c r="AY258" s="138"/>
      <c r="AZ258" s="138"/>
      <c r="BA258" s="159"/>
      <c r="BB258" s="159"/>
      <c r="BC258" s="159"/>
      <c r="BD258" s="159"/>
    </row>
    <row r="259" spans="1:56" x14ac:dyDescent="0.25">
      <c r="A259" s="288"/>
      <c r="B259" s="288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97"/>
      <c r="T259" s="159" t="s">
        <v>499</v>
      </c>
      <c r="U259" s="197">
        <v>91.3</v>
      </c>
      <c r="V259" s="197">
        <v>81.900000000000006</v>
      </c>
      <c r="W259" s="197">
        <v>91.3</v>
      </c>
      <c r="X259" s="197">
        <v>99.5</v>
      </c>
      <c r="Y259" s="197">
        <v>124.4</v>
      </c>
      <c r="Z259" s="197">
        <v>119.2</v>
      </c>
      <c r="AA259" s="197">
        <v>148.69999999999999</v>
      </c>
      <c r="AB259" s="197">
        <v>142.80000000000001</v>
      </c>
      <c r="AC259" s="197">
        <v>177.6</v>
      </c>
      <c r="AD259" s="197">
        <v>170.9</v>
      </c>
      <c r="AE259" s="197">
        <v>211.9</v>
      </c>
      <c r="AF259" s="197">
        <v>204.3</v>
      </c>
      <c r="AG259" s="197">
        <v>252.6</v>
      </c>
      <c r="AH259" s="197">
        <v>244.1</v>
      </c>
      <c r="AI259" s="197">
        <v>300.8</v>
      </c>
      <c r="AJ259" s="197">
        <v>291.39999999999998</v>
      </c>
      <c r="AK259" s="197">
        <v>357.9</v>
      </c>
      <c r="AL259" s="197">
        <v>347.4</v>
      </c>
      <c r="AM259" s="197">
        <v>425.3</v>
      </c>
      <c r="AN259" s="197">
        <v>413.7</v>
      </c>
      <c r="AO259" s="197">
        <v>504.9</v>
      </c>
      <c r="AP259" s="197">
        <v>492.3</v>
      </c>
      <c r="AQ259" s="197">
        <v>598.9</v>
      </c>
      <c r="AR259" s="159"/>
      <c r="AS259" s="1"/>
      <c r="AT259" s="88"/>
      <c r="AU259" s="89"/>
      <c r="AV259" s="88"/>
      <c r="AW259" s="89"/>
      <c r="AX259" s="89"/>
      <c r="AY259" s="223"/>
      <c r="AZ259" s="223"/>
      <c r="BA259" s="159"/>
      <c r="BB259" s="159"/>
      <c r="BC259" s="159"/>
      <c r="BD259" s="159"/>
    </row>
    <row r="260" spans="1:56" x14ac:dyDescent="0.25">
      <c r="A260" s="288"/>
      <c r="B260" s="288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97"/>
      <c r="T260" s="159" t="s">
        <v>500</v>
      </c>
      <c r="U260" s="197">
        <v>91.3</v>
      </c>
      <c r="V260" s="197">
        <v>81.900000000000006</v>
      </c>
      <c r="W260" s="197">
        <v>91.3</v>
      </c>
      <c r="X260" s="197">
        <v>86</v>
      </c>
      <c r="Y260" s="197">
        <v>110.1</v>
      </c>
      <c r="Z260" s="197">
        <v>102.8</v>
      </c>
      <c r="AA260" s="197">
        <v>131.69999999999999</v>
      </c>
      <c r="AB260" s="197">
        <v>127.1</v>
      </c>
      <c r="AC260" s="197">
        <v>161.9</v>
      </c>
      <c r="AD260" s="197">
        <v>161</v>
      </c>
      <c r="AE260" s="197">
        <v>202.7</v>
      </c>
      <c r="AF260" s="197">
        <v>207</v>
      </c>
      <c r="AG260" s="197">
        <v>257</v>
      </c>
      <c r="AH260" s="197">
        <v>276.3</v>
      </c>
      <c r="AI260" s="197">
        <v>345.5</v>
      </c>
      <c r="AJ260" s="197">
        <v>369.3</v>
      </c>
      <c r="AK260" s="197">
        <v>450.7</v>
      </c>
      <c r="AL260" s="197">
        <v>480.1</v>
      </c>
      <c r="AM260" s="197">
        <v>575.70000000000005</v>
      </c>
      <c r="AN260" s="197">
        <v>611.6</v>
      </c>
      <c r="AO260" s="197">
        <v>723.7</v>
      </c>
      <c r="AP260" s="197">
        <v>767.3</v>
      </c>
      <c r="AQ260" s="197">
        <v>898.5</v>
      </c>
      <c r="AR260" s="159"/>
      <c r="AS260" s="1"/>
      <c r="AT260" s="88"/>
      <c r="AU260" s="89"/>
      <c r="AV260" s="88"/>
      <c r="AW260" s="89"/>
      <c r="AX260" s="89"/>
      <c r="AY260" s="223"/>
      <c r="AZ260" s="223"/>
      <c r="BA260" s="159"/>
      <c r="BB260" s="159"/>
      <c r="BC260" s="159"/>
      <c r="BD260" s="159"/>
    </row>
    <row r="261" spans="1:56" x14ac:dyDescent="0.25">
      <c r="A261" s="288"/>
      <c r="B261" s="288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97"/>
      <c r="T261" s="159" t="s">
        <v>501</v>
      </c>
      <c r="U261" s="197">
        <v>91.3</v>
      </c>
      <c r="V261" s="197">
        <v>81.900000000000006</v>
      </c>
      <c r="W261" s="197">
        <v>91.3</v>
      </c>
      <c r="X261" s="197">
        <v>92.8</v>
      </c>
      <c r="Y261" s="197">
        <v>122.3</v>
      </c>
      <c r="Z261" s="197">
        <v>118.4</v>
      </c>
      <c r="AA261" s="197">
        <v>155.1</v>
      </c>
      <c r="AB261" s="197">
        <v>154.1</v>
      </c>
      <c r="AC261" s="197">
        <v>199.4</v>
      </c>
      <c r="AD261" s="197">
        <v>202.3</v>
      </c>
      <c r="AE261" s="197">
        <v>258.2</v>
      </c>
      <c r="AF261" s="197">
        <v>266.39999999999998</v>
      </c>
      <c r="AG261" s="197">
        <v>335.1</v>
      </c>
      <c r="AH261" s="197">
        <v>351.4</v>
      </c>
      <c r="AI261" s="197">
        <v>435.2</v>
      </c>
      <c r="AJ261" s="197">
        <v>455.7</v>
      </c>
      <c r="AK261" s="197">
        <v>553.9</v>
      </c>
      <c r="AL261" s="197">
        <v>579.4</v>
      </c>
      <c r="AM261" s="197">
        <v>694.4</v>
      </c>
      <c r="AN261" s="197">
        <v>725.8</v>
      </c>
      <c r="AO261" s="197">
        <v>860.1</v>
      </c>
      <c r="AP261" s="197">
        <v>898.7</v>
      </c>
      <c r="AQ261" s="249">
        <v>1055.4000000000001</v>
      </c>
      <c r="AR261" s="159"/>
      <c r="AS261" s="1"/>
      <c r="AT261" s="95"/>
      <c r="AU261" s="96"/>
      <c r="AV261" s="95"/>
      <c r="AW261" s="96"/>
      <c r="AX261" s="96"/>
      <c r="AY261" s="223"/>
      <c r="AZ261" s="223"/>
      <c r="BA261" s="159"/>
      <c r="BB261" s="159"/>
      <c r="BC261" s="159"/>
      <c r="BD261" s="159"/>
    </row>
    <row r="262" spans="1:56" x14ac:dyDescent="0.25">
      <c r="A262" s="288"/>
      <c r="B262" s="288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97"/>
      <c r="T262" s="159" t="s">
        <v>502</v>
      </c>
      <c r="U262" s="197">
        <v>91.3</v>
      </c>
      <c r="V262" s="197">
        <v>81.900000000000006</v>
      </c>
      <c r="W262" s="197">
        <v>91.3</v>
      </c>
      <c r="X262" s="197">
        <v>90.2</v>
      </c>
      <c r="Y262" s="197">
        <v>120.4</v>
      </c>
      <c r="Z262" s="197">
        <v>120.2</v>
      </c>
      <c r="AA262" s="197">
        <v>161.6</v>
      </c>
      <c r="AB262" s="197">
        <v>172.8</v>
      </c>
      <c r="AC262" s="197">
        <v>232.1</v>
      </c>
      <c r="AD262" s="197">
        <v>264.2</v>
      </c>
      <c r="AE262" s="197">
        <v>355</v>
      </c>
      <c r="AF262" s="197">
        <v>430.6</v>
      </c>
      <c r="AG262" s="197">
        <v>591.70000000000005</v>
      </c>
      <c r="AH262" s="197">
        <v>699.1</v>
      </c>
      <c r="AI262" s="197">
        <v>897.8</v>
      </c>
      <c r="AJ262" s="249">
        <v>1029.5999999999999</v>
      </c>
      <c r="AK262" s="249">
        <v>1261.8</v>
      </c>
      <c r="AL262" s="249">
        <v>1422.2</v>
      </c>
      <c r="AM262" s="249">
        <v>1693.1</v>
      </c>
      <c r="AN262" s="249">
        <v>1886.9</v>
      </c>
      <c r="AO262" s="249">
        <v>2202.6</v>
      </c>
      <c r="AP262" s="249">
        <v>2435.4</v>
      </c>
      <c r="AQ262" s="249">
        <v>2802.9</v>
      </c>
      <c r="AR262" s="159"/>
      <c r="AS262" s="1"/>
      <c r="AT262" s="95"/>
      <c r="AU262" s="96"/>
      <c r="AV262" s="95"/>
      <c r="AW262" s="96"/>
      <c r="AX262" s="96"/>
      <c r="AY262" s="223"/>
      <c r="AZ262" s="223"/>
      <c r="BA262" s="159"/>
      <c r="BB262" s="159"/>
      <c r="BC262" s="159"/>
      <c r="BD262" s="159"/>
    </row>
    <row r="263" spans="1:56" x14ac:dyDescent="0.25">
      <c r="A263" s="288"/>
      <c r="B263" s="288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97"/>
      <c r="T263" s="159" t="s">
        <v>503</v>
      </c>
      <c r="U263" s="197">
        <v>91.3</v>
      </c>
      <c r="V263" s="197">
        <v>81.900000000000006</v>
      </c>
      <c r="W263" s="197">
        <v>91.3</v>
      </c>
      <c r="X263" s="197">
        <v>94.9</v>
      </c>
      <c r="Y263" s="197">
        <v>127.4</v>
      </c>
      <c r="Z263" s="197">
        <v>127.1</v>
      </c>
      <c r="AA263" s="197">
        <v>170</v>
      </c>
      <c r="AB263" s="197">
        <v>176.9</v>
      </c>
      <c r="AC263" s="197">
        <v>234.5</v>
      </c>
      <c r="AD263" s="197">
        <v>253.9</v>
      </c>
      <c r="AE263" s="197">
        <v>334.4</v>
      </c>
      <c r="AF263" s="197">
        <v>378.2</v>
      </c>
      <c r="AG263" s="197">
        <v>502.4</v>
      </c>
      <c r="AH263" s="197">
        <v>562.79999999999995</v>
      </c>
      <c r="AI263" s="197">
        <v>711.4</v>
      </c>
      <c r="AJ263" s="197">
        <v>785.8</v>
      </c>
      <c r="AK263" s="197">
        <v>959.5</v>
      </c>
      <c r="AL263" s="249">
        <v>1050.5</v>
      </c>
      <c r="AM263" s="249">
        <v>1253.0999999999999</v>
      </c>
      <c r="AN263" s="249">
        <v>1363.5</v>
      </c>
      <c r="AO263" s="249">
        <v>1599.6</v>
      </c>
      <c r="AP263" s="249">
        <v>1732.7</v>
      </c>
      <c r="AQ263" s="249">
        <v>2007.6</v>
      </c>
      <c r="AR263" s="159"/>
      <c r="AS263" s="1"/>
      <c r="AT263" s="95"/>
      <c r="AU263" s="96"/>
      <c r="AV263" s="95"/>
      <c r="AW263" s="96"/>
      <c r="AX263" s="96"/>
      <c r="AY263" s="223"/>
      <c r="AZ263" s="223"/>
      <c r="BA263" s="159"/>
      <c r="BB263" s="159"/>
      <c r="BC263" s="159"/>
      <c r="BD263" s="159"/>
    </row>
    <row r="264" spans="1:56" x14ac:dyDescent="0.25">
      <c r="A264" s="288"/>
      <c r="B264" s="288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97"/>
      <c r="T264" s="159"/>
      <c r="U264" s="197"/>
      <c r="V264" s="159"/>
      <c r="W264" s="197"/>
      <c r="X264" s="159"/>
      <c r="Y264" s="159"/>
      <c r="Z264" s="159"/>
      <c r="AA264" s="159"/>
      <c r="AB264" s="159"/>
      <c r="AC264" s="159"/>
      <c r="AD264" s="159"/>
      <c r="AE264" s="159"/>
      <c r="AF264" s="159"/>
      <c r="AG264" s="159"/>
      <c r="AH264" s="159"/>
      <c r="AI264" s="159"/>
      <c r="AJ264" s="159"/>
      <c r="AK264" s="159"/>
      <c r="AL264" s="159"/>
      <c r="AM264" s="159"/>
      <c r="AN264" s="159"/>
      <c r="AO264" s="159"/>
      <c r="AP264" s="159"/>
      <c r="AQ264" s="159"/>
      <c r="AR264" s="159"/>
      <c r="AS264" s="1"/>
      <c r="AT264" s="95"/>
      <c r="AU264" s="96"/>
      <c r="AV264" s="95"/>
      <c r="AW264" s="96"/>
      <c r="AX264" s="96"/>
      <c r="AY264" s="223"/>
      <c r="AZ264" s="223"/>
      <c r="BA264" s="159"/>
      <c r="BB264" s="159"/>
      <c r="BC264" s="159"/>
      <c r="BD264" s="159"/>
    </row>
    <row r="265" spans="1:56" x14ac:dyDescent="0.25">
      <c r="A265" s="288"/>
      <c r="B265" s="288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97"/>
      <c r="T265" s="159" t="s">
        <v>167</v>
      </c>
      <c r="U265" s="197"/>
      <c r="V265" s="159"/>
      <c r="W265" s="197"/>
      <c r="X265" s="159"/>
      <c r="Y265" s="159"/>
      <c r="Z265" s="159"/>
      <c r="AA265" s="159"/>
      <c r="AB265" s="159"/>
      <c r="AC265" s="159"/>
      <c r="AD265" s="159"/>
      <c r="AE265" s="159"/>
      <c r="AF265" s="159"/>
      <c r="AG265" s="159"/>
      <c r="AH265" s="159"/>
      <c r="AI265" s="159"/>
      <c r="AJ265" s="159"/>
      <c r="AK265" s="159"/>
      <c r="AL265" s="159"/>
      <c r="AM265" s="159"/>
      <c r="AN265" s="159"/>
      <c r="AO265" s="159"/>
      <c r="AP265" s="159"/>
      <c r="AQ265" s="159"/>
      <c r="AR265" s="159"/>
      <c r="AS265" s="1"/>
      <c r="AT265" s="95"/>
      <c r="AU265" s="96"/>
      <c r="AV265" s="95"/>
      <c r="AW265" s="96"/>
      <c r="AX265" s="96"/>
      <c r="AY265" s="223"/>
      <c r="AZ265" s="223"/>
      <c r="BA265" s="159"/>
      <c r="BB265" s="159"/>
      <c r="BC265" s="159"/>
      <c r="BD265" s="159"/>
    </row>
    <row r="266" spans="1:56" x14ac:dyDescent="0.25">
      <c r="A266" s="288"/>
      <c r="B266" s="288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97"/>
      <c r="T266" s="159" t="s">
        <v>499</v>
      </c>
      <c r="U266" s="197"/>
      <c r="V266" s="159"/>
      <c r="W266" s="197"/>
      <c r="X266" s="250">
        <v>0.21</v>
      </c>
      <c r="Y266" s="250">
        <v>0.2</v>
      </c>
      <c r="Z266" s="250">
        <v>0.2</v>
      </c>
      <c r="AA266" s="250">
        <v>0.2</v>
      </c>
      <c r="AB266" s="250">
        <v>0.2</v>
      </c>
      <c r="AC266" s="250">
        <v>0.19</v>
      </c>
      <c r="AD266" s="250">
        <v>0.2</v>
      </c>
      <c r="AE266" s="250">
        <v>0.19</v>
      </c>
      <c r="AF266" s="250">
        <v>0.2</v>
      </c>
      <c r="AG266" s="250">
        <v>0.19</v>
      </c>
      <c r="AH266" s="250">
        <v>0.19</v>
      </c>
      <c r="AI266" s="250">
        <v>0.19</v>
      </c>
      <c r="AJ266" s="250">
        <v>0.19</v>
      </c>
      <c r="AK266" s="250">
        <v>0.19</v>
      </c>
      <c r="AL266" s="250">
        <v>0.19</v>
      </c>
      <c r="AM266" s="250">
        <v>0.19</v>
      </c>
      <c r="AN266" s="250">
        <v>0.19</v>
      </c>
      <c r="AO266" s="250">
        <v>0.19</v>
      </c>
      <c r="AP266" s="250">
        <v>0.19</v>
      </c>
      <c r="AQ266" s="250">
        <v>0.19</v>
      </c>
      <c r="AR266" s="159"/>
      <c r="AS266" s="1"/>
      <c r="AT266" s="145"/>
      <c r="AU266" s="146"/>
      <c r="AV266" s="145"/>
      <c r="AW266" s="146"/>
      <c r="AX266" s="157"/>
      <c r="AY266" s="223"/>
      <c r="AZ266" s="223"/>
      <c r="BA266" s="159"/>
      <c r="BB266" s="159"/>
      <c r="BC266" s="159"/>
      <c r="BD266" s="159"/>
    </row>
    <row r="267" spans="1:56" x14ac:dyDescent="0.25">
      <c r="A267" s="288"/>
      <c r="B267" s="288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97"/>
      <c r="T267" s="159" t="s">
        <v>500</v>
      </c>
      <c r="U267" s="197"/>
      <c r="V267" s="159"/>
      <c r="W267" s="197"/>
      <c r="X267" s="250">
        <v>0.05</v>
      </c>
      <c r="Y267" s="250">
        <v>0.16</v>
      </c>
      <c r="Z267" s="250">
        <v>0.2</v>
      </c>
      <c r="AA267" s="250">
        <v>0.2</v>
      </c>
      <c r="AB267" s="250">
        <v>0.24</v>
      </c>
      <c r="AC267" s="250">
        <v>0.23</v>
      </c>
      <c r="AD267" s="250">
        <v>0.27</v>
      </c>
      <c r="AE267" s="250">
        <v>0.25</v>
      </c>
      <c r="AF267" s="250">
        <v>0.28999999999999998</v>
      </c>
      <c r="AG267" s="250">
        <v>0.27</v>
      </c>
      <c r="AH267" s="250">
        <v>0.33</v>
      </c>
      <c r="AI267" s="250">
        <v>0.34</v>
      </c>
      <c r="AJ267" s="250">
        <v>0.34</v>
      </c>
      <c r="AK267" s="250">
        <v>0.3</v>
      </c>
      <c r="AL267" s="250">
        <v>0.3</v>
      </c>
      <c r="AM267" s="250">
        <v>0.28000000000000003</v>
      </c>
      <c r="AN267" s="250">
        <v>0.27</v>
      </c>
      <c r="AO267" s="250">
        <v>0.26</v>
      </c>
      <c r="AP267" s="250">
        <v>0.25</v>
      </c>
      <c r="AQ267" s="250">
        <v>0.24</v>
      </c>
      <c r="AR267" s="159"/>
      <c r="AS267" s="1"/>
      <c r="AT267" s="88"/>
      <c r="AU267" s="89"/>
      <c r="AV267" s="88"/>
      <c r="AW267" s="89"/>
      <c r="AX267" s="89"/>
      <c r="AY267" s="223"/>
      <c r="AZ267" s="223"/>
      <c r="BA267" s="159"/>
      <c r="BB267" s="159"/>
      <c r="BC267" s="159"/>
      <c r="BD267" s="159"/>
    </row>
    <row r="268" spans="1:56" x14ac:dyDescent="0.25">
      <c r="A268" s="288"/>
      <c r="B268" s="288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97"/>
      <c r="T268" s="159" t="s">
        <v>501</v>
      </c>
      <c r="U268" s="197"/>
      <c r="V268" s="159"/>
      <c r="W268" s="197"/>
      <c r="X268" s="250">
        <v>0.13</v>
      </c>
      <c r="Y268" s="250">
        <v>0.24</v>
      </c>
      <c r="Z268" s="250">
        <v>0.28000000000000003</v>
      </c>
      <c r="AA268" s="250">
        <v>0.27</v>
      </c>
      <c r="AB268" s="250">
        <v>0.3</v>
      </c>
      <c r="AC268" s="250">
        <v>0.28999999999999998</v>
      </c>
      <c r="AD268" s="250">
        <v>0.31</v>
      </c>
      <c r="AE268" s="250">
        <v>0.28999999999999998</v>
      </c>
      <c r="AF268" s="250">
        <v>0.32</v>
      </c>
      <c r="AG268" s="250">
        <v>0.3</v>
      </c>
      <c r="AH268" s="250">
        <v>0.32</v>
      </c>
      <c r="AI268" s="250">
        <v>0.3</v>
      </c>
      <c r="AJ268" s="250">
        <v>0.3</v>
      </c>
      <c r="AK268" s="250">
        <v>0.27</v>
      </c>
      <c r="AL268" s="250">
        <v>0.27</v>
      </c>
      <c r="AM268" s="250">
        <v>0.25</v>
      </c>
      <c r="AN268" s="250">
        <v>0.25</v>
      </c>
      <c r="AO268" s="250">
        <v>0.24</v>
      </c>
      <c r="AP268" s="250">
        <v>0.24</v>
      </c>
      <c r="AQ268" s="250">
        <v>0.23</v>
      </c>
      <c r="AR268" s="159"/>
      <c r="AS268" s="1"/>
      <c r="AT268" s="88"/>
      <c r="AU268" s="89"/>
      <c r="AV268" s="88"/>
      <c r="AW268" s="89"/>
      <c r="AX268" s="89"/>
      <c r="AY268" s="223"/>
      <c r="AZ268" s="223"/>
      <c r="BA268" s="159"/>
      <c r="BB268" s="159"/>
      <c r="BC268" s="159"/>
      <c r="BD268" s="159"/>
    </row>
    <row r="269" spans="1:56" x14ac:dyDescent="0.25">
      <c r="A269" s="288"/>
      <c r="B269" s="288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97"/>
      <c r="T269" s="159" t="s">
        <v>502</v>
      </c>
      <c r="U269" s="197"/>
      <c r="V269" s="159"/>
      <c r="W269" s="197"/>
      <c r="X269" s="250">
        <v>0.1</v>
      </c>
      <c r="Y269" s="250">
        <v>0.24</v>
      </c>
      <c r="Z269" s="250">
        <v>0.33</v>
      </c>
      <c r="AA269" s="250">
        <v>0.34</v>
      </c>
      <c r="AB269" s="250">
        <v>0.44</v>
      </c>
      <c r="AC269" s="250">
        <v>0.44</v>
      </c>
      <c r="AD269" s="250">
        <v>0.53</v>
      </c>
      <c r="AE269" s="250">
        <v>0.53</v>
      </c>
      <c r="AF269" s="250">
        <v>0.63</v>
      </c>
      <c r="AG269" s="250">
        <v>0.67</v>
      </c>
      <c r="AH269" s="250">
        <v>0.62</v>
      </c>
      <c r="AI269" s="250">
        <v>0.52</v>
      </c>
      <c r="AJ269" s="250">
        <v>0.47</v>
      </c>
      <c r="AK269" s="250">
        <v>0.41</v>
      </c>
      <c r="AL269" s="250">
        <v>0.38</v>
      </c>
      <c r="AM269" s="250">
        <v>0.34</v>
      </c>
      <c r="AN269" s="250">
        <v>0.33</v>
      </c>
      <c r="AO269" s="250">
        <v>0.3</v>
      </c>
      <c r="AP269" s="250">
        <v>0.28999999999999998</v>
      </c>
      <c r="AQ269" s="250">
        <v>0.27</v>
      </c>
      <c r="AR269" s="159"/>
      <c r="AS269" s="1"/>
      <c r="AT269" s="74"/>
      <c r="AU269" s="75"/>
      <c r="AV269" s="74"/>
      <c r="AW269" s="75"/>
      <c r="AX269" s="75"/>
      <c r="AY269" s="223"/>
      <c r="AZ269" s="223"/>
      <c r="BA269" s="159"/>
      <c r="BB269" s="159"/>
      <c r="BC269" s="159"/>
      <c r="BD269" s="159"/>
    </row>
    <row r="270" spans="1:56" x14ac:dyDescent="0.25">
      <c r="A270" s="288"/>
      <c r="B270" s="288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97"/>
      <c r="T270" s="159" t="s">
        <v>503</v>
      </c>
      <c r="U270" s="197"/>
      <c r="V270" s="159"/>
      <c r="W270" s="197"/>
      <c r="X270" s="250">
        <v>0.16</v>
      </c>
      <c r="Y270" s="250">
        <v>0.28000000000000003</v>
      </c>
      <c r="Z270" s="250">
        <v>0.34</v>
      </c>
      <c r="AA270" s="250">
        <v>0.33</v>
      </c>
      <c r="AB270" s="250">
        <v>0.39</v>
      </c>
      <c r="AC270" s="250">
        <v>0.38</v>
      </c>
      <c r="AD270" s="250">
        <v>0.44</v>
      </c>
      <c r="AE270" s="250">
        <v>0.43</v>
      </c>
      <c r="AF270" s="250">
        <v>0.49</v>
      </c>
      <c r="AG270" s="250">
        <v>0.5</v>
      </c>
      <c r="AH270" s="250">
        <v>0.49</v>
      </c>
      <c r="AI270" s="250">
        <v>0.42</v>
      </c>
      <c r="AJ270" s="250">
        <v>0.4</v>
      </c>
      <c r="AK270" s="250">
        <v>0.35</v>
      </c>
      <c r="AL270" s="250">
        <v>0.34</v>
      </c>
      <c r="AM270" s="250">
        <v>0.31</v>
      </c>
      <c r="AN270" s="250">
        <v>0.3</v>
      </c>
      <c r="AO270" s="250">
        <v>0.28000000000000003</v>
      </c>
      <c r="AP270" s="250">
        <v>0.27</v>
      </c>
      <c r="AQ270" s="250">
        <v>0.26</v>
      </c>
      <c r="AR270" s="159"/>
      <c r="AS270" s="1"/>
      <c r="AT270" s="74"/>
      <c r="AU270" s="75"/>
      <c r="AV270" s="74"/>
      <c r="AW270" s="75"/>
      <c r="AX270" s="75"/>
      <c r="AY270" s="223"/>
      <c r="AZ270" s="223"/>
      <c r="BA270" s="159"/>
      <c r="BB270" s="159"/>
      <c r="BC270" s="159"/>
      <c r="BD270" s="159"/>
    </row>
    <row r="271" spans="1:56" x14ac:dyDescent="0.25">
      <c r="A271" s="288"/>
      <c r="B271" s="288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97"/>
      <c r="T271" s="159"/>
      <c r="U271" s="197"/>
      <c r="V271" s="159"/>
      <c r="W271" s="197"/>
      <c r="X271" s="159"/>
      <c r="Y271" s="159"/>
      <c r="Z271" s="159"/>
      <c r="AA271" s="159"/>
      <c r="AB271" s="159"/>
      <c r="AC271" s="159"/>
      <c r="AD271" s="159"/>
      <c r="AE271" s="159"/>
      <c r="AF271" s="159"/>
      <c r="AG271" s="159"/>
      <c r="AH271" s="159"/>
      <c r="AI271" s="159"/>
      <c r="AJ271" s="159"/>
      <c r="AK271" s="159"/>
      <c r="AL271" s="159"/>
      <c r="AM271" s="159"/>
      <c r="AN271" s="159"/>
      <c r="AO271" s="159"/>
      <c r="AP271" s="159"/>
      <c r="AQ271" s="159"/>
      <c r="AR271" s="159"/>
      <c r="AS271" s="1"/>
      <c r="AT271" s="88"/>
      <c r="AU271" s="89"/>
      <c r="AV271" s="88"/>
      <c r="AW271" s="89"/>
      <c r="AX271" s="89"/>
      <c r="AY271" s="223"/>
      <c r="AZ271" s="223"/>
      <c r="BA271" s="159"/>
      <c r="BB271" s="159"/>
      <c r="BC271" s="159"/>
      <c r="BD271" s="159"/>
    </row>
    <row r="272" spans="1:56" x14ac:dyDescent="0.25">
      <c r="A272" s="288"/>
      <c r="B272" s="288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97"/>
      <c r="T272" s="159"/>
      <c r="U272" s="197"/>
      <c r="V272" s="159"/>
      <c r="W272" s="197"/>
      <c r="X272" s="159"/>
      <c r="Y272" s="159"/>
      <c r="Z272" s="159"/>
      <c r="AA272" s="159"/>
      <c r="AB272" s="159"/>
      <c r="AC272" s="159"/>
      <c r="AD272" s="159"/>
      <c r="AE272" s="159"/>
      <c r="AF272" s="159"/>
      <c r="AG272" s="159"/>
      <c r="AH272" s="159"/>
      <c r="AI272" s="159"/>
      <c r="AJ272" s="159"/>
      <c r="AK272" s="159"/>
      <c r="AL272" s="159"/>
      <c r="AM272" s="159"/>
      <c r="AN272" s="159"/>
      <c r="AO272" s="159"/>
      <c r="AP272" s="159"/>
      <c r="AQ272" s="159"/>
      <c r="AR272" s="159"/>
      <c r="AS272" s="1"/>
      <c r="AT272" s="95"/>
      <c r="AU272" s="96"/>
      <c r="AV272" s="95"/>
      <c r="AW272" s="96"/>
      <c r="AX272" s="96"/>
      <c r="AY272" s="223"/>
      <c r="AZ272" s="223"/>
      <c r="BA272" s="159"/>
      <c r="BB272" s="159"/>
      <c r="BC272" s="159"/>
      <c r="BD272" s="159"/>
    </row>
    <row r="273" spans="1:56" x14ac:dyDescent="0.25">
      <c r="A273" s="288"/>
      <c r="B273" s="288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97"/>
      <c r="T273" s="159"/>
      <c r="U273" s="197"/>
      <c r="V273" s="159"/>
      <c r="W273" s="197"/>
      <c r="X273" s="159"/>
      <c r="Y273" s="159"/>
      <c r="Z273" s="159"/>
      <c r="AA273" s="159"/>
      <c r="AB273" s="159"/>
      <c r="AC273" s="159"/>
      <c r="AD273" s="159"/>
      <c r="AE273" s="159"/>
      <c r="AF273" s="159"/>
      <c r="AG273" s="159"/>
      <c r="AH273" s="159"/>
      <c r="AI273" s="159"/>
      <c r="AJ273" s="159"/>
      <c r="AK273" s="159"/>
      <c r="AL273" s="159"/>
      <c r="AM273" s="159"/>
      <c r="AN273" s="159"/>
      <c r="AO273" s="159"/>
      <c r="AP273" s="159"/>
      <c r="AQ273" s="159"/>
      <c r="AR273" s="159"/>
      <c r="AS273" s="1"/>
      <c r="AT273" s="95"/>
      <c r="AU273" s="96"/>
      <c r="AV273" s="95"/>
      <c r="AW273" s="96"/>
      <c r="AX273" s="96"/>
      <c r="AY273" s="223"/>
      <c r="AZ273" s="223"/>
      <c r="BA273" s="159"/>
      <c r="BB273" s="159"/>
      <c r="BC273" s="159"/>
      <c r="BD273" s="159"/>
    </row>
    <row r="274" spans="1:56" x14ac:dyDescent="0.25">
      <c r="A274" s="288"/>
      <c r="B274" s="288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97"/>
      <c r="T274" s="159"/>
      <c r="U274" s="197"/>
      <c r="V274" s="159"/>
      <c r="W274" s="197"/>
      <c r="X274" s="159"/>
      <c r="Y274" s="159"/>
      <c r="Z274" s="159"/>
      <c r="AA274" s="159"/>
      <c r="AB274" s="159"/>
      <c r="AC274" s="159"/>
      <c r="AD274" s="159"/>
      <c r="AE274" s="159"/>
      <c r="AF274" s="159"/>
      <c r="AG274" s="159"/>
      <c r="AH274" s="159"/>
      <c r="AI274" s="159"/>
      <c r="AJ274" s="159"/>
      <c r="AK274" s="159"/>
      <c r="AL274" s="159"/>
      <c r="AM274" s="159"/>
      <c r="AN274" s="159"/>
      <c r="AO274" s="159"/>
      <c r="AP274" s="159"/>
      <c r="AQ274" s="159"/>
      <c r="AR274" s="159"/>
      <c r="AS274" s="1"/>
      <c r="AT274" s="95"/>
      <c r="AU274" s="96"/>
      <c r="AV274" s="95"/>
      <c r="AW274" s="96"/>
      <c r="AX274" s="96"/>
      <c r="AY274" s="223"/>
      <c r="AZ274" s="223"/>
      <c r="BA274" s="159"/>
      <c r="BB274" s="159"/>
      <c r="BC274" s="159"/>
      <c r="BD274" s="159"/>
    </row>
    <row r="275" spans="1:56" x14ac:dyDescent="0.25">
      <c r="A275" s="288"/>
      <c r="B275" s="288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97"/>
      <c r="T275" s="159"/>
      <c r="U275" s="197"/>
      <c r="V275" s="159"/>
      <c r="W275" s="197"/>
      <c r="X275" s="159"/>
      <c r="Y275" s="159"/>
      <c r="Z275" s="159"/>
      <c r="AA275" s="159"/>
      <c r="AB275" s="159"/>
      <c r="AC275" s="159"/>
      <c r="AD275" s="159"/>
      <c r="AE275" s="159"/>
      <c r="AF275" s="159"/>
      <c r="AG275" s="159"/>
      <c r="AH275" s="159"/>
      <c r="AI275" s="159"/>
      <c r="AJ275" s="159"/>
      <c r="AK275" s="159"/>
      <c r="AL275" s="159"/>
      <c r="AM275" s="159"/>
      <c r="AN275" s="159"/>
      <c r="AO275" s="159"/>
      <c r="AP275" s="159"/>
      <c r="AQ275" s="159"/>
      <c r="AR275" s="159"/>
      <c r="AS275" s="1"/>
      <c r="AT275" s="145"/>
      <c r="AU275" s="146"/>
      <c r="AV275" s="145"/>
      <c r="AW275" s="146"/>
      <c r="AX275" s="157"/>
      <c r="AY275" s="223"/>
      <c r="AZ275" s="223"/>
      <c r="BA275" s="159"/>
      <c r="BB275" s="159"/>
      <c r="BC275" s="159"/>
      <c r="BD275" s="159"/>
    </row>
    <row r="276" spans="1:56" x14ac:dyDescent="0.25">
      <c r="A276" s="288"/>
      <c r="B276" s="288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97"/>
      <c r="T276" s="159"/>
      <c r="U276" s="197"/>
      <c r="V276" s="159"/>
      <c r="W276" s="197"/>
      <c r="X276" s="159"/>
      <c r="Y276" s="159"/>
      <c r="Z276" s="159"/>
      <c r="AA276" s="159"/>
      <c r="AB276" s="159"/>
      <c r="AC276" s="159"/>
      <c r="AD276" s="159"/>
      <c r="AE276" s="159"/>
      <c r="AF276" s="159"/>
      <c r="AG276" s="159"/>
      <c r="AH276" s="159"/>
      <c r="AI276" s="159"/>
      <c r="AJ276" s="159"/>
      <c r="AK276" s="159"/>
      <c r="AL276" s="159"/>
      <c r="AM276" s="159"/>
      <c r="AN276" s="159"/>
      <c r="AO276" s="159"/>
      <c r="AP276" s="159"/>
      <c r="AQ276" s="159"/>
      <c r="AR276" s="159"/>
      <c r="AS276" s="1"/>
      <c r="AT276" s="88"/>
      <c r="AU276" s="89"/>
      <c r="AV276" s="88"/>
      <c r="AW276" s="89"/>
      <c r="AX276" s="89"/>
      <c r="AY276" s="223"/>
      <c r="AZ276" s="223"/>
      <c r="BA276" s="159"/>
      <c r="BB276" s="159"/>
      <c r="BC276" s="159"/>
      <c r="BD276" s="159"/>
    </row>
    <row r="277" spans="1:56" x14ac:dyDescent="0.25">
      <c r="A277" s="288"/>
      <c r="B277" s="288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97"/>
      <c r="T277" s="159"/>
      <c r="U277" s="197"/>
      <c r="V277" s="159"/>
      <c r="W277" s="197"/>
      <c r="X277" s="159"/>
      <c r="Y277" s="159"/>
      <c r="Z277" s="159"/>
      <c r="AA277" s="159"/>
      <c r="AB277" s="159"/>
      <c r="AC277" s="159"/>
      <c r="AD277" s="159"/>
      <c r="AE277" s="159"/>
      <c r="AF277" s="159"/>
      <c r="AG277" s="159"/>
      <c r="AH277" s="159"/>
      <c r="AI277" s="159"/>
      <c r="AJ277" s="159"/>
      <c r="AK277" s="159"/>
      <c r="AL277" s="159"/>
      <c r="AM277" s="159"/>
      <c r="AN277" s="159"/>
      <c r="AO277" s="159"/>
      <c r="AP277" s="159"/>
      <c r="AQ277" s="159"/>
      <c r="AR277" s="159"/>
      <c r="AS277" s="1"/>
      <c r="AT277" s="88"/>
      <c r="AU277" s="89"/>
      <c r="AV277" s="88"/>
      <c r="AW277" s="89"/>
      <c r="AX277" s="89"/>
      <c r="AY277" s="223"/>
      <c r="AZ277" s="223"/>
      <c r="BA277" s="159"/>
      <c r="BB277" s="159"/>
      <c r="BC277" s="159"/>
      <c r="BD277" s="159"/>
    </row>
    <row r="278" spans="1:56" x14ac:dyDescent="0.25">
      <c r="A278" s="288"/>
      <c r="B278" s="288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97"/>
      <c r="T278" s="159"/>
      <c r="U278" s="197"/>
      <c r="V278" s="159"/>
      <c r="W278" s="197"/>
      <c r="X278" s="159"/>
      <c r="Y278" s="159"/>
      <c r="Z278" s="159"/>
      <c r="AA278" s="159"/>
      <c r="AB278" s="159"/>
      <c r="AC278" s="159"/>
      <c r="AD278" s="159"/>
      <c r="AE278" s="159"/>
      <c r="AF278" s="159"/>
      <c r="AG278" s="159"/>
      <c r="AH278" s="159"/>
      <c r="AI278" s="159"/>
      <c r="AJ278" s="159"/>
      <c r="AK278" s="159"/>
      <c r="AL278" s="159"/>
      <c r="AM278" s="159"/>
      <c r="AN278" s="159"/>
      <c r="AO278" s="159"/>
      <c r="AP278" s="159"/>
      <c r="AQ278" s="159"/>
      <c r="AR278" s="159"/>
      <c r="AS278" s="1"/>
      <c r="AT278" s="74"/>
      <c r="AU278" s="75"/>
      <c r="AV278" s="74"/>
      <c r="AW278" s="75"/>
      <c r="AX278" s="75"/>
      <c r="AY278" s="223"/>
      <c r="AZ278" s="223"/>
      <c r="BA278" s="159"/>
      <c r="BB278" s="159"/>
      <c r="BC278" s="159"/>
      <c r="BD278" s="159"/>
    </row>
    <row r="279" spans="1:56" x14ac:dyDescent="0.25">
      <c r="A279" s="288"/>
      <c r="B279" s="288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97"/>
      <c r="T279" s="159"/>
      <c r="U279" s="197"/>
      <c r="V279" s="159"/>
      <c r="W279" s="197"/>
      <c r="X279" s="159"/>
      <c r="Y279" s="159"/>
      <c r="Z279" s="159"/>
      <c r="AA279" s="159"/>
      <c r="AB279" s="159"/>
      <c r="AC279" s="159"/>
      <c r="AD279" s="159"/>
      <c r="AE279" s="159"/>
      <c r="AF279" s="159"/>
      <c r="AG279" s="159"/>
      <c r="AH279" s="159"/>
      <c r="AI279" s="159"/>
      <c r="AJ279" s="159"/>
      <c r="AK279" s="159"/>
      <c r="AL279" s="159"/>
      <c r="AM279" s="159"/>
      <c r="AN279" s="159"/>
      <c r="AO279" s="159"/>
      <c r="AP279" s="159"/>
      <c r="AQ279" s="159"/>
      <c r="AR279" s="159"/>
      <c r="AS279" s="1"/>
      <c r="AT279" s="145"/>
      <c r="AU279" s="146"/>
      <c r="AV279" s="145"/>
      <c r="AW279" s="146"/>
      <c r="AX279" s="157"/>
      <c r="AY279" s="223"/>
      <c r="AZ279" s="223"/>
      <c r="BA279" s="159"/>
      <c r="BB279" s="159"/>
      <c r="BC279" s="159"/>
      <c r="BD279" s="159"/>
    </row>
    <row r="280" spans="1:56" x14ac:dyDescent="0.25">
      <c r="A280" s="288"/>
      <c r="B280" s="288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97"/>
      <c r="T280" s="159"/>
      <c r="U280" s="197"/>
      <c r="V280" s="159"/>
      <c r="W280" s="197"/>
      <c r="X280" s="159"/>
      <c r="Y280" s="159"/>
      <c r="Z280" s="159"/>
      <c r="AA280" s="159"/>
      <c r="AB280" s="159"/>
      <c r="AC280" s="159"/>
      <c r="AD280" s="159"/>
      <c r="AE280" s="159"/>
      <c r="AF280" s="159"/>
      <c r="AG280" s="159"/>
      <c r="AH280" s="159"/>
      <c r="AI280" s="159"/>
      <c r="AJ280" s="159"/>
      <c r="AK280" s="159"/>
      <c r="AL280" s="159"/>
      <c r="AM280" s="159"/>
      <c r="AN280" s="159"/>
      <c r="AO280" s="159"/>
      <c r="AP280" s="159"/>
      <c r="AQ280" s="159"/>
      <c r="AR280" s="159"/>
      <c r="AS280" s="1"/>
      <c r="AT280" s="156"/>
      <c r="AU280" s="157"/>
      <c r="AV280" s="156"/>
      <c r="AW280" s="157"/>
      <c r="AX280" s="157"/>
      <c r="AY280" s="223"/>
      <c r="AZ280" s="223"/>
      <c r="BA280" s="159"/>
      <c r="BB280" s="159"/>
      <c r="BC280" s="159"/>
      <c r="BD280" s="159"/>
    </row>
    <row r="281" spans="1:56" x14ac:dyDescent="0.25">
      <c r="A281" s="288"/>
      <c r="B281" s="288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97"/>
      <c r="T281" s="159"/>
      <c r="U281" s="197"/>
      <c r="V281" s="159"/>
      <c r="W281" s="197"/>
      <c r="X281" s="159"/>
      <c r="Y281" s="159"/>
      <c r="Z281" s="159"/>
      <c r="AA281" s="159"/>
      <c r="AB281" s="159"/>
      <c r="AC281" s="159"/>
      <c r="AD281" s="159"/>
      <c r="AE281" s="159"/>
      <c r="AF281" s="159"/>
      <c r="AG281" s="159"/>
      <c r="AH281" s="159"/>
      <c r="AI281" s="159"/>
      <c r="AJ281" s="159"/>
      <c r="AK281" s="159"/>
      <c r="AL281" s="159"/>
      <c r="AM281" s="159"/>
      <c r="AN281" s="159"/>
      <c r="AO281" s="159"/>
      <c r="AP281" s="159"/>
      <c r="AQ281" s="159"/>
      <c r="AR281" s="159"/>
      <c r="AS281" s="1"/>
      <c r="AT281" s="140"/>
      <c r="AU281" s="141"/>
      <c r="AV281" s="140"/>
      <c r="AW281" s="141"/>
      <c r="AX281" s="141"/>
      <c r="AY281" s="223"/>
      <c r="AZ281" s="223"/>
      <c r="BA281" s="159"/>
      <c r="BB281" s="159"/>
      <c r="BC281" s="159"/>
      <c r="BD281" s="159"/>
    </row>
    <row r="282" spans="1:56" x14ac:dyDescent="0.25">
      <c r="A282" s="288"/>
      <c r="B282" s="288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97"/>
      <c r="T282" s="159"/>
      <c r="U282" s="197"/>
      <c r="V282" s="159"/>
      <c r="W282" s="197"/>
      <c r="X282" s="159"/>
      <c r="Y282" s="159"/>
      <c r="Z282" s="159"/>
      <c r="AA282" s="159"/>
      <c r="AB282" s="159"/>
      <c r="AC282" s="159"/>
      <c r="AD282" s="159"/>
      <c r="AE282" s="159"/>
      <c r="AF282" s="159"/>
      <c r="AG282" s="159"/>
      <c r="AH282" s="159"/>
      <c r="AI282" s="159"/>
      <c r="AJ282" s="159"/>
      <c r="AK282" s="159"/>
      <c r="AL282" s="159"/>
      <c r="AM282" s="159"/>
      <c r="AN282" s="159"/>
      <c r="AO282" s="159"/>
      <c r="AP282" s="159"/>
      <c r="AQ282" s="159"/>
      <c r="AR282" s="159"/>
      <c r="AS282" s="1"/>
      <c r="AT282" s="74"/>
      <c r="AU282" s="75"/>
      <c r="AV282" s="74"/>
      <c r="AW282" s="75"/>
      <c r="AX282" s="75"/>
      <c r="AY282" s="223"/>
      <c r="AZ282" s="223"/>
      <c r="BA282" s="159"/>
      <c r="BB282" s="159"/>
      <c r="BC282" s="159"/>
      <c r="BD282" s="159"/>
    </row>
    <row r="283" spans="1:56" x14ac:dyDescent="0.25">
      <c r="A283" s="288"/>
      <c r="B283" s="288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97"/>
      <c r="T283" s="159"/>
      <c r="U283" s="197"/>
      <c r="V283" s="159"/>
      <c r="W283" s="197"/>
      <c r="X283" s="159"/>
      <c r="Y283" s="159"/>
      <c r="Z283" s="159"/>
      <c r="AA283" s="159"/>
      <c r="AB283" s="159"/>
      <c r="AC283" s="159"/>
      <c r="AD283" s="159"/>
      <c r="AE283" s="159"/>
      <c r="AF283" s="159"/>
      <c r="AG283" s="159"/>
      <c r="AH283" s="159"/>
      <c r="AI283" s="159"/>
      <c r="AJ283" s="159"/>
      <c r="AK283" s="159"/>
      <c r="AL283" s="159"/>
      <c r="AM283" s="159"/>
      <c r="AN283" s="159"/>
      <c r="AO283" s="159"/>
      <c r="AP283" s="159"/>
      <c r="AQ283" s="159"/>
      <c r="AR283" s="159"/>
      <c r="AS283" s="1"/>
      <c r="AT283" s="88"/>
      <c r="AU283" s="89"/>
      <c r="AV283" s="88"/>
      <c r="AW283" s="89"/>
      <c r="AX283" s="89"/>
      <c r="AY283" s="223"/>
      <c r="AZ283" s="223"/>
      <c r="BA283" s="159"/>
      <c r="BB283" s="159"/>
      <c r="BC283" s="159"/>
      <c r="BD283" s="159"/>
    </row>
    <row r="284" spans="1:56" x14ac:dyDescent="0.25">
      <c r="A284" s="288"/>
      <c r="B284" s="288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97"/>
      <c r="T284" s="159"/>
      <c r="U284" s="197"/>
      <c r="V284" s="159"/>
      <c r="W284" s="197"/>
      <c r="X284" s="159"/>
      <c r="Y284" s="159"/>
      <c r="Z284" s="159"/>
      <c r="AA284" s="159"/>
      <c r="AB284" s="159"/>
      <c r="AC284" s="159"/>
      <c r="AD284" s="159"/>
      <c r="AE284" s="159"/>
      <c r="AF284" s="159"/>
      <c r="AG284" s="159"/>
      <c r="AH284" s="159"/>
      <c r="AI284" s="159"/>
      <c r="AJ284" s="159"/>
      <c r="AK284" s="159"/>
      <c r="AL284" s="159"/>
      <c r="AM284" s="159"/>
      <c r="AN284" s="159"/>
      <c r="AO284" s="159"/>
      <c r="AP284" s="159"/>
      <c r="AQ284" s="159"/>
      <c r="AR284" s="159"/>
      <c r="AS284" s="1"/>
      <c r="AT284" s="88"/>
      <c r="AU284" s="89"/>
      <c r="AV284" s="88"/>
      <c r="AW284" s="89"/>
      <c r="AX284" s="89"/>
      <c r="AY284" s="223"/>
      <c r="AZ284" s="223"/>
      <c r="BA284" s="159"/>
      <c r="BB284" s="159"/>
      <c r="BC284" s="159"/>
      <c r="BD284" s="159"/>
    </row>
    <row r="285" spans="1:56" x14ac:dyDescent="0.25">
      <c r="A285" s="288"/>
      <c r="B285" s="288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97"/>
      <c r="T285" s="159"/>
      <c r="U285" s="197"/>
      <c r="V285" s="159"/>
      <c r="W285" s="197"/>
      <c r="X285" s="159"/>
      <c r="Y285" s="159"/>
      <c r="Z285" s="159"/>
      <c r="AA285" s="159"/>
      <c r="AB285" s="159"/>
      <c r="AC285" s="159"/>
      <c r="AD285" s="159"/>
      <c r="AE285" s="159"/>
      <c r="AF285" s="159"/>
      <c r="AG285" s="159"/>
      <c r="AH285" s="159"/>
      <c r="AI285" s="159"/>
      <c r="AJ285" s="159"/>
      <c r="AK285" s="159"/>
      <c r="AL285" s="159"/>
      <c r="AM285" s="159"/>
      <c r="AN285" s="159"/>
      <c r="AO285" s="159"/>
      <c r="AP285" s="159"/>
      <c r="AQ285" s="159"/>
      <c r="AR285" s="159"/>
      <c r="AS285" s="1"/>
      <c r="AT285" s="145"/>
      <c r="AU285" s="146"/>
      <c r="AV285" s="145"/>
      <c r="AW285" s="146"/>
      <c r="AX285" s="157"/>
      <c r="AY285" s="223"/>
      <c r="AZ285" s="223"/>
      <c r="BA285" s="159"/>
      <c r="BB285" s="159"/>
      <c r="BC285" s="159"/>
      <c r="BD285" s="159"/>
    </row>
    <row r="286" spans="1:56" x14ac:dyDescent="0.25">
      <c r="A286" s="288"/>
      <c r="B286" s="288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97"/>
      <c r="T286" s="159"/>
      <c r="U286" s="197"/>
      <c r="V286" s="159"/>
      <c r="W286" s="197"/>
      <c r="X286" s="159"/>
      <c r="Y286" s="159"/>
      <c r="Z286" s="159"/>
      <c r="AA286" s="159"/>
      <c r="AB286" s="159"/>
      <c r="AC286" s="159"/>
      <c r="AD286" s="159"/>
      <c r="AE286" s="159"/>
      <c r="AF286" s="159"/>
      <c r="AG286" s="159"/>
      <c r="AH286" s="159"/>
      <c r="AI286" s="159"/>
      <c r="AJ286" s="159"/>
      <c r="AK286" s="159"/>
      <c r="AL286" s="159"/>
      <c r="AM286" s="159"/>
      <c r="AN286" s="159"/>
      <c r="AO286" s="159"/>
      <c r="AP286" s="159"/>
      <c r="AQ286" s="159"/>
      <c r="AR286" s="159"/>
      <c r="AS286" s="1"/>
      <c r="AT286" s="145"/>
      <c r="AU286" s="146"/>
      <c r="AV286" s="145"/>
      <c r="AW286" s="146"/>
      <c r="AX286" s="157"/>
      <c r="AY286" s="223"/>
      <c r="AZ286" s="223"/>
      <c r="BA286" s="159"/>
      <c r="BB286" s="159"/>
      <c r="BC286" s="159"/>
      <c r="BD286" s="159"/>
    </row>
    <row r="287" spans="1:56" x14ac:dyDescent="0.25">
      <c r="A287" s="288"/>
      <c r="B287" s="288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97"/>
      <c r="T287" s="159"/>
      <c r="U287" s="197"/>
      <c r="V287" s="159"/>
      <c r="W287" s="197"/>
      <c r="X287" s="159"/>
      <c r="Y287" s="159"/>
      <c r="Z287" s="159"/>
      <c r="AA287" s="159"/>
      <c r="AB287" s="159"/>
      <c r="AC287" s="159"/>
      <c r="AD287" s="159"/>
      <c r="AE287" s="159"/>
      <c r="AF287" s="159"/>
      <c r="AG287" s="159"/>
      <c r="AH287" s="159"/>
      <c r="AI287" s="159"/>
      <c r="AJ287" s="159"/>
      <c r="AK287" s="159"/>
      <c r="AL287" s="159"/>
      <c r="AM287" s="159"/>
      <c r="AN287" s="159"/>
      <c r="AO287" s="159"/>
      <c r="AP287" s="159"/>
      <c r="AQ287" s="159"/>
      <c r="AR287" s="159"/>
      <c r="AS287" s="1"/>
      <c r="AT287" s="88"/>
      <c r="AU287" s="89"/>
      <c r="AV287" s="88"/>
      <c r="AW287" s="89"/>
      <c r="AX287" s="89"/>
      <c r="AY287" s="223"/>
      <c r="AZ287" s="223"/>
      <c r="BA287" s="159"/>
      <c r="BB287" s="159"/>
      <c r="BC287" s="159"/>
      <c r="BD287" s="159"/>
    </row>
    <row r="288" spans="1:56" x14ac:dyDescent="0.25">
      <c r="A288" s="288"/>
      <c r="B288" s="288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97"/>
      <c r="T288" s="159"/>
      <c r="U288" s="197"/>
      <c r="V288" s="159"/>
      <c r="W288" s="197"/>
      <c r="X288" s="159"/>
      <c r="Y288" s="159"/>
      <c r="Z288" s="159"/>
      <c r="AA288" s="159"/>
      <c r="AB288" s="159"/>
      <c r="AC288" s="159"/>
      <c r="AD288" s="159"/>
      <c r="AE288" s="159"/>
      <c r="AF288" s="159"/>
      <c r="AG288" s="159"/>
      <c r="AH288" s="159"/>
      <c r="AI288" s="159"/>
      <c r="AJ288" s="159"/>
      <c r="AK288" s="159"/>
      <c r="AL288" s="159"/>
      <c r="AM288" s="159"/>
      <c r="AN288" s="159"/>
      <c r="AO288" s="159"/>
      <c r="AP288" s="159"/>
      <c r="AQ288" s="159"/>
      <c r="AR288" s="159"/>
      <c r="AS288" s="1"/>
      <c r="AT288" s="88"/>
      <c r="AU288" s="89"/>
      <c r="AV288" s="88"/>
      <c r="AW288" s="89"/>
      <c r="AX288" s="89"/>
      <c r="AY288" s="223"/>
      <c r="AZ288" s="223"/>
      <c r="BA288" s="159"/>
      <c r="BB288" s="159"/>
      <c r="BC288" s="159"/>
      <c r="BD288" s="159"/>
    </row>
    <row r="289" spans="1:56" x14ac:dyDescent="0.25">
      <c r="A289" s="288"/>
      <c r="B289" s="288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97"/>
      <c r="T289" s="159"/>
      <c r="U289" s="197"/>
      <c r="V289" s="159"/>
      <c r="W289" s="197"/>
      <c r="X289" s="159"/>
      <c r="Y289" s="159"/>
      <c r="Z289" s="159"/>
      <c r="AA289" s="159"/>
      <c r="AB289" s="159"/>
      <c r="AC289" s="159"/>
      <c r="AD289" s="159"/>
      <c r="AE289" s="159"/>
      <c r="AF289" s="159"/>
      <c r="AG289" s="159"/>
      <c r="AH289" s="159"/>
      <c r="AI289" s="159"/>
      <c r="AJ289" s="159"/>
      <c r="AK289" s="159"/>
      <c r="AL289" s="159"/>
      <c r="AM289" s="159"/>
      <c r="AN289" s="159"/>
      <c r="AO289" s="159"/>
      <c r="AP289" s="159"/>
      <c r="AQ289" s="159"/>
      <c r="AR289" s="159"/>
      <c r="AS289" s="1"/>
      <c r="AT289" s="88"/>
      <c r="AU289" s="89"/>
      <c r="AV289" s="88"/>
      <c r="AW289" s="89"/>
      <c r="AX289" s="89"/>
      <c r="AY289" s="223"/>
      <c r="AZ289" s="223"/>
      <c r="BA289" s="159"/>
      <c r="BB289" s="159"/>
      <c r="BC289" s="159"/>
      <c r="BD289" s="159"/>
    </row>
    <row r="290" spans="1:56" x14ac:dyDescent="0.25">
      <c r="A290" s="288"/>
      <c r="B290" s="288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97"/>
      <c r="T290" s="159"/>
      <c r="U290" s="197"/>
      <c r="V290" s="159"/>
      <c r="W290" s="197"/>
      <c r="X290" s="159"/>
      <c r="Y290" s="159"/>
      <c r="Z290" s="159"/>
      <c r="AA290" s="159"/>
      <c r="AB290" s="159"/>
      <c r="AC290" s="159"/>
      <c r="AD290" s="159"/>
      <c r="AE290" s="159"/>
      <c r="AF290" s="159"/>
      <c r="AG290" s="159"/>
      <c r="AH290" s="159"/>
      <c r="AI290" s="159"/>
      <c r="AJ290" s="159"/>
      <c r="AK290" s="159"/>
      <c r="AL290" s="159"/>
      <c r="AM290" s="159"/>
      <c r="AN290" s="159"/>
      <c r="AO290" s="159"/>
      <c r="AP290" s="159"/>
      <c r="AQ290" s="159"/>
      <c r="AR290" s="159"/>
      <c r="AS290" s="1"/>
      <c r="AT290" s="88"/>
      <c r="AU290" s="89"/>
      <c r="AV290" s="88"/>
      <c r="AW290" s="89"/>
      <c r="AX290" s="89"/>
      <c r="AY290" s="223"/>
      <c r="AZ290" s="223"/>
      <c r="BA290" s="159"/>
      <c r="BB290" s="159"/>
      <c r="BC290" s="159"/>
      <c r="BD290" s="159"/>
    </row>
    <row r="291" spans="1:56" x14ac:dyDescent="0.25">
      <c r="A291" s="288"/>
      <c r="B291" s="288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97"/>
      <c r="T291" s="159"/>
      <c r="U291" s="197"/>
      <c r="V291" s="159"/>
      <c r="W291" s="197"/>
      <c r="X291" s="159"/>
      <c r="Y291" s="159"/>
      <c r="Z291" s="159"/>
      <c r="AA291" s="159"/>
      <c r="AB291" s="159"/>
      <c r="AC291" s="159"/>
      <c r="AD291" s="159"/>
      <c r="AE291" s="159"/>
      <c r="AF291" s="159"/>
      <c r="AG291" s="159"/>
      <c r="AH291" s="159"/>
      <c r="AI291" s="159"/>
      <c r="AJ291" s="159"/>
      <c r="AK291" s="159"/>
      <c r="AL291" s="159"/>
      <c r="AM291" s="159"/>
      <c r="AN291" s="159"/>
      <c r="AO291" s="159"/>
      <c r="AP291" s="159"/>
      <c r="AQ291" s="159"/>
      <c r="AR291" s="159"/>
      <c r="AS291" s="1"/>
      <c r="AT291" s="88"/>
      <c r="AU291" s="89"/>
      <c r="AV291" s="88"/>
      <c r="AW291" s="89"/>
      <c r="AX291" s="89"/>
      <c r="AY291" s="223"/>
      <c r="AZ291" s="223"/>
      <c r="BA291" s="159"/>
      <c r="BB291" s="159"/>
      <c r="BC291" s="159"/>
      <c r="BD291" s="159"/>
    </row>
    <row r="292" spans="1:56" x14ac:dyDescent="0.25">
      <c r="A292" s="288"/>
      <c r="B292" s="288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97"/>
      <c r="T292" s="159"/>
      <c r="U292" s="197"/>
      <c r="V292" s="159"/>
      <c r="W292" s="197"/>
      <c r="X292" s="159"/>
      <c r="Y292" s="159"/>
      <c r="Z292" s="159"/>
      <c r="AA292" s="159"/>
      <c r="AB292" s="159"/>
      <c r="AC292" s="159"/>
      <c r="AD292" s="159"/>
      <c r="AE292" s="159"/>
      <c r="AF292" s="159"/>
      <c r="AG292" s="159"/>
      <c r="AH292" s="159"/>
      <c r="AI292" s="159"/>
      <c r="AJ292" s="159"/>
      <c r="AK292" s="159"/>
      <c r="AL292" s="159"/>
      <c r="AM292" s="159"/>
      <c r="AN292" s="159"/>
      <c r="AO292" s="159"/>
      <c r="AP292" s="159"/>
      <c r="AQ292" s="159"/>
      <c r="AR292" s="159"/>
      <c r="AS292" s="159"/>
      <c r="AT292" s="173"/>
      <c r="AU292" s="174"/>
      <c r="AV292" s="173"/>
      <c r="AW292" s="174"/>
      <c r="AX292" s="174"/>
      <c r="AY292" s="223"/>
      <c r="AZ292" s="223"/>
      <c r="BA292" s="159"/>
      <c r="BB292" s="159"/>
      <c r="BC292" s="159"/>
      <c r="BD292" s="159"/>
    </row>
    <row r="293" spans="1:56" x14ac:dyDescent="0.25">
      <c r="A293" s="288"/>
      <c r="B293" s="288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97"/>
      <c r="T293" s="159"/>
      <c r="U293" s="197"/>
      <c r="V293" s="159"/>
      <c r="W293" s="197"/>
      <c r="X293" s="159"/>
      <c r="Y293" s="159"/>
      <c r="Z293" s="159"/>
      <c r="AA293" s="159"/>
      <c r="AB293" s="159"/>
      <c r="AC293" s="159"/>
      <c r="AD293" s="159"/>
      <c r="AE293" s="159"/>
      <c r="AF293" s="159"/>
      <c r="AG293" s="159"/>
      <c r="AH293" s="159"/>
      <c r="AI293" s="159"/>
      <c r="AJ293" s="159"/>
      <c r="AK293" s="159"/>
      <c r="AL293" s="159"/>
      <c r="AM293" s="159"/>
      <c r="AN293" s="159"/>
      <c r="AO293" s="159"/>
      <c r="AP293" s="159"/>
      <c r="AQ293" s="159"/>
      <c r="AR293" s="159"/>
      <c r="AS293" s="1"/>
      <c r="AT293" s="74"/>
      <c r="AU293" s="75"/>
      <c r="AV293" s="74"/>
      <c r="AW293" s="75"/>
      <c r="AX293" s="75"/>
      <c r="AY293" s="223"/>
      <c r="AZ293" s="223"/>
      <c r="BA293" s="159"/>
      <c r="BB293" s="159"/>
      <c r="BC293" s="159"/>
      <c r="BD293" s="159"/>
    </row>
    <row r="294" spans="1:56" x14ac:dyDescent="0.25">
      <c r="A294" s="288"/>
      <c r="B294" s="288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97"/>
      <c r="T294" s="159"/>
      <c r="U294" s="197"/>
      <c r="V294" s="159"/>
      <c r="W294" s="197"/>
      <c r="X294" s="159"/>
      <c r="Y294" s="159"/>
      <c r="Z294" s="159"/>
      <c r="AA294" s="159"/>
      <c r="AB294" s="159"/>
      <c r="AC294" s="159"/>
      <c r="AD294" s="159"/>
      <c r="AE294" s="159"/>
      <c r="AF294" s="159"/>
      <c r="AG294" s="159"/>
      <c r="AH294" s="159"/>
      <c r="AI294" s="159"/>
      <c r="AJ294" s="159"/>
      <c r="AK294" s="159"/>
      <c r="AL294" s="159"/>
      <c r="AM294" s="159"/>
      <c r="AN294" s="159"/>
      <c r="AO294" s="159"/>
      <c r="AP294" s="159"/>
      <c r="AQ294" s="159"/>
      <c r="AR294" s="159"/>
      <c r="AS294" s="1"/>
      <c r="AT294" s="88"/>
      <c r="AU294" s="89"/>
      <c r="AV294" s="88"/>
      <c r="AW294" s="89"/>
      <c r="AX294" s="89"/>
      <c r="AY294" s="223"/>
      <c r="AZ294" s="223"/>
      <c r="BA294" s="159"/>
      <c r="BB294" s="159"/>
      <c r="BC294" s="159"/>
      <c r="BD294" s="159"/>
    </row>
    <row r="295" spans="1:56" x14ac:dyDescent="0.25">
      <c r="A295" s="288"/>
      <c r="B295" s="288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97"/>
      <c r="T295" s="159"/>
      <c r="U295" s="197"/>
      <c r="V295" s="159"/>
      <c r="W295" s="197"/>
      <c r="X295" s="159"/>
      <c r="Y295" s="159"/>
      <c r="Z295" s="159"/>
      <c r="AA295" s="159"/>
      <c r="AB295" s="159"/>
      <c r="AC295" s="159"/>
      <c r="AD295" s="159"/>
      <c r="AE295" s="159"/>
      <c r="AF295" s="159"/>
      <c r="AG295" s="159"/>
      <c r="AH295" s="159"/>
      <c r="AI295" s="159"/>
      <c r="AJ295" s="159"/>
      <c r="AK295" s="159"/>
      <c r="AL295" s="159"/>
      <c r="AM295" s="159"/>
      <c r="AN295" s="159"/>
      <c r="AO295" s="159"/>
      <c r="AP295" s="159"/>
      <c r="AQ295" s="159"/>
      <c r="AR295" s="159"/>
      <c r="AS295" s="1"/>
      <c r="AT295" s="88"/>
      <c r="AU295" s="89"/>
      <c r="AV295" s="88"/>
      <c r="AW295" s="89"/>
      <c r="AX295" s="89"/>
      <c r="AY295" s="223"/>
      <c r="AZ295" s="223"/>
      <c r="BA295" s="159"/>
      <c r="BB295" s="159"/>
      <c r="BC295" s="159"/>
      <c r="BD295" s="159"/>
    </row>
    <row r="296" spans="1:56" x14ac:dyDescent="0.25">
      <c r="A296" s="288"/>
      <c r="B296" s="288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97"/>
      <c r="T296" s="159"/>
      <c r="U296" s="197"/>
      <c r="V296" s="159"/>
      <c r="W296" s="197"/>
      <c r="X296" s="159"/>
      <c r="Y296" s="159"/>
      <c r="Z296" s="159"/>
      <c r="AA296" s="159"/>
      <c r="AB296" s="159"/>
      <c r="AC296" s="159"/>
      <c r="AD296" s="159"/>
      <c r="AE296" s="159"/>
      <c r="AF296" s="159"/>
      <c r="AG296" s="159"/>
      <c r="AH296" s="159"/>
      <c r="AI296" s="159"/>
      <c r="AJ296" s="159"/>
      <c r="AK296" s="159"/>
      <c r="AL296" s="159"/>
      <c r="AM296" s="159"/>
      <c r="AN296" s="159"/>
      <c r="AO296" s="159"/>
      <c r="AP296" s="159"/>
      <c r="AQ296" s="159"/>
      <c r="AR296" s="159"/>
      <c r="AS296" s="1"/>
      <c r="AT296" s="88"/>
      <c r="AU296" s="89"/>
      <c r="AV296" s="88"/>
      <c r="AW296" s="89"/>
      <c r="AX296" s="89"/>
      <c r="AY296" s="223"/>
      <c r="AZ296" s="223"/>
      <c r="BA296" s="159"/>
      <c r="BB296" s="159"/>
      <c r="BC296" s="159"/>
      <c r="BD296" s="159"/>
    </row>
    <row r="297" spans="1:56" x14ac:dyDescent="0.25">
      <c r="A297" s="288"/>
      <c r="B297" s="288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97"/>
      <c r="T297" s="159"/>
      <c r="U297" s="197"/>
      <c r="V297" s="159"/>
      <c r="W297" s="197"/>
      <c r="X297" s="159"/>
      <c r="Y297" s="159"/>
      <c r="Z297" s="159"/>
      <c r="AA297" s="159"/>
      <c r="AB297" s="159"/>
      <c r="AC297" s="159"/>
      <c r="AD297" s="159"/>
      <c r="AE297" s="159"/>
      <c r="AF297" s="159"/>
      <c r="AG297" s="159"/>
      <c r="AH297" s="159"/>
      <c r="AI297" s="159"/>
      <c r="AJ297" s="159"/>
      <c r="AK297" s="159"/>
      <c r="AL297" s="159"/>
      <c r="AM297" s="159"/>
      <c r="AN297" s="159"/>
      <c r="AO297" s="159"/>
      <c r="AP297" s="159"/>
      <c r="AQ297" s="159"/>
      <c r="AR297" s="159"/>
      <c r="AS297" s="1"/>
      <c r="AT297" s="88"/>
      <c r="AU297" s="89"/>
      <c r="AV297" s="88"/>
      <c r="AW297" s="89"/>
      <c r="AX297" s="89"/>
      <c r="AY297" s="223"/>
      <c r="AZ297" s="223"/>
      <c r="BA297" s="159"/>
      <c r="BB297" s="159"/>
      <c r="BC297" s="159"/>
      <c r="BD297" s="159"/>
    </row>
    <row r="298" spans="1:56" x14ac:dyDescent="0.25">
      <c r="A298" s="288"/>
      <c r="B298" s="288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97"/>
      <c r="T298" s="159"/>
      <c r="U298" s="197"/>
      <c r="V298" s="159"/>
      <c r="W298" s="197"/>
      <c r="X298" s="159"/>
      <c r="Y298" s="159"/>
      <c r="Z298" s="159"/>
      <c r="AA298" s="159"/>
      <c r="AB298" s="159"/>
      <c r="AC298" s="159"/>
      <c r="AD298" s="159"/>
      <c r="AE298" s="159"/>
      <c r="AF298" s="159"/>
      <c r="AG298" s="159"/>
      <c r="AH298" s="159"/>
      <c r="AI298" s="159"/>
      <c r="AJ298" s="159"/>
      <c r="AK298" s="159"/>
      <c r="AL298" s="159"/>
      <c r="AM298" s="159"/>
      <c r="AN298" s="159"/>
      <c r="AO298" s="159"/>
      <c r="AP298" s="159"/>
      <c r="AQ298" s="159"/>
      <c r="AR298" s="159"/>
      <c r="AS298" s="1"/>
      <c r="AT298" s="88"/>
      <c r="AU298" s="89"/>
      <c r="AV298" s="88"/>
      <c r="AW298" s="89"/>
      <c r="AX298" s="89"/>
      <c r="AY298" s="223"/>
      <c r="AZ298" s="223"/>
      <c r="BA298" s="159"/>
      <c r="BB298" s="159"/>
      <c r="BC298" s="159"/>
      <c r="BD298" s="159"/>
    </row>
    <row r="299" spans="1:56" x14ac:dyDescent="0.25">
      <c r="A299" s="288"/>
      <c r="B299" s="288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97"/>
      <c r="T299" s="159"/>
      <c r="U299" s="197"/>
      <c r="V299" s="159"/>
      <c r="W299" s="197"/>
      <c r="X299" s="159"/>
      <c r="Y299" s="159"/>
      <c r="Z299" s="159"/>
      <c r="AA299" s="159"/>
      <c r="AB299" s="159"/>
      <c r="AC299" s="159"/>
      <c r="AD299" s="159"/>
      <c r="AE299" s="159"/>
      <c r="AF299" s="159"/>
      <c r="AG299" s="159"/>
      <c r="AH299" s="159"/>
      <c r="AI299" s="159"/>
      <c r="AJ299" s="159"/>
      <c r="AK299" s="159"/>
      <c r="AL299" s="159"/>
      <c r="AM299" s="159"/>
      <c r="AN299" s="159"/>
      <c r="AO299" s="159"/>
      <c r="AP299" s="159"/>
      <c r="AQ299" s="159"/>
      <c r="AR299" s="159"/>
      <c r="AS299" s="159"/>
      <c r="AT299" s="173"/>
      <c r="AU299" s="174"/>
      <c r="AV299" s="173"/>
      <c r="AW299" s="174"/>
      <c r="AX299" s="174"/>
      <c r="AY299" s="223"/>
      <c r="AZ299" s="223"/>
      <c r="BA299" s="159"/>
      <c r="BB299" s="159"/>
      <c r="BC299" s="159"/>
      <c r="BD299" s="159"/>
    </row>
    <row r="300" spans="1:56" x14ac:dyDescent="0.25">
      <c r="A300" s="288"/>
      <c r="B300" s="288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97"/>
      <c r="T300" s="159"/>
      <c r="U300" s="197"/>
      <c r="V300" s="159"/>
      <c r="W300" s="197"/>
      <c r="X300" s="159"/>
      <c r="Y300" s="159"/>
      <c r="Z300" s="159"/>
      <c r="AA300" s="159"/>
      <c r="AB300" s="159"/>
      <c r="AC300" s="159"/>
      <c r="AD300" s="159"/>
      <c r="AE300" s="159"/>
      <c r="AF300" s="159"/>
      <c r="AG300" s="159"/>
      <c r="AH300" s="159"/>
      <c r="AI300" s="159"/>
      <c r="AJ300" s="159"/>
      <c r="AK300" s="159"/>
      <c r="AL300" s="159"/>
      <c r="AM300" s="159"/>
      <c r="AN300" s="159"/>
      <c r="AO300" s="159"/>
      <c r="AP300" s="159"/>
      <c r="AQ300" s="159"/>
      <c r="AR300" s="159"/>
      <c r="AS300" s="1"/>
      <c r="AT300" s="74"/>
      <c r="AU300" s="75"/>
      <c r="AV300" s="74"/>
      <c r="AW300" s="75"/>
      <c r="AX300" s="75"/>
      <c r="AY300" s="223"/>
      <c r="AZ300" s="223"/>
      <c r="BA300" s="159"/>
      <c r="BB300" s="159"/>
      <c r="BC300" s="159"/>
      <c r="BD300" s="159"/>
    </row>
    <row r="301" spans="1:56" x14ac:dyDescent="0.25">
      <c r="A301" s="288"/>
      <c r="B301" s="288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97"/>
      <c r="T301" s="159"/>
      <c r="U301" s="197"/>
      <c r="V301" s="159"/>
      <c r="W301" s="197"/>
      <c r="X301" s="159"/>
      <c r="Y301" s="159"/>
      <c r="Z301" s="159"/>
      <c r="AA301" s="159"/>
      <c r="AB301" s="159"/>
      <c r="AC301" s="159"/>
      <c r="AD301" s="159"/>
      <c r="AE301" s="159"/>
      <c r="AF301" s="159"/>
      <c r="AG301" s="159"/>
      <c r="AH301" s="159"/>
      <c r="AI301" s="159"/>
      <c r="AJ301" s="159"/>
      <c r="AK301" s="159"/>
      <c r="AL301" s="159"/>
      <c r="AM301" s="159"/>
      <c r="AN301" s="159"/>
      <c r="AO301" s="159"/>
      <c r="AP301" s="159"/>
      <c r="AQ301" s="159"/>
      <c r="AR301" s="159"/>
      <c r="AS301" s="1"/>
      <c r="AT301" s="88"/>
      <c r="AU301" s="89"/>
      <c r="AV301" s="88"/>
      <c r="AW301" s="89"/>
      <c r="AX301" s="89"/>
      <c r="AY301" s="223"/>
      <c r="AZ301" s="223"/>
      <c r="BA301" s="159"/>
      <c r="BB301" s="159"/>
      <c r="BC301" s="159"/>
      <c r="BD301" s="159"/>
    </row>
    <row r="302" spans="1:56" x14ac:dyDescent="0.25">
      <c r="A302" s="288"/>
      <c r="B302" s="288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97"/>
      <c r="T302" s="159"/>
      <c r="U302" s="197"/>
      <c r="V302" s="159"/>
      <c r="W302" s="197"/>
      <c r="X302" s="159"/>
      <c r="Y302" s="159"/>
      <c r="Z302" s="159"/>
      <c r="AA302" s="159"/>
      <c r="AB302" s="159"/>
      <c r="AC302" s="159"/>
      <c r="AD302" s="159"/>
      <c r="AE302" s="159"/>
      <c r="AF302" s="159"/>
      <c r="AG302" s="159"/>
      <c r="AH302" s="159"/>
      <c r="AI302" s="159"/>
      <c r="AJ302" s="159"/>
      <c r="AK302" s="159"/>
      <c r="AL302" s="159"/>
      <c r="AM302" s="159"/>
      <c r="AN302" s="159"/>
      <c r="AO302" s="159"/>
      <c r="AP302" s="159"/>
      <c r="AQ302" s="159"/>
      <c r="AR302" s="159"/>
      <c r="AS302" s="1"/>
      <c r="AT302" s="88"/>
      <c r="AU302" s="89"/>
      <c r="AV302" s="88"/>
      <c r="AW302" s="89"/>
      <c r="AX302" s="89"/>
      <c r="AY302" s="223"/>
      <c r="AZ302" s="223"/>
      <c r="BA302" s="159"/>
      <c r="BB302" s="159"/>
      <c r="BC302" s="159"/>
      <c r="BD302" s="159"/>
    </row>
    <row r="303" spans="1:56" x14ac:dyDescent="0.25">
      <c r="A303" s="288"/>
      <c r="B303" s="288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97"/>
      <c r="T303" s="159"/>
      <c r="U303" s="197"/>
      <c r="V303" s="159"/>
      <c r="W303" s="197"/>
      <c r="X303" s="159"/>
      <c r="Y303" s="159"/>
      <c r="Z303" s="159"/>
      <c r="AA303" s="159"/>
      <c r="AB303" s="159"/>
      <c r="AC303" s="159"/>
      <c r="AD303" s="159"/>
      <c r="AE303" s="159"/>
      <c r="AF303" s="159"/>
      <c r="AG303" s="159"/>
      <c r="AH303" s="159"/>
      <c r="AI303" s="159"/>
      <c r="AJ303" s="159"/>
      <c r="AK303" s="159"/>
      <c r="AL303" s="159"/>
      <c r="AM303" s="159"/>
      <c r="AN303" s="159"/>
      <c r="AO303" s="159"/>
      <c r="AP303" s="159"/>
      <c r="AQ303" s="159"/>
      <c r="AR303" s="159"/>
      <c r="AS303" s="1"/>
      <c r="AT303" s="88"/>
      <c r="AU303" s="89"/>
      <c r="AV303" s="88"/>
      <c r="AW303" s="89"/>
      <c r="AX303" s="89"/>
      <c r="AY303" s="223"/>
      <c r="AZ303" s="223"/>
      <c r="BA303" s="159"/>
      <c r="BB303" s="159"/>
      <c r="BC303" s="159"/>
      <c r="BD303" s="159"/>
    </row>
    <row r="304" spans="1:56" x14ac:dyDescent="0.25">
      <c r="A304" s="288"/>
      <c r="B304" s="288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97"/>
      <c r="T304" s="159"/>
      <c r="U304" s="197"/>
      <c r="V304" s="159"/>
      <c r="W304" s="197"/>
      <c r="X304" s="159"/>
      <c r="Y304" s="159"/>
      <c r="Z304" s="159"/>
      <c r="AA304" s="159"/>
      <c r="AB304" s="159"/>
      <c r="AC304" s="159"/>
      <c r="AD304" s="159"/>
      <c r="AE304" s="159"/>
      <c r="AF304" s="159"/>
      <c r="AG304" s="159"/>
      <c r="AH304" s="159"/>
      <c r="AI304" s="159"/>
      <c r="AJ304" s="159"/>
      <c r="AK304" s="159"/>
      <c r="AL304" s="159"/>
      <c r="AM304" s="159"/>
      <c r="AN304" s="159"/>
      <c r="AO304" s="159"/>
      <c r="AP304" s="159"/>
      <c r="AQ304" s="159"/>
      <c r="AR304" s="159"/>
      <c r="AS304" s="1"/>
      <c r="AT304" s="88"/>
      <c r="AU304" s="89"/>
      <c r="AV304" s="88"/>
      <c r="AW304" s="89"/>
      <c r="AX304" s="89"/>
      <c r="AY304" s="223"/>
      <c r="AZ304" s="223"/>
      <c r="BA304" s="159"/>
      <c r="BB304" s="159"/>
      <c r="BC304" s="159"/>
      <c r="BD304" s="159"/>
    </row>
    <row r="305" spans="1:56" x14ac:dyDescent="0.25">
      <c r="A305" s="288"/>
      <c r="B305" s="288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97"/>
      <c r="T305" s="159"/>
      <c r="U305" s="197"/>
      <c r="V305" s="159"/>
      <c r="W305" s="197"/>
      <c r="X305" s="159"/>
      <c r="Y305" s="159"/>
      <c r="Z305" s="159"/>
      <c r="AA305" s="159"/>
      <c r="AB305" s="159"/>
      <c r="AC305" s="159"/>
      <c r="AD305" s="159"/>
      <c r="AE305" s="159"/>
      <c r="AF305" s="159"/>
      <c r="AG305" s="159"/>
      <c r="AH305" s="159"/>
      <c r="AI305" s="159"/>
      <c r="AJ305" s="159"/>
      <c r="AK305" s="159"/>
      <c r="AL305" s="159"/>
      <c r="AM305" s="159"/>
      <c r="AN305" s="159"/>
      <c r="AO305" s="159"/>
      <c r="AP305" s="159"/>
      <c r="AQ305" s="159"/>
      <c r="AR305" s="159"/>
      <c r="AS305" s="1"/>
      <c r="AT305" s="88"/>
      <c r="AU305" s="89"/>
      <c r="AV305" s="88"/>
      <c r="AW305" s="89"/>
      <c r="AX305" s="89"/>
      <c r="AY305" s="223"/>
      <c r="AZ305" s="223"/>
      <c r="BA305" s="159"/>
      <c r="BB305" s="159"/>
      <c r="BC305" s="159"/>
      <c r="BD305" s="159"/>
    </row>
    <row r="306" spans="1:56" x14ac:dyDescent="0.25">
      <c r="A306" s="288"/>
      <c r="B306" s="288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97"/>
      <c r="T306" s="159"/>
      <c r="U306" s="197"/>
      <c r="V306" s="159"/>
      <c r="W306" s="197"/>
      <c r="X306" s="159"/>
      <c r="Y306" s="159"/>
      <c r="Z306" s="159"/>
      <c r="AA306" s="159"/>
      <c r="AB306" s="159"/>
      <c r="AC306" s="159"/>
      <c r="AD306" s="159"/>
      <c r="AE306" s="159"/>
      <c r="AF306" s="159"/>
      <c r="AG306" s="159"/>
      <c r="AH306" s="159"/>
      <c r="AI306" s="159"/>
      <c r="AJ306" s="159"/>
      <c r="AK306" s="159"/>
      <c r="AL306" s="159"/>
      <c r="AM306" s="159"/>
      <c r="AN306" s="159"/>
      <c r="AO306" s="159"/>
      <c r="AP306" s="159"/>
      <c r="AQ306" s="159"/>
      <c r="AR306" s="159"/>
      <c r="AS306" s="1"/>
      <c r="AT306" s="156"/>
      <c r="AU306" s="157"/>
      <c r="AV306" s="156"/>
      <c r="AW306" s="157"/>
      <c r="AX306" s="157"/>
      <c r="AY306" s="223"/>
      <c r="AZ306" s="223"/>
      <c r="BA306" s="159"/>
      <c r="BB306" s="159"/>
      <c r="BC306" s="159"/>
      <c r="BD306" s="159"/>
    </row>
    <row r="307" spans="1:56" x14ac:dyDescent="0.25">
      <c r="A307" s="288"/>
      <c r="B307" s="288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97"/>
      <c r="T307" s="159"/>
      <c r="U307" s="197"/>
      <c r="V307" s="159"/>
      <c r="W307" s="197"/>
      <c r="X307" s="159"/>
      <c r="Y307" s="159"/>
      <c r="Z307" s="159"/>
      <c r="AA307" s="159"/>
      <c r="AB307" s="159"/>
      <c r="AC307" s="159"/>
      <c r="AD307" s="159"/>
      <c r="AE307" s="159"/>
      <c r="AF307" s="159"/>
      <c r="AG307" s="159"/>
      <c r="AH307" s="159"/>
      <c r="AI307" s="159"/>
      <c r="AJ307" s="159"/>
      <c r="AK307" s="159"/>
      <c r="AL307" s="159"/>
      <c r="AM307" s="159"/>
      <c r="AN307" s="159"/>
      <c r="AO307" s="159"/>
      <c r="AP307" s="159"/>
      <c r="AQ307" s="159"/>
      <c r="AR307" s="159"/>
      <c r="AS307" s="1"/>
      <c r="AT307" s="140"/>
      <c r="AU307" s="141"/>
      <c r="AV307" s="140"/>
      <c r="AW307" s="141"/>
      <c r="AX307" s="141"/>
      <c r="AY307" s="223"/>
      <c r="AZ307" s="223"/>
      <c r="BA307" s="159"/>
      <c r="BB307" s="159"/>
      <c r="BC307" s="159"/>
      <c r="BD307" s="159"/>
    </row>
    <row r="308" spans="1:56" x14ac:dyDescent="0.25">
      <c r="A308" s="288"/>
      <c r="B308" s="288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97"/>
      <c r="T308" s="159"/>
      <c r="U308" s="197"/>
      <c r="V308" s="159"/>
      <c r="W308" s="197"/>
      <c r="X308" s="159"/>
      <c r="Y308" s="159"/>
      <c r="Z308" s="159"/>
      <c r="AA308" s="159"/>
      <c r="AB308" s="159"/>
      <c r="AC308" s="159"/>
      <c r="AD308" s="159"/>
      <c r="AE308" s="159"/>
      <c r="AF308" s="159"/>
      <c r="AG308" s="159"/>
      <c r="AH308" s="159"/>
      <c r="AI308" s="159"/>
      <c r="AJ308" s="159"/>
      <c r="AK308" s="159"/>
      <c r="AL308" s="159"/>
      <c r="AM308" s="159"/>
      <c r="AN308" s="159"/>
      <c r="AO308" s="159"/>
      <c r="AP308" s="159"/>
      <c r="AQ308" s="159"/>
      <c r="AR308" s="159"/>
      <c r="AS308" s="1"/>
      <c r="AT308" s="88"/>
      <c r="AU308" s="89"/>
      <c r="AV308" s="88"/>
      <c r="AW308" s="89"/>
      <c r="AX308" s="89"/>
      <c r="AY308" s="223"/>
      <c r="AZ308" s="223"/>
      <c r="BA308" s="159"/>
      <c r="BB308" s="159"/>
      <c r="BC308" s="159"/>
      <c r="BD308" s="159"/>
    </row>
    <row r="309" spans="1:56" x14ac:dyDescent="0.25">
      <c r="A309" s="288"/>
      <c r="B309" s="288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97"/>
      <c r="T309" s="159"/>
      <c r="U309" s="197"/>
      <c r="V309" s="159"/>
      <c r="W309" s="197"/>
      <c r="X309" s="159"/>
      <c r="Y309" s="159"/>
      <c r="Z309" s="159"/>
      <c r="AA309" s="159"/>
      <c r="AB309" s="159"/>
      <c r="AC309" s="159"/>
      <c r="AD309" s="159"/>
      <c r="AE309" s="159"/>
      <c r="AF309" s="159"/>
      <c r="AG309" s="159"/>
      <c r="AH309" s="159"/>
      <c r="AI309" s="159"/>
      <c r="AJ309" s="159"/>
      <c r="AK309" s="159"/>
      <c r="AL309" s="159"/>
      <c r="AM309" s="159"/>
      <c r="AN309" s="159"/>
      <c r="AO309" s="159"/>
      <c r="AP309" s="159"/>
      <c r="AQ309" s="159"/>
      <c r="AR309" s="159"/>
      <c r="AS309" s="1"/>
      <c r="AT309" s="88"/>
      <c r="AU309" s="89"/>
      <c r="AV309" s="88"/>
      <c r="AW309" s="89"/>
      <c r="AX309" s="89"/>
      <c r="AY309" s="223"/>
      <c r="AZ309" s="223"/>
      <c r="BA309" s="159"/>
      <c r="BB309" s="159"/>
      <c r="BC309" s="159"/>
      <c r="BD309" s="159"/>
    </row>
    <row r="310" spans="1:56" x14ac:dyDescent="0.25">
      <c r="A310" s="288"/>
      <c r="B310" s="288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97"/>
      <c r="T310" s="159"/>
      <c r="U310" s="197"/>
      <c r="V310" s="159"/>
      <c r="W310" s="197"/>
      <c r="X310" s="159"/>
      <c r="Y310" s="159"/>
      <c r="Z310" s="159"/>
      <c r="AA310" s="159"/>
      <c r="AB310" s="159"/>
      <c r="AC310" s="159"/>
      <c r="AD310" s="159"/>
      <c r="AE310" s="159"/>
      <c r="AF310" s="159"/>
      <c r="AG310" s="159"/>
      <c r="AH310" s="159"/>
      <c r="AI310" s="159"/>
      <c r="AJ310" s="159"/>
      <c r="AK310" s="159"/>
      <c r="AL310" s="159"/>
      <c r="AM310" s="159"/>
      <c r="AN310" s="159"/>
      <c r="AO310" s="159"/>
      <c r="AP310" s="159"/>
      <c r="AQ310" s="159"/>
      <c r="AR310" s="159"/>
      <c r="AS310" s="1"/>
      <c r="AT310" s="88"/>
      <c r="AU310" s="89"/>
      <c r="AV310" s="88"/>
      <c r="AW310" s="89"/>
      <c r="AX310" s="89"/>
      <c r="AY310" s="223"/>
      <c r="AZ310" s="223"/>
      <c r="BA310" s="159"/>
      <c r="BB310" s="159"/>
      <c r="BC310" s="159"/>
      <c r="BD310" s="159"/>
    </row>
    <row r="311" spans="1:56" x14ac:dyDescent="0.25">
      <c r="A311" s="288"/>
      <c r="B311" s="288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97"/>
      <c r="T311" s="159"/>
      <c r="U311" s="197"/>
      <c r="V311" s="159"/>
      <c r="W311" s="197"/>
      <c r="X311" s="159"/>
      <c r="Y311" s="159"/>
      <c r="Z311" s="159"/>
      <c r="AA311" s="159"/>
      <c r="AB311" s="159"/>
      <c r="AC311" s="159"/>
      <c r="AD311" s="159"/>
      <c r="AE311" s="159"/>
      <c r="AF311" s="159"/>
      <c r="AG311" s="159"/>
      <c r="AH311" s="159"/>
      <c r="AI311" s="159"/>
      <c r="AJ311" s="159"/>
      <c r="AK311" s="159"/>
      <c r="AL311" s="159"/>
      <c r="AM311" s="159"/>
      <c r="AN311" s="159"/>
      <c r="AO311" s="159"/>
      <c r="AP311" s="159"/>
      <c r="AQ311" s="159"/>
      <c r="AR311" s="159"/>
      <c r="AS311" s="1"/>
      <c r="AT311" s="145"/>
      <c r="AU311" s="146"/>
      <c r="AV311" s="145"/>
      <c r="AW311" s="146"/>
      <c r="AX311" s="157"/>
      <c r="AY311" s="223"/>
      <c r="AZ311" s="223"/>
      <c r="BA311" s="159"/>
      <c r="BB311" s="159"/>
      <c r="BC311" s="159"/>
      <c r="BD311" s="159"/>
    </row>
    <row r="312" spans="1:56" x14ac:dyDescent="0.25">
      <c r="A312" s="288"/>
      <c r="B312" s="288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97"/>
      <c r="T312" s="159"/>
      <c r="U312" s="197"/>
      <c r="V312" s="159"/>
      <c r="W312" s="197"/>
      <c r="X312" s="159"/>
      <c r="Y312" s="159"/>
      <c r="Z312" s="159"/>
      <c r="AA312" s="159"/>
      <c r="AB312" s="159"/>
      <c r="AC312" s="159"/>
      <c r="AD312" s="159"/>
      <c r="AE312" s="159"/>
      <c r="AF312" s="159"/>
      <c r="AG312" s="159"/>
      <c r="AH312" s="159"/>
      <c r="AI312" s="159"/>
      <c r="AJ312" s="159"/>
      <c r="AK312" s="159"/>
      <c r="AL312" s="159"/>
      <c r="AM312" s="159"/>
      <c r="AN312" s="159"/>
      <c r="AO312" s="159"/>
      <c r="AP312" s="159"/>
      <c r="AQ312" s="159"/>
      <c r="AR312" s="159"/>
      <c r="AS312" s="1"/>
      <c r="AT312" s="156"/>
      <c r="AU312" s="157"/>
      <c r="AV312" s="156"/>
      <c r="AW312" s="157"/>
      <c r="AX312" s="157"/>
      <c r="AY312" s="223"/>
      <c r="AZ312" s="223"/>
      <c r="BA312" s="159"/>
      <c r="BB312" s="159"/>
      <c r="BC312" s="159"/>
      <c r="BD312" s="159"/>
    </row>
    <row r="313" spans="1:56" x14ac:dyDescent="0.25">
      <c r="A313" s="288"/>
      <c r="B313" s="288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97"/>
      <c r="T313" s="159"/>
      <c r="U313" s="197"/>
      <c r="V313" s="159"/>
      <c r="W313" s="197"/>
      <c r="X313" s="159"/>
      <c r="Y313" s="159"/>
      <c r="Z313" s="159"/>
      <c r="AA313" s="159"/>
      <c r="AB313" s="159"/>
      <c r="AC313" s="159"/>
      <c r="AD313" s="159"/>
      <c r="AE313" s="159"/>
      <c r="AF313" s="159"/>
      <c r="AG313" s="159"/>
      <c r="AH313" s="159"/>
      <c r="AI313" s="159"/>
      <c r="AJ313" s="159"/>
      <c r="AK313" s="159"/>
      <c r="AL313" s="159"/>
      <c r="AM313" s="159"/>
      <c r="AN313" s="159"/>
      <c r="AO313" s="159"/>
      <c r="AP313" s="159"/>
      <c r="AQ313" s="159"/>
      <c r="AR313" s="159"/>
      <c r="AS313" s="1"/>
      <c r="AT313" s="156"/>
      <c r="AU313" s="157"/>
      <c r="AV313" s="156"/>
      <c r="AW313" s="157"/>
      <c r="AX313" s="157"/>
      <c r="AY313" s="223"/>
      <c r="AZ313" s="223"/>
      <c r="BA313" s="159"/>
      <c r="BB313" s="159"/>
      <c r="BC313" s="159"/>
      <c r="BD313" s="159"/>
    </row>
    <row r="314" spans="1:56" x14ac:dyDescent="0.25">
      <c r="A314" s="288"/>
      <c r="B314" s="288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97"/>
      <c r="T314" s="159"/>
      <c r="U314" s="197"/>
      <c r="V314" s="159"/>
      <c r="W314" s="197"/>
      <c r="X314" s="159"/>
      <c r="Y314" s="159"/>
      <c r="Z314" s="159"/>
      <c r="AA314" s="159"/>
      <c r="AB314" s="159"/>
      <c r="AC314" s="159"/>
      <c r="AD314" s="159"/>
      <c r="AE314" s="159"/>
      <c r="AF314" s="159"/>
      <c r="AG314" s="159"/>
      <c r="AH314" s="159"/>
      <c r="AI314" s="159"/>
      <c r="AJ314" s="159"/>
      <c r="AK314" s="159"/>
      <c r="AL314" s="159"/>
      <c r="AM314" s="159"/>
      <c r="AN314" s="159"/>
      <c r="AO314" s="159"/>
      <c r="AP314" s="159"/>
      <c r="AQ314" s="159"/>
      <c r="AR314" s="159"/>
      <c r="AS314" s="1"/>
      <c r="AT314" s="156"/>
      <c r="AU314" s="157"/>
      <c r="AV314" s="156"/>
      <c r="AW314" s="157"/>
      <c r="AX314" s="157"/>
      <c r="AY314" s="223"/>
      <c r="AZ314" s="223"/>
      <c r="BA314" s="159"/>
      <c r="BB314" s="159"/>
      <c r="BC314" s="159"/>
      <c r="BD314" s="159"/>
    </row>
    <row r="315" spans="1:56" x14ac:dyDescent="0.25">
      <c r="A315" s="288"/>
      <c r="B315" s="288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97"/>
      <c r="T315" s="159"/>
      <c r="U315" s="197"/>
      <c r="V315" s="159"/>
      <c r="W315" s="197"/>
      <c r="X315" s="159"/>
      <c r="Y315" s="159"/>
      <c r="Z315" s="159"/>
      <c r="AA315" s="159"/>
      <c r="AB315" s="159"/>
      <c r="AC315" s="159"/>
      <c r="AD315" s="159"/>
      <c r="AE315" s="159"/>
      <c r="AF315" s="159"/>
      <c r="AG315" s="159"/>
      <c r="AH315" s="159"/>
      <c r="AI315" s="159"/>
      <c r="AJ315" s="159"/>
      <c r="AK315" s="159"/>
      <c r="AL315" s="159"/>
      <c r="AM315" s="159"/>
      <c r="AN315" s="159"/>
      <c r="AO315" s="159"/>
      <c r="AP315" s="159"/>
      <c r="AQ315" s="159"/>
      <c r="AR315" s="159"/>
      <c r="AS315" s="1"/>
      <c r="AT315" s="156"/>
      <c r="AU315" s="157"/>
      <c r="AV315" s="156"/>
      <c r="AW315" s="157"/>
      <c r="AX315" s="157"/>
      <c r="AY315" s="223"/>
      <c r="AZ315" s="223"/>
      <c r="BA315" s="159"/>
      <c r="BB315" s="159"/>
      <c r="BC315" s="159"/>
      <c r="BD315" s="159"/>
    </row>
    <row r="316" spans="1:56" x14ac:dyDescent="0.25">
      <c r="A316" s="288"/>
      <c r="B316" s="288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97"/>
      <c r="T316" s="159"/>
      <c r="U316" s="197"/>
      <c r="V316" s="159"/>
      <c r="W316" s="197"/>
      <c r="X316" s="159"/>
      <c r="Y316" s="159"/>
      <c r="Z316" s="159"/>
      <c r="AA316" s="159"/>
      <c r="AB316" s="159"/>
      <c r="AC316" s="159"/>
      <c r="AD316" s="159"/>
      <c r="AE316" s="159"/>
      <c r="AF316" s="159"/>
      <c r="AG316" s="159"/>
      <c r="AH316" s="159"/>
      <c r="AI316" s="159"/>
      <c r="AJ316" s="159"/>
      <c r="AK316" s="159"/>
      <c r="AL316" s="159"/>
      <c r="AM316" s="159"/>
      <c r="AN316" s="159"/>
      <c r="AO316" s="159"/>
      <c r="AP316" s="159"/>
      <c r="AQ316" s="159"/>
      <c r="AR316" s="159"/>
      <c r="AS316" s="1"/>
      <c r="AT316" s="156"/>
      <c r="AU316" s="157"/>
      <c r="AV316" s="156"/>
      <c r="AW316" s="157"/>
      <c r="AX316" s="157"/>
      <c r="AY316" s="223"/>
      <c r="AZ316" s="223"/>
      <c r="BA316" s="159"/>
      <c r="BB316" s="159"/>
      <c r="BC316" s="159"/>
      <c r="BD316" s="159"/>
    </row>
    <row r="317" spans="1:56" x14ac:dyDescent="0.25">
      <c r="A317" s="288"/>
      <c r="B317" s="288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97"/>
      <c r="T317" s="159"/>
      <c r="U317" s="197"/>
      <c r="V317" s="159"/>
      <c r="W317" s="197"/>
      <c r="X317" s="159"/>
      <c r="Y317" s="159"/>
      <c r="Z317" s="159"/>
      <c r="AA317" s="159"/>
      <c r="AB317" s="159"/>
      <c r="AC317" s="159"/>
      <c r="AD317" s="159"/>
      <c r="AE317" s="159"/>
      <c r="AF317" s="159"/>
      <c r="AG317" s="159"/>
      <c r="AH317" s="159"/>
      <c r="AI317" s="159"/>
      <c r="AJ317" s="159"/>
      <c r="AK317" s="159"/>
      <c r="AL317" s="159"/>
      <c r="AM317" s="159"/>
      <c r="AN317" s="159"/>
      <c r="AO317" s="159"/>
      <c r="AP317" s="159"/>
      <c r="AQ317" s="159"/>
      <c r="AR317" s="159"/>
      <c r="AS317" s="1"/>
      <c r="AT317" s="88"/>
      <c r="AU317" s="89"/>
      <c r="AV317" s="88"/>
      <c r="AW317" s="89"/>
      <c r="AX317" s="89"/>
      <c r="AY317" s="223"/>
      <c r="AZ317" s="223"/>
      <c r="BA317" s="159"/>
      <c r="BB317" s="159"/>
      <c r="BC317" s="159"/>
      <c r="BD317" s="159"/>
    </row>
    <row r="318" spans="1:56" x14ac:dyDescent="0.25">
      <c r="A318" s="288"/>
      <c r="B318" s="288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97"/>
      <c r="T318" s="159"/>
      <c r="U318" s="197"/>
      <c r="V318" s="159"/>
      <c r="W318" s="197"/>
      <c r="X318" s="159"/>
      <c r="Y318" s="159"/>
      <c r="Z318" s="159"/>
      <c r="AA318" s="159"/>
      <c r="AB318" s="159"/>
      <c r="AC318" s="159"/>
      <c r="AD318" s="159"/>
      <c r="AE318" s="159"/>
      <c r="AF318" s="159"/>
      <c r="AG318" s="159"/>
      <c r="AH318" s="159"/>
      <c r="AI318" s="159"/>
      <c r="AJ318" s="159"/>
      <c r="AK318" s="159"/>
      <c r="AL318" s="159"/>
      <c r="AM318" s="159"/>
      <c r="AN318" s="159"/>
      <c r="AO318" s="159"/>
      <c r="AP318" s="159"/>
      <c r="AQ318" s="159"/>
      <c r="AR318" s="159"/>
      <c r="AS318" s="1"/>
      <c r="AT318" s="88"/>
      <c r="AU318" s="89"/>
      <c r="AV318" s="88"/>
      <c r="AW318" s="89"/>
      <c r="AX318" s="89"/>
      <c r="AY318" s="223"/>
      <c r="AZ318" s="223"/>
      <c r="BA318" s="159"/>
      <c r="BB318" s="159"/>
      <c r="BC318" s="159"/>
      <c r="BD318" s="159"/>
    </row>
    <row r="319" spans="1:56" x14ac:dyDescent="0.25">
      <c r="A319" s="288"/>
      <c r="B319" s="288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97"/>
      <c r="T319" s="159"/>
      <c r="U319" s="197"/>
      <c r="V319" s="159"/>
      <c r="W319" s="197"/>
      <c r="X319" s="159"/>
      <c r="Y319" s="159"/>
      <c r="Z319" s="159"/>
      <c r="AA319" s="159"/>
      <c r="AB319" s="159"/>
      <c r="AC319" s="159"/>
      <c r="AD319" s="159"/>
      <c r="AE319" s="159"/>
      <c r="AF319" s="159"/>
      <c r="AG319" s="159"/>
      <c r="AH319" s="159"/>
      <c r="AI319" s="159"/>
      <c r="AJ319" s="159"/>
      <c r="AK319" s="159"/>
      <c r="AL319" s="159"/>
      <c r="AM319" s="159"/>
      <c r="AN319" s="159"/>
      <c r="AO319" s="159"/>
      <c r="AP319" s="159"/>
      <c r="AQ319" s="159"/>
      <c r="AR319" s="159"/>
      <c r="AS319" s="1"/>
      <c r="AT319" s="88"/>
      <c r="AU319" s="89"/>
      <c r="AV319" s="88"/>
      <c r="AW319" s="89"/>
      <c r="AX319" s="89"/>
      <c r="AY319" s="223"/>
      <c r="AZ319" s="223"/>
      <c r="BA319" s="159"/>
      <c r="BB319" s="159"/>
      <c r="BC319" s="159"/>
      <c r="BD319" s="159"/>
    </row>
    <row r="320" spans="1:56" x14ac:dyDescent="0.25">
      <c r="A320" s="288"/>
      <c r="B320" s="288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97"/>
      <c r="T320" s="159"/>
      <c r="U320" s="197"/>
      <c r="V320" s="159"/>
      <c r="W320" s="197"/>
      <c r="X320" s="159"/>
      <c r="Y320" s="159"/>
      <c r="Z320" s="159"/>
      <c r="AA320" s="159"/>
      <c r="AB320" s="159"/>
      <c r="AC320" s="159"/>
      <c r="AD320" s="159"/>
      <c r="AE320" s="159"/>
      <c r="AF320" s="159"/>
      <c r="AG320" s="159"/>
      <c r="AH320" s="159"/>
      <c r="AI320" s="159"/>
      <c r="AJ320" s="159"/>
      <c r="AK320" s="159"/>
      <c r="AL320" s="159"/>
      <c r="AM320" s="159"/>
      <c r="AN320" s="159"/>
      <c r="AO320" s="159"/>
      <c r="AP320" s="159"/>
      <c r="AQ320" s="159"/>
      <c r="AR320" s="159"/>
      <c r="AS320" s="1"/>
      <c r="AT320" s="88"/>
      <c r="AU320" s="89"/>
      <c r="AV320" s="88"/>
      <c r="AW320" s="89"/>
      <c r="AX320" s="89"/>
      <c r="AY320" s="223"/>
      <c r="AZ320" s="223"/>
      <c r="BA320" s="159"/>
      <c r="BB320" s="159"/>
      <c r="BC320" s="159"/>
      <c r="BD320" s="159"/>
    </row>
    <row r="321" spans="1:56" x14ac:dyDescent="0.25">
      <c r="A321" s="288"/>
      <c r="B321" s="288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97"/>
      <c r="T321" s="159"/>
      <c r="U321" s="197"/>
      <c r="V321" s="159"/>
      <c r="W321" s="197"/>
      <c r="X321" s="159"/>
      <c r="Y321" s="159"/>
      <c r="Z321" s="159"/>
      <c r="AA321" s="159"/>
      <c r="AB321" s="159"/>
      <c r="AC321" s="159"/>
      <c r="AD321" s="159"/>
      <c r="AE321" s="159"/>
      <c r="AF321" s="159"/>
      <c r="AG321" s="159"/>
      <c r="AH321" s="159"/>
      <c r="AI321" s="159"/>
      <c r="AJ321" s="159"/>
      <c r="AK321" s="159"/>
      <c r="AL321" s="159"/>
      <c r="AM321" s="159"/>
      <c r="AN321" s="159"/>
      <c r="AO321" s="159"/>
      <c r="AP321" s="159"/>
      <c r="AQ321" s="159"/>
      <c r="AR321" s="159"/>
      <c r="AS321" s="1"/>
      <c r="AT321" s="88"/>
      <c r="AU321" s="89"/>
      <c r="AV321" s="88"/>
      <c r="AW321" s="89"/>
      <c r="AX321" s="89"/>
      <c r="AY321" s="223"/>
      <c r="AZ321" s="223"/>
      <c r="BA321" s="159"/>
      <c r="BB321" s="159"/>
      <c r="BC321" s="159"/>
      <c r="BD321" s="159"/>
    </row>
    <row r="322" spans="1:56" x14ac:dyDescent="0.25">
      <c r="A322" s="288"/>
      <c r="B322" s="288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97"/>
      <c r="T322" s="159"/>
      <c r="U322" s="197"/>
      <c r="V322" s="159"/>
      <c r="W322" s="197"/>
      <c r="X322" s="159"/>
      <c r="Y322" s="159"/>
      <c r="Z322" s="159"/>
      <c r="AA322" s="159"/>
      <c r="AB322" s="159"/>
      <c r="AC322" s="159"/>
      <c r="AD322" s="159"/>
      <c r="AE322" s="159"/>
      <c r="AF322" s="159"/>
      <c r="AG322" s="159"/>
      <c r="AH322" s="159"/>
      <c r="AI322" s="159"/>
      <c r="AJ322" s="159"/>
      <c r="AK322" s="159"/>
      <c r="AL322" s="159"/>
      <c r="AM322" s="159"/>
      <c r="AN322" s="159"/>
      <c r="AO322" s="159"/>
      <c r="AP322" s="159"/>
      <c r="AQ322" s="159"/>
      <c r="AR322" s="159"/>
      <c r="AS322" s="1"/>
      <c r="AT322" s="88"/>
      <c r="AU322" s="89"/>
      <c r="AV322" s="88"/>
      <c r="AW322" s="89"/>
      <c r="AX322" s="89"/>
      <c r="AY322" s="223"/>
      <c r="AZ322" s="223"/>
      <c r="BA322" s="159"/>
      <c r="BB322" s="159"/>
      <c r="BC322" s="159"/>
      <c r="BD322" s="159"/>
    </row>
    <row r="323" spans="1:56" x14ac:dyDescent="0.25">
      <c r="A323" s="288"/>
      <c r="B323" s="288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97"/>
      <c r="T323" s="159"/>
      <c r="U323" s="197"/>
      <c r="V323" s="159"/>
      <c r="W323" s="197"/>
      <c r="X323" s="159"/>
      <c r="Y323" s="159"/>
      <c r="Z323" s="159"/>
      <c r="AA323" s="159"/>
      <c r="AB323" s="159"/>
      <c r="AC323" s="159"/>
      <c r="AD323" s="159"/>
      <c r="AE323" s="159"/>
      <c r="AF323" s="159"/>
      <c r="AG323" s="159"/>
      <c r="AH323" s="159"/>
      <c r="AI323" s="159"/>
      <c r="AJ323" s="159"/>
      <c r="AK323" s="159"/>
      <c r="AL323" s="159"/>
      <c r="AM323" s="159"/>
      <c r="AN323" s="159"/>
      <c r="AO323" s="159"/>
      <c r="AP323" s="159"/>
      <c r="AQ323" s="159"/>
      <c r="AR323" s="159"/>
      <c r="AS323" s="1"/>
      <c r="AT323" s="145"/>
      <c r="AU323" s="146"/>
      <c r="AV323" s="145"/>
      <c r="AW323" s="146"/>
      <c r="AX323" s="157"/>
      <c r="AY323" s="223"/>
      <c r="AZ323" s="223"/>
      <c r="BA323" s="159"/>
      <c r="BB323" s="159"/>
      <c r="BC323" s="159"/>
      <c r="BD323" s="159"/>
    </row>
    <row r="324" spans="1:56" x14ac:dyDescent="0.25">
      <c r="A324" s="288"/>
      <c r="B324" s="288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97"/>
      <c r="T324" s="159"/>
      <c r="U324" s="197"/>
      <c r="V324" s="159"/>
      <c r="W324" s="197"/>
      <c r="X324" s="159"/>
      <c r="Y324" s="159"/>
      <c r="Z324" s="159"/>
      <c r="AA324" s="159"/>
      <c r="AB324" s="159"/>
      <c r="AC324" s="159"/>
      <c r="AD324" s="159"/>
      <c r="AE324" s="159"/>
      <c r="AF324" s="159"/>
      <c r="AG324" s="159"/>
      <c r="AH324" s="159"/>
      <c r="AI324" s="159"/>
      <c r="AJ324" s="159"/>
      <c r="AK324" s="159"/>
      <c r="AL324" s="159"/>
      <c r="AM324" s="159"/>
      <c r="AN324" s="159"/>
      <c r="AO324" s="159"/>
      <c r="AP324" s="159"/>
      <c r="AQ324" s="159"/>
      <c r="AR324" s="159"/>
      <c r="AS324" s="1"/>
      <c r="AT324" s="88"/>
      <c r="AU324" s="89"/>
      <c r="AV324" s="88"/>
      <c r="AW324" s="89"/>
      <c r="AX324" s="89"/>
      <c r="AY324" s="223"/>
      <c r="AZ324" s="223"/>
      <c r="BA324" s="159"/>
      <c r="BB324" s="159"/>
      <c r="BC324" s="159"/>
      <c r="BD324" s="159"/>
    </row>
    <row r="325" spans="1:56" x14ac:dyDescent="0.25">
      <c r="A325" s="288"/>
      <c r="B325" s="288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97"/>
      <c r="T325" s="159"/>
      <c r="U325" s="197"/>
      <c r="V325" s="159"/>
      <c r="W325" s="197"/>
      <c r="X325" s="159"/>
      <c r="Y325" s="159"/>
      <c r="Z325" s="159"/>
      <c r="AA325" s="159"/>
      <c r="AB325" s="159"/>
      <c r="AC325" s="159"/>
      <c r="AD325" s="159"/>
      <c r="AE325" s="159"/>
      <c r="AF325" s="159"/>
      <c r="AG325" s="159"/>
      <c r="AH325" s="159"/>
      <c r="AI325" s="159"/>
      <c r="AJ325" s="159"/>
      <c r="AK325" s="159"/>
      <c r="AL325" s="159"/>
      <c r="AM325" s="159"/>
      <c r="AN325" s="159"/>
      <c r="AO325" s="159"/>
      <c r="AP325" s="159"/>
      <c r="AQ325" s="159"/>
      <c r="AR325" s="159"/>
      <c r="AS325" s="1"/>
      <c r="AT325" s="156"/>
      <c r="AU325" s="157"/>
      <c r="AV325" s="156"/>
      <c r="AW325" s="157"/>
      <c r="AX325" s="157"/>
      <c r="AY325" s="223"/>
      <c r="AZ325" s="223"/>
      <c r="BA325" s="159"/>
      <c r="BB325" s="159"/>
      <c r="BC325" s="159"/>
      <c r="BD325" s="159"/>
    </row>
    <row r="326" spans="1:56" x14ac:dyDescent="0.25">
      <c r="A326" s="288"/>
      <c r="B326" s="288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97"/>
      <c r="T326" s="159"/>
      <c r="U326" s="197"/>
      <c r="V326" s="159"/>
      <c r="W326" s="197"/>
      <c r="X326" s="159"/>
      <c r="Y326" s="159"/>
      <c r="Z326" s="159"/>
      <c r="AA326" s="159"/>
      <c r="AB326" s="159"/>
      <c r="AC326" s="159"/>
      <c r="AD326" s="159"/>
      <c r="AE326" s="159"/>
      <c r="AF326" s="159"/>
      <c r="AG326" s="159"/>
      <c r="AH326" s="159"/>
      <c r="AI326" s="159"/>
      <c r="AJ326" s="159"/>
      <c r="AK326" s="159"/>
      <c r="AL326" s="159"/>
      <c r="AM326" s="159"/>
      <c r="AN326" s="159"/>
      <c r="AO326" s="159"/>
      <c r="AP326" s="159"/>
      <c r="AQ326" s="159"/>
      <c r="AR326" s="159"/>
      <c r="AS326" s="1"/>
      <c r="AT326" s="156"/>
      <c r="AU326" s="157"/>
      <c r="AV326" s="156"/>
      <c r="AW326" s="157"/>
      <c r="AX326" s="157"/>
      <c r="AY326" s="223"/>
      <c r="AZ326" s="223"/>
      <c r="BA326" s="159"/>
      <c r="BB326" s="159"/>
      <c r="BC326" s="159"/>
      <c r="BD326" s="159"/>
    </row>
    <row r="327" spans="1:56" x14ac:dyDescent="0.25">
      <c r="A327" s="288"/>
      <c r="B327" s="288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97"/>
      <c r="T327" s="159"/>
      <c r="U327" s="197"/>
      <c r="V327" s="159"/>
      <c r="W327" s="197"/>
      <c r="X327" s="159"/>
      <c r="Y327" s="159"/>
      <c r="Z327" s="159"/>
      <c r="AA327" s="159"/>
      <c r="AB327" s="159"/>
      <c r="AC327" s="159"/>
      <c r="AD327" s="159"/>
      <c r="AE327" s="159"/>
      <c r="AF327" s="159"/>
      <c r="AG327" s="159"/>
      <c r="AH327" s="159"/>
      <c r="AI327" s="159"/>
      <c r="AJ327" s="159"/>
      <c r="AK327" s="159"/>
      <c r="AL327" s="159"/>
      <c r="AM327" s="159"/>
      <c r="AN327" s="159"/>
      <c r="AO327" s="159"/>
      <c r="AP327" s="159"/>
      <c r="AQ327" s="159"/>
      <c r="AR327" s="159"/>
      <c r="AS327" s="1"/>
      <c r="AT327" s="156"/>
      <c r="AU327" s="157"/>
      <c r="AV327" s="156"/>
      <c r="AW327" s="157"/>
      <c r="AX327" s="157"/>
      <c r="AY327" s="223"/>
      <c r="AZ327" s="223"/>
      <c r="BA327" s="159"/>
      <c r="BB327" s="159"/>
      <c r="BC327" s="159"/>
      <c r="BD327" s="159"/>
    </row>
    <row r="328" spans="1:56" x14ac:dyDescent="0.25">
      <c r="A328" s="288"/>
      <c r="B328" s="288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97"/>
      <c r="T328" s="159"/>
      <c r="U328" s="197"/>
      <c r="V328" s="159"/>
      <c r="W328" s="197"/>
      <c r="X328" s="159"/>
      <c r="Y328" s="159"/>
      <c r="Z328" s="159"/>
      <c r="AA328" s="159"/>
      <c r="AB328" s="159"/>
      <c r="AC328" s="159"/>
      <c r="AD328" s="159"/>
      <c r="AE328" s="159"/>
      <c r="AF328" s="159"/>
      <c r="AG328" s="159"/>
      <c r="AH328" s="159"/>
      <c r="AI328" s="159"/>
      <c r="AJ328" s="159"/>
      <c r="AK328" s="159"/>
      <c r="AL328" s="159"/>
      <c r="AM328" s="159"/>
      <c r="AN328" s="159"/>
      <c r="AO328" s="159"/>
      <c r="AP328" s="159"/>
      <c r="AQ328" s="159"/>
      <c r="AR328" s="159"/>
      <c r="AS328" s="1"/>
      <c r="AT328" s="140"/>
      <c r="AU328" s="141"/>
      <c r="AV328" s="140"/>
      <c r="AW328" s="141"/>
      <c r="AX328" s="141"/>
      <c r="AY328" s="223"/>
      <c r="AZ328" s="223"/>
      <c r="BA328" s="159"/>
      <c r="BB328" s="159"/>
      <c r="BC328" s="159"/>
      <c r="BD328" s="159"/>
    </row>
    <row r="329" spans="1:56" x14ac:dyDescent="0.25">
      <c r="A329" s="288"/>
      <c r="B329" s="288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97"/>
      <c r="T329" s="159"/>
      <c r="U329" s="197"/>
      <c r="V329" s="159"/>
      <c r="W329" s="197"/>
      <c r="X329" s="159"/>
      <c r="Y329" s="159"/>
      <c r="Z329" s="159"/>
      <c r="AA329" s="159"/>
      <c r="AB329" s="159"/>
      <c r="AC329" s="159"/>
      <c r="AD329" s="159"/>
      <c r="AE329" s="159"/>
      <c r="AF329" s="159"/>
      <c r="AG329" s="159"/>
      <c r="AH329" s="159"/>
      <c r="AI329" s="159"/>
      <c r="AJ329" s="159"/>
      <c r="AK329" s="159"/>
      <c r="AL329" s="159"/>
      <c r="AM329" s="159"/>
      <c r="AN329" s="159"/>
      <c r="AO329" s="159"/>
      <c r="AP329" s="159"/>
      <c r="AQ329" s="159"/>
      <c r="AR329" s="159"/>
      <c r="AS329" s="1"/>
      <c r="AT329" s="74"/>
      <c r="AU329" s="75"/>
      <c r="AV329" s="74"/>
      <c r="AW329" s="75"/>
      <c r="AX329" s="75"/>
      <c r="AY329" s="223"/>
      <c r="AZ329" s="223"/>
      <c r="BA329" s="159"/>
      <c r="BB329" s="159"/>
      <c r="BC329" s="159"/>
      <c r="BD329" s="159"/>
    </row>
    <row r="330" spans="1:56" x14ac:dyDescent="0.25">
      <c r="A330" s="288"/>
      <c r="B330" s="288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97"/>
      <c r="T330" s="159"/>
      <c r="U330" s="197"/>
      <c r="V330" s="159"/>
      <c r="W330" s="197"/>
      <c r="X330" s="159"/>
      <c r="Y330" s="159"/>
      <c r="Z330" s="159"/>
      <c r="AA330" s="159"/>
      <c r="AB330" s="159"/>
      <c r="AC330" s="159"/>
      <c r="AD330" s="159"/>
      <c r="AE330" s="159"/>
      <c r="AF330" s="159"/>
      <c r="AG330" s="159"/>
      <c r="AH330" s="159"/>
      <c r="AI330" s="159"/>
      <c r="AJ330" s="159"/>
      <c r="AK330" s="159"/>
      <c r="AL330" s="159"/>
      <c r="AM330" s="159"/>
      <c r="AN330" s="159"/>
      <c r="AO330" s="159"/>
      <c r="AP330" s="159"/>
      <c r="AQ330" s="159"/>
      <c r="AR330" s="159"/>
      <c r="AS330" s="1"/>
      <c r="AT330" s="95"/>
      <c r="AU330" s="96"/>
      <c r="AV330" s="95"/>
      <c r="AW330" s="96"/>
      <c r="AX330" s="96"/>
      <c r="AY330" s="223"/>
      <c r="AZ330" s="223"/>
      <c r="BA330" s="159"/>
      <c r="BB330" s="159"/>
      <c r="BC330" s="159"/>
      <c r="BD330" s="159"/>
    </row>
    <row r="331" spans="1:56" x14ac:dyDescent="0.25">
      <c r="A331" s="288"/>
      <c r="B331" s="288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97"/>
      <c r="T331" s="159"/>
      <c r="U331" s="197"/>
      <c r="V331" s="159"/>
      <c r="W331" s="197"/>
      <c r="X331" s="159"/>
      <c r="Y331" s="159"/>
      <c r="Z331" s="159"/>
      <c r="AA331" s="159"/>
      <c r="AB331" s="159"/>
      <c r="AC331" s="159"/>
      <c r="AD331" s="159"/>
      <c r="AE331" s="159"/>
      <c r="AF331" s="159"/>
      <c r="AG331" s="159"/>
      <c r="AH331" s="159"/>
      <c r="AI331" s="159"/>
      <c r="AJ331" s="159"/>
      <c r="AK331" s="159"/>
      <c r="AL331" s="159"/>
      <c r="AM331" s="159"/>
      <c r="AN331" s="159"/>
      <c r="AO331" s="159"/>
      <c r="AP331" s="159"/>
      <c r="AQ331" s="159"/>
      <c r="AR331" s="159"/>
      <c r="AS331" s="1"/>
      <c r="AT331" s="88"/>
      <c r="AU331" s="89"/>
      <c r="AV331" s="88"/>
      <c r="AW331" s="89"/>
      <c r="AX331" s="89"/>
      <c r="AY331" s="223"/>
      <c r="AZ331" s="223"/>
      <c r="BA331" s="159"/>
      <c r="BB331" s="159"/>
      <c r="BC331" s="159"/>
      <c r="BD331" s="159"/>
    </row>
    <row r="332" spans="1:56" x14ac:dyDescent="0.25">
      <c r="A332" s="288"/>
      <c r="B332" s="288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97"/>
      <c r="T332" s="159"/>
      <c r="U332" s="197"/>
      <c r="V332" s="159"/>
      <c r="W332" s="197"/>
      <c r="X332" s="159"/>
      <c r="Y332" s="159"/>
      <c r="Z332" s="159"/>
      <c r="AA332" s="159"/>
      <c r="AB332" s="159"/>
      <c r="AC332" s="159"/>
      <c r="AD332" s="159"/>
      <c r="AE332" s="159"/>
      <c r="AF332" s="159"/>
      <c r="AG332" s="159"/>
      <c r="AH332" s="159"/>
      <c r="AI332" s="159"/>
      <c r="AJ332" s="159"/>
      <c r="AK332" s="159"/>
      <c r="AL332" s="159"/>
      <c r="AM332" s="159"/>
      <c r="AN332" s="159"/>
      <c r="AO332" s="159"/>
      <c r="AP332" s="159"/>
      <c r="AQ332" s="159"/>
      <c r="AR332" s="159"/>
      <c r="AS332" s="1"/>
      <c r="AT332" s="145"/>
      <c r="AU332" s="146"/>
      <c r="AV332" s="145"/>
      <c r="AW332" s="146"/>
      <c r="AX332" s="157"/>
      <c r="AY332" s="223"/>
      <c r="AZ332" s="223"/>
      <c r="BA332" s="159"/>
      <c r="BB332" s="159"/>
      <c r="BC332" s="159"/>
      <c r="BD332" s="159"/>
    </row>
    <row r="333" spans="1:56" x14ac:dyDescent="0.25">
      <c r="A333" s="288"/>
      <c r="B333" s="288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97"/>
      <c r="T333" s="159"/>
      <c r="U333" s="197"/>
      <c r="V333" s="159"/>
      <c r="W333" s="197"/>
      <c r="X333" s="159"/>
      <c r="Y333" s="159"/>
      <c r="Z333" s="159"/>
      <c r="AA333" s="159"/>
      <c r="AB333" s="159"/>
      <c r="AC333" s="159"/>
      <c r="AD333" s="159"/>
      <c r="AE333" s="159"/>
      <c r="AF333" s="159"/>
      <c r="AG333" s="159"/>
      <c r="AH333" s="159"/>
      <c r="AI333" s="159"/>
      <c r="AJ333" s="159"/>
      <c r="AK333" s="159"/>
      <c r="AL333" s="159"/>
      <c r="AM333" s="159"/>
      <c r="AN333" s="159"/>
      <c r="AO333" s="159"/>
      <c r="AP333" s="159"/>
      <c r="AQ333" s="159"/>
      <c r="AR333" s="159"/>
      <c r="AS333" s="1"/>
      <c r="AT333" s="156"/>
      <c r="AU333" s="157"/>
      <c r="AV333" s="156"/>
      <c r="AW333" s="157"/>
      <c r="AX333" s="157"/>
      <c r="AY333" s="223"/>
      <c r="AZ333" s="223"/>
      <c r="BA333" s="159"/>
      <c r="BB333" s="159"/>
      <c r="BC333" s="159"/>
      <c r="BD333" s="159"/>
    </row>
    <row r="334" spans="1:56" x14ac:dyDescent="0.25">
      <c r="A334" s="288"/>
      <c r="B334" s="288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97"/>
      <c r="T334" s="159"/>
      <c r="U334" s="197"/>
      <c r="V334" s="159"/>
      <c r="W334" s="197"/>
      <c r="X334" s="159"/>
      <c r="Y334" s="159"/>
      <c r="Z334" s="159"/>
      <c r="AA334" s="159"/>
      <c r="AB334" s="159"/>
      <c r="AC334" s="159"/>
      <c r="AD334" s="159"/>
      <c r="AE334" s="159"/>
      <c r="AF334" s="159"/>
      <c r="AG334" s="159"/>
      <c r="AH334" s="159"/>
      <c r="AI334" s="159"/>
      <c r="AJ334" s="159"/>
      <c r="AK334" s="159"/>
      <c r="AL334" s="159"/>
      <c r="AM334" s="159"/>
      <c r="AN334" s="159"/>
      <c r="AO334" s="159"/>
      <c r="AP334" s="159"/>
      <c r="AQ334" s="159"/>
      <c r="AR334" s="159"/>
      <c r="AS334" s="1"/>
      <c r="AT334" s="88"/>
      <c r="AU334" s="89"/>
      <c r="AV334" s="88"/>
      <c r="AW334" s="89"/>
      <c r="AX334" s="89"/>
      <c r="AY334" s="223"/>
      <c r="AZ334" s="223"/>
      <c r="BA334" s="159"/>
      <c r="BB334" s="159"/>
      <c r="BC334" s="159"/>
      <c r="BD334" s="159"/>
    </row>
    <row r="335" spans="1:56" x14ac:dyDescent="0.25">
      <c r="A335" s="288"/>
      <c r="B335" s="288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97"/>
      <c r="T335" s="159"/>
      <c r="U335" s="197"/>
      <c r="V335" s="159"/>
      <c r="W335" s="197"/>
      <c r="X335" s="159"/>
      <c r="Y335" s="159"/>
      <c r="Z335" s="159"/>
      <c r="AA335" s="159"/>
      <c r="AB335" s="159"/>
      <c r="AC335" s="159"/>
      <c r="AD335" s="159"/>
      <c r="AE335" s="159"/>
      <c r="AF335" s="159"/>
      <c r="AG335" s="159"/>
      <c r="AH335" s="159"/>
      <c r="AI335" s="159"/>
      <c r="AJ335" s="159"/>
      <c r="AK335" s="159"/>
      <c r="AL335" s="159"/>
      <c r="AM335" s="159"/>
      <c r="AN335" s="159"/>
      <c r="AO335" s="159"/>
      <c r="AP335" s="159"/>
      <c r="AQ335" s="159"/>
      <c r="AR335" s="159"/>
      <c r="AS335" s="1"/>
      <c r="AT335" s="145"/>
      <c r="AU335" s="146"/>
      <c r="AV335" s="145"/>
      <c r="AW335" s="146"/>
      <c r="AX335" s="157"/>
      <c r="AY335" s="223"/>
      <c r="AZ335" s="223"/>
      <c r="BA335" s="159"/>
      <c r="BB335" s="159"/>
      <c r="BC335" s="159"/>
      <c r="BD335" s="159"/>
    </row>
    <row r="336" spans="1:56" x14ac:dyDescent="0.25">
      <c r="A336" s="288"/>
      <c r="B336" s="288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97"/>
      <c r="T336" s="159"/>
      <c r="U336" s="197"/>
      <c r="V336" s="159"/>
      <c r="W336" s="197"/>
      <c r="X336" s="159"/>
      <c r="Y336" s="159"/>
      <c r="Z336" s="159"/>
      <c r="AA336" s="159"/>
      <c r="AB336" s="159"/>
      <c r="AC336" s="159"/>
      <c r="AD336" s="159"/>
      <c r="AE336" s="159"/>
      <c r="AF336" s="159"/>
      <c r="AG336" s="159"/>
      <c r="AH336" s="159"/>
      <c r="AI336" s="159"/>
      <c r="AJ336" s="159"/>
      <c r="AK336" s="159"/>
      <c r="AL336" s="159"/>
      <c r="AM336" s="159"/>
      <c r="AN336" s="159"/>
      <c r="AO336" s="159"/>
      <c r="AP336" s="159"/>
      <c r="AQ336" s="159"/>
      <c r="AR336" s="159"/>
      <c r="AS336" s="1"/>
      <c r="AT336" s="88"/>
      <c r="AU336" s="89"/>
      <c r="AV336" s="88"/>
      <c r="AW336" s="89"/>
      <c r="AX336" s="89"/>
      <c r="AY336" s="223"/>
      <c r="AZ336" s="223"/>
      <c r="BA336" s="159"/>
      <c r="BB336" s="159"/>
      <c r="BC336" s="159"/>
      <c r="BD336" s="159"/>
    </row>
    <row r="337" spans="1:56" x14ac:dyDescent="0.25">
      <c r="A337" s="288"/>
      <c r="B337" s="288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97"/>
      <c r="T337" s="159"/>
      <c r="U337" s="197"/>
      <c r="V337" s="159"/>
      <c r="W337" s="197"/>
      <c r="X337" s="159"/>
      <c r="Y337" s="159"/>
      <c r="Z337" s="159"/>
      <c r="AA337" s="159"/>
      <c r="AB337" s="159"/>
      <c r="AC337" s="159"/>
      <c r="AD337" s="159"/>
      <c r="AE337" s="159"/>
      <c r="AF337" s="159"/>
      <c r="AG337" s="159"/>
      <c r="AH337" s="159"/>
      <c r="AI337" s="159"/>
      <c r="AJ337" s="159"/>
      <c r="AK337" s="159"/>
      <c r="AL337" s="159"/>
      <c r="AM337" s="159"/>
      <c r="AN337" s="159"/>
      <c r="AO337" s="159"/>
      <c r="AP337" s="159"/>
      <c r="AQ337" s="159"/>
      <c r="AR337" s="159"/>
      <c r="AS337" s="1"/>
      <c r="AT337" s="156"/>
      <c r="AU337" s="157"/>
      <c r="AV337" s="156"/>
      <c r="AW337" s="157"/>
      <c r="AX337" s="157"/>
      <c r="AY337" s="223"/>
      <c r="AZ337" s="223"/>
      <c r="BA337" s="159"/>
      <c r="BB337" s="159"/>
      <c r="BC337" s="159"/>
      <c r="BD337" s="159"/>
    </row>
    <row r="338" spans="1:56" x14ac:dyDescent="0.25">
      <c r="A338" s="288"/>
      <c r="B338" s="288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97"/>
      <c r="T338" s="159"/>
      <c r="U338" s="197"/>
      <c r="V338" s="159"/>
      <c r="W338" s="197"/>
      <c r="X338" s="159"/>
      <c r="Y338" s="159"/>
      <c r="Z338" s="159"/>
      <c r="AA338" s="159"/>
      <c r="AB338" s="159"/>
      <c r="AC338" s="159"/>
      <c r="AD338" s="159"/>
      <c r="AE338" s="159"/>
      <c r="AF338" s="159"/>
      <c r="AG338" s="159"/>
      <c r="AH338" s="159"/>
      <c r="AI338" s="159"/>
      <c r="AJ338" s="159"/>
      <c r="AK338" s="159"/>
      <c r="AL338" s="159"/>
      <c r="AM338" s="159"/>
      <c r="AN338" s="159"/>
      <c r="AO338" s="159"/>
      <c r="AP338" s="159"/>
      <c r="AQ338" s="159"/>
      <c r="AR338" s="159"/>
      <c r="AS338" s="1"/>
      <c r="AT338" s="145"/>
      <c r="AU338" s="146"/>
      <c r="AV338" s="145"/>
      <c r="AW338" s="146"/>
      <c r="AX338" s="157"/>
      <c r="AY338" s="223"/>
      <c r="AZ338" s="223"/>
      <c r="BA338" s="159"/>
      <c r="BB338" s="159"/>
      <c r="BC338" s="159"/>
      <c r="BD338" s="159"/>
    </row>
    <row r="339" spans="1:56" x14ac:dyDescent="0.25">
      <c r="A339" s="288"/>
      <c r="B339" s="288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97"/>
      <c r="T339" s="159"/>
      <c r="U339" s="197"/>
      <c r="V339" s="159"/>
      <c r="W339" s="197"/>
      <c r="X339" s="159"/>
      <c r="Y339" s="159"/>
      <c r="Z339" s="159"/>
      <c r="AA339" s="159"/>
      <c r="AB339" s="159"/>
      <c r="AC339" s="159"/>
      <c r="AD339" s="159"/>
      <c r="AE339" s="159"/>
      <c r="AF339" s="159"/>
      <c r="AG339" s="159"/>
      <c r="AH339" s="159"/>
      <c r="AI339" s="159"/>
      <c r="AJ339" s="159"/>
      <c r="AK339" s="159"/>
      <c r="AL339" s="159"/>
      <c r="AM339" s="159"/>
      <c r="AN339" s="159"/>
      <c r="AO339" s="159"/>
      <c r="AP339" s="159"/>
      <c r="AQ339" s="159"/>
      <c r="AR339" s="159"/>
      <c r="AS339" s="1"/>
      <c r="AT339" s="156"/>
      <c r="AU339" s="157"/>
      <c r="AV339" s="156"/>
      <c r="AW339" s="157"/>
      <c r="AX339" s="157"/>
      <c r="AY339" s="223"/>
      <c r="AZ339" s="223"/>
      <c r="BA339" s="159"/>
      <c r="BB339" s="159"/>
      <c r="BC339" s="159"/>
      <c r="BD339" s="159"/>
    </row>
    <row r="340" spans="1:56" x14ac:dyDescent="0.25">
      <c r="A340" s="288"/>
      <c r="B340" s="288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97"/>
      <c r="T340" s="159"/>
      <c r="U340" s="197"/>
      <c r="V340" s="159"/>
      <c r="W340" s="197"/>
      <c r="X340" s="159"/>
      <c r="Y340" s="159"/>
      <c r="Z340" s="159"/>
      <c r="AA340" s="159"/>
      <c r="AB340" s="159"/>
      <c r="AC340" s="159"/>
      <c r="AD340" s="159"/>
      <c r="AE340" s="159"/>
      <c r="AF340" s="159"/>
      <c r="AG340" s="159"/>
      <c r="AH340" s="159"/>
      <c r="AI340" s="159"/>
      <c r="AJ340" s="159"/>
      <c r="AK340" s="159"/>
      <c r="AL340" s="159"/>
      <c r="AM340" s="159"/>
      <c r="AN340" s="159"/>
      <c r="AO340" s="159"/>
      <c r="AP340" s="159"/>
      <c r="AQ340" s="159"/>
      <c r="AR340" s="159"/>
      <c r="AS340" s="1"/>
      <c r="AT340" s="145"/>
      <c r="AU340" s="146"/>
      <c r="AV340" s="145"/>
      <c r="AW340" s="146"/>
      <c r="AX340" s="157"/>
      <c r="AY340" s="223"/>
      <c r="AZ340" s="223"/>
      <c r="BA340" s="159"/>
      <c r="BB340" s="159"/>
      <c r="BC340" s="159"/>
      <c r="BD340" s="159"/>
    </row>
    <row r="341" spans="1:56" x14ac:dyDescent="0.25">
      <c r="A341" s="288"/>
      <c r="B341" s="288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97"/>
      <c r="T341" s="159"/>
      <c r="U341" s="197"/>
      <c r="V341" s="159"/>
      <c r="W341" s="197"/>
      <c r="X341" s="159"/>
      <c r="Y341" s="159"/>
      <c r="Z341" s="159"/>
      <c r="AA341" s="159"/>
      <c r="AB341" s="159"/>
      <c r="AC341" s="159"/>
      <c r="AD341" s="159"/>
      <c r="AE341" s="159"/>
      <c r="AF341" s="159"/>
      <c r="AG341" s="159"/>
      <c r="AH341" s="159"/>
      <c r="AI341" s="159"/>
      <c r="AJ341" s="159"/>
      <c r="AK341" s="159"/>
      <c r="AL341" s="159"/>
      <c r="AM341" s="159"/>
      <c r="AN341" s="159"/>
      <c r="AO341" s="159"/>
      <c r="AP341" s="159"/>
      <c r="AQ341" s="159"/>
      <c r="AR341" s="159"/>
      <c r="AS341" s="1"/>
      <c r="AT341" s="74"/>
      <c r="AU341" s="75"/>
      <c r="AV341" s="74"/>
      <c r="AW341" s="75"/>
      <c r="AX341" s="75"/>
      <c r="AY341" s="223"/>
      <c r="AZ341" s="223"/>
      <c r="BA341" s="159"/>
      <c r="BB341" s="159"/>
      <c r="BC341" s="159"/>
      <c r="BD341" s="159"/>
    </row>
    <row r="342" spans="1:56" x14ac:dyDescent="0.25">
      <c r="A342" s="288"/>
      <c r="B342" s="288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97"/>
      <c r="T342" s="159"/>
      <c r="U342" s="197"/>
      <c r="V342" s="159"/>
      <c r="W342" s="197"/>
      <c r="X342" s="159"/>
      <c r="Y342" s="159"/>
      <c r="Z342" s="159"/>
      <c r="AA342" s="159"/>
      <c r="AB342" s="159"/>
      <c r="AC342" s="159"/>
      <c r="AD342" s="159"/>
      <c r="AE342" s="159"/>
      <c r="AF342" s="159"/>
      <c r="AG342" s="159"/>
      <c r="AH342" s="159"/>
      <c r="AI342" s="159"/>
      <c r="AJ342" s="159"/>
      <c r="AK342" s="159"/>
      <c r="AL342" s="159"/>
      <c r="AM342" s="159"/>
      <c r="AN342" s="159"/>
      <c r="AO342" s="159"/>
      <c r="AP342" s="159"/>
      <c r="AQ342" s="159"/>
      <c r="AR342" s="159"/>
      <c r="AS342" s="1"/>
      <c r="AT342" s="156"/>
      <c r="AU342" s="157"/>
      <c r="AV342" s="156"/>
      <c r="AW342" s="157"/>
      <c r="AX342" s="157"/>
      <c r="AY342" s="223"/>
      <c r="AZ342" s="223"/>
      <c r="BA342" s="159"/>
      <c r="BB342" s="159"/>
      <c r="BC342" s="159"/>
      <c r="BD342" s="159"/>
    </row>
    <row r="343" spans="1:56" x14ac:dyDescent="0.25">
      <c r="A343" s="288"/>
      <c r="B343" s="288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97"/>
      <c r="T343" s="159"/>
      <c r="U343" s="197"/>
      <c r="V343" s="159"/>
      <c r="W343" s="197"/>
      <c r="X343" s="159"/>
      <c r="Y343" s="159"/>
      <c r="Z343" s="159"/>
      <c r="AA343" s="159"/>
      <c r="AB343" s="159"/>
      <c r="AC343" s="159"/>
      <c r="AD343" s="159"/>
      <c r="AE343" s="159"/>
      <c r="AF343" s="159"/>
      <c r="AG343" s="159"/>
      <c r="AH343" s="159"/>
      <c r="AI343" s="159"/>
      <c r="AJ343" s="159"/>
      <c r="AK343" s="159"/>
      <c r="AL343" s="159"/>
      <c r="AM343" s="159"/>
      <c r="AN343" s="159"/>
      <c r="AO343" s="159"/>
      <c r="AP343" s="159"/>
      <c r="AQ343" s="159"/>
      <c r="AR343" s="159"/>
      <c r="AS343" s="1"/>
      <c r="AT343" s="140"/>
      <c r="AU343" s="141"/>
      <c r="AV343" s="140"/>
      <c r="AW343" s="141"/>
      <c r="AX343" s="141"/>
      <c r="AY343" s="223"/>
      <c r="AZ343" s="223"/>
      <c r="BA343" s="159"/>
      <c r="BB343" s="159"/>
      <c r="BC343" s="159"/>
      <c r="BD343" s="159"/>
    </row>
    <row r="344" spans="1:56" x14ac:dyDescent="0.25">
      <c r="A344" s="288"/>
      <c r="B344" s="288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97"/>
      <c r="T344" s="159"/>
      <c r="U344" s="197"/>
      <c r="V344" s="159"/>
      <c r="W344" s="197"/>
      <c r="X344" s="159"/>
      <c r="Y344" s="159"/>
      <c r="Z344" s="159"/>
      <c r="AA344" s="159"/>
      <c r="AB344" s="159"/>
      <c r="AC344" s="159"/>
      <c r="AD344" s="159"/>
      <c r="AE344" s="159"/>
      <c r="AF344" s="159"/>
      <c r="AG344" s="159"/>
      <c r="AH344" s="159"/>
      <c r="AI344" s="159"/>
      <c r="AJ344" s="159"/>
      <c r="AK344" s="159"/>
      <c r="AL344" s="159"/>
      <c r="AM344" s="159"/>
      <c r="AN344" s="159"/>
      <c r="AO344" s="159"/>
      <c r="AP344" s="159"/>
      <c r="AQ344" s="159"/>
      <c r="AR344" s="159"/>
      <c r="AS344" s="1"/>
      <c r="AT344" s="74"/>
      <c r="AU344" s="75"/>
      <c r="AV344" s="74"/>
      <c r="AW344" s="75"/>
      <c r="AX344" s="75"/>
      <c r="AY344" s="223"/>
      <c r="AZ344" s="223"/>
      <c r="BA344" s="159"/>
      <c r="BB344" s="159"/>
      <c r="BC344" s="159"/>
      <c r="BD344" s="159"/>
    </row>
    <row r="345" spans="1:56" x14ac:dyDescent="0.25">
      <c r="A345" s="288"/>
      <c r="B345" s="288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97"/>
      <c r="T345" s="159"/>
      <c r="U345" s="197"/>
      <c r="V345" s="159"/>
      <c r="W345" s="197"/>
      <c r="X345" s="159"/>
      <c r="Y345" s="159"/>
      <c r="Z345" s="159"/>
      <c r="AA345" s="159"/>
      <c r="AB345" s="159"/>
      <c r="AC345" s="159"/>
      <c r="AD345" s="159"/>
      <c r="AE345" s="159"/>
      <c r="AF345" s="159"/>
      <c r="AG345" s="159"/>
      <c r="AH345" s="159"/>
      <c r="AI345" s="159"/>
      <c r="AJ345" s="159"/>
      <c r="AK345" s="159"/>
      <c r="AL345" s="159"/>
      <c r="AM345" s="159"/>
      <c r="AN345" s="159"/>
      <c r="AO345" s="159"/>
      <c r="AP345" s="159"/>
      <c r="AQ345" s="159"/>
      <c r="AR345" s="159"/>
      <c r="AS345" s="1"/>
      <c r="AT345" s="140"/>
      <c r="AU345" s="141"/>
      <c r="AV345" s="140"/>
      <c r="AW345" s="141"/>
      <c r="AX345" s="141"/>
      <c r="AY345" s="223"/>
      <c r="AZ345" s="223"/>
      <c r="BA345" s="159"/>
      <c r="BB345" s="159"/>
      <c r="BC345" s="159"/>
      <c r="BD345" s="159"/>
    </row>
    <row r="346" spans="1:56" x14ac:dyDescent="0.25">
      <c r="A346" s="288"/>
      <c r="B346" s="288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97"/>
      <c r="T346" s="159"/>
      <c r="U346" s="197"/>
      <c r="V346" s="159"/>
      <c r="W346" s="197"/>
      <c r="X346" s="159"/>
      <c r="Y346" s="159"/>
      <c r="Z346" s="159"/>
      <c r="AA346" s="159"/>
      <c r="AB346" s="159"/>
      <c r="AC346" s="159"/>
      <c r="AD346" s="159"/>
      <c r="AE346" s="159"/>
      <c r="AF346" s="159"/>
      <c r="AG346" s="159"/>
      <c r="AH346" s="159"/>
      <c r="AI346" s="159"/>
      <c r="AJ346" s="159"/>
      <c r="AK346" s="159"/>
      <c r="AL346" s="159"/>
      <c r="AM346" s="159"/>
      <c r="AN346" s="159"/>
      <c r="AO346" s="159"/>
      <c r="AP346" s="159"/>
      <c r="AQ346" s="159"/>
      <c r="AR346" s="159"/>
      <c r="AS346" s="1"/>
      <c r="AT346" s="140"/>
      <c r="AU346" s="141"/>
      <c r="AV346" s="140"/>
      <c r="AW346" s="141"/>
      <c r="AX346" s="141"/>
      <c r="AY346" s="223"/>
      <c r="AZ346" s="223"/>
      <c r="BA346" s="159"/>
      <c r="BB346" s="159"/>
      <c r="BC346" s="159"/>
      <c r="BD346" s="159"/>
    </row>
    <row r="347" spans="1:56" x14ac:dyDescent="0.25">
      <c r="A347" s="288"/>
      <c r="B347" s="288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97"/>
      <c r="T347" s="159"/>
      <c r="U347" s="197"/>
      <c r="V347" s="159"/>
      <c r="W347" s="197"/>
      <c r="X347" s="159"/>
      <c r="Y347" s="159"/>
      <c r="Z347" s="159"/>
      <c r="AA347" s="159"/>
      <c r="AB347" s="159"/>
      <c r="AC347" s="159"/>
      <c r="AD347" s="159"/>
      <c r="AE347" s="159"/>
      <c r="AF347" s="159"/>
      <c r="AG347" s="159"/>
      <c r="AH347" s="159"/>
      <c r="AI347" s="159"/>
      <c r="AJ347" s="159"/>
      <c r="AK347" s="159"/>
      <c r="AL347" s="159"/>
      <c r="AM347" s="159"/>
      <c r="AN347" s="159"/>
      <c r="AO347" s="159"/>
      <c r="AP347" s="159"/>
      <c r="AQ347" s="159"/>
      <c r="AR347" s="159"/>
      <c r="AS347" s="1"/>
      <c r="AT347" s="140"/>
      <c r="AU347" s="141"/>
      <c r="AV347" s="140"/>
      <c r="AW347" s="141"/>
      <c r="AX347" s="141"/>
      <c r="AY347" s="223"/>
      <c r="AZ347" s="223"/>
      <c r="BA347" s="159"/>
      <c r="BB347" s="159"/>
      <c r="BC347" s="159"/>
      <c r="BD347" s="159"/>
    </row>
    <row r="348" spans="1:56" x14ac:dyDescent="0.25">
      <c r="A348" s="288"/>
      <c r="B348" s="288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97"/>
      <c r="T348" s="159"/>
      <c r="U348" s="197"/>
      <c r="V348" s="159"/>
      <c r="W348" s="197"/>
      <c r="X348" s="159"/>
      <c r="Y348" s="159"/>
      <c r="Z348" s="159"/>
      <c r="AA348" s="159"/>
      <c r="AB348" s="159"/>
      <c r="AC348" s="159"/>
      <c r="AD348" s="159"/>
      <c r="AE348" s="159"/>
      <c r="AF348" s="159"/>
      <c r="AG348" s="159"/>
      <c r="AH348" s="159"/>
      <c r="AI348" s="159"/>
      <c r="AJ348" s="159"/>
      <c r="AK348" s="159"/>
      <c r="AL348" s="159"/>
      <c r="AM348" s="159"/>
      <c r="AN348" s="159"/>
      <c r="AO348" s="159"/>
      <c r="AP348" s="159"/>
      <c r="AQ348" s="159"/>
      <c r="AR348" s="159"/>
      <c r="AS348" s="1"/>
      <c r="AT348" s="145"/>
      <c r="AU348" s="146"/>
      <c r="AV348" s="145"/>
      <c r="AW348" s="146"/>
      <c r="AX348" s="157"/>
      <c r="AY348" s="223"/>
      <c r="AZ348" s="223"/>
      <c r="BA348" s="159"/>
      <c r="BB348" s="159"/>
      <c r="BC348" s="159"/>
      <c r="BD348" s="159"/>
    </row>
    <row r="349" spans="1:56" x14ac:dyDescent="0.25">
      <c r="A349" s="288"/>
      <c r="B349" s="288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97"/>
      <c r="T349" s="159"/>
      <c r="U349" s="197"/>
      <c r="V349" s="159"/>
      <c r="W349" s="197"/>
      <c r="X349" s="159"/>
      <c r="Y349" s="159"/>
      <c r="Z349" s="159"/>
      <c r="AA349" s="159"/>
      <c r="AB349" s="159"/>
      <c r="AC349" s="159"/>
      <c r="AD349" s="159"/>
      <c r="AE349" s="159"/>
      <c r="AF349" s="159"/>
      <c r="AG349" s="159"/>
      <c r="AH349" s="159"/>
      <c r="AI349" s="159"/>
      <c r="AJ349" s="159"/>
      <c r="AK349" s="159"/>
      <c r="AL349" s="159"/>
      <c r="AM349" s="159"/>
      <c r="AN349" s="159"/>
      <c r="AO349" s="159"/>
      <c r="AP349" s="159"/>
      <c r="AQ349" s="159"/>
      <c r="AR349" s="159"/>
      <c r="AS349" s="1"/>
      <c r="AT349" s="88"/>
      <c r="AU349" s="89"/>
      <c r="AV349" s="88"/>
      <c r="AW349" s="89"/>
      <c r="AX349" s="89"/>
      <c r="AY349" s="223"/>
      <c r="AZ349" s="223"/>
      <c r="BA349" s="159"/>
      <c r="BB349" s="159"/>
      <c r="BC349" s="159"/>
      <c r="BD349" s="159"/>
    </row>
    <row r="350" spans="1:56" x14ac:dyDescent="0.25">
      <c r="A350" s="288"/>
      <c r="B350" s="288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97"/>
      <c r="T350" s="159"/>
      <c r="U350" s="197"/>
      <c r="V350" s="159"/>
      <c r="W350" s="197"/>
      <c r="X350" s="159"/>
      <c r="Y350" s="159"/>
      <c r="Z350" s="159"/>
      <c r="AA350" s="159"/>
      <c r="AB350" s="159"/>
      <c r="AC350" s="159"/>
      <c r="AD350" s="159"/>
      <c r="AE350" s="159"/>
      <c r="AF350" s="159"/>
      <c r="AG350" s="159"/>
      <c r="AH350" s="159"/>
      <c r="AI350" s="159"/>
      <c r="AJ350" s="159"/>
      <c r="AK350" s="159"/>
      <c r="AL350" s="159"/>
      <c r="AM350" s="159"/>
      <c r="AN350" s="159"/>
      <c r="AO350" s="159"/>
      <c r="AP350" s="159"/>
      <c r="AQ350" s="159"/>
      <c r="AR350" s="159"/>
      <c r="AS350" s="1"/>
      <c r="AT350" s="156"/>
      <c r="AU350" s="157"/>
      <c r="AV350" s="156"/>
      <c r="AW350" s="157"/>
      <c r="AX350" s="157"/>
      <c r="AY350" s="223"/>
      <c r="AZ350" s="223"/>
      <c r="BA350" s="159"/>
      <c r="BB350" s="159"/>
      <c r="BC350" s="159"/>
      <c r="BD350" s="159"/>
    </row>
    <row r="351" spans="1:56" x14ac:dyDescent="0.25">
      <c r="A351" s="288"/>
      <c r="B351" s="288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97"/>
      <c r="T351" s="159"/>
      <c r="U351" s="197"/>
      <c r="V351" s="159"/>
      <c r="W351" s="197"/>
      <c r="X351" s="159"/>
      <c r="Y351" s="159"/>
      <c r="Z351" s="159"/>
      <c r="AA351" s="159"/>
      <c r="AB351" s="159"/>
      <c r="AC351" s="159"/>
      <c r="AD351" s="159"/>
      <c r="AE351" s="159"/>
      <c r="AF351" s="159"/>
      <c r="AG351" s="159"/>
      <c r="AH351" s="159"/>
      <c r="AI351" s="159"/>
      <c r="AJ351" s="159"/>
      <c r="AK351" s="159"/>
      <c r="AL351" s="159"/>
      <c r="AM351" s="159"/>
      <c r="AN351" s="159"/>
      <c r="AO351" s="159"/>
      <c r="AP351" s="159"/>
      <c r="AQ351" s="159"/>
      <c r="AR351" s="159"/>
      <c r="AS351" s="1"/>
      <c r="AT351" s="88"/>
      <c r="AU351" s="89"/>
      <c r="AV351" s="88"/>
      <c r="AW351" s="89"/>
      <c r="AX351" s="89"/>
      <c r="AY351" s="223"/>
      <c r="AZ351" s="223"/>
      <c r="BA351" s="159"/>
      <c r="BB351" s="159"/>
      <c r="BC351" s="159"/>
      <c r="BD351" s="159"/>
    </row>
    <row r="352" spans="1:56" x14ac:dyDescent="0.25">
      <c r="A352" s="288"/>
      <c r="B352" s="288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97"/>
      <c r="T352" s="159"/>
      <c r="U352" s="197"/>
      <c r="V352" s="159"/>
      <c r="W352" s="197"/>
      <c r="X352" s="159"/>
      <c r="Y352" s="159"/>
      <c r="Z352" s="159"/>
      <c r="AA352" s="159"/>
      <c r="AB352" s="159"/>
      <c r="AC352" s="159"/>
      <c r="AD352" s="159"/>
      <c r="AE352" s="159"/>
      <c r="AF352" s="159"/>
      <c r="AG352" s="159"/>
      <c r="AH352" s="159"/>
      <c r="AI352" s="159"/>
      <c r="AJ352" s="159"/>
      <c r="AK352" s="159"/>
      <c r="AL352" s="159"/>
      <c r="AM352" s="159"/>
      <c r="AN352" s="159"/>
      <c r="AO352" s="159"/>
      <c r="AP352" s="159"/>
      <c r="AQ352" s="159"/>
      <c r="AR352" s="159"/>
      <c r="AS352" s="1"/>
      <c r="AT352" s="88"/>
      <c r="AU352" s="89"/>
      <c r="AV352" s="88"/>
      <c r="AW352" s="89"/>
      <c r="AX352" s="89"/>
      <c r="AY352" s="223"/>
      <c r="AZ352" s="223"/>
      <c r="BA352" s="159"/>
      <c r="BB352" s="159"/>
      <c r="BC352" s="159"/>
      <c r="BD352" s="159"/>
    </row>
    <row r="353" spans="1:56" x14ac:dyDescent="0.25">
      <c r="A353" s="288"/>
      <c r="B353" s="288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97"/>
      <c r="T353" s="159"/>
      <c r="U353" s="197"/>
      <c r="V353" s="159"/>
      <c r="W353" s="197"/>
      <c r="X353" s="159"/>
      <c r="Y353" s="159"/>
      <c r="Z353" s="159"/>
      <c r="AA353" s="159"/>
      <c r="AB353" s="159"/>
      <c r="AC353" s="159"/>
      <c r="AD353" s="159"/>
      <c r="AE353" s="159"/>
      <c r="AF353" s="159"/>
      <c r="AG353" s="159"/>
      <c r="AH353" s="159"/>
      <c r="AI353" s="159"/>
      <c r="AJ353" s="159"/>
      <c r="AK353" s="159"/>
      <c r="AL353" s="159"/>
      <c r="AM353" s="159"/>
      <c r="AN353" s="159"/>
      <c r="AO353" s="159"/>
      <c r="AP353" s="159"/>
      <c r="AQ353" s="159"/>
      <c r="AR353" s="159"/>
      <c r="AS353" s="1"/>
      <c r="AT353" s="88"/>
      <c r="AU353" s="89"/>
      <c r="AV353" s="88"/>
      <c r="AW353" s="89"/>
      <c r="AX353" s="89"/>
      <c r="AY353" s="223"/>
      <c r="AZ353" s="223"/>
      <c r="BA353" s="159"/>
      <c r="BB353" s="159"/>
      <c r="BC353" s="159"/>
      <c r="BD353" s="159"/>
    </row>
    <row r="354" spans="1:56" x14ac:dyDescent="0.25">
      <c r="A354" s="288"/>
      <c r="B354" s="288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97"/>
      <c r="T354" s="159"/>
      <c r="U354" s="197"/>
      <c r="V354" s="159"/>
      <c r="W354" s="197"/>
      <c r="X354" s="159"/>
      <c r="Y354" s="159"/>
      <c r="Z354" s="159"/>
      <c r="AA354" s="159"/>
      <c r="AB354" s="159"/>
      <c r="AC354" s="159"/>
      <c r="AD354" s="159"/>
      <c r="AE354" s="159"/>
      <c r="AF354" s="159"/>
      <c r="AG354" s="159"/>
      <c r="AH354" s="159"/>
      <c r="AI354" s="159"/>
      <c r="AJ354" s="159"/>
      <c r="AK354" s="159"/>
      <c r="AL354" s="159"/>
      <c r="AM354" s="159"/>
      <c r="AN354" s="159"/>
      <c r="AO354" s="159"/>
      <c r="AP354" s="159"/>
      <c r="AQ354" s="159"/>
      <c r="AR354" s="159"/>
      <c r="AS354" s="1"/>
      <c r="AT354" s="88"/>
      <c r="AU354" s="89"/>
      <c r="AV354" s="88"/>
      <c r="AW354" s="89"/>
      <c r="AX354" s="89"/>
      <c r="AY354" s="223"/>
      <c r="AZ354" s="223"/>
      <c r="BA354" s="159"/>
      <c r="BB354" s="159"/>
      <c r="BC354" s="159"/>
      <c r="BD354" s="159"/>
    </row>
    <row r="355" spans="1:56" x14ac:dyDescent="0.25">
      <c r="A355" s="288"/>
      <c r="B355" s="288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97"/>
      <c r="T355" s="159"/>
      <c r="U355" s="197"/>
      <c r="V355" s="159"/>
      <c r="W355" s="197"/>
      <c r="X355" s="159"/>
      <c r="Y355" s="159"/>
      <c r="Z355" s="159"/>
      <c r="AA355" s="159"/>
      <c r="AB355" s="159"/>
      <c r="AC355" s="159"/>
      <c r="AD355" s="159"/>
      <c r="AE355" s="159"/>
      <c r="AF355" s="159"/>
      <c r="AG355" s="159"/>
      <c r="AH355" s="159"/>
      <c r="AI355" s="159"/>
      <c r="AJ355" s="159"/>
      <c r="AK355" s="159"/>
      <c r="AL355" s="159"/>
      <c r="AM355" s="159"/>
      <c r="AN355" s="159"/>
      <c r="AO355" s="159"/>
      <c r="AP355" s="159"/>
      <c r="AQ355" s="159"/>
      <c r="AR355" s="159"/>
      <c r="AS355" s="1"/>
      <c r="AT355" s="88"/>
      <c r="AU355" s="89"/>
      <c r="AV355" s="88"/>
      <c r="AW355" s="89"/>
      <c r="AX355" s="89"/>
      <c r="AY355" s="223"/>
      <c r="AZ355" s="223"/>
      <c r="BA355" s="159"/>
      <c r="BB355" s="159"/>
      <c r="BC355" s="159"/>
      <c r="BD355" s="159"/>
    </row>
    <row r="356" spans="1:56" x14ac:dyDescent="0.25">
      <c r="A356" s="288"/>
      <c r="B356" s="288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97"/>
      <c r="T356" s="159"/>
      <c r="U356" s="197"/>
      <c r="V356" s="159"/>
      <c r="W356" s="197"/>
      <c r="X356" s="159"/>
      <c r="Y356" s="159"/>
      <c r="Z356" s="159"/>
      <c r="AA356" s="159"/>
      <c r="AB356" s="159"/>
      <c r="AC356" s="159"/>
      <c r="AD356" s="159"/>
      <c r="AE356" s="159"/>
      <c r="AF356" s="159"/>
      <c r="AG356" s="159"/>
      <c r="AH356" s="159"/>
      <c r="AI356" s="159"/>
      <c r="AJ356" s="159"/>
      <c r="AK356" s="159"/>
      <c r="AL356" s="159"/>
      <c r="AM356" s="159"/>
      <c r="AN356" s="159"/>
      <c r="AO356" s="159"/>
      <c r="AP356" s="159"/>
      <c r="AQ356" s="159"/>
      <c r="AR356" s="159"/>
      <c r="AS356" s="1"/>
      <c r="AT356" s="145"/>
      <c r="AU356" s="146"/>
      <c r="AV356" s="145"/>
      <c r="AW356" s="146"/>
      <c r="AX356" s="157"/>
      <c r="AY356" s="223"/>
      <c r="AZ356" s="223"/>
      <c r="BA356" s="159"/>
      <c r="BB356" s="159"/>
      <c r="BC356" s="159"/>
      <c r="BD356" s="159"/>
    </row>
  </sheetData>
  <mergeCells count="169">
    <mergeCell ref="A356:B356"/>
    <mergeCell ref="A350:B350"/>
    <mergeCell ref="A351:B351"/>
    <mergeCell ref="A352:B352"/>
    <mergeCell ref="A353:B353"/>
    <mergeCell ref="A354:B354"/>
    <mergeCell ref="A355:B355"/>
    <mergeCell ref="A344:B344"/>
    <mergeCell ref="A345:B345"/>
    <mergeCell ref="A346:B346"/>
    <mergeCell ref="A347:B347"/>
    <mergeCell ref="A348:B348"/>
    <mergeCell ref="A349:B349"/>
    <mergeCell ref="A338:B338"/>
    <mergeCell ref="A339:B339"/>
    <mergeCell ref="A340:B340"/>
    <mergeCell ref="A341:B341"/>
    <mergeCell ref="A342:B342"/>
    <mergeCell ref="A343:B343"/>
    <mergeCell ref="A332:B332"/>
    <mergeCell ref="A333:B333"/>
    <mergeCell ref="A334:B334"/>
    <mergeCell ref="A335:B335"/>
    <mergeCell ref="A336:B336"/>
    <mergeCell ref="A337:B337"/>
    <mergeCell ref="A326:B326"/>
    <mergeCell ref="A327:B327"/>
    <mergeCell ref="A328:B328"/>
    <mergeCell ref="A329:B329"/>
    <mergeCell ref="A330:B330"/>
    <mergeCell ref="A331:B331"/>
    <mergeCell ref="A320:B320"/>
    <mergeCell ref="A321:B321"/>
    <mergeCell ref="A322:B322"/>
    <mergeCell ref="A323:B323"/>
    <mergeCell ref="A324:B324"/>
    <mergeCell ref="A325:B325"/>
    <mergeCell ref="A314:B314"/>
    <mergeCell ref="A315:B315"/>
    <mergeCell ref="A316:B316"/>
    <mergeCell ref="A317:B317"/>
    <mergeCell ref="A318:B318"/>
    <mergeCell ref="A319:B319"/>
    <mergeCell ref="A308:B308"/>
    <mergeCell ref="A309:B309"/>
    <mergeCell ref="A310:B310"/>
    <mergeCell ref="A311:B311"/>
    <mergeCell ref="A312:B312"/>
    <mergeCell ref="A313:B313"/>
    <mergeCell ref="A302:B302"/>
    <mergeCell ref="A303:B303"/>
    <mergeCell ref="A304:B304"/>
    <mergeCell ref="A305:B305"/>
    <mergeCell ref="A306:B306"/>
    <mergeCell ref="A307:B307"/>
    <mergeCell ref="A296:B296"/>
    <mergeCell ref="A297:B297"/>
    <mergeCell ref="A298:B298"/>
    <mergeCell ref="A299:B299"/>
    <mergeCell ref="A300:B300"/>
    <mergeCell ref="A301:B301"/>
    <mergeCell ref="A290:B290"/>
    <mergeCell ref="A291:B291"/>
    <mergeCell ref="A292:B292"/>
    <mergeCell ref="A293:B293"/>
    <mergeCell ref="A294:B294"/>
    <mergeCell ref="A295:B295"/>
    <mergeCell ref="A284:B284"/>
    <mergeCell ref="A285:B285"/>
    <mergeCell ref="A286:B286"/>
    <mergeCell ref="A287:B287"/>
    <mergeCell ref="A288:B288"/>
    <mergeCell ref="A289:B289"/>
    <mergeCell ref="A278:B278"/>
    <mergeCell ref="A279:B279"/>
    <mergeCell ref="A280:B280"/>
    <mergeCell ref="A281:B281"/>
    <mergeCell ref="A282:B282"/>
    <mergeCell ref="A283:B283"/>
    <mergeCell ref="A272:B272"/>
    <mergeCell ref="A273:B273"/>
    <mergeCell ref="A274:B274"/>
    <mergeCell ref="A275:B275"/>
    <mergeCell ref="A276:B276"/>
    <mergeCell ref="A277:B277"/>
    <mergeCell ref="A266:B266"/>
    <mergeCell ref="A267:B267"/>
    <mergeCell ref="A268:B268"/>
    <mergeCell ref="A269:B269"/>
    <mergeCell ref="A270:B270"/>
    <mergeCell ref="A271:B271"/>
    <mergeCell ref="A260:B260"/>
    <mergeCell ref="A261:B261"/>
    <mergeCell ref="A262:B262"/>
    <mergeCell ref="A263:B263"/>
    <mergeCell ref="A264:B264"/>
    <mergeCell ref="A265:B265"/>
    <mergeCell ref="A254:B254"/>
    <mergeCell ref="A255:B255"/>
    <mergeCell ref="A256:B256"/>
    <mergeCell ref="A257:B257"/>
    <mergeCell ref="A258:B258"/>
    <mergeCell ref="A259:B259"/>
    <mergeCell ref="A248:B248"/>
    <mergeCell ref="A249:B249"/>
    <mergeCell ref="A250:B250"/>
    <mergeCell ref="A251:B251"/>
    <mergeCell ref="A252:B252"/>
    <mergeCell ref="A253:B253"/>
    <mergeCell ref="A242:B242"/>
    <mergeCell ref="A243:B243"/>
    <mergeCell ref="A244:B244"/>
    <mergeCell ref="A245:B245"/>
    <mergeCell ref="A246:B246"/>
    <mergeCell ref="A247:B247"/>
    <mergeCell ref="A226:B226"/>
    <mergeCell ref="A228:B228"/>
    <mergeCell ref="A238:B238"/>
    <mergeCell ref="A239:B239"/>
    <mergeCell ref="A240:B240"/>
    <mergeCell ref="A241:B241"/>
    <mergeCell ref="A203:B203"/>
    <mergeCell ref="A206:B206"/>
    <mergeCell ref="A208:B208"/>
    <mergeCell ref="A211:B211"/>
    <mergeCell ref="A214:B214"/>
    <mergeCell ref="A220:B220"/>
    <mergeCell ref="A180:B180"/>
    <mergeCell ref="A190:B190"/>
    <mergeCell ref="A192:B192"/>
    <mergeCell ref="A193:B193"/>
    <mergeCell ref="A197:B197"/>
    <mergeCell ref="A201:B201"/>
    <mergeCell ref="A155:B155"/>
    <mergeCell ref="A157:B157"/>
    <mergeCell ref="A162:B162"/>
    <mergeCell ref="A165:B165"/>
    <mergeCell ref="A168:B168"/>
    <mergeCell ref="A174:B174"/>
    <mergeCell ref="A114:B114"/>
    <mergeCell ref="A121:B121"/>
    <mergeCell ref="A126:B126"/>
    <mergeCell ref="A134:B134"/>
    <mergeCell ref="A136:B136"/>
    <mergeCell ref="A146:B146"/>
    <mergeCell ref="A90:B90"/>
    <mergeCell ref="A95:B95"/>
    <mergeCell ref="A99:B99"/>
    <mergeCell ref="A104:B104"/>
    <mergeCell ref="A106:B106"/>
    <mergeCell ref="A109:B109"/>
    <mergeCell ref="A54:B54"/>
    <mergeCell ref="A60:B60"/>
    <mergeCell ref="A68:B68"/>
    <mergeCell ref="A72:B72"/>
    <mergeCell ref="A79:B79"/>
    <mergeCell ref="A81:B81"/>
    <mergeCell ref="A26:B26"/>
    <mergeCell ref="A29:B29"/>
    <mergeCell ref="A31:B31"/>
    <mergeCell ref="A37:B37"/>
    <mergeCell ref="A42:B42"/>
    <mergeCell ref="A49:B49"/>
    <mergeCell ref="A2:B2"/>
    <mergeCell ref="A3:B3"/>
    <mergeCell ref="A5:B5"/>
    <mergeCell ref="A13:B13"/>
    <mergeCell ref="A17:B17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</vt:lpstr>
      <vt:lpstr>Annual</vt:lpstr>
      <vt:lpstr>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Wilson</dc:creator>
  <cp:lastModifiedBy>Peter Wilson</cp:lastModifiedBy>
  <dcterms:created xsi:type="dcterms:W3CDTF">2025-10-08T03:41:35Z</dcterms:created>
  <dcterms:modified xsi:type="dcterms:W3CDTF">2026-01-15T03:35:54Z</dcterms:modified>
</cp:coreProperties>
</file>